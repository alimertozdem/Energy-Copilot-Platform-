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check" sheetId="1" state="visible" r:id="rId3"/>
    <sheet name="Verification" sheetId="2" state="visible" r:id="rId4"/>
    <sheet name="Meter dat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<sst xmlns="http://schemas.openxmlformats.org/spreadsheetml/2006/main" count="67" uniqueCount="67">
  <si>
    <t xml:space="preserve">Checking the out-of-hours report — Hog office building, 18,213 m² (BDG2 public dataset)</t>
  </si>
  <si>
    <t xml:space="preserve">This workbook re-derives the report's headline numbers from the raw meter readings using ordinary Excel formulas. No Python runs here.</t>
  </si>
  <si>
    <t xml:space="preserve">What to do:</t>
  </si>
  <si>
    <t xml:space="preserve">1. Open the 'Verification' sheet.</t>
  </si>
  <si>
    <t xml:space="preserve">2. The BLUE column is what the report printed. It is typed in — nothing computes it.</t>
  </si>
  <si>
    <t xml:space="preserve">3. The BLACK column is an Excel formula reading the 'Meter data' sheet. Click any cell to see the formula.</t>
  </si>
  <si>
    <t xml:space="preserve">4. The 'Difference' column must be zero (or a rounding crumb). If it is not, the report is wrong — do not send it.</t>
  </si>
  <si>
    <t xml:space="preserve">Where the numbers come from:</t>
  </si>
  <si>
    <t xml:space="preserve">'Meter data' holds only what the client sent: column A the timestamp, column B the kWh. Columns D to G are Excel formulas that work out the weekday, the hour, whether the building was closed, and the kW.</t>
  </si>
  <si>
    <t xml:space="preserve">The closed/occupied split is therefore recomputed here too — the report's own version of it is not used anywhere in this file.</t>
  </si>
  <si>
    <t xml:space="preserve">The one check you can do without this file at all:</t>
  </si>
  <si>
    <t xml:space="preserve">Open the client's CSV in Excel, select the whole kWh column, and read the sum in the status bar. It must equal 'Total energy in file' on the last page of the report.</t>
  </si>
  <si>
    <t xml:space="preserve">Note on the median:</t>
  </si>
  <si>
    <t xml:space="preserve">The report calls the typical closed-period load a median. Excel's MEDIAN is used here on the same set of readings, so the two should agree exactly.</t>
  </si>
  <si>
    <t xml:space="preserve">Verification</t>
  </si>
  <si>
    <t xml:space="preserve">Blue = typed in from the report.  Black = computed here by Excel from the raw readings.  Every difference must be zero.</t>
  </si>
  <si>
    <t xml:space="preserve">What</t>
  </si>
  <si>
    <t xml:space="preserve">Report says</t>
  </si>
  <si>
    <t xml:space="preserve">Excel says</t>
  </si>
  <si>
    <t xml:space="preserve">Difference</t>
  </si>
  <si>
    <t xml:space="preserve">The Excel formula, in words</t>
  </si>
  <si>
    <t xml:space="preserve">Readings used</t>
  </si>
  <si>
    <t xml:space="preserve">COUNT of the kWh column</t>
  </si>
  <si>
    <t xml:space="preserve">Total energy (kWh)</t>
  </si>
  <si>
    <t xml:space="preserve">SUM of the kWh column</t>
  </si>
  <si>
    <t xml:space="preserve">Energy while closed (kWh)</t>
  </si>
  <si>
    <t xml:space="preserve">SUM of kWh where the closed flag is 1</t>
  </si>
  <si>
    <t xml:space="preserve">Energy while occupied (kWh)</t>
  </si>
  <si>
    <t xml:space="preserve">SUM of kWh where the closed flag is 0</t>
  </si>
  <si>
    <t xml:space="preserve">Closed share of the year (%)</t>
  </si>
  <si>
    <t xml:space="preserve">closed kWh divided by total kWh</t>
  </si>
  <si>
    <t xml:space="preserve">Hours closed</t>
  </si>
  <si>
    <t xml:space="preserve">count of closed readings x 1.0 h per reading</t>
  </si>
  <si>
    <t xml:space="preserve">Cost of closed-period energy</t>
  </si>
  <si>
    <t xml:space="preserve">closed kWh x 0.11 per kWh</t>
  </si>
  <si>
    <t xml:space="preserve">Worth of 1 kW switched off, per year</t>
  </si>
  <si>
    <t xml:space="preserve">hours closed x tariff</t>
  </si>
  <si>
    <t xml:space="preserve">Typical load while closed (kW)</t>
  </si>
  <si>
    <t xml:space="preserve">MEDIAN of the kW readings that fall in closed hours</t>
  </si>
  <si>
    <t xml:space="preserve">Average load while occupied (kW)</t>
  </si>
  <si>
    <t xml:space="preserve">AVERAGE of kW where the closed flag is 0</t>
  </si>
  <si>
    <t xml:space="preserve">Peak load (kW)</t>
  </si>
  <si>
    <t xml:space="preserve">MAX of the kW column</t>
  </si>
  <si>
    <t xml:space="preserve">Largest difference anywhere above</t>
  </si>
  <si>
    <t xml:space="preserve">Anything other than a rounding crumb means do not send the report.</t>
  </si>
  <si>
    <t xml:space="preserve">VERDICT</t>
  </si>
  <si>
    <t xml:space="preserve">Settings these formulas use</t>
  </si>
  <si>
    <t xml:space="preserve">Operating hours</t>
  </si>
  <si>
    <t xml:space="preserve">08:00 to 18:00</t>
  </si>
  <si>
    <t xml:space="preserve">Working days</t>
  </si>
  <si>
    <t xml:space="preserve">Mon-Fri</t>
  </si>
  <si>
    <t xml:space="preserve">Reading interval</t>
  </si>
  <si>
    <t xml:space="preserve">60 minutes</t>
  </si>
  <si>
    <t xml:space="preserve">Tariff</t>
  </si>
  <si>
    <t xml:space="preserve">0.11 per kWh</t>
  </si>
  <si>
    <t xml:space="preserve">Closed dates supplied</t>
  </si>
  <si>
    <t xml:space="preserve">9 dates, listed on 'Meter data' column K</t>
  </si>
  <si>
    <t xml:space="preserve">Timestamp handling</t>
  </si>
  <si>
    <t xml:space="preserve">no DST shifts found in the file — timestamps read as fixed local standard time (UTC-6), continuous, nothing moved or merged</t>
  </si>
  <si>
    <t xml:space="preserve">Timestamp (from client file)</t>
  </si>
  <si>
    <t xml:space="preserve">kWh (from client file)</t>
  </si>
  <si>
    <t xml:space="preserve">Weekday 1=Mon</t>
  </si>
  <si>
    <t xml:space="preserve">Hour</t>
  </si>
  <si>
    <t xml:space="preserve">Closed? 1=yes</t>
  </si>
  <si>
    <t xml:space="preserve">kW</t>
  </si>
  <si>
    <t xml:space="preserve">kWh if closed</t>
  </si>
  <si>
    <t xml:space="preserve">Closed dates supplied by the client</t>
  </si>
</sst>
</file>

<file path=xl/styles.xml><?xml version="1.0" encoding="utf-8"?>
<styleSheet xmlns="http://schemas.openxmlformats.org/spreadsheetml/2006/main">
  <numFmts count="12">
    <numFmt numFmtId="164" formatCode="General"/>
    <numFmt numFmtId="165" formatCode="0"/>
    <numFmt numFmtId="166" formatCode="0.000000"/>
    <numFmt numFmtId="167" formatCode="#,##0.00"/>
    <numFmt numFmtId="168" formatCode="0.0%"/>
    <numFmt numFmtId="169" formatCode="#,##0.0"/>
    <numFmt numFmtId="170" formatCode="#,##0"/>
    <numFmt numFmtId="171" formatCode="0.00"/>
    <numFmt numFmtId="172" formatCode="yyyy\-mm\-dd\ hh:mm"/>
    <numFmt numFmtId="173" formatCode="0.0000"/>
    <numFmt numFmtId="174" formatCode="General"/>
    <numFmt numFmtId="175" formatCode="yyyy\-mm\-dd"/>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1"/>
      <name val="Arial"/>
      <family val="0"/>
      <charset val="1"/>
    </font>
    <font>
      <sz val="9"/>
      <color rgb="FF666666"/>
      <name val="Arial"/>
      <family val="0"/>
      <charset val="1"/>
    </font>
    <font>
      <b val="true"/>
      <sz val="10"/>
      <name val="Arial"/>
      <family val="0"/>
      <charset val="1"/>
    </font>
    <font>
      <sz val="10"/>
      <color rgb="FF0000FF"/>
      <name val="Arial"/>
      <family val="0"/>
      <charset val="1"/>
    </font>
    <font>
      <b val="true"/>
      <sz val="12"/>
      <name val="Arial"/>
      <family val="0"/>
      <charset val="1"/>
    </font>
  </fonts>
  <fills count="4">
    <fill>
      <patternFill patternType="none"/>
    </fill>
    <fill>
      <patternFill patternType="gray125"/>
    </fill>
    <fill>
      <patternFill patternType="solid">
        <fgColor rgb="FFEEEEEA"/>
        <bgColor rgb="FFE4F2E9"/>
      </patternFill>
    </fill>
    <fill>
      <patternFill patternType="solid">
        <fgColor rgb="FFE4F2E9"/>
        <bgColor rgb="FFEEEEEA"/>
      </patternFill>
    </fill>
  </fills>
  <borders count="2">
    <border diagonalUp="false" diagonalDown="false">
      <left/>
      <right/>
      <top/>
      <bottom/>
      <diagonal/>
    </border>
    <border diagonalUp="false" diagonalDown="false">
      <left style="thin">
        <color rgb="FFD5D5D0"/>
      </left>
      <right style="thin">
        <color rgb="FFD5D5D0"/>
      </right>
      <top style="thin">
        <color rgb="FFD5D5D0"/>
      </top>
      <bottom style="thin">
        <color rgb="FFD5D5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8" fontId="5"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1" fontId="9"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3" borderId="0" xfId="0" applyFont="true" applyBorder="true" applyAlignment="true" applyProtection="false">
      <alignment horizontal="left"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EEEA"/>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4F2E9"/>
      <rgbColor rgb="FF660066"/>
      <rgbColor rgb="FFFF8080"/>
      <rgbColor rgb="FF0066CC"/>
      <rgbColor rgb="FFD5D5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32.8" hidden="false" customHeight="false" outlineLevel="0" collapsed="false">
      <c r="A1" s="1" t="s">
        <v>0</v>
      </c>
    </row>
    <row r="2" customFormat="false" ht="15" hidden="false" customHeight="false" outlineLevel="0" collapsed="false">
      <c r="A2" s="2"/>
    </row>
    <row r="3" customFormat="false" ht="30" hidden="false" customHeight="true" outlineLevel="0" collapsed="false">
      <c r="A3" s="3" t="s">
        <v>1</v>
      </c>
    </row>
    <row r="4" customFormat="false" ht="15" hidden="false" customHeight="false" outlineLevel="0" collapsed="false">
      <c r="A4" s="2"/>
    </row>
    <row r="5" customFormat="false" ht="15" hidden="false" customHeight="false" outlineLevel="0" collapsed="false">
      <c r="A5" s="4" t="s">
        <v>2</v>
      </c>
    </row>
    <row r="6" customFormat="false" ht="30" hidden="false" customHeight="true" outlineLevel="0" collapsed="false">
      <c r="A6" s="3" t="s">
        <v>3</v>
      </c>
    </row>
    <row r="7" customFormat="false" ht="30" hidden="false" customHeight="true" outlineLevel="0" collapsed="false">
      <c r="A7" s="3" t="s">
        <v>4</v>
      </c>
    </row>
    <row r="8" customFormat="false" ht="30" hidden="false" customHeight="true" outlineLevel="0" collapsed="false">
      <c r="A8" s="3" t="s">
        <v>5</v>
      </c>
    </row>
    <row r="9" customFormat="false" ht="30" hidden="false" customHeight="true" outlineLevel="0" collapsed="false">
      <c r="A9" s="3" t="s">
        <v>6</v>
      </c>
    </row>
    <row r="10" customFormat="false" ht="15" hidden="false" customHeight="false" outlineLevel="0" collapsed="false">
      <c r="A10" s="2"/>
    </row>
    <row r="11" customFormat="false" ht="15" hidden="false" customHeight="false" outlineLevel="0" collapsed="false">
      <c r="A11" s="4" t="s">
        <v>7</v>
      </c>
    </row>
    <row r="12" customFormat="false" ht="30" hidden="false" customHeight="true" outlineLevel="0" collapsed="false">
      <c r="A12" s="3" t="s">
        <v>8</v>
      </c>
    </row>
    <row r="13" customFormat="false" ht="30" hidden="false" customHeight="true" outlineLevel="0" collapsed="false">
      <c r="A13" s="3" t="s">
        <v>9</v>
      </c>
    </row>
    <row r="14" customFormat="false" ht="15" hidden="false" customHeight="false" outlineLevel="0" collapsed="false">
      <c r="A14" s="2"/>
    </row>
    <row r="15" customFormat="false" ht="15" hidden="false" customHeight="false" outlineLevel="0" collapsed="false">
      <c r="A15" s="4" t="s">
        <v>10</v>
      </c>
    </row>
    <row r="16" customFormat="false" ht="30" hidden="false" customHeight="true" outlineLevel="0" collapsed="false">
      <c r="A16" s="3" t="s">
        <v>11</v>
      </c>
    </row>
    <row r="17" customFormat="false" ht="15" hidden="false" customHeight="false" outlineLevel="0" collapsed="false">
      <c r="A17" s="2"/>
    </row>
    <row r="18" customFormat="false" ht="15" hidden="false" customHeight="false" outlineLevel="0" collapsed="false">
      <c r="A18" s="4" t="s">
        <v>12</v>
      </c>
    </row>
    <row r="19" customFormat="false" ht="30" hidden="false" customHeight="true" outlineLevel="0" collapsed="false">
      <c r="A19" s="5"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4" min="2" style="0" width="19"/>
    <col collapsed="false" customWidth="true" hidden="false" outlineLevel="0" max="5" min="5" style="0" width="52"/>
  </cols>
  <sheetData>
    <row r="1" customFormat="false" ht="17.35" hidden="false" customHeight="false" outlineLevel="0" collapsed="false">
      <c r="A1" s="6" t="s">
        <v>14</v>
      </c>
    </row>
    <row r="2" customFormat="false" ht="15" hidden="false" customHeight="false" outlineLevel="0" collapsed="false">
      <c r="A2" s="7" t="s">
        <v>15</v>
      </c>
    </row>
    <row r="4" customFormat="false" ht="15" hidden="false" customHeight="false" outlineLevel="0" collapsed="false">
      <c r="A4" s="8" t="s">
        <v>16</v>
      </c>
      <c r="B4" s="8" t="s">
        <v>17</v>
      </c>
      <c r="C4" s="8" t="s">
        <v>18</v>
      </c>
      <c r="D4" s="8" t="s">
        <v>19</v>
      </c>
      <c r="E4" s="8" t="s">
        <v>20</v>
      </c>
    </row>
    <row r="5" customFormat="false" ht="15" hidden="false" customHeight="false" outlineLevel="0" collapsed="false">
      <c r="A5" s="9" t="s">
        <v>21</v>
      </c>
      <c r="B5" s="10" t="n">
        <v>8760</v>
      </c>
      <c r="C5" s="11" t="n">
        <f aca="false">COUNT('Meter data'!$B$2:$B$8761)</f>
        <v>8760</v>
      </c>
      <c r="D5" s="12" t="n">
        <f aca="false">C5-B5</f>
        <v>0</v>
      </c>
      <c r="E5" s="13" t="s">
        <v>22</v>
      </c>
    </row>
    <row r="6" customFormat="false" ht="15" hidden="false" customHeight="false" outlineLevel="0" collapsed="false">
      <c r="A6" s="9" t="s">
        <v>23</v>
      </c>
      <c r="B6" s="14" t="n">
        <v>1219928.847</v>
      </c>
      <c r="C6" s="15" t="n">
        <f aca="false">SUM('Meter data'!$B$2:$B$8761)</f>
        <v>1219928.847</v>
      </c>
      <c r="D6" s="12" t="n">
        <f aca="false">C6-B6</f>
        <v>0</v>
      </c>
      <c r="E6" s="13" t="s">
        <v>24</v>
      </c>
    </row>
    <row r="7" customFormat="false" ht="15" hidden="false" customHeight="false" outlineLevel="0" collapsed="false">
      <c r="A7" s="9" t="s">
        <v>25</v>
      </c>
      <c r="B7" s="14" t="n">
        <v>649634.762</v>
      </c>
      <c r="C7" s="15" t="n">
        <f aca="false">SUMIF('Meter data'!$F$2:$F$8761,1,'Meter data'!$B$2:$B$8761)</f>
        <v>649634.762</v>
      </c>
      <c r="D7" s="12" t="n">
        <f aca="false">C7-B7</f>
        <v>0</v>
      </c>
      <c r="E7" s="13" t="s">
        <v>26</v>
      </c>
    </row>
    <row r="8" customFormat="false" ht="15" hidden="false" customHeight="false" outlineLevel="0" collapsed="false">
      <c r="A8" s="9" t="s">
        <v>27</v>
      </c>
      <c r="B8" s="14" t="n">
        <v>570294.085</v>
      </c>
      <c r="C8" s="15" t="n">
        <f aca="false">SUMIF('Meter data'!$F$2:$F$8761,0,'Meter data'!$B$2:$B$8761)</f>
        <v>570294.085</v>
      </c>
      <c r="D8" s="12" t="n">
        <f aca="false">C8-B8</f>
        <v>0</v>
      </c>
      <c r="E8" s="13" t="s">
        <v>28</v>
      </c>
    </row>
    <row r="9" customFormat="false" ht="15" hidden="false" customHeight="false" outlineLevel="0" collapsed="false">
      <c r="A9" s="9" t="s">
        <v>29</v>
      </c>
      <c r="B9" s="16" t="n">
        <v>0.532518567453795</v>
      </c>
      <c r="C9" s="17" t="n">
        <f aca="false">SUMIF('Meter data'!$F$2:$F$8761,1,'Meter data'!$B$2:$B$8761)/SUM('Meter data'!$B$2:$B$8761)</f>
        <v>0.532518567453795</v>
      </c>
      <c r="D9" s="12" t="n">
        <f aca="false">C9-B9</f>
        <v>0</v>
      </c>
      <c r="E9" s="13" t="s">
        <v>30</v>
      </c>
    </row>
    <row r="10" customFormat="false" ht="15" hidden="false" customHeight="false" outlineLevel="0" collapsed="false">
      <c r="A10" s="9" t="s">
        <v>31</v>
      </c>
      <c r="B10" s="18" t="n">
        <v>6250</v>
      </c>
      <c r="C10" s="19" t="n">
        <f aca="false">COUNTIF('Meter data'!$F$2:$F$8761,1)*1</f>
        <v>6250</v>
      </c>
      <c r="D10" s="12" t="n">
        <f aca="false">C10-B10</f>
        <v>0</v>
      </c>
      <c r="E10" s="13" t="s">
        <v>32</v>
      </c>
    </row>
    <row r="11" customFormat="false" ht="15" hidden="false" customHeight="false" outlineLevel="0" collapsed="false">
      <c r="A11" s="9" t="s">
        <v>33</v>
      </c>
      <c r="B11" s="20" t="n">
        <v>71459.82382</v>
      </c>
      <c r="C11" s="21" t="n">
        <f aca="false">SUMIF('Meter data'!$F$2:$F$8761,1,'Meter data'!$B$2:$B$8761)*0.11</f>
        <v>71459.82382</v>
      </c>
      <c r="D11" s="12" t="n">
        <f aca="false">C11-B11</f>
        <v>0</v>
      </c>
      <c r="E11" s="13" t="s">
        <v>34</v>
      </c>
    </row>
    <row r="12" customFormat="false" ht="15" hidden="false" customHeight="false" outlineLevel="0" collapsed="false">
      <c r="A12" s="9" t="s">
        <v>35</v>
      </c>
      <c r="B12" s="20" t="n">
        <v>687.5</v>
      </c>
      <c r="C12" s="21" t="n">
        <f aca="false">COUNTIF('Meter data'!$F$2:$F$8761,1)*1*0.11</f>
        <v>687.5</v>
      </c>
      <c r="D12" s="12" t="n">
        <f aca="false">C12-B12</f>
        <v>0</v>
      </c>
      <c r="E12" s="13" t="s">
        <v>36</v>
      </c>
    </row>
    <row r="13" customFormat="false" ht="15" hidden="false" customHeight="false" outlineLevel="0" collapsed="false">
      <c r="A13" s="9" t="s">
        <v>37</v>
      </c>
      <c r="B13" s="22" t="n">
        <v>71.0985</v>
      </c>
      <c r="C13" s="23" t="n">
        <f aca="false">MEDIAN('Meter data'!$H$2:$H$8761)</f>
        <v>71.0985</v>
      </c>
      <c r="D13" s="12" t="n">
        <f aca="false">C13-B13</f>
        <v>0</v>
      </c>
      <c r="E13" s="13" t="s">
        <v>38</v>
      </c>
    </row>
    <row r="14" customFormat="false" ht="15" hidden="false" customHeight="false" outlineLevel="0" collapsed="false">
      <c r="A14" s="9" t="s">
        <v>39</v>
      </c>
      <c r="B14" s="22" t="n">
        <v>227.208798804781</v>
      </c>
      <c r="C14" s="23" t="n">
        <f aca="false">AVERAGEIF('Meter data'!$F$2:$F$8761,0,'Meter data'!$G$2:$G$8761)</f>
        <v>227.208798804781</v>
      </c>
      <c r="D14" s="12" t="n">
        <f aca="false">C14-B14</f>
        <v>0</v>
      </c>
      <c r="E14" s="13" t="s">
        <v>40</v>
      </c>
    </row>
    <row r="15" customFormat="false" ht="15" hidden="false" customHeight="false" outlineLevel="0" collapsed="false">
      <c r="A15" s="9" t="s">
        <v>41</v>
      </c>
      <c r="B15" s="22" t="n">
        <v>314.391</v>
      </c>
      <c r="C15" s="23" t="n">
        <f aca="false">MAX('Meter data'!$G$2:$G$8761)</f>
        <v>314.391</v>
      </c>
      <c r="D15" s="12" t="n">
        <f aca="false">C15-B15</f>
        <v>0</v>
      </c>
      <c r="E15" s="13" t="s">
        <v>42</v>
      </c>
    </row>
    <row r="17" customFormat="false" ht="15" hidden="false" customHeight="false" outlineLevel="0" collapsed="false">
      <c r="A17" s="24" t="s">
        <v>43</v>
      </c>
      <c r="C17" s="25" t="n">
        <f aca="false">MAX(MAX(D5:D15),-MIN(D5:D15))</f>
        <v>-0</v>
      </c>
      <c r="E17" s="7" t="s">
        <v>44</v>
      </c>
    </row>
    <row r="18" customFormat="false" ht="25.5" hidden="false" customHeight="true" outlineLevel="0" collapsed="false">
      <c r="A18" s="26" t="s">
        <v>45</v>
      </c>
      <c r="B18" s="27" t="str">
        <f aca="false">IF(C17&lt;0.01,"ALL 11 NUMBERS MATCH - report is safe to send","MISMATCH - do NOT send this report")</f>
        <v>ALL 11 NUMBERS MATCH - report is safe to send</v>
      </c>
      <c r="C18" s="27"/>
      <c r="D18" s="27"/>
      <c r="E18" s="27"/>
    </row>
    <row r="20" customFormat="false" ht="15" hidden="false" customHeight="false" outlineLevel="0" collapsed="false">
      <c r="A20" s="26" t="s">
        <v>46</v>
      </c>
    </row>
    <row r="21" customFormat="false" ht="15" hidden="false" customHeight="false" outlineLevel="0" collapsed="false">
      <c r="A21" s="28" t="s">
        <v>47</v>
      </c>
      <c r="B21" s="29" t="s">
        <v>48</v>
      </c>
    </row>
    <row r="22" customFormat="false" ht="15" hidden="false" customHeight="false" outlineLevel="0" collapsed="false">
      <c r="A22" s="28" t="s">
        <v>49</v>
      </c>
      <c r="B22" s="29" t="s">
        <v>50</v>
      </c>
    </row>
    <row r="23" customFormat="false" ht="15" hidden="false" customHeight="false" outlineLevel="0" collapsed="false">
      <c r="A23" s="28" t="s">
        <v>51</v>
      </c>
      <c r="B23" s="29" t="s">
        <v>52</v>
      </c>
    </row>
    <row r="24" customFormat="false" ht="15" hidden="false" customHeight="false" outlineLevel="0" collapsed="false">
      <c r="A24" s="28" t="s">
        <v>53</v>
      </c>
      <c r="B24" s="29" t="s">
        <v>54</v>
      </c>
    </row>
    <row r="25" customFormat="false" ht="23.85" hidden="false" customHeight="false" outlineLevel="0" collapsed="false">
      <c r="A25" s="28" t="s">
        <v>55</v>
      </c>
      <c r="B25" s="29" t="s">
        <v>56</v>
      </c>
    </row>
    <row r="26" customFormat="false" ht="68.65" hidden="false" customHeight="false" outlineLevel="0" collapsed="false">
      <c r="A26" s="28" t="s">
        <v>57</v>
      </c>
      <c r="B26" s="29" t="s">
        <v>58</v>
      </c>
    </row>
  </sheetData>
  <mergeCells count="1">
    <mergeCell ref="B18:E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7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22"/>
    <col collapsed="false" customWidth="true" hidden="false" outlineLevel="0" max="8" min="3" style="0" width="13"/>
    <col collapsed="false" customWidth="true" hidden="false" outlineLevel="0" max="11" min="11" style="0" width="20"/>
  </cols>
  <sheetData>
    <row r="1" customFormat="false" ht="23.85" hidden="false" customHeight="false" outlineLevel="0" collapsed="false">
      <c r="A1" s="30" t="s">
        <v>59</v>
      </c>
      <c r="B1" s="30" t="s">
        <v>60</v>
      </c>
      <c r="C1" s="30"/>
      <c r="D1" s="30" t="s">
        <v>61</v>
      </c>
      <c r="E1" s="30" t="s">
        <v>62</v>
      </c>
      <c r="F1" s="30" t="s">
        <v>63</v>
      </c>
      <c r="G1" s="30" t="s">
        <v>64</v>
      </c>
      <c r="H1" s="30" t="s">
        <v>65</v>
      </c>
      <c r="K1" s="24" t="s">
        <v>66</v>
      </c>
    </row>
    <row r="2" customFormat="false" ht="15" hidden="false" customHeight="false" outlineLevel="0" collapsed="false">
      <c r="A2" s="31" t="n">
        <v>42736</v>
      </c>
      <c r="B2" s="32" t="n">
        <v>62.276</v>
      </c>
      <c r="D2" s="33" t="n">
        <f aca="false">WEEKDAY(A2,2)</f>
        <v>7</v>
      </c>
      <c r="E2" s="33" t="n">
        <f aca="false">HOUR(A2)+MINUTE(A2)/60</f>
        <v>0</v>
      </c>
      <c r="F2" s="33" t="n">
        <f aca="false">IF(OR(D2&gt;5,E2&lt;8,E2&gt;=18,COUNTIF($K$2:$K$10,INT(A2))&gt;0),1,0)</f>
        <v>1</v>
      </c>
      <c r="G2" s="34" t="n">
        <f aca="false">B2/1</f>
        <v>62.276</v>
      </c>
      <c r="H2" s="34" t="n">
        <f aca="false">IF(F2=1,G2,"")</f>
        <v>62.276</v>
      </c>
      <c r="K2" s="35" t="n">
        <v>42737</v>
      </c>
    </row>
    <row r="3" customFormat="false" ht="15" hidden="false" customHeight="false" outlineLevel="0" collapsed="false">
      <c r="A3" s="31" t="n">
        <v>42736.0416666667</v>
      </c>
      <c r="B3" s="32" t="n">
        <v>60.849</v>
      </c>
      <c r="D3" s="33" t="n">
        <f aca="false">WEEKDAY(A3,2)</f>
        <v>7</v>
      </c>
      <c r="E3" s="33" t="n">
        <f aca="false">HOUR(A3)+MINUTE(A3)/60</f>
        <v>1</v>
      </c>
      <c r="F3" s="33" t="n">
        <f aca="false">IF(OR(D3&gt;5,E3&lt;8,E3&gt;=18,COUNTIF($K$2:$K$10,INT(A3))&gt;0),1,0)</f>
        <v>1</v>
      </c>
      <c r="G3" s="34" t="n">
        <f aca="false">B3/1</f>
        <v>60.849</v>
      </c>
      <c r="H3" s="34" t="n">
        <f aca="false">IF(F3=1,G3,"")</f>
        <v>60.849</v>
      </c>
      <c r="K3" s="35" t="n">
        <v>42751</v>
      </c>
    </row>
    <row r="4" customFormat="false" ht="15" hidden="false" customHeight="false" outlineLevel="0" collapsed="false">
      <c r="A4" s="31" t="n">
        <v>42736.0833333333</v>
      </c>
      <c r="B4" s="32" t="n">
        <v>63.524</v>
      </c>
      <c r="D4" s="33" t="n">
        <f aca="false">WEEKDAY(A4,2)</f>
        <v>7</v>
      </c>
      <c r="E4" s="33" t="n">
        <f aca="false">HOUR(A4)+MINUTE(A4)/60</f>
        <v>2</v>
      </c>
      <c r="F4" s="33" t="n">
        <f aca="false">IF(OR(D4&gt;5,E4&lt;8,E4&gt;=18,COUNTIF($K$2:$K$10,INT(A4))&gt;0),1,0)</f>
        <v>1</v>
      </c>
      <c r="G4" s="34" t="n">
        <f aca="false">B4/1</f>
        <v>63.524</v>
      </c>
      <c r="H4" s="34" t="n">
        <f aca="false">IF(F4=1,G4,"")</f>
        <v>63.524</v>
      </c>
      <c r="K4" s="35" t="n">
        <v>42786</v>
      </c>
    </row>
    <row r="5" customFormat="false" ht="15" hidden="false" customHeight="false" outlineLevel="0" collapsed="false">
      <c r="A5" s="31" t="n">
        <v>42736.125</v>
      </c>
      <c r="B5" s="32" t="n">
        <v>61.743</v>
      </c>
      <c r="D5" s="33" t="n">
        <f aca="false">WEEKDAY(A5,2)</f>
        <v>7</v>
      </c>
      <c r="E5" s="33" t="n">
        <f aca="false">HOUR(A5)+MINUTE(A5)/60</f>
        <v>3</v>
      </c>
      <c r="F5" s="33" t="n">
        <f aca="false">IF(OR(D5&gt;5,E5&lt;8,E5&gt;=18,COUNTIF($K$2:$K$10,INT(A5))&gt;0),1,0)</f>
        <v>1</v>
      </c>
      <c r="G5" s="34" t="n">
        <f aca="false">B5/1</f>
        <v>61.743</v>
      </c>
      <c r="H5" s="34" t="n">
        <f aca="false">IF(F5=1,G5,"")</f>
        <v>61.743</v>
      </c>
      <c r="K5" s="35" t="n">
        <v>42884</v>
      </c>
    </row>
    <row r="6" customFormat="false" ht="15" hidden="false" customHeight="false" outlineLevel="0" collapsed="false">
      <c r="A6" s="31" t="n">
        <v>42736.1666666667</v>
      </c>
      <c r="B6" s="32" t="n">
        <v>62.73</v>
      </c>
      <c r="D6" s="33" t="n">
        <f aca="false">WEEKDAY(A6,2)</f>
        <v>7</v>
      </c>
      <c r="E6" s="33" t="n">
        <f aca="false">HOUR(A6)+MINUTE(A6)/60</f>
        <v>4</v>
      </c>
      <c r="F6" s="33" t="n">
        <f aca="false">IF(OR(D6&gt;5,E6&lt;8,E6&gt;=18,COUNTIF($K$2:$K$10,INT(A6))&gt;0),1,0)</f>
        <v>1</v>
      </c>
      <c r="G6" s="34" t="n">
        <f aca="false">B6/1</f>
        <v>62.73</v>
      </c>
      <c r="H6" s="34" t="n">
        <f aca="false">IF(F6=1,G6,"")</f>
        <v>62.73</v>
      </c>
      <c r="K6" s="35" t="n">
        <v>42920</v>
      </c>
    </row>
    <row r="7" customFormat="false" ht="15" hidden="false" customHeight="false" outlineLevel="0" collapsed="false">
      <c r="A7" s="31" t="n">
        <v>42736.2083333333</v>
      </c>
      <c r="B7" s="32" t="n">
        <v>63.4</v>
      </c>
      <c r="D7" s="33" t="n">
        <f aca="false">WEEKDAY(A7,2)</f>
        <v>7</v>
      </c>
      <c r="E7" s="33" t="n">
        <f aca="false">HOUR(A7)+MINUTE(A7)/60</f>
        <v>5</v>
      </c>
      <c r="F7" s="33" t="n">
        <f aca="false">IF(OR(D7&gt;5,E7&lt;8,E7&gt;=18,COUNTIF($K$2:$K$10,INT(A7))&gt;0),1,0)</f>
        <v>1</v>
      </c>
      <c r="G7" s="34" t="n">
        <f aca="false">B7/1</f>
        <v>63.4</v>
      </c>
      <c r="H7" s="34" t="n">
        <f aca="false">IF(F7=1,G7,"")</f>
        <v>63.4</v>
      </c>
      <c r="K7" s="35" t="n">
        <v>42982</v>
      </c>
    </row>
    <row r="8" customFormat="false" ht="15" hidden="false" customHeight="false" outlineLevel="0" collapsed="false">
      <c r="A8" s="31" t="n">
        <v>42736.25</v>
      </c>
      <c r="B8" s="32" t="n">
        <v>61.809</v>
      </c>
      <c r="D8" s="33" t="n">
        <f aca="false">WEEKDAY(A8,2)</f>
        <v>7</v>
      </c>
      <c r="E8" s="33" t="n">
        <f aca="false">HOUR(A8)+MINUTE(A8)/60</f>
        <v>6</v>
      </c>
      <c r="F8" s="33" t="n">
        <f aca="false">IF(OR(D8&gt;5,E8&lt;8,E8&gt;=18,COUNTIF($K$2:$K$10,INT(A8))&gt;0),1,0)</f>
        <v>1</v>
      </c>
      <c r="G8" s="34" t="n">
        <f aca="false">B8/1</f>
        <v>61.809</v>
      </c>
      <c r="H8" s="34" t="n">
        <f aca="false">IF(F8=1,G8,"")</f>
        <v>61.809</v>
      </c>
      <c r="K8" s="35" t="n">
        <v>43062</v>
      </c>
    </row>
    <row r="9" customFormat="false" ht="15" hidden="false" customHeight="false" outlineLevel="0" collapsed="false">
      <c r="A9" s="31" t="n">
        <v>42736.2916666667</v>
      </c>
      <c r="B9" s="32" t="n">
        <v>61.986</v>
      </c>
      <c r="D9" s="33" t="n">
        <f aca="false">WEEKDAY(A9,2)</f>
        <v>7</v>
      </c>
      <c r="E9" s="33" t="n">
        <f aca="false">HOUR(A9)+MINUTE(A9)/60</f>
        <v>7</v>
      </c>
      <c r="F9" s="33" t="n">
        <f aca="false">IF(OR(D9&gt;5,E9&lt;8,E9&gt;=18,COUNTIF($K$2:$K$10,INT(A9))&gt;0),1,0)</f>
        <v>1</v>
      </c>
      <c r="G9" s="34" t="n">
        <f aca="false">B9/1</f>
        <v>61.986</v>
      </c>
      <c r="H9" s="34" t="n">
        <f aca="false">IF(F9=1,G9,"")</f>
        <v>61.986</v>
      </c>
      <c r="K9" s="35" t="n">
        <v>43063</v>
      </c>
    </row>
    <row r="10" customFormat="false" ht="15" hidden="false" customHeight="false" outlineLevel="0" collapsed="false">
      <c r="A10" s="31" t="n">
        <v>42736.3333333333</v>
      </c>
      <c r="B10" s="32" t="n">
        <v>61.687</v>
      </c>
      <c r="D10" s="33" t="n">
        <f aca="false">WEEKDAY(A10,2)</f>
        <v>7</v>
      </c>
      <c r="E10" s="33" t="n">
        <f aca="false">HOUR(A10)+MINUTE(A10)/60</f>
        <v>8</v>
      </c>
      <c r="F10" s="33" t="n">
        <f aca="false">IF(OR(D10&gt;5,E10&lt;8,E10&gt;=18,COUNTIF($K$2:$K$10,INT(A10))&gt;0),1,0)</f>
        <v>1</v>
      </c>
      <c r="G10" s="34" t="n">
        <f aca="false">B10/1</f>
        <v>61.687</v>
      </c>
      <c r="H10" s="34" t="n">
        <f aca="false">IF(F10=1,G10,"")</f>
        <v>61.687</v>
      </c>
      <c r="K10" s="35" t="n">
        <v>43094</v>
      </c>
    </row>
    <row r="11" customFormat="false" ht="15" hidden="false" customHeight="false" outlineLevel="0" collapsed="false">
      <c r="A11" s="31" t="n">
        <v>42736.375</v>
      </c>
      <c r="B11" s="32" t="n">
        <v>60.747</v>
      </c>
      <c r="D11" s="33" t="n">
        <f aca="false">WEEKDAY(A11,2)</f>
        <v>7</v>
      </c>
      <c r="E11" s="33" t="n">
        <f aca="false">HOUR(A11)+MINUTE(A11)/60</f>
        <v>9</v>
      </c>
      <c r="F11" s="33" t="n">
        <f aca="false">IF(OR(D11&gt;5,E11&lt;8,E11&gt;=18,COUNTIF($K$2:$K$10,INT(A11))&gt;0),1,0)</f>
        <v>1</v>
      </c>
      <c r="G11" s="34" t="n">
        <f aca="false">B11/1</f>
        <v>60.747</v>
      </c>
      <c r="H11" s="34" t="n">
        <f aca="false">IF(F11=1,G11,"")</f>
        <v>60.747</v>
      </c>
    </row>
    <row r="12" customFormat="false" ht="15" hidden="false" customHeight="false" outlineLevel="0" collapsed="false">
      <c r="A12" s="31" t="n">
        <v>42736.4166666667</v>
      </c>
      <c r="B12" s="32" t="n">
        <v>60.518</v>
      </c>
      <c r="D12" s="33" t="n">
        <f aca="false">WEEKDAY(A12,2)</f>
        <v>7</v>
      </c>
      <c r="E12" s="33" t="n">
        <f aca="false">HOUR(A12)+MINUTE(A12)/60</f>
        <v>10</v>
      </c>
      <c r="F12" s="33" t="n">
        <f aca="false">IF(OR(D12&gt;5,E12&lt;8,E12&gt;=18,COUNTIF($K$2:$K$10,INT(A12))&gt;0),1,0)</f>
        <v>1</v>
      </c>
      <c r="G12" s="34" t="n">
        <f aca="false">B12/1</f>
        <v>60.518</v>
      </c>
      <c r="H12" s="34" t="n">
        <f aca="false">IF(F12=1,G12,"")</f>
        <v>60.518</v>
      </c>
    </row>
    <row r="13" customFormat="false" ht="15" hidden="false" customHeight="false" outlineLevel="0" collapsed="false">
      <c r="A13" s="31" t="n">
        <v>42736.4583333333</v>
      </c>
      <c r="B13" s="32" t="n">
        <v>59.805</v>
      </c>
      <c r="D13" s="33" t="n">
        <f aca="false">WEEKDAY(A13,2)</f>
        <v>7</v>
      </c>
      <c r="E13" s="33" t="n">
        <f aca="false">HOUR(A13)+MINUTE(A13)/60</f>
        <v>11</v>
      </c>
      <c r="F13" s="33" t="n">
        <f aca="false">IF(OR(D13&gt;5,E13&lt;8,E13&gt;=18,COUNTIF($K$2:$K$10,INT(A13))&gt;0),1,0)</f>
        <v>1</v>
      </c>
      <c r="G13" s="34" t="n">
        <f aca="false">B13/1</f>
        <v>59.805</v>
      </c>
      <c r="H13" s="34" t="n">
        <f aca="false">IF(F13=1,G13,"")</f>
        <v>59.805</v>
      </c>
    </row>
    <row r="14" customFormat="false" ht="15" hidden="false" customHeight="false" outlineLevel="0" collapsed="false">
      <c r="A14" s="31" t="n">
        <v>42736.5</v>
      </c>
      <c r="B14" s="32" t="n">
        <v>59.575</v>
      </c>
      <c r="D14" s="33" t="n">
        <f aca="false">WEEKDAY(A14,2)</f>
        <v>7</v>
      </c>
      <c r="E14" s="33" t="n">
        <f aca="false">HOUR(A14)+MINUTE(A14)/60</f>
        <v>12</v>
      </c>
      <c r="F14" s="33" t="n">
        <f aca="false">IF(OR(D14&gt;5,E14&lt;8,E14&gt;=18,COUNTIF($K$2:$K$10,INT(A14))&gt;0),1,0)</f>
        <v>1</v>
      </c>
      <c r="G14" s="34" t="n">
        <f aca="false">B14/1</f>
        <v>59.575</v>
      </c>
      <c r="H14" s="34" t="n">
        <f aca="false">IF(F14=1,G14,"")</f>
        <v>59.575</v>
      </c>
    </row>
    <row r="15" customFormat="false" ht="15" hidden="false" customHeight="false" outlineLevel="0" collapsed="false">
      <c r="A15" s="31" t="n">
        <v>42736.5416666667</v>
      </c>
      <c r="B15" s="32" t="n">
        <v>83.342</v>
      </c>
      <c r="D15" s="33" t="n">
        <f aca="false">WEEKDAY(A15,2)</f>
        <v>7</v>
      </c>
      <c r="E15" s="33" t="n">
        <f aca="false">HOUR(A15)+MINUTE(A15)/60</f>
        <v>13</v>
      </c>
      <c r="F15" s="33" t="n">
        <f aca="false">IF(OR(D15&gt;5,E15&lt;8,E15&gt;=18,COUNTIF($K$2:$K$10,INT(A15))&gt;0),1,0)</f>
        <v>1</v>
      </c>
      <c r="G15" s="34" t="n">
        <f aca="false">B15/1</f>
        <v>83.342</v>
      </c>
      <c r="H15" s="34" t="n">
        <f aca="false">IF(F15=1,G15,"")</f>
        <v>83.342</v>
      </c>
    </row>
    <row r="16" customFormat="false" ht="15" hidden="false" customHeight="false" outlineLevel="0" collapsed="false">
      <c r="A16" s="31" t="n">
        <v>42736.5833333333</v>
      </c>
      <c r="B16" s="32" t="n">
        <v>92.205</v>
      </c>
      <c r="D16" s="33" t="n">
        <f aca="false">WEEKDAY(A16,2)</f>
        <v>7</v>
      </c>
      <c r="E16" s="33" t="n">
        <f aca="false">HOUR(A16)+MINUTE(A16)/60</f>
        <v>14</v>
      </c>
      <c r="F16" s="33" t="n">
        <f aca="false">IF(OR(D16&gt;5,E16&lt;8,E16&gt;=18,COUNTIF($K$2:$K$10,INT(A16))&gt;0),1,0)</f>
        <v>1</v>
      </c>
      <c r="G16" s="34" t="n">
        <f aca="false">B16/1</f>
        <v>92.205</v>
      </c>
      <c r="H16" s="34" t="n">
        <f aca="false">IF(F16=1,G16,"")</f>
        <v>92.205</v>
      </c>
    </row>
    <row r="17" customFormat="false" ht="15" hidden="false" customHeight="false" outlineLevel="0" collapsed="false">
      <c r="A17" s="31" t="n">
        <v>42736.625</v>
      </c>
      <c r="B17" s="32" t="n">
        <v>93.119</v>
      </c>
      <c r="D17" s="33" t="n">
        <f aca="false">WEEKDAY(A17,2)</f>
        <v>7</v>
      </c>
      <c r="E17" s="33" t="n">
        <f aca="false">HOUR(A17)+MINUTE(A17)/60</f>
        <v>15</v>
      </c>
      <c r="F17" s="33" t="n">
        <f aca="false">IF(OR(D17&gt;5,E17&lt;8,E17&gt;=18,COUNTIF($K$2:$K$10,INT(A17))&gt;0),1,0)</f>
        <v>1</v>
      </c>
      <c r="G17" s="34" t="n">
        <f aca="false">B17/1</f>
        <v>93.119</v>
      </c>
      <c r="H17" s="34" t="n">
        <f aca="false">IF(F17=1,G17,"")</f>
        <v>93.119</v>
      </c>
    </row>
    <row r="18" customFormat="false" ht="15" hidden="false" customHeight="false" outlineLevel="0" collapsed="false">
      <c r="A18" s="31" t="n">
        <v>42736.6666666667</v>
      </c>
      <c r="B18" s="32" t="n">
        <v>92.75</v>
      </c>
      <c r="D18" s="33" t="n">
        <f aca="false">WEEKDAY(A18,2)</f>
        <v>7</v>
      </c>
      <c r="E18" s="33" t="n">
        <f aca="false">HOUR(A18)+MINUTE(A18)/60</f>
        <v>16</v>
      </c>
      <c r="F18" s="33" t="n">
        <f aca="false">IF(OR(D18&gt;5,E18&lt;8,E18&gt;=18,COUNTIF($K$2:$K$10,INT(A18))&gt;0),1,0)</f>
        <v>1</v>
      </c>
      <c r="G18" s="34" t="n">
        <f aca="false">B18/1</f>
        <v>92.75</v>
      </c>
      <c r="H18" s="34" t="n">
        <f aca="false">IF(F18=1,G18,"")</f>
        <v>92.75</v>
      </c>
    </row>
    <row r="19" customFormat="false" ht="15" hidden="false" customHeight="false" outlineLevel="0" collapsed="false">
      <c r="A19" s="31" t="n">
        <v>42736.7083333333</v>
      </c>
      <c r="B19" s="32" t="n">
        <v>94.157</v>
      </c>
      <c r="D19" s="33" t="n">
        <f aca="false">WEEKDAY(A19,2)</f>
        <v>7</v>
      </c>
      <c r="E19" s="33" t="n">
        <f aca="false">HOUR(A19)+MINUTE(A19)/60</f>
        <v>17</v>
      </c>
      <c r="F19" s="33" t="n">
        <f aca="false">IF(OR(D19&gt;5,E19&lt;8,E19&gt;=18,COUNTIF($K$2:$K$10,INT(A19))&gt;0),1,0)</f>
        <v>1</v>
      </c>
      <c r="G19" s="34" t="n">
        <f aca="false">B19/1</f>
        <v>94.157</v>
      </c>
      <c r="H19" s="34" t="n">
        <f aca="false">IF(F19=1,G19,"")</f>
        <v>94.157</v>
      </c>
    </row>
    <row r="20" customFormat="false" ht="15" hidden="false" customHeight="false" outlineLevel="0" collapsed="false">
      <c r="A20" s="31" t="n">
        <v>42736.75</v>
      </c>
      <c r="B20" s="32" t="n">
        <v>66.373</v>
      </c>
      <c r="D20" s="33" t="n">
        <f aca="false">WEEKDAY(A20,2)</f>
        <v>7</v>
      </c>
      <c r="E20" s="33" t="n">
        <f aca="false">HOUR(A20)+MINUTE(A20)/60</f>
        <v>18</v>
      </c>
      <c r="F20" s="33" t="n">
        <f aca="false">IF(OR(D20&gt;5,E20&lt;8,E20&gt;=18,COUNTIF($K$2:$K$10,INT(A20))&gt;0),1,0)</f>
        <v>1</v>
      </c>
      <c r="G20" s="34" t="n">
        <f aca="false">B20/1</f>
        <v>66.373</v>
      </c>
      <c r="H20" s="34" t="n">
        <f aca="false">IF(F20=1,G20,"")</f>
        <v>66.373</v>
      </c>
    </row>
    <row r="21" customFormat="false" ht="15" hidden="false" customHeight="false" outlineLevel="0" collapsed="false">
      <c r="A21" s="31" t="n">
        <v>42736.7916666667</v>
      </c>
      <c r="B21" s="32" t="n">
        <v>62.323</v>
      </c>
      <c r="D21" s="33" t="n">
        <f aca="false">WEEKDAY(A21,2)</f>
        <v>7</v>
      </c>
      <c r="E21" s="33" t="n">
        <f aca="false">HOUR(A21)+MINUTE(A21)/60</f>
        <v>19</v>
      </c>
      <c r="F21" s="33" t="n">
        <f aca="false">IF(OR(D21&gt;5,E21&lt;8,E21&gt;=18,COUNTIF($K$2:$K$10,INT(A21))&gt;0),1,0)</f>
        <v>1</v>
      </c>
      <c r="G21" s="34" t="n">
        <f aca="false">B21/1</f>
        <v>62.323</v>
      </c>
      <c r="H21" s="34" t="n">
        <f aca="false">IF(F21=1,G21,"")</f>
        <v>62.323</v>
      </c>
    </row>
    <row r="22" customFormat="false" ht="15" hidden="false" customHeight="false" outlineLevel="0" collapsed="false">
      <c r="A22" s="31" t="n">
        <v>42736.8333333333</v>
      </c>
      <c r="B22" s="32" t="n">
        <v>61.583</v>
      </c>
      <c r="D22" s="33" t="n">
        <f aca="false">WEEKDAY(A22,2)</f>
        <v>7</v>
      </c>
      <c r="E22" s="33" t="n">
        <f aca="false">HOUR(A22)+MINUTE(A22)/60</f>
        <v>20</v>
      </c>
      <c r="F22" s="33" t="n">
        <f aca="false">IF(OR(D22&gt;5,E22&lt;8,E22&gt;=18,COUNTIF($K$2:$K$10,INT(A22))&gt;0),1,0)</f>
        <v>1</v>
      </c>
      <c r="G22" s="34" t="n">
        <f aca="false">B22/1</f>
        <v>61.583</v>
      </c>
      <c r="H22" s="34" t="n">
        <f aca="false">IF(F22=1,G22,"")</f>
        <v>61.583</v>
      </c>
    </row>
    <row r="23" customFormat="false" ht="15" hidden="false" customHeight="false" outlineLevel="0" collapsed="false">
      <c r="A23" s="31" t="n">
        <v>42736.875</v>
      </c>
      <c r="B23" s="32" t="n">
        <v>60.457</v>
      </c>
      <c r="D23" s="33" t="n">
        <f aca="false">WEEKDAY(A23,2)</f>
        <v>7</v>
      </c>
      <c r="E23" s="33" t="n">
        <f aca="false">HOUR(A23)+MINUTE(A23)/60</f>
        <v>21</v>
      </c>
      <c r="F23" s="33" t="n">
        <f aca="false">IF(OR(D23&gt;5,E23&lt;8,E23&gt;=18,COUNTIF($K$2:$K$10,INT(A23))&gt;0),1,0)</f>
        <v>1</v>
      </c>
      <c r="G23" s="34" t="n">
        <f aca="false">B23/1</f>
        <v>60.457</v>
      </c>
      <c r="H23" s="34" t="n">
        <f aca="false">IF(F23=1,G23,"")</f>
        <v>60.457</v>
      </c>
    </row>
    <row r="24" customFormat="false" ht="15" hidden="false" customHeight="false" outlineLevel="0" collapsed="false">
      <c r="A24" s="31" t="n">
        <v>42736.9166666667</v>
      </c>
      <c r="B24" s="32" t="n">
        <v>59.325</v>
      </c>
      <c r="D24" s="33" t="n">
        <f aca="false">WEEKDAY(A24,2)</f>
        <v>7</v>
      </c>
      <c r="E24" s="33" t="n">
        <f aca="false">HOUR(A24)+MINUTE(A24)/60</f>
        <v>22</v>
      </c>
      <c r="F24" s="33" t="n">
        <f aca="false">IF(OR(D24&gt;5,E24&lt;8,E24&gt;=18,COUNTIF($K$2:$K$10,INT(A24))&gt;0),1,0)</f>
        <v>1</v>
      </c>
      <c r="G24" s="34" t="n">
        <f aca="false">B24/1</f>
        <v>59.325</v>
      </c>
      <c r="H24" s="34" t="n">
        <f aca="false">IF(F24=1,G24,"")</f>
        <v>59.325</v>
      </c>
    </row>
    <row r="25" customFormat="false" ht="15" hidden="false" customHeight="false" outlineLevel="0" collapsed="false">
      <c r="A25" s="31" t="n">
        <v>42736.9583333333</v>
      </c>
      <c r="B25" s="32" t="n">
        <v>63.384</v>
      </c>
      <c r="D25" s="33" t="n">
        <f aca="false">WEEKDAY(A25,2)</f>
        <v>7</v>
      </c>
      <c r="E25" s="33" t="n">
        <f aca="false">HOUR(A25)+MINUTE(A25)/60</f>
        <v>23</v>
      </c>
      <c r="F25" s="33" t="n">
        <f aca="false">IF(OR(D25&gt;5,E25&lt;8,E25&gt;=18,COUNTIF($K$2:$K$10,INT(A25))&gt;0),1,0)</f>
        <v>1</v>
      </c>
      <c r="G25" s="34" t="n">
        <f aca="false">B25/1</f>
        <v>63.384</v>
      </c>
      <c r="H25" s="34" t="n">
        <f aca="false">IF(F25=1,G25,"")</f>
        <v>63.384</v>
      </c>
    </row>
    <row r="26" customFormat="false" ht="15" hidden="false" customHeight="false" outlineLevel="0" collapsed="false">
      <c r="A26" s="31" t="n">
        <v>42737</v>
      </c>
      <c r="B26" s="32" t="n">
        <v>60.85</v>
      </c>
      <c r="D26" s="33" t="n">
        <f aca="false">WEEKDAY(A26,2)</f>
        <v>1</v>
      </c>
      <c r="E26" s="33" t="n">
        <f aca="false">HOUR(A26)+MINUTE(A26)/60</f>
        <v>0</v>
      </c>
      <c r="F26" s="33" t="n">
        <f aca="false">IF(OR(D26&gt;5,E26&lt;8,E26&gt;=18,COUNTIF($K$2:$K$10,INT(A26))&gt;0),1,0)</f>
        <v>1</v>
      </c>
      <c r="G26" s="34" t="n">
        <f aca="false">B26/1</f>
        <v>60.85</v>
      </c>
      <c r="H26" s="34" t="n">
        <f aca="false">IF(F26=1,G26,"")</f>
        <v>60.85</v>
      </c>
    </row>
    <row r="27" customFormat="false" ht="15" hidden="false" customHeight="false" outlineLevel="0" collapsed="false">
      <c r="A27" s="31" t="n">
        <v>42737.0416666667</v>
      </c>
      <c r="B27" s="32" t="n">
        <v>61.787</v>
      </c>
      <c r="D27" s="33" t="n">
        <f aca="false">WEEKDAY(A27,2)</f>
        <v>1</v>
      </c>
      <c r="E27" s="33" t="n">
        <f aca="false">HOUR(A27)+MINUTE(A27)/60</f>
        <v>1</v>
      </c>
      <c r="F27" s="33" t="n">
        <f aca="false">IF(OR(D27&gt;5,E27&lt;8,E27&gt;=18,COUNTIF($K$2:$K$10,INT(A27))&gt;0),1,0)</f>
        <v>1</v>
      </c>
      <c r="G27" s="34" t="n">
        <f aca="false">B27/1</f>
        <v>61.787</v>
      </c>
      <c r="H27" s="34" t="n">
        <f aca="false">IF(F27=1,G27,"")</f>
        <v>61.787</v>
      </c>
    </row>
    <row r="28" customFormat="false" ht="15" hidden="false" customHeight="false" outlineLevel="0" collapsed="false">
      <c r="A28" s="31" t="n">
        <v>42737.0833333333</v>
      </c>
      <c r="B28" s="32" t="n">
        <v>61.046</v>
      </c>
      <c r="D28" s="33" t="n">
        <f aca="false">WEEKDAY(A28,2)</f>
        <v>1</v>
      </c>
      <c r="E28" s="33" t="n">
        <f aca="false">HOUR(A28)+MINUTE(A28)/60</f>
        <v>2</v>
      </c>
      <c r="F28" s="33" t="n">
        <f aca="false">IF(OR(D28&gt;5,E28&lt;8,E28&gt;=18,COUNTIF($K$2:$K$10,INT(A28))&gt;0),1,0)</f>
        <v>1</v>
      </c>
      <c r="G28" s="34" t="n">
        <f aca="false">B28/1</f>
        <v>61.046</v>
      </c>
      <c r="H28" s="34" t="n">
        <f aca="false">IF(F28=1,G28,"")</f>
        <v>61.046</v>
      </c>
    </row>
    <row r="29" customFormat="false" ht="15" hidden="false" customHeight="false" outlineLevel="0" collapsed="false">
      <c r="A29" s="31" t="n">
        <v>42737.125</v>
      </c>
      <c r="B29" s="32" t="n">
        <v>59.172</v>
      </c>
      <c r="D29" s="33" t="n">
        <f aca="false">WEEKDAY(A29,2)</f>
        <v>1</v>
      </c>
      <c r="E29" s="33" t="n">
        <f aca="false">HOUR(A29)+MINUTE(A29)/60</f>
        <v>3</v>
      </c>
      <c r="F29" s="33" t="n">
        <f aca="false">IF(OR(D29&gt;5,E29&lt;8,E29&gt;=18,COUNTIF($K$2:$K$10,INT(A29))&gt;0),1,0)</f>
        <v>1</v>
      </c>
      <c r="G29" s="34" t="n">
        <f aca="false">B29/1</f>
        <v>59.172</v>
      </c>
      <c r="H29" s="34" t="n">
        <f aca="false">IF(F29=1,G29,"")</f>
        <v>59.172</v>
      </c>
    </row>
    <row r="30" customFormat="false" ht="15" hidden="false" customHeight="false" outlineLevel="0" collapsed="false">
      <c r="A30" s="31" t="n">
        <v>42737.1666666667</v>
      </c>
      <c r="B30" s="32" t="n">
        <v>61</v>
      </c>
      <c r="D30" s="33" t="n">
        <f aca="false">WEEKDAY(A30,2)</f>
        <v>1</v>
      </c>
      <c r="E30" s="33" t="n">
        <f aca="false">HOUR(A30)+MINUTE(A30)/60</f>
        <v>4</v>
      </c>
      <c r="F30" s="33" t="n">
        <f aca="false">IF(OR(D30&gt;5,E30&lt;8,E30&gt;=18,COUNTIF($K$2:$K$10,INT(A30))&gt;0),1,0)</f>
        <v>1</v>
      </c>
      <c r="G30" s="34" t="n">
        <f aca="false">B30/1</f>
        <v>61</v>
      </c>
      <c r="H30" s="34" t="n">
        <f aca="false">IF(F30=1,G30,"")</f>
        <v>61</v>
      </c>
    </row>
    <row r="31" customFormat="false" ht="15" hidden="false" customHeight="false" outlineLevel="0" collapsed="false">
      <c r="A31" s="31" t="n">
        <v>42737.2083333333</v>
      </c>
      <c r="B31" s="32" t="n">
        <v>61.58</v>
      </c>
      <c r="D31" s="33" t="n">
        <f aca="false">WEEKDAY(A31,2)</f>
        <v>1</v>
      </c>
      <c r="E31" s="33" t="n">
        <f aca="false">HOUR(A31)+MINUTE(A31)/60</f>
        <v>5</v>
      </c>
      <c r="F31" s="33" t="n">
        <f aca="false">IF(OR(D31&gt;5,E31&lt;8,E31&gt;=18,COUNTIF($K$2:$K$10,INT(A31))&gt;0),1,0)</f>
        <v>1</v>
      </c>
      <c r="G31" s="34" t="n">
        <f aca="false">B31/1</f>
        <v>61.58</v>
      </c>
      <c r="H31" s="34" t="n">
        <f aca="false">IF(F31=1,G31,"")</f>
        <v>61.58</v>
      </c>
    </row>
    <row r="32" customFormat="false" ht="15" hidden="false" customHeight="false" outlineLevel="0" collapsed="false">
      <c r="A32" s="31" t="n">
        <v>42737.25</v>
      </c>
      <c r="B32" s="32" t="n">
        <v>62.644</v>
      </c>
      <c r="D32" s="33" t="n">
        <f aca="false">WEEKDAY(A32,2)</f>
        <v>1</v>
      </c>
      <c r="E32" s="33" t="n">
        <f aca="false">HOUR(A32)+MINUTE(A32)/60</f>
        <v>6</v>
      </c>
      <c r="F32" s="33" t="n">
        <f aca="false">IF(OR(D32&gt;5,E32&lt;8,E32&gt;=18,COUNTIF($K$2:$K$10,INT(A32))&gt;0),1,0)</f>
        <v>1</v>
      </c>
      <c r="G32" s="34" t="n">
        <f aca="false">B32/1</f>
        <v>62.644</v>
      </c>
      <c r="H32" s="34" t="n">
        <f aca="false">IF(F32=1,G32,"")</f>
        <v>62.644</v>
      </c>
    </row>
    <row r="33" customFormat="false" ht="15" hidden="false" customHeight="false" outlineLevel="0" collapsed="false">
      <c r="A33" s="31" t="n">
        <v>42737.2916666667</v>
      </c>
      <c r="B33" s="32" t="n">
        <v>75.023</v>
      </c>
      <c r="D33" s="33" t="n">
        <f aca="false">WEEKDAY(A33,2)</f>
        <v>1</v>
      </c>
      <c r="E33" s="33" t="n">
        <f aca="false">HOUR(A33)+MINUTE(A33)/60</f>
        <v>7</v>
      </c>
      <c r="F33" s="33" t="n">
        <f aca="false">IF(OR(D33&gt;5,E33&lt;8,E33&gt;=18,COUNTIF($K$2:$K$10,INT(A33))&gt;0),1,0)</f>
        <v>1</v>
      </c>
      <c r="G33" s="34" t="n">
        <f aca="false">B33/1</f>
        <v>75.023</v>
      </c>
      <c r="H33" s="34" t="n">
        <f aca="false">IF(F33=1,G33,"")</f>
        <v>75.023</v>
      </c>
    </row>
    <row r="34" customFormat="false" ht="15" hidden="false" customHeight="false" outlineLevel="0" collapsed="false">
      <c r="A34" s="31" t="n">
        <v>42737.3333333333</v>
      </c>
      <c r="B34" s="32" t="n">
        <v>89.786</v>
      </c>
      <c r="D34" s="33" t="n">
        <f aca="false">WEEKDAY(A34,2)</f>
        <v>1</v>
      </c>
      <c r="E34" s="33" t="n">
        <f aca="false">HOUR(A34)+MINUTE(A34)/60</f>
        <v>8</v>
      </c>
      <c r="F34" s="33" t="n">
        <f aca="false">IF(OR(D34&gt;5,E34&lt;8,E34&gt;=18,COUNTIF($K$2:$K$10,INT(A34))&gt;0),1,0)</f>
        <v>1</v>
      </c>
      <c r="G34" s="34" t="n">
        <f aca="false">B34/1</f>
        <v>89.786</v>
      </c>
      <c r="H34" s="34" t="n">
        <f aca="false">IF(F34=1,G34,"")</f>
        <v>89.786</v>
      </c>
    </row>
    <row r="35" customFormat="false" ht="15" hidden="false" customHeight="false" outlineLevel="0" collapsed="false">
      <c r="A35" s="31" t="n">
        <v>42737.375</v>
      </c>
      <c r="B35" s="32" t="n">
        <v>95.64</v>
      </c>
      <c r="D35" s="33" t="n">
        <f aca="false">WEEKDAY(A35,2)</f>
        <v>1</v>
      </c>
      <c r="E35" s="33" t="n">
        <f aca="false">HOUR(A35)+MINUTE(A35)/60</f>
        <v>9</v>
      </c>
      <c r="F35" s="33" t="n">
        <f aca="false">IF(OR(D35&gt;5,E35&lt;8,E35&gt;=18,COUNTIF($K$2:$K$10,INT(A35))&gt;0),1,0)</f>
        <v>1</v>
      </c>
      <c r="G35" s="34" t="n">
        <f aca="false">B35/1</f>
        <v>95.64</v>
      </c>
      <c r="H35" s="34" t="n">
        <f aca="false">IF(F35=1,G35,"")</f>
        <v>95.64</v>
      </c>
    </row>
    <row r="36" customFormat="false" ht="15" hidden="false" customHeight="false" outlineLevel="0" collapsed="false">
      <c r="A36" s="31" t="n">
        <v>42737.4166666667</v>
      </c>
      <c r="B36" s="32" t="n">
        <v>91.678</v>
      </c>
      <c r="D36" s="33" t="n">
        <f aca="false">WEEKDAY(A36,2)</f>
        <v>1</v>
      </c>
      <c r="E36" s="33" t="n">
        <f aca="false">HOUR(A36)+MINUTE(A36)/60</f>
        <v>10</v>
      </c>
      <c r="F36" s="33" t="n">
        <f aca="false">IF(OR(D36&gt;5,E36&lt;8,E36&gt;=18,COUNTIF($K$2:$K$10,INT(A36))&gt;0),1,0)</f>
        <v>1</v>
      </c>
      <c r="G36" s="34" t="n">
        <f aca="false">B36/1</f>
        <v>91.678</v>
      </c>
      <c r="H36" s="34" t="n">
        <f aca="false">IF(F36=1,G36,"")</f>
        <v>91.678</v>
      </c>
    </row>
    <row r="37" customFormat="false" ht="15" hidden="false" customHeight="false" outlineLevel="0" collapsed="false">
      <c r="A37" s="31" t="n">
        <v>42737.4583333333</v>
      </c>
      <c r="B37" s="32" t="n">
        <v>92.154</v>
      </c>
      <c r="D37" s="33" t="n">
        <f aca="false">WEEKDAY(A37,2)</f>
        <v>1</v>
      </c>
      <c r="E37" s="33" t="n">
        <f aca="false">HOUR(A37)+MINUTE(A37)/60</f>
        <v>11</v>
      </c>
      <c r="F37" s="33" t="n">
        <f aca="false">IF(OR(D37&gt;5,E37&lt;8,E37&gt;=18,COUNTIF($K$2:$K$10,INT(A37))&gt;0),1,0)</f>
        <v>1</v>
      </c>
      <c r="G37" s="34" t="n">
        <f aca="false">B37/1</f>
        <v>92.154</v>
      </c>
      <c r="H37" s="34" t="n">
        <f aca="false">IF(F37=1,G37,"")</f>
        <v>92.154</v>
      </c>
    </row>
    <row r="38" customFormat="false" ht="15" hidden="false" customHeight="false" outlineLevel="0" collapsed="false">
      <c r="A38" s="31" t="n">
        <v>42737.5</v>
      </c>
      <c r="B38" s="32" t="n">
        <v>93.28</v>
      </c>
      <c r="D38" s="33" t="n">
        <f aca="false">WEEKDAY(A38,2)</f>
        <v>1</v>
      </c>
      <c r="E38" s="33" t="n">
        <f aca="false">HOUR(A38)+MINUTE(A38)/60</f>
        <v>12</v>
      </c>
      <c r="F38" s="33" t="n">
        <f aca="false">IF(OR(D38&gt;5,E38&lt;8,E38&gt;=18,COUNTIF($K$2:$K$10,INT(A38))&gt;0),1,0)</f>
        <v>1</v>
      </c>
      <c r="G38" s="34" t="n">
        <f aca="false">B38/1</f>
        <v>93.28</v>
      </c>
      <c r="H38" s="34" t="n">
        <f aca="false">IF(F38=1,G38,"")</f>
        <v>93.28</v>
      </c>
    </row>
    <row r="39" customFormat="false" ht="15" hidden="false" customHeight="false" outlineLevel="0" collapsed="false">
      <c r="A39" s="31" t="n">
        <v>42737.5416666667</v>
      </c>
      <c r="B39" s="32" t="n">
        <v>90.458</v>
      </c>
      <c r="D39" s="33" t="n">
        <f aca="false">WEEKDAY(A39,2)</f>
        <v>1</v>
      </c>
      <c r="E39" s="33" t="n">
        <f aca="false">HOUR(A39)+MINUTE(A39)/60</f>
        <v>13</v>
      </c>
      <c r="F39" s="33" t="n">
        <f aca="false">IF(OR(D39&gt;5,E39&lt;8,E39&gt;=18,COUNTIF($K$2:$K$10,INT(A39))&gt;0),1,0)</f>
        <v>1</v>
      </c>
      <c r="G39" s="34" t="n">
        <f aca="false">B39/1</f>
        <v>90.458</v>
      </c>
      <c r="H39" s="34" t="n">
        <f aca="false">IF(F39=1,G39,"")</f>
        <v>90.458</v>
      </c>
    </row>
    <row r="40" customFormat="false" ht="15" hidden="false" customHeight="false" outlineLevel="0" collapsed="false">
      <c r="A40" s="31" t="n">
        <v>42737.5833333333</v>
      </c>
      <c r="B40" s="32" t="n">
        <v>91.508</v>
      </c>
      <c r="D40" s="33" t="n">
        <f aca="false">WEEKDAY(A40,2)</f>
        <v>1</v>
      </c>
      <c r="E40" s="33" t="n">
        <f aca="false">HOUR(A40)+MINUTE(A40)/60</f>
        <v>14</v>
      </c>
      <c r="F40" s="33" t="n">
        <f aca="false">IF(OR(D40&gt;5,E40&lt;8,E40&gt;=18,COUNTIF($K$2:$K$10,INT(A40))&gt;0),1,0)</f>
        <v>1</v>
      </c>
      <c r="G40" s="34" t="n">
        <f aca="false">B40/1</f>
        <v>91.508</v>
      </c>
      <c r="H40" s="34" t="n">
        <f aca="false">IF(F40=1,G40,"")</f>
        <v>91.508</v>
      </c>
    </row>
    <row r="41" customFormat="false" ht="15" hidden="false" customHeight="false" outlineLevel="0" collapsed="false">
      <c r="A41" s="31" t="n">
        <v>42737.625</v>
      </c>
      <c r="B41" s="32" t="n">
        <v>91.084</v>
      </c>
      <c r="D41" s="33" t="n">
        <f aca="false">WEEKDAY(A41,2)</f>
        <v>1</v>
      </c>
      <c r="E41" s="33" t="n">
        <f aca="false">HOUR(A41)+MINUTE(A41)/60</f>
        <v>15</v>
      </c>
      <c r="F41" s="33" t="n">
        <f aca="false">IF(OR(D41&gt;5,E41&lt;8,E41&gt;=18,COUNTIF($K$2:$K$10,INT(A41))&gt;0),1,0)</f>
        <v>1</v>
      </c>
      <c r="G41" s="34" t="n">
        <f aca="false">B41/1</f>
        <v>91.084</v>
      </c>
      <c r="H41" s="34" t="n">
        <f aca="false">IF(F41=1,G41,"")</f>
        <v>91.084</v>
      </c>
    </row>
    <row r="42" customFormat="false" ht="15" hidden="false" customHeight="false" outlineLevel="0" collapsed="false">
      <c r="A42" s="31" t="n">
        <v>42737.6666666667</v>
      </c>
      <c r="B42" s="32" t="n">
        <v>91.23</v>
      </c>
      <c r="D42" s="33" t="n">
        <f aca="false">WEEKDAY(A42,2)</f>
        <v>1</v>
      </c>
      <c r="E42" s="33" t="n">
        <f aca="false">HOUR(A42)+MINUTE(A42)/60</f>
        <v>16</v>
      </c>
      <c r="F42" s="33" t="n">
        <f aca="false">IF(OR(D42&gt;5,E42&lt;8,E42&gt;=18,COUNTIF($K$2:$K$10,INT(A42))&gt;0),1,0)</f>
        <v>1</v>
      </c>
      <c r="G42" s="34" t="n">
        <f aca="false">B42/1</f>
        <v>91.23</v>
      </c>
      <c r="H42" s="34" t="n">
        <f aca="false">IF(F42=1,G42,"")</f>
        <v>91.23</v>
      </c>
    </row>
    <row r="43" customFormat="false" ht="15" hidden="false" customHeight="false" outlineLevel="0" collapsed="false">
      <c r="A43" s="31" t="n">
        <v>42737.7083333333</v>
      </c>
      <c r="B43" s="32" t="n">
        <v>93.875</v>
      </c>
      <c r="D43" s="33" t="n">
        <f aca="false">WEEKDAY(A43,2)</f>
        <v>1</v>
      </c>
      <c r="E43" s="33" t="n">
        <f aca="false">HOUR(A43)+MINUTE(A43)/60</f>
        <v>17</v>
      </c>
      <c r="F43" s="33" t="n">
        <f aca="false">IF(OR(D43&gt;5,E43&lt;8,E43&gt;=18,COUNTIF($K$2:$K$10,INT(A43))&gt;0),1,0)</f>
        <v>1</v>
      </c>
      <c r="G43" s="34" t="n">
        <f aca="false">B43/1</f>
        <v>93.875</v>
      </c>
      <c r="H43" s="34" t="n">
        <f aca="false">IF(F43=1,G43,"")</f>
        <v>93.875</v>
      </c>
    </row>
    <row r="44" customFormat="false" ht="15" hidden="false" customHeight="false" outlineLevel="0" collapsed="false">
      <c r="A44" s="31" t="n">
        <v>42737.75</v>
      </c>
      <c r="B44" s="32" t="n">
        <v>93.571</v>
      </c>
      <c r="D44" s="33" t="n">
        <f aca="false">WEEKDAY(A44,2)</f>
        <v>1</v>
      </c>
      <c r="E44" s="33" t="n">
        <f aca="false">HOUR(A44)+MINUTE(A44)/60</f>
        <v>18</v>
      </c>
      <c r="F44" s="33" t="n">
        <f aca="false">IF(OR(D44&gt;5,E44&lt;8,E44&gt;=18,COUNTIF($K$2:$K$10,INT(A44))&gt;0),1,0)</f>
        <v>1</v>
      </c>
      <c r="G44" s="34" t="n">
        <f aca="false">B44/1</f>
        <v>93.571</v>
      </c>
      <c r="H44" s="34" t="n">
        <f aca="false">IF(F44=1,G44,"")</f>
        <v>93.571</v>
      </c>
    </row>
    <row r="45" customFormat="false" ht="15" hidden="false" customHeight="false" outlineLevel="0" collapsed="false">
      <c r="A45" s="31" t="n">
        <v>42737.7916666667</v>
      </c>
      <c r="B45" s="32" t="n">
        <v>95.71</v>
      </c>
      <c r="D45" s="33" t="n">
        <f aca="false">WEEKDAY(A45,2)</f>
        <v>1</v>
      </c>
      <c r="E45" s="33" t="n">
        <f aca="false">HOUR(A45)+MINUTE(A45)/60</f>
        <v>19</v>
      </c>
      <c r="F45" s="33" t="n">
        <f aca="false">IF(OR(D45&gt;5,E45&lt;8,E45&gt;=18,COUNTIF($K$2:$K$10,INT(A45))&gt;0),1,0)</f>
        <v>1</v>
      </c>
      <c r="G45" s="34" t="n">
        <f aca="false">B45/1</f>
        <v>95.71</v>
      </c>
      <c r="H45" s="34" t="n">
        <f aca="false">IF(F45=1,G45,"")</f>
        <v>95.71</v>
      </c>
    </row>
    <row r="46" customFormat="false" ht="15" hidden="false" customHeight="false" outlineLevel="0" collapsed="false">
      <c r="A46" s="31" t="n">
        <v>42737.8333333333</v>
      </c>
      <c r="B46" s="32" t="n">
        <v>96.501</v>
      </c>
      <c r="D46" s="33" t="n">
        <f aca="false">WEEKDAY(A46,2)</f>
        <v>1</v>
      </c>
      <c r="E46" s="33" t="n">
        <f aca="false">HOUR(A46)+MINUTE(A46)/60</f>
        <v>20</v>
      </c>
      <c r="F46" s="33" t="n">
        <f aca="false">IF(OR(D46&gt;5,E46&lt;8,E46&gt;=18,COUNTIF($K$2:$K$10,INT(A46))&gt;0),1,0)</f>
        <v>1</v>
      </c>
      <c r="G46" s="34" t="n">
        <f aca="false">B46/1</f>
        <v>96.501</v>
      </c>
      <c r="H46" s="34" t="n">
        <f aca="false">IF(F46=1,G46,"")</f>
        <v>96.501</v>
      </c>
    </row>
    <row r="47" customFormat="false" ht="15" hidden="false" customHeight="false" outlineLevel="0" collapsed="false">
      <c r="A47" s="31" t="n">
        <v>42737.875</v>
      </c>
      <c r="B47" s="32" t="n">
        <v>91.627</v>
      </c>
      <c r="D47" s="33" t="n">
        <f aca="false">WEEKDAY(A47,2)</f>
        <v>1</v>
      </c>
      <c r="E47" s="33" t="n">
        <f aca="false">HOUR(A47)+MINUTE(A47)/60</f>
        <v>21</v>
      </c>
      <c r="F47" s="33" t="n">
        <f aca="false">IF(OR(D47&gt;5,E47&lt;8,E47&gt;=18,COUNTIF($K$2:$K$10,INT(A47))&gt;0),1,0)</f>
        <v>1</v>
      </c>
      <c r="G47" s="34" t="n">
        <f aca="false">B47/1</f>
        <v>91.627</v>
      </c>
      <c r="H47" s="34" t="n">
        <f aca="false">IF(F47=1,G47,"")</f>
        <v>91.627</v>
      </c>
    </row>
    <row r="48" customFormat="false" ht="15" hidden="false" customHeight="false" outlineLevel="0" collapsed="false">
      <c r="A48" s="31" t="n">
        <v>42737.9166666667</v>
      </c>
      <c r="B48" s="32" t="n">
        <v>72.099</v>
      </c>
      <c r="D48" s="33" t="n">
        <f aca="false">WEEKDAY(A48,2)</f>
        <v>1</v>
      </c>
      <c r="E48" s="33" t="n">
        <f aca="false">HOUR(A48)+MINUTE(A48)/60</f>
        <v>22</v>
      </c>
      <c r="F48" s="33" t="n">
        <f aca="false">IF(OR(D48&gt;5,E48&lt;8,E48&gt;=18,COUNTIF($K$2:$K$10,INT(A48))&gt;0),1,0)</f>
        <v>1</v>
      </c>
      <c r="G48" s="34" t="n">
        <f aca="false">B48/1</f>
        <v>72.099</v>
      </c>
      <c r="H48" s="34" t="n">
        <f aca="false">IF(F48=1,G48,"")</f>
        <v>72.099</v>
      </c>
    </row>
    <row r="49" customFormat="false" ht="15" hidden="false" customHeight="false" outlineLevel="0" collapsed="false">
      <c r="A49" s="31" t="n">
        <v>42737.9583333333</v>
      </c>
      <c r="B49" s="32" t="n">
        <v>61.027</v>
      </c>
      <c r="D49" s="33" t="n">
        <f aca="false">WEEKDAY(A49,2)</f>
        <v>1</v>
      </c>
      <c r="E49" s="33" t="n">
        <f aca="false">HOUR(A49)+MINUTE(A49)/60</f>
        <v>23</v>
      </c>
      <c r="F49" s="33" t="n">
        <f aca="false">IF(OR(D49&gt;5,E49&lt;8,E49&gt;=18,COUNTIF($K$2:$K$10,INT(A49))&gt;0),1,0)</f>
        <v>1</v>
      </c>
      <c r="G49" s="34" t="n">
        <f aca="false">B49/1</f>
        <v>61.027</v>
      </c>
      <c r="H49" s="34" t="n">
        <f aca="false">IF(F49=1,G49,"")</f>
        <v>61.027</v>
      </c>
    </row>
    <row r="50" customFormat="false" ht="15" hidden="false" customHeight="false" outlineLevel="0" collapsed="false">
      <c r="A50" s="31" t="n">
        <v>42738</v>
      </c>
      <c r="B50" s="32" t="n">
        <v>61.43</v>
      </c>
      <c r="D50" s="33" t="n">
        <f aca="false">WEEKDAY(A50,2)</f>
        <v>2</v>
      </c>
      <c r="E50" s="33" t="n">
        <f aca="false">HOUR(A50)+MINUTE(A50)/60</f>
        <v>0</v>
      </c>
      <c r="F50" s="33" t="n">
        <f aca="false">IF(OR(D50&gt;5,E50&lt;8,E50&gt;=18,COUNTIF($K$2:$K$10,INT(A50))&gt;0),1,0)</f>
        <v>1</v>
      </c>
      <c r="G50" s="34" t="n">
        <f aca="false">B50/1</f>
        <v>61.43</v>
      </c>
      <c r="H50" s="34" t="n">
        <f aca="false">IF(F50=1,G50,"")</f>
        <v>61.43</v>
      </c>
    </row>
    <row r="51" customFormat="false" ht="15" hidden="false" customHeight="false" outlineLevel="0" collapsed="false">
      <c r="A51" s="31" t="n">
        <v>42738.0416666667</v>
      </c>
      <c r="B51" s="32" t="n">
        <v>59.921</v>
      </c>
      <c r="D51" s="33" t="n">
        <f aca="false">WEEKDAY(A51,2)</f>
        <v>2</v>
      </c>
      <c r="E51" s="33" t="n">
        <f aca="false">HOUR(A51)+MINUTE(A51)/60</f>
        <v>1</v>
      </c>
      <c r="F51" s="33" t="n">
        <f aca="false">IF(OR(D51&gt;5,E51&lt;8,E51&gt;=18,COUNTIF($K$2:$K$10,INT(A51))&gt;0),1,0)</f>
        <v>1</v>
      </c>
      <c r="G51" s="34" t="n">
        <f aca="false">B51/1</f>
        <v>59.921</v>
      </c>
      <c r="H51" s="34" t="n">
        <f aca="false">IF(F51=1,G51,"")</f>
        <v>59.921</v>
      </c>
    </row>
    <row r="52" customFormat="false" ht="15" hidden="false" customHeight="false" outlineLevel="0" collapsed="false">
      <c r="A52" s="31" t="n">
        <v>42738.0833333333</v>
      </c>
      <c r="B52" s="32" t="n">
        <v>59.436</v>
      </c>
      <c r="D52" s="33" t="n">
        <f aca="false">WEEKDAY(A52,2)</f>
        <v>2</v>
      </c>
      <c r="E52" s="33" t="n">
        <f aca="false">HOUR(A52)+MINUTE(A52)/60</f>
        <v>2</v>
      </c>
      <c r="F52" s="33" t="n">
        <f aca="false">IF(OR(D52&gt;5,E52&lt;8,E52&gt;=18,COUNTIF($K$2:$K$10,INT(A52))&gt;0),1,0)</f>
        <v>1</v>
      </c>
      <c r="G52" s="34" t="n">
        <f aca="false">B52/1</f>
        <v>59.436</v>
      </c>
      <c r="H52" s="34" t="n">
        <f aca="false">IF(F52=1,G52,"")</f>
        <v>59.436</v>
      </c>
    </row>
    <row r="53" customFormat="false" ht="15" hidden="false" customHeight="false" outlineLevel="0" collapsed="false">
      <c r="A53" s="31" t="n">
        <v>42738.125</v>
      </c>
      <c r="B53" s="32" t="n">
        <v>60.692</v>
      </c>
      <c r="D53" s="33" t="n">
        <f aca="false">WEEKDAY(A53,2)</f>
        <v>2</v>
      </c>
      <c r="E53" s="33" t="n">
        <f aca="false">HOUR(A53)+MINUTE(A53)/60</f>
        <v>3</v>
      </c>
      <c r="F53" s="33" t="n">
        <f aca="false">IF(OR(D53&gt;5,E53&lt;8,E53&gt;=18,COUNTIF($K$2:$K$10,INT(A53))&gt;0),1,0)</f>
        <v>1</v>
      </c>
      <c r="G53" s="34" t="n">
        <f aca="false">B53/1</f>
        <v>60.692</v>
      </c>
      <c r="H53" s="34" t="n">
        <f aca="false">IF(F53=1,G53,"")</f>
        <v>60.692</v>
      </c>
    </row>
    <row r="54" customFormat="false" ht="15" hidden="false" customHeight="false" outlineLevel="0" collapsed="false">
      <c r="A54" s="31" t="n">
        <v>42738.1666666667</v>
      </c>
      <c r="B54" s="32" t="n">
        <v>60.705</v>
      </c>
      <c r="D54" s="33" t="n">
        <f aca="false">WEEKDAY(A54,2)</f>
        <v>2</v>
      </c>
      <c r="E54" s="33" t="n">
        <f aca="false">HOUR(A54)+MINUTE(A54)/60</f>
        <v>4</v>
      </c>
      <c r="F54" s="33" t="n">
        <f aca="false">IF(OR(D54&gt;5,E54&lt;8,E54&gt;=18,COUNTIF($K$2:$K$10,INT(A54))&gt;0),1,0)</f>
        <v>1</v>
      </c>
      <c r="G54" s="34" t="n">
        <f aca="false">B54/1</f>
        <v>60.705</v>
      </c>
      <c r="H54" s="34" t="n">
        <f aca="false">IF(F54=1,G54,"")</f>
        <v>60.705</v>
      </c>
    </row>
    <row r="55" customFormat="false" ht="15" hidden="false" customHeight="false" outlineLevel="0" collapsed="false">
      <c r="A55" s="31" t="n">
        <v>42738.2083333333</v>
      </c>
      <c r="B55" s="32" t="n">
        <v>59.375</v>
      </c>
      <c r="D55" s="33" t="n">
        <f aca="false">WEEKDAY(A55,2)</f>
        <v>2</v>
      </c>
      <c r="E55" s="33" t="n">
        <f aca="false">HOUR(A55)+MINUTE(A55)/60</f>
        <v>5</v>
      </c>
      <c r="F55" s="33" t="n">
        <f aca="false">IF(OR(D55&gt;5,E55&lt;8,E55&gt;=18,COUNTIF($K$2:$K$10,INT(A55))&gt;0),1,0)</f>
        <v>1</v>
      </c>
      <c r="G55" s="34" t="n">
        <f aca="false">B55/1</f>
        <v>59.375</v>
      </c>
      <c r="H55" s="34" t="n">
        <f aca="false">IF(F55=1,G55,"")</f>
        <v>59.375</v>
      </c>
    </row>
    <row r="56" customFormat="false" ht="15" hidden="false" customHeight="false" outlineLevel="0" collapsed="false">
      <c r="A56" s="31" t="n">
        <v>42738.25</v>
      </c>
      <c r="B56" s="32" t="n">
        <v>61.592</v>
      </c>
      <c r="D56" s="33" t="n">
        <f aca="false">WEEKDAY(A56,2)</f>
        <v>2</v>
      </c>
      <c r="E56" s="33" t="n">
        <f aca="false">HOUR(A56)+MINUTE(A56)/60</f>
        <v>6</v>
      </c>
      <c r="F56" s="33" t="n">
        <f aca="false">IF(OR(D56&gt;5,E56&lt;8,E56&gt;=18,COUNTIF($K$2:$K$10,INT(A56))&gt;0),1,0)</f>
        <v>1</v>
      </c>
      <c r="G56" s="34" t="n">
        <f aca="false">B56/1</f>
        <v>61.592</v>
      </c>
      <c r="H56" s="34" t="n">
        <f aca="false">IF(F56=1,G56,"")</f>
        <v>61.592</v>
      </c>
    </row>
    <row r="57" customFormat="false" ht="15" hidden="false" customHeight="false" outlineLevel="0" collapsed="false">
      <c r="A57" s="31" t="n">
        <v>42738.2916666667</v>
      </c>
      <c r="B57" s="32" t="n">
        <v>67.505</v>
      </c>
      <c r="D57" s="33" t="n">
        <f aca="false">WEEKDAY(A57,2)</f>
        <v>2</v>
      </c>
      <c r="E57" s="33" t="n">
        <f aca="false">HOUR(A57)+MINUTE(A57)/60</f>
        <v>7</v>
      </c>
      <c r="F57" s="33" t="n">
        <f aca="false">IF(OR(D57&gt;5,E57&lt;8,E57&gt;=18,COUNTIF($K$2:$K$10,INT(A57))&gt;0),1,0)</f>
        <v>1</v>
      </c>
      <c r="G57" s="34" t="n">
        <f aca="false">B57/1</f>
        <v>67.505</v>
      </c>
      <c r="H57" s="34" t="n">
        <f aca="false">IF(F57=1,G57,"")</f>
        <v>67.505</v>
      </c>
    </row>
    <row r="58" customFormat="false" ht="15" hidden="false" customHeight="false" outlineLevel="0" collapsed="false">
      <c r="A58" s="31" t="n">
        <v>42738.3333333333</v>
      </c>
      <c r="B58" s="32" t="n">
        <v>171.641</v>
      </c>
      <c r="D58" s="33" t="n">
        <f aca="false">WEEKDAY(A58,2)</f>
        <v>2</v>
      </c>
      <c r="E58" s="33" t="n">
        <f aca="false">HOUR(A58)+MINUTE(A58)/60</f>
        <v>8</v>
      </c>
      <c r="F58" s="33" t="n">
        <f aca="false">IF(OR(D58&gt;5,E58&lt;8,E58&gt;=18,COUNTIF($K$2:$K$10,INT(A58))&gt;0),1,0)</f>
        <v>0</v>
      </c>
      <c r="G58" s="34" t="n">
        <f aca="false">B58/1</f>
        <v>171.641</v>
      </c>
      <c r="H58" s="34" t="str">
        <f aca="false">IF(F58=1,G58,"")</f>
        <v/>
      </c>
    </row>
    <row r="59" customFormat="false" ht="15" hidden="false" customHeight="false" outlineLevel="0" collapsed="false">
      <c r="A59" s="31" t="n">
        <v>42738.375</v>
      </c>
      <c r="B59" s="32" t="n">
        <v>209.616</v>
      </c>
      <c r="D59" s="33" t="n">
        <f aca="false">WEEKDAY(A59,2)</f>
        <v>2</v>
      </c>
      <c r="E59" s="33" t="n">
        <f aca="false">HOUR(A59)+MINUTE(A59)/60</f>
        <v>9</v>
      </c>
      <c r="F59" s="33" t="n">
        <f aca="false">IF(OR(D59&gt;5,E59&lt;8,E59&gt;=18,COUNTIF($K$2:$K$10,INT(A59))&gt;0),1,0)</f>
        <v>0</v>
      </c>
      <c r="G59" s="34" t="n">
        <f aca="false">B59/1</f>
        <v>209.616</v>
      </c>
      <c r="H59" s="34" t="str">
        <f aca="false">IF(F59=1,G59,"")</f>
        <v/>
      </c>
    </row>
    <row r="60" customFormat="false" ht="15" hidden="false" customHeight="false" outlineLevel="0" collapsed="false">
      <c r="A60" s="31" t="n">
        <v>42738.4166666667</v>
      </c>
      <c r="B60" s="32" t="n">
        <v>215.883</v>
      </c>
      <c r="D60" s="33" t="n">
        <f aca="false">WEEKDAY(A60,2)</f>
        <v>2</v>
      </c>
      <c r="E60" s="33" t="n">
        <f aca="false">HOUR(A60)+MINUTE(A60)/60</f>
        <v>10</v>
      </c>
      <c r="F60" s="33" t="n">
        <f aca="false">IF(OR(D60&gt;5,E60&lt;8,E60&gt;=18,COUNTIF($K$2:$K$10,INT(A60))&gt;0),1,0)</f>
        <v>0</v>
      </c>
      <c r="G60" s="34" t="n">
        <f aca="false">B60/1</f>
        <v>215.883</v>
      </c>
      <c r="H60" s="34" t="str">
        <f aca="false">IF(F60=1,G60,"")</f>
        <v/>
      </c>
    </row>
    <row r="61" customFormat="false" ht="15" hidden="false" customHeight="false" outlineLevel="0" collapsed="false">
      <c r="A61" s="31" t="n">
        <v>42738.4583333333</v>
      </c>
      <c r="B61" s="32" t="n">
        <v>226.558</v>
      </c>
      <c r="D61" s="33" t="n">
        <f aca="false">WEEKDAY(A61,2)</f>
        <v>2</v>
      </c>
      <c r="E61" s="33" t="n">
        <f aca="false">HOUR(A61)+MINUTE(A61)/60</f>
        <v>11</v>
      </c>
      <c r="F61" s="33" t="n">
        <f aca="false">IF(OR(D61&gt;5,E61&lt;8,E61&gt;=18,COUNTIF($K$2:$K$10,INT(A61))&gt;0),1,0)</f>
        <v>0</v>
      </c>
      <c r="G61" s="34" t="n">
        <f aca="false">B61/1</f>
        <v>226.558</v>
      </c>
      <c r="H61" s="34" t="str">
        <f aca="false">IF(F61=1,G61,"")</f>
        <v/>
      </c>
    </row>
    <row r="62" customFormat="false" ht="15" hidden="false" customHeight="false" outlineLevel="0" collapsed="false">
      <c r="A62" s="31" t="n">
        <v>42738.5</v>
      </c>
      <c r="B62" s="32" t="n">
        <v>227.887</v>
      </c>
      <c r="D62" s="33" t="n">
        <f aca="false">WEEKDAY(A62,2)</f>
        <v>2</v>
      </c>
      <c r="E62" s="33" t="n">
        <f aca="false">HOUR(A62)+MINUTE(A62)/60</f>
        <v>12</v>
      </c>
      <c r="F62" s="33" t="n">
        <f aca="false">IF(OR(D62&gt;5,E62&lt;8,E62&gt;=18,COUNTIF($K$2:$K$10,INT(A62))&gt;0),1,0)</f>
        <v>0</v>
      </c>
      <c r="G62" s="34" t="n">
        <f aca="false">B62/1</f>
        <v>227.887</v>
      </c>
      <c r="H62" s="34" t="str">
        <f aca="false">IF(F62=1,G62,"")</f>
        <v/>
      </c>
    </row>
    <row r="63" customFormat="false" ht="15" hidden="false" customHeight="false" outlineLevel="0" collapsed="false">
      <c r="A63" s="31" t="n">
        <v>42738.5416666667</v>
      </c>
      <c r="B63" s="32" t="n">
        <v>222.804</v>
      </c>
      <c r="D63" s="33" t="n">
        <f aca="false">WEEKDAY(A63,2)</f>
        <v>2</v>
      </c>
      <c r="E63" s="33" t="n">
        <f aca="false">HOUR(A63)+MINUTE(A63)/60</f>
        <v>13</v>
      </c>
      <c r="F63" s="33" t="n">
        <f aca="false">IF(OR(D63&gt;5,E63&lt;8,E63&gt;=18,COUNTIF($K$2:$K$10,INT(A63))&gt;0),1,0)</f>
        <v>0</v>
      </c>
      <c r="G63" s="34" t="n">
        <f aca="false">B63/1</f>
        <v>222.804</v>
      </c>
      <c r="H63" s="34" t="str">
        <f aca="false">IF(F63=1,G63,"")</f>
        <v/>
      </c>
    </row>
    <row r="64" customFormat="false" ht="15" hidden="false" customHeight="false" outlineLevel="0" collapsed="false">
      <c r="A64" s="31" t="n">
        <v>42738.5833333333</v>
      </c>
      <c r="B64" s="32" t="n">
        <v>224.684</v>
      </c>
      <c r="D64" s="33" t="n">
        <f aca="false">WEEKDAY(A64,2)</f>
        <v>2</v>
      </c>
      <c r="E64" s="33" t="n">
        <f aca="false">HOUR(A64)+MINUTE(A64)/60</f>
        <v>14</v>
      </c>
      <c r="F64" s="33" t="n">
        <f aca="false">IF(OR(D64&gt;5,E64&lt;8,E64&gt;=18,COUNTIF($K$2:$K$10,INT(A64))&gt;0),1,0)</f>
        <v>0</v>
      </c>
      <c r="G64" s="34" t="n">
        <f aca="false">B64/1</f>
        <v>224.684</v>
      </c>
      <c r="H64" s="34" t="str">
        <f aca="false">IF(F64=1,G64,"")</f>
        <v/>
      </c>
    </row>
    <row r="65" customFormat="false" ht="15" hidden="false" customHeight="false" outlineLevel="0" collapsed="false">
      <c r="A65" s="31" t="n">
        <v>42738.625</v>
      </c>
      <c r="B65" s="32" t="n">
        <v>223.401</v>
      </c>
      <c r="D65" s="33" t="n">
        <f aca="false">WEEKDAY(A65,2)</f>
        <v>2</v>
      </c>
      <c r="E65" s="33" t="n">
        <f aca="false">HOUR(A65)+MINUTE(A65)/60</f>
        <v>15</v>
      </c>
      <c r="F65" s="33" t="n">
        <f aca="false">IF(OR(D65&gt;5,E65&lt;8,E65&gt;=18,COUNTIF($K$2:$K$10,INT(A65))&gt;0),1,0)</f>
        <v>0</v>
      </c>
      <c r="G65" s="34" t="n">
        <f aca="false">B65/1</f>
        <v>223.401</v>
      </c>
      <c r="H65" s="34" t="str">
        <f aca="false">IF(F65=1,G65,"")</f>
        <v/>
      </c>
    </row>
    <row r="66" customFormat="false" ht="15" hidden="false" customHeight="false" outlineLevel="0" collapsed="false">
      <c r="A66" s="31" t="n">
        <v>42738.6666666667</v>
      </c>
      <c r="B66" s="32" t="n">
        <v>219.43</v>
      </c>
      <c r="D66" s="33" t="n">
        <f aca="false">WEEKDAY(A66,2)</f>
        <v>2</v>
      </c>
      <c r="E66" s="33" t="n">
        <f aca="false">HOUR(A66)+MINUTE(A66)/60</f>
        <v>16</v>
      </c>
      <c r="F66" s="33" t="n">
        <f aca="false">IF(OR(D66&gt;5,E66&lt;8,E66&gt;=18,COUNTIF($K$2:$K$10,INT(A66))&gt;0),1,0)</f>
        <v>0</v>
      </c>
      <c r="G66" s="34" t="n">
        <f aca="false">B66/1</f>
        <v>219.43</v>
      </c>
      <c r="H66" s="34" t="str">
        <f aca="false">IF(F66=1,G66,"")</f>
        <v/>
      </c>
    </row>
    <row r="67" customFormat="false" ht="15" hidden="false" customHeight="false" outlineLevel="0" collapsed="false">
      <c r="A67" s="31" t="n">
        <v>42738.7083333333</v>
      </c>
      <c r="B67" s="32" t="n">
        <v>207.348</v>
      </c>
      <c r="D67" s="33" t="n">
        <f aca="false">WEEKDAY(A67,2)</f>
        <v>2</v>
      </c>
      <c r="E67" s="33" t="n">
        <f aca="false">HOUR(A67)+MINUTE(A67)/60</f>
        <v>17</v>
      </c>
      <c r="F67" s="33" t="n">
        <f aca="false">IF(OR(D67&gt;5,E67&lt;8,E67&gt;=18,COUNTIF($K$2:$K$10,INT(A67))&gt;0),1,0)</f>
        <v>0</v>
      </c>
      <c r="G67" s="34" t="n">
        <f aca="false">B67/1</f>
        <v>207.348</v>
      </c>
      <c r="H67" s="34" t="str">
        <f aca="false">IF(F67=1,G67,"")</f>
        <v/>
      </c>
    </row>
    <row r="68" customFormat="false" ht="15" hidden="false" customHeight="false" outlineLevel="0" collapsed="false">
      <c r="A68" s="31" t="n">
        <v>42738.75</v>
      </c>
      <c r="B68" s="32" t="n">
        <v>190.276</v>
      </c>
      <c r="D68" s="33" t="n">
        <f aca="false">WEEKDAY(A68,2)</f>
        <v>2</v>
      </c>
      <c r="E68" s="33" t="n">
        <f aca="false">HOUR(A68)+MINUTE(A68)/60</f>
        <v>18</v>
      </c>
      <c r="F68" s="33" t="n">
        <f aca="false">IF(OR(D68&gt;5,E68&lt;8,E68&gt;=18,COUNTIF($K$2:$K$10,INT(A68))&gt;0),1,0)</f>
        <v>1</v>
      </c>
      <c r="G68" s="34" t="n">
        <f aca="false">B68/1</f>
        <v>190.276</v>
      </c>
      <c r="H68" s="34" t="n">
        <f aca="false">IF(F68=1,G68,"")</f>
        <v>190.276</v>
      </c>
    </row>
    <row r="69" customFormat="false" ht="15" hidden="false" customHeight="false" outlineLevel="0" collapsed="false">
      <c r="A69" s="31" t="n">
        <v>42738.7916666667</v>
      </c>
      <c r="B69" s="32" t="n">
        <v>185.28</v>
      </c>
      <c r="D69" s="33" t="n">
        <f aca="false">WEEKDAY(A69,2)</f>
        <v>2</v>
      </c>
      <c r="E69" s="33" t="n">
        <f aca="false">HOUR(A69)+MINUTE(A69)/60</f>
        <v>19</v>
      </c>
      <c r="F69" s="33" t="n">
        <f aca="false">IF(OR(D69&gt;5,E69&lt;8,E69&gt;=18,COUNTIF($K$2:$K$10,INT(A69))&gt;0),1,0)</f>
        <v>1</v>
      </c>
      <c r="G69" s="34" t="n">
        <f aca="false">B69/1</f>
        <v>185.28</v>
      </c>
      <c r="H69" s="34" t="n">
        <f aca="false">IF(F69=1,G69,"")</f>
        <v>185.28</v>
      </c>
    </row>
    <row r="70" customFormat="false" ht="15" hidden="false" customHeight="false" outlineLevel="0" collapsed="false">
      <c r="A70" s="31" t="n">
        <v>42738.8333333333</v>
      </c>
      <c r="B70" s="32" t="n">
        <v>182.499</v>
      </c>
      <c r="D70" s="33" t="n">
        <f aca="false">WEEKDAY(A70,2)</f>
        <v>2</v>
      </c>
      <c r="E70" s="33" t="n">
        <f aca="false">HOUR(A70)+MINUTE(A70)/60</f>
        <v>20</v>
      </c>
      <c r="F70" s="33" t="n">
        <f aca="false">IF(OR(D70&gt;5,E70&lt;8,E70&gt;=18,COUNTIF($K$2:$K$10,INT(A70))&gt;0),1,0)</f>
        <v>1</v>
      </c>
      <c r="G70" s="34" t="n">
        <f aca="false">B70/1</f>
        <v>182.499</v>
      </c>
      <c r="H70" s="34" t="n">
        <f aca="false">IF(F70=1,G70,"")</f>
        <v>182.499</v>
      </c>
    </row>
    <row r="71" customFormat="false" ht="15" hidden="false" customHeight="false" outlineLevel="0" collapsed="false">
      <c r="A71" s="31" t="n">
        <v>42738.875</v>
      </c>
      <c r="B71" s="32" t="n">
        <v>182.611</v>
      </c>
      <c r="D71" s="33" t="n">
        <f aca="false">WEEKDAY(A71,2)</f>
        <v>2</v>
      </c>
      <c r="E71" s="33" t="n">
        <f aca="false">HOUR(A71)+MINUTE(A71)/60</f>
        <v>21</v>
      </c>
      <c r="F71" s="33" t="n">
        <f aca="false">IF(OR(D71&gt;5,E71&lt;8,E71&gt;=18,COUNTIF($K$2:$K$10,INT(A71))&gt;0),1,0)</f>
        <v>1</v>
      </c>
      <c r="G71" s="34" t="n">
        <f aca="false">B71/1</f>
        <v>182.611</v>
      </c>
      <c r="H71" s="34" t="n">
        <f aca="false">IF(F71=1,G71,"")</f>
        <v>182.611</v>
      </c>
    </row>
    <row r="72" customFormat="false" ht="15" hidden="false" customHeight="false" outlineLevel="0" collapsed="false">
      <c r="A72" s="31" t="n">
        <v>42738.9166666667</v>
      </c>
      <c r="B72" s="32" t="n">
        <v>136.046</v>
      </c>
      <c r="D72" s="33" t="n">
        <f aca="false">WEEKDAY(A72,2)</f>
        <v>2</v>
      </c>
      <c r="E72" s="33" t="n">
        <f aca="false">HOUR(A72)+MINUTE(A72)/60</f>
        <v>22</v>
      </c>
      <c r="F72" s="33" t="n">
        <f aca="false">IF(OR(D72&gt;5,E72&lt;8,E72&gt;=18,COUNTIF($K$2:$K$10,INT(A72))&gt;0),1,0)</f>
        <v>1</v>
      </c>
      <c r="G72" s="34" t="n">
        <f aca="false">B72/1</f>
        <v>136.046</v>
      </c>
      <c r="H72" s="34" t="n">
        <f aca="false">IF(F72=1,G72,"")</f>
        <v>136.046</v>
      </c>
    </row>
    <row r="73" customFormat="false" ht="15" hidden="false" customHeight="false" outlineLevel="0" collapsed="false">
      <c r="A73" s="31" t="n">
        <v>42738.9583333333</v>
      </c>
      <c r="B73" s="32" t="n">
        <v>74.285</v>
      </c>
      <c r="D73" s="33" t="n">
        <f aca="false">WEEKDAY(A73,2)</f>
        <v>2</v>
      </c>
      <c r="E73" s="33" t="n">
        <f aca="false">HOUR(A73)+MINUTE(A73)/60</f>
        <v>23</v>
      </c>
      <c r="F73" s="33" t="n">
        <f aca="false">IF(OR(D73&gt;5,E73&lt;8,E73&gt;=18,COUNTIF($K$2:$K$10,INT(A73))&gt;0),1,0)</f>
        <v>1</v>
      </c>
      <c r="G73" s="34" t="n">
        <f aca="false">B73/1</f>
        <v>74.285</v>
      </c>
      <c r="H73" s="34" t="n">
        <f aca="false">IF(F73=1,G73,"")</f>
        <v>74.285</v>
      </c>
    </row>
    <row r="74" customFormat="false" ht="15" hidden="false" customHeight="false" outlineLevel="0" collapsed="false">
      <c r="A74" s="31" t="n">
        <v>42739</v>
      </c>
      <c r="B74" s="32" t="n">
        <v>70.318</v>
      </c>
      <c r="D74" s="33" t="n">
        <f aca="false">WEEKDAY(A74,2)</f>
        <v>3</v>
      </c>
      <c r="E74" s="33" t="n">
        <f aca="false">HOUR(A74)+MINUTE(A74)/60</f>
        <v>0</v>
      </c>
      <c r="F74" s="33" t="n">
        <f aca="false">IF(OR(D74&gt;5,E74&lt;8,E74&gt;=18,COUNTIF($K$2:$K$10,INT(A74))&gt;0),1,0)</f>
        <v>1</v>
      </c>
      <c r="G74" s="34" t="n">
        <f aca="false">B74/1</f>
        <v>70.318</v>
      </c>
      <c r="H74" s="34" t="n">
        <f aca="false">IF(F74=1,G74,"")</f>
        <v>70.318</v>
      </c>
    </row>
    <row r="75" customFormat="false" ht="15" hidden="false" customHeight="false" outlineLevel="0" collapsed="false">
      <c r="A75" s="31" t="n">
        <v>42739.0416666667</v>
      </c>
      <c r="B75" s="32" t="n">
        <v>66.042</v>
      </c>
      <c r="D75" s="33" t="n">
        <f aca="false">WEEKDAY(A75,2)</f>
        <v>3</v>
      </c>
      <c r="E75" s="33" t="n">
        <f aca="false">HOUR(A75)+MINUTE(A75)/60</f>
        <v>1</v>
      </c>
      <c r="F75" s="33" t="n">
        <f aca="false">IF(OR(D75&gt;5,E75&lt;8,E75&gt;=18,COUNTIF($K$2:$K$10,INT(A75))&gt;0),1,0)</f>
        <v>1</v>
      </c>
      <c r="G75" s="34" t="n">
        <f aca="false">B75/1</f>
        <v>66.042</v>
      </c>
      <c r="H75" s="34" t="n">
        <f aca="false">IF(F75=1,G75,"")</f>
        <v>66.042</v>
      </c>
    </row>
    <row r="76" customFormat="false" ht="15" hidden="false" customHeight="false" outlineLevel="0" collapsed="false">
      <c r="A76" s="31" t="n">
        <v>42739.0833333333</v>
      </c>
      <c r="B76" s="32" t="n">
        <v>67.172</v>
      </c>
      <c r="D76" s="33" t="n">
        <f aca="false">WEEKDAY(A76,2)</f>
        <v>3</v>
      </c>
      <c r="E76" s="33" t="n">
        <f aca="false">HOUR(A76)+MINUTE(A76)/60</f>
        <v>2</v>
      </c>
      <c r="F76" s="33" t="n">
        <f aca="false">IF(OR(D76&gt;5,E76&lt;8,E76&gt;=18,COUNTIF($K$2:$K$10,INT(A76))&gt;0),1,0)</f>
        <v>1</v>
      </c>
      <c r="G76" s="34" t="n">
        <f aca="false">B76/1</f>
        <v>67.172</v>
      </c>
      <c r="H76" s="34" t="n">
        <f aca="false">IF(F76=1,G76,"")</f>
        <v>67.172</v>
      </c>
    </row>
    <row r="77" customFormat="false" ht="15" hidden="false" customHeight="false" outlineLevel="0" collapsed="false">
      <c r="A77" s="31" t="n">
        <v>42739.125</v>
      </c>
      <c r="B77" s="32" t="n">
        <v>67.364</v>
      </c>
      <c r="D77" s="33" t="n">
        <f aca="false">WEEKDAY(A77,2)</f>
        <v>3</v>
      </c>
      <c r="E77" s="33" t="n">
        <f aca="false">HOUR(A77)+MINUTE(A77)/60</f>
        <v>3</v>
      </c>
      <c r="F77" s="33" t="n">
        <f aca="false">IF(OR(D77&gt;5,E77&lt;8,E77&gt;=18,COUNTIF($K$2:$K$10,INT(A77))&gt;0),1,0)</f>
        <v>1</v>
      </c>
      <c r="G77" s="34" t="n">
        <f aca="false">B77/1</f>
        <v>67.364</v>
      </c>
      <c r="H77" s="34" t="n">
        <f aca="false">IF(F77=1,G77,"")</f>
        <v>67.364</v>
      </c>
    </row>
    <row r="78" customFormat="false" ht="15" hidden="false" customHeight="false" outlineLevel="0" collapsed="false">
      <c r="A78" s="31" t="n">
        <v>42739.1666666667</v>
      </c>
      <c r="B78" s="32" t="n">
        <v>63.64</v>
      </c>
      <c r="D78" s="33" t="n">
        <f aca="false">WEEKDAY(A78,2)</f>
        <v>3</v>
      </c>
      <c r="E78" s="33" t="n">
        <f aca="false">HOUR(A78)+MINUTE(A78)/60</f>
        <v>4</v>
      </c>
      <c r="F78" s="33" t="n">
        <f aca="false">IF(OR(D78&gt;5,E78&lt;8,E78&gt;=18,COUNTIF($K$2:$K$10,INT(A78))&gt;0),1,0)</f>
        <v>1</v>
      </c>
      <c r="G78" s="34" t="n">
        <f aca="false">B78/1</f>
        <v>63.64</v>
      </c>
      <c r="H78" s="34" t="n">
        <f aca="false">IF(F78=1,G78,"")</f>
        <v>63.64</v>
      </c>
    </row>
    <row r="79" customFormat="false" ht="15" hidden="false" customHeight="false" outlineLevel="0" collapsed="false">
      <c r="A79" s="31" t="n">
        <v>42739.2083333333</v>
      </c>
      <c r="B79" s="32" t="n">
        <v>64.369</v>
      </c>
      <c r="D79" s="33" t="n">
        <f aca="false">WEEKDAY(A79,2)</f>
        <v>3</v>
      </c>
      <c r="E79" s="33" t="n">
        <f aca="false">HOUR(A79)+MINUTE(A79)/60</f>
        <v>5</v>
      </c>
      <c r="F79" s="33" t="n">
        <f aca="false">IF(OR(D79&gt;5,E79&lt;8,E79&gt;=18,COUNTIF($K$2:$K$10,INT(A79))&gt;0),1,0)</f>
        <v>1</v>
      </c>
      <c r="G79" s="34" t="n">
        <f aca="false">B79/1</f>
        <v>64.369</v>
      </c>
      <c r="H79" s="34" t="n">
        <f aca="false">IF(F79=1,G79,"")</f>
        <v>64.369</v>
      </c>
    </row>
    <row r="80" customFormat="false" ht="15" hidden="false" customHeight="false" outlineLevel="0" collapsed="false">
      <c r="A80" s="31" t="n">
        <v>42739.25</v>
      </c>
      <c r="B80" s="32" t="n">
        <v>67.934</v>
      </c>
      <c r="D80" s="33" t="n">
        <f aca="false">WEEKDAY(A80,2)</f>
        <v>3</v>
      </c>
      <c r="E80" s="33" t="n">
        <f aca="false">HOUR(A80)+MINUTE(A80)/60</f>
        <v>6</v>
      </c>
      <c r="F80" s="33" t="n">
        <f aca="false">IF(OR(D80&gt;5,E80&lt;8,E80&gt;=18,COUNTIF($K$2:$K$10,INT(A80))&gt;0),1,0)</f>
        <v>1</v>
      </c>
      <c r="G80" s="34" t="n">
        <f aca="false">B80/1</f>
        <v>67.934</v>
      </c>
      <c r="H80" s="34" t="n">
        <f aca="false">IF(F80=1,G80,"")</f>
        <v>67.934</v>
      </c>
    </row>
    <row r="81" customFormat="false" ht="15" hidden="false" customHeight="false" outlineLevel="0" collapsed="false">
      <c r="A81" s="31" t="n">
        <v>42739.2916666667</v>
      </c>
      <c r="B81" s="32" t="n">
        <v>71.936</v>
      </c>
      <c r="D81" s="33" t="n">
        <f aca="false">WEEKDAY(A81,2)</f>
        <v>3</v>
      </c>
      <c r="E81" s="33" t="n">
        <f aca="false">HOUR(A81)+MINUTE(A81)/60</f>
        <v>7</v>
      </c>
      <c r="F81" s="33" t="n">
        <f aca="false">IF(OR(D81&gt;5,E81&lt;8,E81&gt;=18,COUNTIF($K$2:$K$10,INT(A81))&gt;0),1,0)</f>
        <v>1</v>
      </c>
      <c r="G81" s="34" t="n">
        <f aca="false">B81/1</f>
        <v>71.936</v>
      </c>
      <c r="H81" s="34" t="n">
        <f aca="false">IF(F81=1,G81,"")</f>
        <v>71.936</v>
      </c>
    </row>
    <row r="82" customFormat="false" ht="15" hidden="false" customHeight="false" outlineLevel="0" collapsed="false">
      <c r="A82" s="31" t="n">
        <v>42739.3333333333</v>
      </c>
      <c r="B82" s="32" t="n">
        <v>175.808</v>
      </c>
      <c r="D82" s="33" t="n">
        <f aca="false">WEEKDAY(A82,2)</f>
        <v>3</v>
      </c>
      <c r="E82" s="33" t="n">
        <f aca="false">HOUR(A82)+MINUTE(A82)/60</f>
        <v>8</v>
      </c>
      <c r="F82" s="33" t="n">
        <f aca="false">IF(OR(D82&gt;5,E82&lt;8,E82&gt;=18,COUNTIF($K$2:$K$10,INT(A82))&gt;0),1,0)</f>
        <v>0</v>
      </c>
      <c r="G82" s="34" t="n">
        <f aca="false">B82/1</f>
        <v>175.808</v>
      </c>
      <c r="H82" s="34" t="str">
        <f aca="false">IF(F82=1,G82,"")</f>
        <v/>
      </c>
    </row>
    <row r="83" customFormat="false" ht="15" hidden="false" customHeight="false" outlineLevel="0" collapsed="false">
      <c r="A83" s="31" t="n">
        <v>42739.375</v>
      </c>
      <c r="B83" s="32" t="n">
        <v>208.677</v>
      </c>
      <c r="D83" s="33" t="n">
        <f aca="false">WEEKDAY(A83,2)</f>
        <v>3</v>
      </c>
      <c r="E83" s="33" t="n">
        <f aca="false">HOUR(A83)+MINUTE(A83)/60</f>
        <v>9</v>
      </c>
      <c r="F83" s="33" t="n">
        <f aca="false">IF(OR(D83&gt;5,E83&lt;8,E83&gt;=18,COUNTIF($K$2:$K$10,INT(A83))&gt;0),1,0)</f>
        <v>0</v>
      </c>
      <c r="G83" s="34" t="n">
        <f aca="false">B83/1</f>
        <v>208.677</v>
      </c>
      <c r="H83" s="34" t="str">
        <f aca="false">IF(F83=1,G83,"")</f>
        <v/>
      </c>
    </row>
    <row r="84" customFormat="false" ht="15" hidden="false" customHeight="false" outlineLevel="0" collapsed="false">
      <c r="A84" s="31" t="n">
        <v>42739.4166666667</v>
      </c>
      <c r="B84" s="32" t="n">
        <v>218.006</v>
      </c>
      <c r="D84" s="33" t="n">
        <f aca="false">WEEKDAY(A84,2)</f>
        <v>3</v>
      </c>
      <c r="E84" s="33" t="n">
        <f aca="false">HOUR(A84)+MINUTE(A84)/60</f>
        <v>10</v>
      </c>
      <c r="F84" s="33" t="n">
        <f aca="false">IF(OR(D84&gt;5,E84&lt;8,E84&gt;=18,COUNTIF($K$2:$K$10,INT(A84))&gt;0),1,0)</f>
        <v>0</v>
      </c>
      <c r="G84" s="34" t="n">
        <f aca="false">B84/1</f>
        <v>218.006</v>
      </c>
      <c r="H84" s="34" t="str">
        <f aca="false">IF(F84=1,G84,"")</f>
        <v/>
      </c>
    </row>
    <row r="85" customFormat="false" ht="15" hidden="false" customHeight="false" outlineLevel="0" collapsed="false">
      <c r="A85" s="31" t="n">
        <v>42739.4583333333</v>
      </c>
      <c r="B85" s="32" t="n">
        <v>225.805</v>
      </c>
      <c r="D85" s="33" t="n">
        <f aca="false">WEEKDAY(A85,2)</f>
        <v>3</v>
      </c>
      <c r="E85" s="33" t="n">
        <f aca="false">HOUR(A85)+MINUTE(A85)/60</f>
        <v>11</v>
      </c>
      <c r="F85" s="33" t="n">
        <f aca="false">IF(OR(D85&gt;5,E85&lt;8,E85&gt;=18,COUNTIF($K$2:$K$10,INT(A85))&gt;0),1,0)</f>
        <v>0</v>
      </c>
      <c r="G85" s="34" t="n">
        <f aca="false">B85/1</f>
        <v>225.805</v>
      </c>
      <c r="H85" s="34" t="str">
        <f aca="false">IF(F85=1,G85,"")</f>
        <v/>
      </c>
    </row>
    <row r="86" customFormat="false" ht="15" hidden="false" customHeight="false" outlineLevel="0" collapsed="false">
      <c r="A86" s="31" t="n">
        <v>42739.5</v>
      </c>
      <c r="B86" s="32" t="n">
        <v>227.544</v>
      </c>
      <c r="D86" s="33" t="n">
        <f aca="false">WEEKDAY(A86,2)</f>
        <v>3</v>
      </c>
      <c r="E86" s="33" t="n">
        <f aca="false">HOUR(A86)+MINUTE(A86)/60</f>
        <v>12</v>
      </c>
      <c r="F86" s="33" t="n">
        <f aca="false">IF(OR(D86&gt;5,E86&lt;8,E86&gt;=18,COUNTIF($K$2:$K$10,INT(A86))&gt;0),1,0)</f>
        <v>0</v>
      </c>
      <c r="G86" s="34" t="n">
        <f aca="false">B86/1</f>
        <v>227.544</v>
      </c>
      <c r="H86" s="34" t="str">
        <f aca="false">IF(F86=1,G86,"")</f>
        <v/>
      </c>
    </row>
    <row r="87" customFormat="false" ht="15" hidden="false" customHeight="false" outlineLevel="0" collapsed="false">
      <c r="A87" s="31" t="n">
        <v>42739.5416666667</v>
      </c>
      <c r="B87" s="32" t="n">
        <v>224.913</v>
      </c>
      <c r="D87" s="33" t="n">
        <f aca="false">WEEKDAY(A87,2)</f>
        <v>3</v>
      </c>
      <c r="E87" s="33" t="n">
        <f aca="false">HOUR(A87)+MINUTE(A87)/60</f>
        <v>13</v>
      </c>
      <c r="F87" s="33" t="n">
        <f aca="false">IF(OR(D87&gt;5,E87&lt;8,E87&gt;=18,COUNTIF($K$2:$K$10,INT(A87))&gt;0),1,0)</f>
        <v>0</v>
      </c>
      <c r="G87" s="34" t="n">
        <f aca="false">B87/1</f>
        <v>224.913</v>
      </c>
      <c r="H87" s="34" t="str">
        <f aca="false">IF(F87=1,G87,"")</f>
        <v/>
      </c>
    </row>
    <row r="88" customFormat="false" ht="15" hidden="false" customHeight="false" outlineLevel="0" collapsed="false">
      <c r="A88" s="31" t="n">
        <v>42739.5833333333</v>
      </c>
      <c r="B88" s="32" t="n">
        <v>223.702</v>
      </c>
      <c r="D88" s="33" t="n">
        <f aca="false">WEEKDAY(A88,2)</f>
        <v>3</v>
      </c>
      <c r="E88" s="33" t="n">
        <f aca="false">HOUR(A88)+MINUTE(A88)/60</f>
        <v>14</v>
      </c>
      <c r="F88" s="33" t="n">
        <f aca="false">IF(OR(D88&gt;5,E88&lt;8,E88&gt;=18,COUNTIF($K$2:$K$10,INT(A88))&gt;0),1,0)</f>
        <v>0</v>
      </c>
      <c r="G88" s="34" t="n">
        <f aca="false">B88/1</f>
        <v>223.702</v>
      </c>
      <c r="H88" s="34" t="str">
        <f aca="false">IF(F88=1,G88,"")</f>
        <v/>
      </c>
    </row>
    <row r="89" customFormat="false" ht="15" hidden="false" customHeight="false" outlineLevel="0" collapsed="false">
      <c r="A89" s="31" t="n">
        <v>42739.625</v>
      </c>
      <c r="B89" s="32" t="n">
        <v>219.869</v>
      </c>
      <c r="D89" s="33" t="n">
        <f aca="false">WEEKDAY(A89,2)</f>
        <v>3</v>
      </c>
      <c r="E89" s="33" t="n">
        <f aca="false">HOUR(A89)+MINUTE(A89)/60</f>
        <v>15</v>
      </c>
      <c r="F89" s="33" t="n">
        <f aca="false">IF(OR(D89&gt;5,E89&lt;8,E89&gt;=18,COUNTIF($K$2:$K$10,INT(A89))&gt;0),1,0)</f>
        <v>0</v>
      </c>
      <c r="G89" s="34" t="n">
        <f aca="false">B89/1</f>
        <v>219.869</v>
      </c>
      <c r="H89" s="34" t="str">
        <f aca="false">IF(F89=1,G89,"")</f>
        <v/>
      </c>
    </row>
    <row r="90" customFormat="false" ht="15" hidden="false" customHeight="false" outlineLevel="0" collapsed="false">
      <c r="A90" s="31" t="n">
        <v>42739.6666666667</v>
      </c>
      <c r="B90" s="32" t="n">
        <v>217.233</v>
      </c>
      <c r="D90" s="33" t="n">
        <f aca="false">WEEKDAY(A90,2)</f>
        <v>3</v>
      </c>
      <c r="E90" s="33" t="n">
        <f aca="false">HOUR(A90)+MINUTE(A90)/60</f>
        <v>16</v>
      </c>
      <c r="F90" s="33" t="n">
        <f aca="false">IF(OR(D90&gt;5,E90&lt;8,E90&gt;=18,COUNTIF($K$2:$K$10,INT(A90))&gt;0),1,0)</f>
        <v>0</v>
      </c>
      <c r="G90" s="34" t="n">
        <f aca="false">B90/1</f>
        <v>217.233</v>
      </c>
      <c r="H90" s="34" t="str">
        <f aca="false">IF(F90=1,G90,"")</f>
        <v/>
      </c>
    </row>
    <row r="91" customFormat="false" ht="15" hidden="false" customHeight="false" outlineLevel="0" collapsed="false">
      <c r="A91" s="31" t="n">
        <v>42739.7083333333</v>
      </c>
      <c r="B91" s="32" t="n">
        <v>206.972</v>
      </c>
      <c r="D91" s="33" t="n">
        <f aca="false">WEEKDAY(A91,2)</f>
        <v>3</v>
      </c>
      <c r="E91" s="33" t="n">
        <f aca="false">HOUR(A91)+MINUTE(A91)/60</f>
        <v>17</v>
      </c>
      <c r="F91" s="33" t="n">
        <f aca="false">IF(OR(D91&gt;5,E91&lt;8,E91&gt;=18,COUNTIF($K$2:$K$10,INT(A91))&gt;0),1,0)</f>
        <v>0</v>
      </c>
      <c r="G91" s="34" t="n">
        <f aca="false">B91/1</f>
        <v>206.972</v>
      </c>
      <c r="H91" s="34" t="str">
        <f aca="false">IF(F91=1,G91,"")</f>
        <v/>
      </c>
    </row>
    <row r="92" customFormat="false" ht="15" hidden="false" customHeight="false" outlineLevel="0" collapsed="false">
      <c r="A92" s="31" t="n">
        <v>42739.75</v>
      </c>
      <c r="B92" s="32" t="n">
        <v>194.787</v>
      </c>
      <c r="D92" s="33" t="n">
        <f aca="false">WEEKDAY(A92,2)</f>
        <v>3</v>
      </c>
      <c r="E92" s="33" t="n">
        <f aca="false">HOUR(A92)+MINUTE(A92)/60</f>
        <v>18</v>
      </c>
      <c r="F92" s="33" t="n">
        <f aca="false">IF(OR(D92&gt;5,E92&lt;8,E92&gt;=18,COUNTIF($K$2:$K$10,INT(A92))&gt;0),1,0)</f>
        <v>1</v>
      </c>
      <c r="G92" s="34" t="n">
        <f aca="false">B92/1</f>
        <v>194.787</v>
      </c>
      <c r="H92" s="34" t="n">
        <f aca="false">IF(F92=1,G92,"")</f>
        <v>194.787</v>
      </c>
    </row>
    <row r="93" customFormat="false" ht="15" hidden="false" customHeight="false" outlineLevel="0" collapsed="false">
      <c r="A93" s="31" t="n">
        <v>42739.7916666667</v>
      </c>
      <c r="B93" s="32" t="n">
        <v>186.423</v>
      </c>
      <c r="D93" s="33" t="n">
        <f aca="false">WEEKDAY(A93,2)</f>
        <v>3</v>
      </c>
      <c r="E93" s="33" t="n">
        <f aca="false">HOUR(A93)+MINUTE(A93)/60</f>
        <v>19</v>
      </c>
      <c r="F93" s="33" t="n">
        <f aca="false">IF(OR(D93&gt;5,E93&lt;8,E93&gt;=18,COUNTIF($K$2:$K$10,INT(A93))&gt;0),1,0)</f>
        <v>1</v>
      </c>
      <c r="G93" s="34" t="n">
        <f aca="false">B93/1</f>
        <v>186.423</v>
      </c>
      <c r="H93" s="34" t="n">
        <f aca="false">IF(F93=1,G93,"")</f>
        <v>186.423</v>
      </c>
    </row>
    <row r="94" customFormat="false" ht="15" hidden="false" customHeight="false" outlineLevel="0" collapsed="false">
      <c r="A94" s="31" t="n">
        <v>42739.8333333333</v>
      </c>
      <c r="B94" s="32" t="n">
        <v>186.177</v>
      </c>
      <c r="D94" s="33" t="n">
        <f aca="false">WEEKDAY(A94,2)</f>
        <v>3</v>
      </c>
      <c r="E94" s="33" t="n">
        <f aca="false">HOUR(A94)+MINUTE(A94)/60</f>
        <v>20</v>
      </c>
      <c r="F94" s="33" t="n">
        <f aca="false">IF(OR(D94&gt;5,E94&lt;8,E94&gt;=18,COUNTIF($K$2:$K$10,INT(A94))&gt;0),1,0)</f>
        <v>1</v>
      </c>
      <c r="G94" s="34" t="n">
        <f aca="false">B94/1</f>
        <v>186.177</v>
      </c>
      <c r="H94" s="34" t="n">
        <f aca="false">IF(F94=1,G94,"")</f>
        <v>186.177</v>
      </c>
    </row>
    <row r="95" customFormat="false" ht="15" hidden="false" customHeight="false" outlineLevel="0" collapsed="false">
      <c r="A95" s="31" t="n">
        <v>42739.875</v>
      </c>
      <c r="B95" s="32" t="n">
        <v>184.856</v>
      </c>
      <c r="D95" s="33" t="n">
        <f aca="false">WEEKDAY(A95,2)</f>
        <v>3</v>
      </c>
      <c r="E95" s="33" t="n">
        <f aca="false">HOUR(A95)+MINUTE(A95)/60</f>
        <v>21</v>
      </c>
      <c r="F95" s="33" t="n">
        <f aca="false">IF(OR(D95&gt;5,E95&lt;8,E95&gt;=18,COUNTIF($K$2:$K$10,INT(A95))&gt;0),1,0)</f>
        <v>1</v>
      </c>
      <c r="G95" s="34" t="n">
        <f aca="false">B95/1</f>
        <v>184.856</v>
      </c>
      <c r="H95" s="34" t="n">
        <f aca="false">IF(F95=1,G95,"")</f>
        <v>184.856</v>
      </c>
    </row>
    <row r="96" customFormat="false" ht="15" hidden="false" customHeight="false" outlineLevel="0" collapsed="false">
      <c r="A96" s="31" t="n">
        <v>42739.9166666667</v>
      </c>
      <c r="B96" s="32" t="n">
        <v>136.36</v>
      </c>
      <c r="D96" s="33" t="n">
        <f aca="false">WEEKDAY(A96,2)</f>
        <v>3</v>
      </c>
      <c r="E96" s="33" t="n">
        <f aca="false">HOUR(A96)+MINUTE(A96)/60</f>
        <v>22</v>
      </c>
      <c r="F96" s="33" t="n">
        <f aca="false">IF(OR(D96&gt;5,E96&lt;8,E96&gt;=18,COUNTIF($K$2:$K$10,INT(A96))&gt;0),1,0)</f>
        <v>1</v>
      </c>
      <c r="G96" s="34" t="n">
        <f aca="false">B96/1</f>
        <v>136.36</v>
      </c>
      <c r="H96" s="34" t="n">
        <f aca="false">IF(F96=1,G96,"")</f>
        <v>136.36</v>
      </c>
    </row>
    <row r="97" customFormat="false" ht="15" hidden="false" customHeight="false" outlineLevel="0" collapsed="false">
      <c r="A97" s="31" t="n">
        <v>42739.9583333333</v>
      </c>
      <c r="B97" s="32" t="n">
        <v>76.691</v>
      </c>
      <c r="D97" s="33" t="n">
        <f aca="false">WEEKDAY(A97,2)</f>
        <v>3</v>
      </c>
      <c r="E97" s="33" t="n">
        <f aca="false">HOUR(A97)+MINUTE(A97)/60</f>
        <v>23</v>
      </c>
      <c r="F97" s="33" t="n">
        <f aca="false">IF(OR(D97&gt;5,E97&lt;8,E97&gt;=18,COUNTIF($K$2:$K$10,INT(A97))&gt;0),1,0)</f>
        <v>1</v>
      </c>
      <c r="G97" s="34" t="n">
        <f aca="false">B97/1</f>
        <v>76.691</v>
      </c>
      <c r="H97" s="34" t="n">
        <f aca="false">IF(F97=1,G97,"")</f>
        <v>76.691</v>
      </c>
    </row>
    <row r="98" customFormat="false" ht="15" hidden="false" customHeight="false" outlineLevel="0" collapsed="false">
      <c r="A98" s="31" t="n">
        <v>42740</v>
      </c>
      <c r="B98" s="32" t="n">
        <v>74.088</v>
      </c>
      <c r="D98" s="33" t="n">
        <f aca="false">WEEKDAY(A98,2)</f>
        <v>4</v>
      </c>
      <c r="E98" s="33" t="n">
        <f aca="false">HOUR(A98)+MINUTE(A98)/60</f>
        <v>0</v>
      </c>
      <c r="F98" s="33" t="n">
        <f aca="false">IF(OR(D98&gt;5,E98&lt;8,E98&gt;=18,COUNTIF($K$2:$K$10,INT(A98))&gt;0),1,0)</f>
        <v>1</v>
      </c>
      <c r="G98" s="34" t="n">
        <f aca="false">B98/1</f>
        <v>74.088</v>
      </c>
      <c r="H98" s="34" t="n">
        <f aca="false">IF(F98=1,G98,"")</f>
        <v>74.088</v>
      </c>
    </row>
    <row r="99" customFormat="false" ht="15" hidden="false" customHeight="false" outlineLevel="0" collapsed="false">
      <c r="A99" s="31" t="n">
        <v>42740.0416666667</v>
      </c>
      <c r="B99" s="32" t="n">
        <v>70.451</v>
      </c>
      <c r="D99" s="33" t="n">
        <f aca="false">WEEKDAY(A99,2)</f>
        <v>4</v>
      </c>
      <c r="E99" s="33" t="n">
        <f aca="false">HOUR(A99)+MINUTE(A99)/60</f>
        <v>1</v>
      </c>
      <c r="F99" s="33" t="n">
        <f aca="false">IF(OR(D99&gt;5,E99&lt;8,E99&gt;=18,COUNTIF($K$2:$K$10,INT(A99))&gt;0),1,0)</f>
        <v>1</v>
      </c>
      <c r="G99" s="34" t="n">
        <f aca="false">B99/1</f>
        <v>70.451</v>
      </c>
      <c r="H99" s="34" t="n">
        <f aca="false">IF(F99=1,G99,"")</f>
        <v>70.451</v>
      </c>
    </row>
    <row r="100" customFormat="false" ht="15" hidden="false" customHeight="false" outlineLevel="0" collapsed="false">
      <c r="A100" s="31" t="n">
        <v>42740.0833333333</v>
      </c>
      <c r="B100" s="32" t="n">
        <v>67.658</v>
      </c>
      <c r="D100" s="33" t="n">
        <f aca="false">WEEKDAY(A100,2)</f>
        <v>4</v>
      </c>
      <c r="E100" s="33" t="n">
        <f aca="false">HOUR(A100)+MINUTE(A100)/60</f>
        <v>2</v>
      </c>
      <c r="F100" s="33" t="n">
        <f aca="false">IF(OR(D100&gt;5,E100&lt;8,E100&gt;=18,COUNTIF($K$2:$K$10,INT(A100))&gt;0),1,0)</f>
        <v>1</v>
      </c>
      <c r="G100" s="34" t="n">
        <f aca="false">B100/1</f>
        <v>67.658</v>
      </c>
      <c r="H100" s="34" t="n">
        <f aca="false">IF(F100=1,G100,"")</f>
        <v>67.658</v>
      </c>
    </row>
    <row r="101" customFormat="false" ht="15" hidden="false" customHeight="false" outlineLevel="0" collapsed="false">
      <c r="A101" s="31" t="n">
        <v>42740.125</v>
      </c>
      <c r="B101" s="32" t="n">
        <v>63.924</v>
      </c>
      <c r="D101" s="33" t="n">
        <f aca="false">WEEKDAY(A101,2)</f>
        <v>4</v>
      </c>
      <c r="E101" s="33" t="n">
        <f aca="false">HOUR(A101)+MINUTE(A101)/60</f>
        <v>3</v>
      </c>
      <c r="F101" s="33" t="n">
        <f aca="false">IF(OR(D101&gt;5,E101&lt;8,E101&gt;=18,COUNTIF($K$2:$K$10,INT(A101))&gt;0),1,0)</f>
        <v>1</v>
      </c>
      <c r="G101" s="34" t="n">
        <f aca="false">B101/1</f>
        <v>63.924</v>
      </c>
      <c r="H101" s="34" t="n">
        <f aca="false">IF(F101=1,G101,"")</f>
        <v>63.924</v>
      </c>
    </row>
    <row r="102" customFormat="false" ht="15" hidden="false" customHeight="false" outlineLevel="0" collapsed="false">
      <c r="A102" s="31" t="n">
        <v>42740.1666666667</v>
      </c>
      <c r="B102" s="32" t="n">
        <v>68.992</v>
      </c>
      <c r="D102" s="33" t="n">
        <f aca="false">WEEKDAY(A102,2)</f>
        <v>4</v>
      </c>
      <c r="E102" s="33" t="n">
        <f aca="false">HOUR(A102)+MINUTE(A102)/60</f>
        <v>4</v>
      </c>
      <c r="F102" s="33" t="n">
        <f aca="false">IF(OR(D102&gt;5,E102&lt;8,E102&gt;=18,COUNTIF($K$2:$K$10,INT(A102))&gt;0),1,0)</f>
        <v>1</v>
      </c>
      <c r="G102" s="34" t="n">
        <f aca="false">B102/1</f>
        <v>68.992</v>
      </c>
      <c r="H102" s="34" t="n">
        <f aca="false">IF(F102=1,G102,"")</f>
        <v>68.992</v>
      </c>
    </row>
    <row r="103" customFormat="false" ht="15" hidden="false" customHeight="false" outlineLevel="0" collapsed="false">
      <c r="A103" s="31" t="n">
        <v>42740.2083333333</v>
      </c>
      <c r="B103" s="32" t="n">
        <v>65.207</v>
      </c>
      <c r="D103" s="33" t="n">
        <f aca="false">WEEKDAY(A103,2)</f>
        <v>4</v>
      </c>
      <c r="E103" s="33" t="n">
        <f aca="false">HOUR(A103)+MINUTE(A103)/60</f>
        <v>5</v>
      </c>
      <c r="F103" s="33" t="n">
        <f aca="false">IF(OR(D103&gt;5,E103&lt;8,E103&gt;=18,COUNTIF($K$2:$K$10,INT(A103))&gt;0),1,0)</f>
        <v>1</v>
      </c>
      <c r="G103" s="34" t="n">
        <f aca="false">B103/1</f>
        <v>65.207</v>
      </c>
      <c r="H103" s="34" t="n">
        <f aca="false">IF(F103=1,G103,"")</f>
        <v>65.207</v>
      </c>
    </row>
    <row r="104" customFormat="false" ht="15" hidden="false" customHeight="false" outlineLevel="0" collapsed="false">
      <c r="A104" s="31" t="n">
        <v>42740.25</v>
      </c>
      <c r="B104" s="32" t="n">
        <v>68.151</v>
      </c>
      <c r="D104" s="33" t="n">
        <f aca="false">WEEKDAY(A104,2)</f>
        <v>4</v>
      </c>
      <c r="E104" s="33" t="n">
        <f aca="false">HOUR(A104)+MINUTE(A104)/60</f>
        <v>6</v>
      </c>
      <c r="F104" s="33" t="n">
        <f aca="false">IF(OR(D104&gt;5,E104&lt;8,E104&gt;=18,COUNTIF($K$2:$K$10,INT(A104))&gt;0),1,0)</f>
        <v>1</v>
      </c>
      <c r="G104" s="34" t="n">
        <f aca="false">B104/1</f>
        <v>68.151</v>
      </c>
      <c r="H104" s="34" t="n">
        <f aca="false">IF(F104=1,G104,"")</f>
        <v>68.151</v>
      </c>
    </row>
    <row r="105" customFormat="false" ht="15" hidden="false" customHeight="false" outlineLevel="0" collapsed="false">
      <c r="A105" s="31" t="n">
        <v>42740.2916666667</v>
      </c>
      <c r="B105" s="32" t="n">
        <v>76.607</v>
      </c>
      <c r="D105" s="33" t="n">
        <f aca="false">WEEKDAY(A105,2)</f>
        <v>4</v>
      </c>
      <c r="E105" s="33" t="n">
        <f aca="false">HOUR(A105)+MINUTE(A105)/60</f>
        <v>7</v>
      </c>
      <c r="F105" s="33" t="n">
        <f aca="false">IF(OR(D105&gt;5,E105&lt;8,E105&gt;=18,COUNTIF($K$2:$K$10,INT(A105))&gt;0),1,0)</f>
        <v>1</v>
      </c>
      <c r="G105" s="34" t="n">
        <f aca="false">B105/1</f>
        <v>76.607</v>
      </c>
      <c r="H105" s="34" t="n">
        <f aca="false">IF(F105=1,G105,"")</f>
        <v>76.607</v>
      </c>
    </row>
    <row r="106" customFormat="false" ht="15" hidden="false" customHeight="false" outlineLevel="0" collapsed="false">
      <c r="A106" s="31" t="n">
        <v>42740.3333333333</v>
      </c>
      <c r="B106" s="32" t="n">
        <v>179.268</v>
      </c>
      <c r="D106" s="33" t="n">
        <f aca="false">WEEKDAY(A106,2)</f>
        <v>4</v>
      </c>
      <c r="E106" s="33" t="n">
        <f aca="false">HOUR(A106)+MINUTE(A106)/60</f>
        <v>8</v>
      </c>
      <c r="F106" s="33" t="n">
        <f aca="false">IF(OR(D106&gt;5,E106&lt;8,E106&gt;=18,COUNTIF($K$2:$K$10,INT(A106))&gt;0),1,0)</f>
        <v>0</v>
      </c>
      <c r="G106" s="34" t="n">
        <f aca="false">B106/1</f>
        <v>179.268</v>
      </c>
      <c r="H106" s="34" t="str">
        <f aca="false">IF(F106=1,G106,"")</f>
        <v/>
      </c>
    </row>
    <row r="107" customFormat="false" ht="15" hidden="false" customHeight="false" outlineLevel="0" collapsed="false">
      <c r="A107" s="31" t="n">
        <v>42740.375</v>
      </c>
      <c r="B107" s="32" t="n">
        <v>213.637</v>
      </c>
      <c r="D107" s="33" t="n">
        <f aca="false">WEEKDAY(A107,2)</f>
        <v>4</v>
      </c>
      <c r="E107" s="33" t="n">
        <f aca="false">HOUR(A107)+MINUTE(A107)/60</f>
        <v>9</v>
      </c>
      <c r="F107" s="33" t="n">
        <f aca="false">IF(OR(D107&gt;5,E107&lt;8,E107&gt;=18,COUNTIF($K$2:$K$10,INT(A107))&gt;0),1,0)</f>
        <v>0</v>
      </c>
      <c r="G107" s="34" t="n">
        <f aca="false">B107/1</f>
        <v>213.637</v>
      </c>
      <c r="H107" s="34" t="str">
        <f aca="false">IF(F107=1,G107,"")</f>
        <v/>
      </c>
    </row>
    <row r="108" customFormat="false" ht="15" hidden="false" customHeight="false" outlineLevel="0" collapsed="false">
      <c r="A108" s="31" t="n">
        <v>42740.4166666667</v>
      </c>
      <c r="B108" s="32" t="n">
        <v>233.462</v>
      </c>
      <c r="D108" s="33" t="n">
        <f aca="false">WEEKDAY(A108,2)</f>
        <v>4</v>
      </c>
      <c r="E108" s="33" t="n">
        <f aca="false">HOUR(A108)+MINUTE(A108)/60</f>
        <v>10</v>
      </c>
      <c r="F108" s="33" t="n">
        <f aca="false">IF(OR(D108&gt;5,E108&lt;8,E108&gt;=18,COUNTIF($K$2:$K$10,INT(A108))&gt;0),1,0)</f>
        <v>0</v>
      </c>
      <c r="G108" s="34" t="n">
        <f aca="false">B108/1</f>
        <v>233.462</v>
      </c>
      <c r="H108" s="34" t="str">
        <f aca="false">IF(F108=1,G108,"")</f>
        <v/>
      </c>
    </row>
    <row r="109" customFormat="false" ht="15" hidden="false" customHeight="false" outlineLevel="0" collapsed="false">
      <c r="A109" s="31" t="n">
        <v>42740.4583333333</v>
      </c>
      <c r="B109" s="32" t="n">
        <v>240.451</v>
      </c>
      <c r="D109" s="33" t="n">
        <f aca="false">WEEKDAY(A109,2)</f>
        <v>4</v>
      </c>
      <c r="E109" s="33" t="n">
        <f aca="false">HOUR(A109)+MINUTE(A109)/60</f>
        <v>11</v>
      </c>
      <c r="F109" s="33" t="n">
        <f aca="false">IF(OR(D109&gt;5,E109&lt;8,E109&gt;=18,COUNTIF($K$2:$K$10,INT(A109))&gt;0),1,0)</f>
        <v>0</v>
      </c>
      <c r="G109" s="34" t="n">
        <f aca="false">B109/1</f>
        <v>240.451</v>
      </c>
      <c r="H109" s="34" t="str">
        <f aca="false">IF(F109=1,G109,"")</f>
        <v/>
      </c>
    </row>
    <row r="110" customFormat="false" ht="15" hidden="false" customHeight="false" outlineLevel="0" collapsed="false">
      <c r="A110" s="31" t="n">
        <v>42740.5</v>
      </c>
      <c r="B110" s="32" t="n">
        <v>234.918</v>
      </c>
      <c r="D110" s="33" t="n">
        <f aca="false">WEEKDAY(A110,2)</f>
        <v>4</v>
      </c>
      <c r="E110" s="33" t="n">
        <f aca="false">HOUR(A110)+MINUTE(A110)/60</f>
        <v>12</v>
      </c>
      <c r="F110" s="33" t="n">
        <f aca="false">IF(OR(D110&gt;5,E110&lt;8,E110&gt;=18,COUNTIF($K$2:$K$10,INT(A110))&gt;0),1,0)</f>
        <v>0</v>
      </c>
      <c r="G110" s="34" t="n">
        <f aca="false">B110/1</f>
        <v>234.918</v>
      </c>
      <c r="H110" s="34" t="str">
        <f aca="false">IF(F110=1,G110,"")</f>
        <v/>
      </c>
    </row>
    <row r="111" customFormat="false" ht="15" hidden="false" customHeight="false" outlineLevel="0" collapsed="false">
      <c r="A111" s="31" t="n">
        <v>42740.5416666667</v>
      </c>
      <c r="B111" s="32" t="n">
        <v>229.407</v>
      </c>
      <c r="D111" s="33" t="n">
        <f aca="false">WEEKDAY(A111,2)</f>
        <v>4</v>
      </c>
      <c r="E111" s="33" t="n">
        <f aca="false">HOUR(A111)+MINUTE(A111)/60</f>
        <v>13</v>
      </c>
      <c r="F111" s="33" t="n">
        <f aca="false">IF(OR(D111&gt;5,E111&lt;8,E111&gt;=18,COUNTIF($K$2:$K$10,INT(A111))&gt;0),1,0)</f>
        <v>0</v>
      </c>
      <c r="G111" s="34" t="n">
        <f aca="false">B111/1</f>
        <v>229.407</v>
      </c>
      <c r="H111" s="34" t="str">
        <f aca="false">IF(F111=1,G111,"")</f>
        <v/>
      </c>
    </row>
    <row r="112" customFormat="false" ht="15" hidden="false" customHeight="false" outlineLevel="0" collapsed="false">
      <c r="A112" s="31" t="n">
        <v>42740.5833333333</v>
      </c>
      <c r="B112" s="32" t="n">
        <v>236.712</v>
      </c>
      <c r="D112" s="33" t="n">
        <f aca="false">WEEKDAY(A112,2)</f>
        <v>4</v>
      </c>
      <c r="E112" s="33" t="n">
        <f aca="false">HOUR(A112)+MINUTE(A112)/60</f>
        <v>14</v>
      </c>
      <c r="F112" s="33" t="n">
        <f aca="false">IF(OR(D112&gt;5,E112&lt;8,E112&gt;=18,COUNTIF($K$2:$K$10,INT(A112))&gt;0),1,0)</f>
        <v>0</v>
      </c>
      <c r="G112" s="34" t="n">
        <f aca="false">B112/1</f>
        <v>236.712</v>
      </c>
      <c r="H112" s="34" t="str">
        <f aca="false">IF(F112=1,G112,"")</f>
        <v/>
      </c>
    </row>
    <row r="113" customFormat="false" ht="15" hidden="false" customHeight="false" outlineLevel="0" collapsed="false">
      <c r="A113" s="31" t="n">
        <v>42740.625</v>
      </c>
      <c r="B113" s="32" t="n">
        <v>236.529</v>
      </c>
      <c r="D113" s="33" t="n">
        <f aca="false">WEEKDAY(A113,2)</f>
        <v>4</v>
      </c>
      <c r="E113" s="33" t="n">
        <f aca="false">HOUR(A113)+MINUTE(A113)/60</f>
        <v>15</v>
      </c>
      <c r="F113" s="33" t="n">
        <f aca="false">IF(OR(D113&gt;5,E113&lt;8,E113&gt;=18,COUNTIF($K$2:$K$10,INT(A113))&gt;0),1,0)</f>
        <v>0</v>
      </c>
      <c r="G113" s="34" t="n">
        <f aca="false">B113/1</f>
        <v>236.529</v>
      </c>
      <c r="H113" s="34" t="str">
        <f aca="false">IF(F113=1,G113,"")</f>
        <v/>
      </c>
    </row>
    <row r="114" customFormat="false" ht="15" hidden="false" customHeight="false" outlineLevel="0" collapsed="false">
      <c r="A114" s="31" t="n">
        <v>42740.6666666667</v>
      </c>
      <c r="B114" s="32" t="n">
        <v>231.193</v>
      </c>
      <c r="D114" s="33" t="n">
        <f aca="false">WEEKDAY(A114,2)</f>
        <v>4</v>
      </c>
      <c r="E114" s="33" t="n">
        <f aca="false">HOUR(A114)+MINUTE(A114)/60</f>
        <v>16</v>
      </c>
      <c r="F114" s="33" t="n">
        <f aca="false">IF(OR(D114&gt;5,E114&lt;8,E114&gt;=18,COUNTIF($K$2:$K$10,INT(A114))&gt;0),1,0)</f>
        <v>0</v>
      </c>
      <c r="G114" s="34" t="n">
        <f aca="false">B114/1</f>
        <v>231.193</v>
      </c>
      <c r="H114" s="34" t="str">
        <f aca="false">IF(F114=1,G114,"")</f>
        <v/>
      </c>
    </row>
    <row r="115" customFormat="false" ht="15" hidden="false" customHeight="false" outlineLevel="0" collapsed="false">
      <c r="A115" s="31" t="n">
        <v>42740.7083333333</v>
      </c>
      <c r="B115" s="32" t="n">
        <v>213.626</v>
      </c>
      <c r="D115" s="33" t="n">
        <f aca="false">WEEKDAY(A115,2)</f>
        <v>4</v>
      </c>
      <c r="E115" s="33" t="n">
        <f aca="false">HOUR(A115)+MINUTE(A115)/60</f>
        <v>17</v>
      </c>
      <c r="F115" s="33" t="n">
        <f aca="false">IF(OR(D115&gt;5,E115&lt;8,E115&gt;=18,COUNTIF($K$2:$K$10,INT(A115))&gt;0),1,0)</f>
        <v>0</v>
      </c>
      <c r="G115" s="34" t="n">
        <f aca="false">B115/1</f>
        <v>213.626</v>
      </c>
      <c r="H115" s="34" t="str">
        <f aca="false">IF(F115=1,G115,"")</f>
        <v/>
      </c>
    </row>
    <row r="116" customFormat="false" ht="15" hidden="false" customHeight="false" outlineLevel="0" collapsed="false">
      <c r="A116" s="31" t="n">
        <v>42740.75</v>
      </c>
      <c r="B116" s="32" t="n">
        <v>199.897</v>
      </c>
      <c r="D116" s="33" t="n">
        <f aca="false">WEEKDAY(A116,2)</f>
        <v>4</v>
      </c>
      <c r="E116" s="33" t="n">
        <f aca="false">HOUR(A116)+MINUTE(A116)/60</f>
        <v>18</v>
      </c>
      <c r="F116" s="33" t="n">
        <f aca="false">IF(OR(D116&gt;5,E116&lt;8,E116&gt;=18,COUNTIF($K$2:$K$10,INT(A116))&gt;0),1,0)</f>
        <v>1</v>
      </c>
      <c r="G116" s="34" t="n">
        <f aca="false">B116/1</f>
        <v>199.897</v>
      </c>
      <c r="H116" s="34" t="n">
        <f aca="false">IF(F116=1,G116,"")</f>
        <v>199.897</v>
      </c>
    </row>
    <row r="117" customFormat="false" ht="15" hidden="false" customHeight="false" outlineLevel="0" collapsed="false">
      <c r="A117" s="31" t="n">
        <v>42740.7916666667</v>
      </c>
      <c r="B117" s="32" t="n">
        <v>193.845</v>
      </c>
      <c r="D117" s="33" t="n">
        <f aca="false">WEEKDAY(A117,2)</f>
        <v>4</v>
      </c>
      <c r="E117" s="33" t="n">
        <f aca="false">HOUR(A117)+MINUTE(A117)/60</f>
        <v>19</v>
      </c>
      <c r="F117" s="33" t="n">
        <f aca="false">IF(OR(D117&gt;5,E117&lt;8,E117&gt;=18,COUNTIF($K$2:$K$10,INT(A117))&gt;0),1,0)</f>
        <v>1</v>
      </c>
      <c r="G117" s="34" t="n">
        <f aca="false">B117/1</f>
        <v>193.845</v>
      </c>
      <c r="H117" s="34" t="n">
        <f aca="false">IF(F117=1,G117,"")</f>
        <v>193.845</v>
      </c>
    </row>
    <row r="118" customFormat="false" ht="15" hidden="false" customHeight="false" outlineLevel="0" collapsed="false">
      <c r="A118" s="31" t="n">
        <v>42740.8333333333</v>
      </c>
      <c r="B118" s="32" t="n">
        <v>189.714</v>
      </c>
      <c r="D118" s="33" t="n">
        <f aca="false">WEEKDAY(A118,2)</f>
        <v>4</v>
      </c>
      <c r="E118" s="33" t="n">
        <f aca="false">HOUR(A118)+MINUTE(A118)/60</f>
        <v>20</v>
      </c>
      <c r="F118" s="33" t="n">
        <f aca="false">IF(OR(D118&gt;5,E118&lt;8,E118&gt;=18,COUNTIF($K$2:$K$10,INT(A118))&gt;0),1,0)</f>
        <v>1</v>
      </c>
      <c r="G118" s="34" t="n">
        <f aca="false">B118/1</f>
        <v>189.714</v>
      </c>
      <c r="H118" s="34" t="n">
        <f aca="false">IF(F118=1,G118,"")</f>
        <v>189.714</v>
      </c>
    </row>
    <row r="119" customFormat="false" ht="15" hidden="false" customHeight="false" outlineLevel="0" collapsed="false">
      <c r="A119" s="31" t="n">
        <v>42740.875</v>
      </c>
      <c r="B119" s="32" t="n">
        <v>189.711</v>
      </c>
      <c r="D119" s="33" t="n">
        <f aca="false">WEEKDAY(A119,2)</f>
        <v>4</v>
      </c>
      <c r="E119" s="33" t="n">
        <f aca="false">HOUR(A119)+MINUTE(A119)/60</f>
        <v>21</v>
      </c>
      <c r="F119" s="33" t="n">
        <f aca="false">IF(OR(D119&gt;5,E119&lt;8,E119&gt;=18,COUNTIF($K$2:$K$10,INT(A119))&gt;0),1,0)</f>
        <v>1</v>
      </c>
      <c r="G119" s="34" t="n">
        <f aca="false">B119/1</f>
        <v>189.711</v>
      </c>
      <c r="H119" s="34" t="n">
        <f aca="false">IF(F119=1,G119,"")</f>
        <v>189.711</v>
      </c>
    </row>
    <row r="120" customFormat="false" ht="15" hidden="false" customHeight="false" outlineLevel="0" collapsed="false">
      <c r="A120" s="31" t="n">
        <v>42740.9166666667</v>
      </c>
      <c r="B120" s="32" t="n">
        <v>143.048</v>
      </c>
      <c r="D120" s="33" t="n">
        <f aca="false">WEEKDAY(A120,2)</f>
        <v>4</v>
      </c>
      <c r="E120" s="33" t="n">
        <f aca="false">HOUR(A120)+MINUTE(A120)/60</f>
        <v>22</v>
      </c>
      <c r="F120" s="33" t="n">
        <f aca="false">IF(OR(D120&gt;5,E120&lt;8,E120&gt;=18,COUNTIF($K$2:$K$10,INT(A120))&gt;0),1,0)</f>
        <v>1</v>
      </c>
      <c r="G120" s="34" t="n">
        <f aca="false">B120/1</f>
        <v>143.048</v>
      </c>
      <c r="H120" s="34" t="n">
        <f aca="false">IF(F120=1,G120,"")</f>
        <v>143.048</v>
      </c>
    </row>
    <row r="121" customFormat="false" ht="15" hidden="false" customHeight="false" outlineLevel="0" collapsed="false">
      <c r="A121" s="31" t="n">
        <v>42740.9583333333</v>
      </c>
      <c r="B121" s="32" t="n">
        <v>76.55</v>
      </c>
      <c r="D121" s="33" t="n">
        <f aca="false">WEEKDAY(A121,2)</f>
        <v>4</v>
      </c>
      <c r="E121" s="33" t="n">
        <f aca="false">HOUR(A121)+MINUTE(A121)/60</f>
        <v>23</v>
      </c>
      <c r="F121" s="33" t="n">
        <f aca="false">IF(OR(D121&gt;5,E121&lt;8,E121&gt;=18,COUNTIF($K$2:$K$10,INT(A121))&gt;0),1,0)</f>
        <v>1</v>
      </c>
      <c r="G121" s="34" t="n">
        <f aca="false">B121/1</f>
        <v>76.55</v>
      </c>
      <c r="H121" s="34" t="n">
        <f aca="false">IF(F121=1,G121,"")</f>
        <v>76.55</v>
      </c>
    </row>
    <row r="122" customFormat="false" ht="15" hidden="false" customHeight="false" outlineLevel="0" collapsed="false">
      <c r="A122" s="31" t="n">
        <v>42741</v>
      </c>
      <c r="B122" s="32" t="n">
        <v>75.849</v>
      </c>
      <c r="D122" s="33" t="n">
        <f aca="false">WEEKDAY(A122,2)</f>
        <v>5</v>
      </c>
      <c r="E122" s="33" t="n">
        <f aca="false">HOUR(A122)+MINUTE(A122)/60</f>
        <v>0</v>
      </c>
      <c r="F122" s="33" t="n">
        <f aca="false">IF(OR(D122&gt;5,E122&lt;8,E122&gt;=18,COUNTIF($K$2:$K$10,INT(A122))&gt;0),1,0)</f>
        <v>1</v>
      </c>
      <c r="G122" s="34" t="n">
        <f aca="false">B122/1</f>
        <v>75.849</v>
      </c>
      <c r="H122" s="34" t="n">
        <f aca="false">IF(F122=1,G122,"")</f>
        <v>75.849</v>
      </c>
    </row>
    <row r="123" customFormat="false" ht="15" hidden="false" customHeight="false" outlineLevel="0" collapsed="false">
      <c r="A123" s="31" t="n">
        <v>42741.0416666667</v>
      </c>
      <c r="B123" s="32" t="n">
        <v>70.714</v>
      </c>
      <c r="D123" s="33" t="n">
        <f aca="false">WEEKDAY(A123,2)</f>
        <v>5</v>
      </c>
      <c r="E123" s="33" t="n">
        <f aca="false">HOUR(A123)+MINUTE(A123)/60</f>
        <v>1</v>
      </c>
      <c r="F123" s="33" t="n">
        <f aca="false">IF(OR(D123&gt;5,E123&lt;8,E123&gt;=18,COUNTIF($K$2:$K$10,INT(A123))&gt;0),1,0)</f>
        <v>1</v>
      </c>
      <c r="G123" s="34" t="n">
        <f aca="false">B123/1</f>
        <v>70.714</v>
      </c>
      <c r="H123" s="34" t="n">
        <f aca="false">IF(F123=1,G123,"")</f>
        <v>70.714</v>
      </c>
    </row>
    <row r="124" customFormat="false" ht="15" hidden="false" customHeight="false" outlineLevel="0" collapsed="false">
      <c r="A124" s="31" t="n">
        <v>42741.0833333333</v>
      </c>
      <c r="B124" s="32" t="n">
        <v>65.909</v>
      </c>
      <c r="D124" s="33" t="n">
        <f aca="false">WEEKDAY(A124,2)</f>
        <v>5</v>
      </c>
      <c r="E124" s="33" t="n">
        <f aca="false">HOUR(A124)+MINUTE(A124)/60</f>
        <v>2</v>
      </c>
      <c r="F124" s="33" t="n">
        <f aca="false">IF(OR(D124&gt;5,E124&lt;8,E124&gt;=18,COUNTIF($K$2:$K$10,INT(A124))&gt;0),1,0)</f>
        <v>1</v>
      </c>
      <c r="G124" s="34" t="n">
        <f aca="false">B124/1</f>
        <v>65.909</v>
      </c>
      <c r="H124" s="34" t="n">
        <f aca="false">IF(F124=1,G124,"")</f>
        <v>65.909</v>
      </c>
    </row>
    <row r="125" customFormat="false" ht="15" hidden="false" customHeight="false" outlineLevel="0" collapsed="false">
      <c r="A125" s="31" t="n">
        <v>42741.125</v>
      </c>
      <c r="B125" s="32" t="n">
        <v>67.783</v>
      </c>
      <c r="D125" s="33" t="n">
        <f aca="false">WEEKDAY(A125,2)</f>
        <v>5</v>
      </c>
      <c r="E125" s="33" t="n">
        <f aca="false">HOUR(A125)+MINUTE(A125)/60</f>
        <v>3</v>
      </c>
      <c r="F125" s="33" t="n">
        <f aca="false">IF(OR(D125&gt;5,E125&lt;8,E125&gt;=18,COUNTIF($K$2:$K$10,INT(A125))&gt;0),1,0)</f>
        <v>1</v>
      </c>
      <c r="G125" s="34" t="n">
        <f aca="false">B125/1</f>
        <v>67.783</v>
      </c>
      <c r="H125" s="34" t="n">
        <f aca="false">IF(F125=1,G125,"")</f>
        <v>67.783</v>
      </c>
    </row>
    <row r="126" customFormat="false" ht="15" hidden="false" customHeight="false" outlineLevel="0" collapsed="false">
      <c r="A126" s="31" t="n">
        <v>42741.1666666667</v>
      </c>
      <c r="B126" s="32" t="n">
        <v>66.878</v>
      </c>
      <c r="D126" s="33" t="n">
        <f aca="false">WEEKDAY(A126,2)</f>
        <v>5</v>
      </c>
      <c r="E126" s="33" t="n">
        <f aca="false">HOUR(A126)+MINUTE(A126)/60</f>
        <v>4</v>
      </c>
      <c r="F126" s="33" t="n">
        <f aca="false">IF(OR(D126&gt;5,E126&lt;8,E126&gt;=18,COUNTIF($K$2:$K$10,INT(A126))&gt;0),1,0)</f>
        <v>1</v>
      </c>
      <c r="G126" s="34" t="n">
        <f aca="false">B126/1</f>
        <v>66.878</v>
      </c>
      <c r="H126" s="34" t="n">
        <f aca="false">IF(F126=1,G126,"")</f>
        <v>66.878</v>
      </c>
    </row>
    <row r="127" customFormat="false" ht="15" hidden="false" customHeight="false" outlineLevel="0" collapsed="false">
      <c r="A127" s="31" t="n">
        <v>42741.2083333333</v>
      </c>
      <c r="B127" s="32" t="n">
        <v>67.387</v>
      </c>
      <c r="D127" s="33" t="n">
        <f aca="false">WEEKDAY(A127,2)</f>
        <v>5</v>
      </c>
      <c r="E127" s="33" t="n">
        <f aca="false">HOUR(A127)+MINUTE(A127)/60</f>
        <v>5</v>
      </c>
      <c r="F127" s="33" t="n">
        <f aca="false">IF(OR(D127&gt;5,E127&lt;8,E127&gt;=18,COUNTIF($K$2:$K$10,INT(A127))&gt;0),1,0)</f>
        <v>1</v>
      </c>
      <c r="G127" s="34" t="n">
        <f aca="false">B127/1</f>
        <v>67.387</v>
      </c>
      <c r="H127" s="34" t="n">
        <f aca="false">IF(F127=1,G127,"")</f>
        <v>67.387</v>
      </c>
    </row>
    <row r="128" customFormat="false" ht="15" hidden="false" customHeight="false" outlineLevel="0" collapsed="false">
      <c r="A128" s="31" t="n">
        <v>42741.25</v>
      </c>
      <c r="B128" s="32" t="n">
        <v>70.702</v>
      </c>
      <c r="D128" s="33" t="n">
        <f aca="false">WEEKDAY(A128,2)</f>
        <v>5</v>
      </c>
      <c r="E128" s="33" t="n">
        <f aca="false">HOUR(A128)+MINUTE(A128)/60</f>
        <v>6</v>
      </c>
      <c r="F128" s="33" t="n">
        <f aca="false">IF(OR(D128&gt;5,E128&lt;8,E128&gt;=18,COUNTIF($K$2:$K$10,INT(A128))&gt;0),1,0)</f>
        <v>1</v>
      </c>
      <c r="G128" s="34" t="n">
        <f aca="false">B128/1</f>
        <v>70.702</v>
      </c>
      <c r="H128" s="34" t="n">
        <f aca="false">IF(F128=1,G128,"")</f>
        <v>70.702</v>
      </c>
    </row>
    <row r="129" customFormat="false" ht="15" hidden="false" customHeight="false" outlineLevel="0" collapsed="false">
      <c r="A129" s="31" t="n">
        <v>42741.2916666667</v>
      </c>
      <c r="B129" s="32" t="n">
        <v>76.22</v>
      </c>
      <c r="D129" s="33" t="n">
        <f aca="false">WEEKDAY(A129,2)</f>
        <v>5</v>
      </c>
      <c r="E129" s="33" t="n">
        <f aca="false">HOUR(A129)+MINUTE(A129)/60</f>
        <v>7</v>
      </c>
      <c r="F129" s="33" t="n">
        <f aca="false">IF(OR(D129&gt;5,E129&lt;8,E129&gt;=18,COUNTIF($K$2:$K$10,INT(A129))&gt;0),1,0)</f>
        <v>1</v>
      </c>
      <c r="G129" s="34" t="n">
        <f aca="false">B129/1</f>
        <v>76.22</v>
      </c>
      <c r="H129" s="34" t="n">
        <f aca="false">IF(F129=1,G129,"")</f>
        <v>76.22</v>
      </c>
    </row>
    <row r="130" customFormat="false" ht="15" hidden="false" customHeight="false" outlineLevel="0" collapsed="false">
      <c r="A130" s="31" t="n">
        <v>42741.3333333333</v>
      </c>
      <c r="B130" s="32" t="n">
        <v>182.069</v>
      </c>
      <c r="D130" s="33" t="n">
        <f aca="false">WEEKDAY(A130,2)</f>
        <v>5</v>
      </c>
      <c r="E130" s="33" t="n">
        <f aca="false">HOUR(A130)+MINUTE(A130)/60</f>
        <v>8</v>
      </c>
      <c r="F130" s="33" t="n">
        <f aca="false">IF(OR(D130&gt;5,E130&lt;8,E130&gt;=18,COUNTIF($K$2:$K$10,INT(A130))&gt;0),1,0)</f>
        <v>0</v>
      </c>
      <c r="G130" s="34" t="n">
        <f aca="false">B130/1</f>
        <v>182.069</v>
      </c>
      <c r="H130" s="34" t="str">
        <f aca="false">IF(F130=1,G130,"")</f>
        <v/>
      </c>
    </row>
    <row r="131" customFormat="false" ht="15" hidden="false" customHeight="false" outlineLevel="0" collapsed="false">
      <c r="A131" s="31" t="n">
        <v>42741.375</v>
      </c>
      <c r="B131" s="32" t="n">
        <v>212.208</v>
      </c>
      <c r="D131" s="33" t="n">
        <f aca="false">WEEKDAY(A131,2)</f>
        <v>5</v>
      </c>
      <c r="E131" s="33" t="n">
        <f aca="false">HOUR(A131)+MINUTE(A131)/60</f>
        <v>9</v>
      </c>
      <c r="F131" s="33" t="n">
        <f aca="false">IF(OR(D131&gt;5,E131&lt;8,E131&gt;=18,COUNTIF($K$2:$K$10,INT(A131))&gt;0),1,0)</f>
        <v>0</v>
      </c>
      <c r="G131" s="34" t="n">
        <f aca="false">B131/1</f>
        <v>212.208</v>
      </c>
      <c r="H131" s="34" t="str">
        <f aca="false">IF(F131=1,G131,"")</f>
        <v/>
      </c>
    </row>
    <row r="132" customFormat="false" ht="15" hidden="false" customHeight="false" outlineLevel="0" collapsed="false">
      <c r="A132" s="31" t="n">
        <v>42741.4166666667</v>
      </c>
      <c r="B132" s="32" t="n">
        <v>218.709</v>
      </c>
      <c r="D132" s="33" t="n">
        <f aca="false">WEEKDAY(A132,2)</f>
        <v>5</v>
      </c>
      <c r="E132" s="33" t="n">
        <f aca="false">HOUR(A132)+MINUTE(A132)/60</f>
        <v>10</v>
      </c>
      <c r="F132" s="33" t="n">
        <f aca="false">IF(OR(D132&gt;5,E132&lt;8,E132&gt;=18,COUNTIF($K$2:$K$10,INT(A132))&gt;0),1,0)</f>
        <v>0</v>
      </c>
      <c r="G132" s="34" t="n">
        <f aca="false">B132/1</f>
        <v>218.709</v>
      </c>
      <c r="H132" s="34" t="str">
        <f aca="false">IF(F132=1,G132,"")</f>
        <v/>
      </c>
    </row>
    <row r="133" customFormat="false" ht="15" hidden="false" customHeight="false" outlineLevel="0" collapsed="false">
      <c r="A133" s="31" t="n">
        <v>42741.4583333333</v>
      </c>
      <c r="B133" s="32" t="n">
        <v>222.398</v>
      </c>
      <c r="D133" s="33" t="n">
        <f aca="false">WEEKDAY(A133,2)</f>
        <v>5</v>
      </c>
      <c r="E133" s="33" t="n">
        <f aca="false">HOUR(A133)+MINUTE(A133)/60</f>
        <v>11</v>
      </c>
      <c r="F133" s="33" t="n">
        <f aca="false">IF(OR(D133&gt;5,E133&lt;8,E133&gt;=18,COUNTIF($K$2:$K$10,INT(A133))&gt;0),1,0)</f>
        <v>0</v>
      </c>
      <c r="G133" s="34" t="n">
        <f aca="false">B133/1</f>
        <v>222.398</v>
      </c>
      <c r="H133" s="34" t="str">
        <f aca="false">IF(F133=1,G133,"")</f>
        <v/>
      </c>
    </row>
    <row r="134" customFormat="false" ht="15" hidden="false" customHeight="false" outlineLevel="0" collapsed="false">
      <c r="A134" s="31" t="n">
        <v>42741.5</v>
      </c>
      <c r="B134" s="32" t="n">
        <v>223.017</v>
      </c>
      <c r="D134" s="33" t="n">
        <f aca="false">WEEKDAY(A134,2)</f>
        <v>5</v>
      </c>
      <c r="E134" s="33" t="n">
        <f aca="false">HOUR(A134)+MINUTE(A134)/60</f>
        <v>12</v>
      </c>
      <c r="F134" s="33" t="n">
        <f aca="false">IF(OR(D134&gt;5,E134&lt;8,E134&gt;=18,COUNTIF($K$2:$K$10,INT(A134))&gt;0),1,0)</f>
        <v>0</v>
      </c>
      <c r="G134" s="34" t="n">
        <f aca="false">B134/1</f>
        <v>223.017</v>
      </c>
      <c r="H134" s="34" t="str">
        <f aca="false">IF(F134=1,G134,"")</f>
        <v/>
      </c>
    </row>
    <row r="135" customFormat="false" ht="15" hidden="false" customHeight="false" outlineLevel="0" collapsed="false">
      <c r="A135" s="31" t="n">
        <v>42741.5416666667</v>
      </c>
      <c r="B135" s="32" t="n">
        <v>222.535</v>
      </c>
      <c r="D135" s="33" t="n">
        <f aca="false">WEEKDAY(A135,2)</f>
        <v>5</v>
      </c>
      <c r="E135" s="33" t="n">
        <f aca="false">HOUR(A135)+MINUTE(A135)/60</f>
        <v>13</v>
      </c>
      <c r="F135" s="33" t="n">
        <f aca="false">IF(OR(D135&gt;5,E135&lt;8,E135&gt;=18,COUNTIF($K$2:$K$10,INT(A135))&gt;0),1,0)</f>
        <v>0</v>
      </c>
      <c r="G135" s="34" t="n">
        <f aca="false">B135/1</f>
        <v>222.535</v>
      </c>
      <c r="H135" s="34" t="str">
        <f aca="false">IF(F135=1,G135,"")</f>
        <v/>
      </c>
    </row>
    <row r="136" customFormat="false" ht="15" hidden="false" customHeight="false" outlineLevel="0" collapsed="false">
      <c r="A136" s="31" t="n">
        <v>42741.5833333333</v>
      </c>
      <c r="B136" s="32" t="n">
        <v>226.19</v>
      </c>
      <c r="D136" s="33" t="n">
        <f aca="false">WEEKDAY(A136,2)</f>
        <v>5</v>
      </c>
      <c r="E136" s="33" t="n">
        <f aca="false">HOUR(A136)+MINUTE(A136)/60</f>
        <v>14</v>
      </c>
      <c r="F136" s="33" t="n">
        <f aca="false">IF(OR(D136&gt;5,E136&lt;8,E136&gt;=18,COUNTIF($K$2:$K$10,INT(A136))&gt;0),1,0)</f>
        <v>0</v>
      </c>
      <c r="G136" s="34" t="n">
        <f aca="false">B136/1</f>
        <v>226.19</v>
      </c>
      <c r="H136" s="34" t="str">
        <f aca="false">IF(F136=1,G136,"")</f>
        <v/>
      </c>
    </row>
    <row r="137" customFormat="false" ht="15" hidden="false" customHeight="false" outlineLevel="0" collapsed="false">
      <c r="A137" s="31" t="n">
        <v>42741.625</v>
      </c>
      <c r="B137" s="32" t="n">
        <v>228.485</v>
      </c>
      <c r="D137" s="33" t="n">
        <f aca="false">WEEKDAY(A137,2)</f>
        <v>5</v>
      </c>
      <c r="E137" s="33" t="n">
        <f aca="false">HOUR(A137)+MINUTE(A137)/60</f>
        <v>15</v>
      </c>
      <c r="F137" s="33" t="n">
        <f aca="false">IF(OR(D137&gt;5,E137&lt;8,E137&gt;=18,COUNTIF($K$2:$K$10,INT(A137))&gt;0),1,0)</f>
        <v>0</v>
      </c>
      <c r="G137" s="34" t="n">
        <f aca="false">B137/1</f>
        <v>228.485</v>
      </c>
      <c r="H137" s="34" t="str">
        <f aca="false">IF(F137=1,G137,"")</f>
        <v/>
      </c>
    </row>
    <row r="138" customFormat="false" ht="15" hidden="false" customHeight="false" outlineLevel="0" collapsed="false">
      <c r="A138" s="31" t="n">
        <v>42741.6666666667</v>
      </c>
      <c r="B138" s="32" t="n">
        <v>216.417</v>
      </c>
      <c r="D138" s="33" t="n">
        <f aca="false">WEEKDAY(A138,2)</f>
        <v>5</v>
      </c>
      <c r="E138" s="33" t="n">
        <f aca="false">HOUR(A138)+MINUTE(A138)/60</f>
        <v>16</v>
      </c>
      <c r="F138" s="33" t="n">
        <f aca="false">IF(OR(D138&gt;5,E138&lt;8,E138&gt;=18,COUNTIF($K$2:$K$10,INT(A138))&gt;0),1,0)</f>
        <v>0</v>
      </c>
      <c r="G138" s="34" t="n">
        <f aca="false">B138/1</f>
        <v>216.417</v>
      </c>
      <c r="H138" s="34" t="str">
        <f aca="false">IF(F138=1,G138,"")</f>
        <v/>
      </c>
    </row>
    <row r="139" customFormat="false" ht="15" hidden="false" customHeight="false" outlineLevel="0" collapsed="false">
      <c r="A139" s="31" t="n">
        <v>42741.7083333333</v>
      </c>
      <c r="B139" s="32" t="n">
        <v>204.384</v>
      </c>
      <c r="D139" s="33" t="n">
        <f aca="false">WEEKDAY(A139,2)</f>
        <v>5</v>
      </c>
      <c r="E139" s="33" t="n">
        <f aca="false">HOUR(A139)+MINUTE(A139)/60</f>
        <v>17</v>
      </c>
      <c r="F139" s="33" t="n">
        <f aca="false">IF(OR(D139&gt;5,E139&lt;8,E139&gt;=18,COUNTIF($K$2:$K$10,INT(A139))&gt;0),1,0)</f>
        <v>0</v>
      </c>
      <c r="G139" s="34" t="n">
        <f aca="false">B139/1</f>
        <v>204.384</v>
      </c>
      <c r="H139" s="34" t="str">
        <f aca="false">IF(F139=1,G139,"")</f>
        <v/>
      </c>
    </row>
    <row r="140" customFormat="false" ht="15" hidden="false" customHeight="false" outlineLevel="0" collapsed="false">
      <c r="A140" s="31" t="n">
        <v>42741.75</v>
      </c>
      <c r="B140" s="32" t="n">
        <v>192.913</v>
      </c>
      <c r="D140" s="33" t="n">
        <f aca="false">WEEKDAY(A140,2)</f>
        <v>5</v>
      </c>
      <c r="E140" s="33" t="n">
        <f aca="false">HOUR(A140)+MINUTE(A140)/60</f>
        <v>18</v>
      </c>
      <c r="F140" s="33" t="n">
        <f aca="false">IF(OR(D140&gt;5,E140&lt;8,E140&gt;=18,COUNTIF($K$2:$K$10,INT(A140))&gt;0),1,0)</f>
        <v>1</v>
      </c>
      <c r="G140" s="34" t="n">
        <f aca="false">B140/1</f>
        <v>192.913</v>
      </c>
      <c r="H140" s="34" t="n">
        <f aca="false">IF(F140=1,G140,"")</f>
        <v>192.913</v>
      </c>
    </row>
    <row r="141" customFormat="false" ht="15" hidden="false" customHeight="false" outlineLevel="0" collapsed="false">
      <c r="A141" s="31" t="n">
        <v>42741.7916666667</v>
      </c>
      <c r="B141" s="32" t="n">
        <v>185.086</v>
      </c>
      <c r="D141" s="33" t="n">
        <f aca="false">WEEKDAY(A141,2)</f>
        <v>5</v>
      </c>
      <c r="E141" s="33" t="n">
        <f aca="false">HOUR(A141)+MINUTE(A141)/60</f>
        <v>19</v>
      </c>
      <c r="F141" s="33" t="n">
        <f aca="false">IF(OR(D141&gt;5,E141&lt;8,E141&gt;=18,COUNTIF($K$2:$K$10,INT(A141))&gt;0),1,0)</f>
        <v>1</v>
      </c>
      <c r="G141" s="34" t="n">
        <f aca="false">B141/1</f>
        <v>185.086</v>
      </c>
      <c r="H141" s="34" t="n">
        <f aca="false">IF(F141=1,G141,"")</f>
        <v>185.086</v>
      </c>
    </row>
    <row r="142" customFormat="false" ht="15" hidden="false" customHeight="false" outlineLevel="0" collapsed="false">
      <c r="A142" s="31" t="n">
        <v>42741.8333333333</v>
      </c>
      <c r="B142" s="32" t="n">
        <v>186.07</v>
      </c>
      <c r="D142" s="33" t="n">
        <f aca="false">WEEKDAY(A142,2)</f>
        <v>5</v>
      </c>
      <c r="E142" s="33" t="n">
        <f aca="false">HOUR(A142)+MINUTE(A142)/60</f>
        <v>20</v>
      </c>
      <c r="F142" s="33" t="n">
        <f aca="false">IF(OR(D142&gt;5,E142&lt;8,E142&gt;=18,COUNTIF($K$2:$K$10,INT(A142))&gt;0),1,0)</f>
        <v>1</v>
      </c>
      <c r="G142" s="34" t="n">
        <f aca="false">B142/1</f>
        <v>186.07</v>
      </c>
      <c r="H142" s="34" t="n">
        <f aca="false">IF(F142=1,G142,"")</f>
        <v>186.07</v>
      </c>
    </row>
    <row r="143" customFormat="false" ht="15" hidden="false" customHeight="false" outlineLevel="0" collapsed="false">
      <c r="A143" s="31" t="n">
        <v>42741.875</v>
      </c>
      <c r="B143" s="32" t="n">
        <v>181.906</v>
      </c>
      <c r="D143" s="33" t="n">
        <f aca="false">WEEKDAY(A143,2)</f>
        <v>5</v>
      </c>
      <c r="E143" s="33" t="n">
        <f aca="false">HOUR(A143)+MINUTE(A143)/60</f>
        <v>21</v>
      </c>
      <c r="F143" s="33" t="n">
        <f aca="false">IF(OR(D143&gt;5,E143&lt;8,E143&gt;=18,COUNTIF($K$2:$K$10,INT(A143))&gt;0),1,0)</f>
        <v>1</v>
      </c>
      <c r="G143" s="34" t="n">
        <f aca="false">B143/1</f>
        <v>181.906</v>
      </c>
      <c r="H143" s="34" t="n">
        <f aca="false">IF(F143=1,G143,"")</f>
        <v>181.906</v>
      </c>
    </row>
    <row r="144" customFormat="false" ht="15" hidden="false" customHeight="false" outlineLevel="0" collapsed="false">
      <c r="A144" s="31" t="n">
        <v>42741.9166666667</v>
      </c>
      <c r="B144" s="32" t="n">
        <v>133.463</v>
      </c>
      <c r="D144" s="33" t="n">
        <f aca="false">WEEKDAY(A144,2)</f>
        <v>5</v>
      </c>
      <c r="E144" s="33" t="n">
        <f aca="false">HOUR(A144)+MINUTE(A144)/60</f>
        <v>22</v>
      </c>
      <c r="F144" s="33" t="n">
        <f aca="false">IF(OR(D144&gt;5,E144&lt;8,E144&gt;=18,COUNTIF($K$2:$K$10,INT(A144))&gt;0),1,0)</f>
        <v>1</v>
      </c>
      <c r="G144" s="34" t="n">
        <f aca="false">B144/1</f>
        <v>133.463</v>
      </c>
      <c r="H144" s="34" t="n">
        <f aca="false">IF(F144=1,G144,"")</f>
        <v>133.463</v>
      </c>
    </row>
    <row r="145" customFormat="false" ht="15" hidden="false" customHeight="false" outlineLevel="0" collapsed="false">
      <c r="A145" s="31" t="n">
        <v>42741.9583333333</v>
      </c>
      <c r="B145" s="32" t="n">
        <v>73.946</v>
      </c>
      <c r="D145" s="33" t="n">
        <f aca="false">WEEKDAY(A145,2)</f>
        <v>5</v>
      </c>
      <c r="E145" s="33" t="n">
        <f aca="false">HOUR(A145)+MINUTE(A145)/60</f>
        <v>23</v>
      </c>
      <c r="F145" s="33" t="n">
        <f aca="false">IF(OR(D145&gt;5,E145&lt;8,E145&gt;=18,COUNTIF($K$2:$K$10,INT(A145))&gt;0),1,0)</f>
        <v>1</v>
      </c>
      <c r="G145" s="34" t="n">
        <f aca="false">B145/1</f>
        <v>73.946</v>
      </c>
      <c r="H145" s="34" t="n">
        <f aca="false">IF(F145=1,G145,"")</f>
        <v>73.946</v>
      </c>
    </row>
    <row r="146" customFormat="false" ht="15" hidden="false" customHeight="false" outlineLevel="0" collapsed="false">
      <c r="A146" s="31" t="n">
        <v>42742</v>
      </c>
      <c r="B146" s="32" t="n">
        <v>71.032</v>
      </c>
      <c r="D146" s="33" t="n">
        <f aca="false">WEEKDAY(A146,2)</f>
        <v>6</v>
      </c>
      <c r="E146" s="33" t="n">
        <f aca="false">HOUR(A146)+MINUTE(A146)/60</f>
        <v>0</v>
      </c>
      <c r="F146" s="33" t="n">
        <f aca="false">IF(OR(D146&gt;5,E146&lt;8,E146&gt;=18,COUNTIF($K$2:$K$10,INT(A146))&gt;0),1,0)</f>
        <v>1</v>
      </c>
      <c r="G146" s="34" t="n">
        <f aca="false">B146/1</f>
        <v>71.032</v>
      </c>
      <c r="H146" s="34" t="n">
        <f aca="false">IF(F146=1,G146,"")</f>
        <v>71.032</v>
      </c>
    </row>
    <row r="147" customFormat="false" ht="15" hidden="false" customHeight="false" outlineLevel="0" collapsed="false">
      <c r="A147" s="31" t="n">
        <v>42742.0416666667</v>
      </c>
      <c r="B147" s="32" t="n">
        <v>68.788</v>
      </c>
      <c r="D147" s="33" t="n">
        <f aca="false">WEEKDAY(A147,2)</f>
        <v>6</v>
      </c>
      <c r="E147" s="33" t="n">
        <f aca="false">HOUR(A147)+MINUTE(A147)/60</f>
        <v>1</v>
      </c>
      <c r="F147" s="33" t="n">
        <f aca="false">IF(OR(D147&gt;5,E147&lt;8,E147&gt;=18,COUNTIF($K$2:$K$10,INT(A147))&gt;0),1,0)</f>
        <v>1</v>
      </c>
      <c r="G147" s="34" t="n">
        <f aca="false">B147/1</f>
        <v>68.788</v>
      </c>
      <c r="H147" s="34" t="n">
        <f aca="false">IF(F147=1,G147,"")</f>
        <v>68.788</v>
      </c>
    </row>
    <row r="148" customFormat="false" ht="15" hidden="false" customHeight="false" outlineLevel="0" collapsed="false">
      <c r="A148" s="31" t="n">
        <v>42742.0833333333</v>
      </c>
      <c r="B148" s="32" t="n">
        <v>67.737</v>
      </c>
      <c r="D148" s="33" t="n">
        <f aca="false">WEEKDAY(A148,2)</f>
        <v>6</v>
      </c>
      <c r="E148" s="33" t="n">
        <f aca="false">HOUR(A148)+MINUTE(A148)/60</f>
        <v>2</v>
      </c>
      <c r="F148" s="33" t="n">
        <f aca="false">IF(OR(D148&gt;5,E148&lt;8,E148&gt;=18,COUNTIF($K$2:$K$10,INT(A148))&gt;0),1,0)</f>
        <v>1</v>
      </c>
      <c r="G148" s="34" t="n">
        <f aca="false">B148/1</f>
        <v>67.737</v>
      </c>
      <c r="H148" s="34" t="n">
        <f aca="false">IF(F148=1,G148,"")</f>
        <v>67.737</v>
      </c>
    </row>
    <row r="149" customFormat="false" ht="15" hidden="false" customHeight="false" outlineLevel="0" collapsed="false">
      <c r="A149" s="31" t="n">
        <v>42742.125</v>
      </c>
      <c r="B149" s="32" t="n">
        <v>67.311</v>
      </c>
      <c r="D149" s="33" t="n">
        <f aca="false">WEEKDAY(A149,2)</f>
        <v>6</v>
      </c>
      <c r="E149" s="33" t="n">
        <f aca="false">HOUR(A149)+MINUTE(A149)/60</f>
        <v>3</v>
      </c>
      <c r="F149" s="33" t="n">
        <f aca="false">IF(OR(D149&gt;5,E149&lt;8,E149&gt;=18,COUNTIF($K$2:$K$10,INT(A149))&gt;0),1,0)</f>
        <v>1</v>
      </c>
      <c r="G149" s="34" t="n">
        <f aca="false">B149/1</f>
        <v>67.311</v>
      </c>
      <c r="H149" s="34" t="n">
        <f aca="false">IF(F149=1,G149,"")</f>
        <v>67.311</v>
      </c>
    </row>
    <row r="150" customFormat="false" ht="15" hidden="false" customHeight="false" outlineLevel="0" collapsed="false">
      <c r="A150" s="31" t="n">
        <v>42742.1666666667</v>
      </c>
      <c r="B150" s="32" t="n">
        <v>66.806</v>
      </c>
      <c r="D150" s="33" t="n">
        <f aca="false">WEEKDAY(A150,2)</f>
        <v>6</v>
      </c>
      <c r="E150" s="33" t="n">
        <f aca="false">HOUR(A150)+MINUTE(A150)/60</f>
        <v>4</v>
      </c>
      <c r="F150" s="33" t="n">
        <f aca="false">IF(OR(D150&gt;5,E150&lt;8,E150&gt;=18,COUNTIF($K$2:$K$10,INT(A150))&gt;0),1,0)</f>
        <v>1</v>
      </c>
      <c r="G150" s="34" t="n">
        <f aca="false">B150/1</f>
        <v>66.806</v>
      </c>
      <c r="H150" s="34" t="n">
        <f aca="false">IF(F150=1,G150,"")</f>
        <v>66.806</v>
      </c>
    </row>
    <row r="151" customFormat="false" ht="15" hidden="false" customHeight="false" outlineLevel="0" collapsed="false">
      <c r="A151" s="31" t="n">
        <v>42742.2083333333</v>
      </c>
      <c r="B151" s="32" t="n">
        <v>62.931</v>
      </c>
      <c r="D151" s="33" t="n">
        <f aca="false">WEEKDAY(A151,2)</f>
        <v>6</v>
      </c>
      <c r="E151" s="33" t="n">
        <f aca="false">HOUR(A151)+MINUTE(A151)/60</f>
        <v>5</v>
      </c>
      <c r="F151" s="33" t="n">
        <f aca="false">IF(OR(D151&gt;5,E151&lt;8,E151&gt;=18,COUNTIF($K$2:$K$10,INT(A151))&gt;0),1,0)</f>
        <v>1</v>
      </c>
      <c r="G151" s="34" t="n">
        <f aca="false">B151/1</f>
        <v>62.931</v>
      </c>
      <c r="H151" s="34" t="n">
        <f aca="false">IF(F151=1,G151,"")</f>
        <v>62.931</v>
      </c>
    </row>
    <row r="152" customFormat="false" ht="15" hidden="false" customHeight="false" outlineLevel="0" collapsed="false">
      <c r="A152" s="31" t="n">
        <v>42742.25</v>
      </c>
      <c r="B152" s="32" t="n">
        <v>68.835</v>
      </c>
      <c r="D152" s="33" t="n">
        <f aca="false">WEEKDAY(A152,2)</f>
        <v>6</v>
      </c>
      <c r="E152" s="33" t="n">
        <f aca="false">HOUR(A152)+MINUTE(A152)/60</f>
        <v>6</v>
      </c>
      <c r="F152" s="33" t="n">
        <f aca="false">IF(OR(D152&gt;5,E152&lt;8,E152&gt;=18,COUNTIF($K$2:$K$10,INT(A152))&gt;0),1,0)</f>
        <v>1</v>
      </c>
      <c r="G152" s="34" t="n">
        <f aca="false">B152/1</f>
        <v>68.835</v>
      </c>
      <c r="H152" s="34" t="n">
        <f aca="false">IF(F152=1,G152,"")</f>
        <v>68.835</v>
      </c>
    </row>
    <row r="153" customFormat="false" ht="15" hidden="false" customHeight="false" outlineLevel="0" collapsed="false">
      <c r="A153" s="31" t="n">
        <v>42742.2916666667</v>
      </c>
      <c r="B153" s="32" t="n">
        <v>67.371</v>
      </c>
      <c r="D153" s="33" t="n">
        <f aca="false">WEEKDAY(A153,2)</f>
        <v>6</v>
      </c>
      <c r="E153" s="33" t="n">
        <f aca="false">HOUR(A153)+MINUTE(A153)/60</f>
        <v>7</v>
      </c>
      <c r="F153" s="33" t="n">
        <f aca="false">IF(OR(D153&gt;5,E153&lt;8,E153&gt;=18,COUNTIF($K$2:$K$10,INT(A153))&gt;0),1,0)</f>
        <v>1</v>
      </c>
      <c r="G153" s="34" t="n">
        <f aca="false">B153/1</f>
        <v>67.371</v>
      </c>
      <c r="H153" s="34" t="n">
        <f aca="false">IF(F153=1,G153,"")</f>
        <v>67.371</v>
      </c>
    </row>
    <row r="154" customFormat="false" ht="15" hidden="false" customHeight="false" outlineLevel="0" collapsed="false">
      <c r="A154" s="31" t="n">
        <v>42742.3333333333</v>
      </c>
      <c r="B154" s="32" t="n">
        <v>136.199</v>
      </c>
      <c r="D154" s="33" t="n">
        <f aca="false">WEEKDAY(A154,2)</f>
        <v>6</v>
      </c>
      <c r="E154" s="33" t="n">
        <f aca="false">HOUR(A154)+MINUTE(A154)/60</f>
        <v>8</v>
      </c>
      <c r="F154" s="33" t="n">
        <f aca="false">IF(OR(D154&gt;5,E154&lt;8,E154&gt;=18,COUNTIF($K$2:$K$10,INT(A154))&gt;0),1,0)</f>
        <v>1</v>
      </c>
      <c r="G154" s="34" t="n">
        <f aca="false">B154/1</f>
        <v>136.199</v>
      </c>
      <c r="H154" s="34" t="n">
        <f aca="false">IF(F154=1,G154,"")</f>
        <v>136.199</v>
      </c>
    </row>
    <row r="155" customFormat="false" ht="15" hidden="false" customHeight="false" outlineLevel="0" collapsed="false">
      <c r="A155" s="31" t="n">
        <v>42742.375</v>
      </c>
      <c r="B155" s="32" t="n">
        <v>172.686</v>
      </c>
      <c r="D155" s="33" t="n">
        <f aca="false">WEEKDAY(A155,2)</f>
        <v>6</v>
      </c>
      <c r="E155" s="33" t="n">
        <f aca="false">HOUR(A155)+MINUTE(A155)/60</f>
        <v>9</v>
      </c>
      <c r="F155" s="33" t="n">
        <f aca="false">IF(OR(D155&gt;5,E155&lt;8,E155&gt;=18,COUNTIF($K$2:$K$10,INT(A155))&gt;0),1,0)</f>
        <v>1</v>
      </c>
      <c r="G155" s="34" t="n">
        <f aca="false">B155/1</f>
        <v>172.686</v>
      </c>
      <c r="H155" s="34" t="n">
        <f aca="false">IF(F155=1,G155,"")</f>
        <v>172.686</v>
      </c>
    </row>
    <row r="156" customFormat="false" ht="15" hidden="false" customHeight="false" outlineLevel="0" collapsed="false">
      <c r="A156" s="31" t="n">
        <v>42742.4166666667</v>
      </c>
      <c r="B156" s="32" t="n">
        <v>177.533</v>
      </c>
      <c r="D156" s="33" t="n">
        <f aca="false">WEEKDAY(A156,2)</f>
        <v>6</v>
      </c>
      <c r="E156" s="33" t="n">
        <f aca="false">HOUR(A156)+MINUTE(A156)/60</f>
        <v>10</v>
      </c>
      <c r="F156" s="33" t="n">
        <f aca="false">IF(OR(D156&gt;5,E156&lt;8,E156&gt;=18,COUNTIF($K$2:$K$10,INT(A156))&gt;0),1,0)</f>
        <v>1</v>
      </c>
      <c r="G156" s="34" t="n">
        <f aca="false">B156/1</f>
        <v>177.533</v>
      </c>
      <c r="H156" s="34" t="n">
        <f aca="false">IF(F156=1,G156,"")</f>
        <v>177.533</v>
      </c>
    </row>
    <row r="157" customFormat="false" ht="15" hidden="false" customHeight="false" outlineLevel="0" collapsed="false">
      <c r="A157" s="31" t="n">
        <v>42742.4583333333</v>
      </c>
      <c r="B157" s="32" t="n">
        <v>176.641</v>
      </c>
      <c r="D157" s="33" t="n">
        <f aca="false">WEEKDAY(A157,2)</f>
        <v>6</v>
      </c>
      <c r="E157" s="33" t="n">
        <f aca="false">HOUR(A157)+MINUTE(A157)/60</f>
        <v>11</v>
      </c>
      <c r="F157" s="33" t="n">
        <f aca="false">IF(OR(D157&gt;5,E157&lt;8,E157&gt;=18,COUNTIF($K$2:$K$10,INT(A157))&gt;0),1,0)</f>
        <v>1</v>
      </c>
      <c r="G157" s="34" t="n">
        <f aca="false">B157/1</f>
        <v>176.641</v>
      </c>
      <c r="H157" s="34" t="n">
        <f aca="false">IF(F157=1,G157,"")</f>
        <v>176.641</v>
      </c>
    </row>
    <row r="158" customFormat="false" ht="15" hidden="false" customHeight="false" outlineLevel="0" collapsed="false">
      <c r="A158" s="31" t="n">
        <v>42742.5</v>
      </c>
      <c r="B158" s="32" t="n">
        <v>178.692</v>
      </c>
      <c r="D158" s="33" t="n">
        <f aca="false">WEEKDAY(A158,2)</f>
        <v>6</v>
      </c>
      <c r="E158" s="33" t="n">
        <f aca="false">HOUR(A158)+MINUTE(A158)/60</f>
        <v>12</v>
      </c>
      <c r="F158" s="33" t="n">
        <f aca="false">IF(OR(D158&gt;5,E158&lt;8,E158&gt;=18,COUNTIF($K$2:$K$10,INT(A158))&gt;0),1,0)</f>
        <v>1</v>
      </c>
      <c r="G158" s="34" t="n">
        <f aca="false">B158/1</f>
        <v>178.692</v>
      </c>
      <c r="H158" s="34" t="n">
        <f aca="false">IF(F158=1,G158,"")</f>
        <v>178.692</v>
      </c>
    </row>
    <row r="159" customFormat="false" ht="15" hidden="false" customHeight="false" outlineLevel="0" collapsed="false">
      <c r="A159" s="31" t="n">
        <v>42742.5416666667</v>
      </c>
      <c r="B159" s="32" t="n">
        <v>177.977</v>
      </c>
      <c r="D159" s="33" t="n">
        <f aca="false">WEEKDAY(A159,2)</f>
        <v>6</v>
      </c>
      <c r="E159" s="33" t="n">
        <f aca="false">HOUR(A159)+MINUTE(A159)/60</f>
        <v>13</v>
      </c>
      <c r="F159" s="33" t="n">
        <f aca="false">IF(OR(D159&gt;5,E159&lt;8,E159&gt;=18,COUNTIF($K$2:$K$10,INT(A159))&gt;0),1,0)</f>
        <v>1</v>
      </c>
      <c r="G159" s="34" t="n">
        <f aca="false">B159/1</f>
        <v>177.977</v>
      </c>
      <c r="H159" s="34" t="n">
        <f aca="false">IF(F159=1,G159,"")</f>
        <v>177.977</v>
      </c>
    </row>
    <row r="160" customFormat="false" ht="15" hidden="false" customHeight="false" outlineLevel="0" collapsed="false">
      <c r="A160" s="31" t="n">
        <v>42742.5833333333</v>
      </c>
      <c r="B160" s="32" t="n">
        <v>175.985</v>
      </c>
      <c r="D160" s="33" t="n">
        <f aca="false">WEEKDAY(A160,2)</f>
        <v>6</v>
      </c>
      <c r="E160" s="33" t="n">
        <f aca="false">HOUR(A160)+MINUTE(A160)/60</f>
        <v>14</v>
      </c>
      <c r="F160" s="33" t="n">
        <f aca="false">IF(OR(D160&gt;5,E160&lt;8,E160&gt;=18,COUNTIF($K$2:$K$10,INT(A160))&gt;0),1,0)</f>
        <v>1</v>
      </c>
      <c r="G160" s="34" t="n">
        <f aca="false">B160/1</f>
        <v>175.985</v>
      </c>
      <c r="H160" s="34" t="n">
        <f aca="false">IF(F160=1,G160,"")</f>
        <v>175.985</v>
      </c>
    </row>
    <row r="161" customFormat="false" ht="15" hidden="false" customHeight="false" outlineLevel="0" collapsed="false">
      <c r="A161" s="31" t="n">
        <v>42742.625</v>
      </c>
      <c r="B161" s="32" t="n">
        <v>179.252</v>
      </c>
      <c r="D161" s="33" t="n">
        <f aca="false">WEEKDAY(A161,2)</f>
        <v>6</v>
      </c>
      <c r="E161" s="33" t="n">
        <f aca="false">HOUR(A161)+MINUTE(A161)/60</f>
        <v>15</v>
      </c>
      <c r="F161" s="33" t="n">
        <f aca="false">IF(OR(D161&gt;5,E161&lt;8,E161&gt;=18,COUNTIF($K$2:$K$10,INT(A161))&gt;0),1,0)</f>
        <v>1</v>
      </c>
      <c r="G161" s="34" t="n">
        <f aca="false">B161/1</f>
        <v>179.252</v>
      </c>
      <c r="H161" s="34" t="n">
        <f aca="false">IF(F161=1,G161,"")</f>
        <v>179.252</v>
      </c>
    </row>
    <row r="162" customFormat="false" ht="15" hidden="false" customHeight="false" outlineLevel="0" collapsed="false">
      <c r="A162" s="31" t="n">
        <v>42742.6666666667</v>
      </c>
      <c r="B162" s="32" t="n">
        <v>174.812</v>
      </c>
      <c r="D162" s="33" t="n">
        <f aca="false">WEEKDAY(A162,2)</f>
        <v>6</v>
      </c>
      <c r="E162" s="33" t="n">
        <f aca="false">HOUR(A162)+MINUTE(A162)/60</f>
        <v>16</v>
      </c>
      <c r="F162" s="33" t="n">
        <f aca="false">IF(OR(D162&gt;5,E162&lt;8,E162&gt;=18,COUNTIF($K$2:$K$10,INT(A162))&gt;0),1,0)</f>
        <v>1</v>
      </c>
      <c r="G162" s="34" t="n">
        <f aca="false">B162/1</f>
        <v>174.812</v>
      </c>
      <c r="H162" s="34" t="n">
        <f aca="false">IF(F162=1,G162,"")</f>
        <v>174.812</v>
      </c>
    </row>
    <row r="163" customFormat="false" ht="15" hidden="false" customHeight="false" outlineLevel="0" collapsed="false">
      <c r="A163" s="31" t="n">
        <v>42742.7083333333</v>
      </c>
      <c r="B163" s="32" t="n">
        <v>148.935</v>
      </c>
      <c r="D163" s="33" t="n">
        <f aca="false">WEEKDAY(A163,2)</f>
        <v>6</v>
      </c>
      <c r="E163" s="33" t="n">
        <f aca="false">HOUR(A163)+MINUTE(A163)/60</f>
        <v>17</v>
      </c>
      <c r="F163" s="33" t="n">
        <f aca="false">IF(OR(D163&gt;5,E163&lt;8,E163&gt;=18,COUNTIF($K$2:$K$10,INT(A163))&gt;0),1,0)</f>
        <v>1</v>
      </c>
      <c r="G163" s="34" t="n">
        <f aca="false">B163/1</f>
        <v>148.935</v>
      </c>
      <c r="H163" s="34" t="n">
        <f aca="false">IF(F163=1,G163,"")</f>
        <v>148.935</v>
      </c>
    </row>
    <row r="164" customFormat="false" ht="15" hidden="false" customHeight="false" outlineLevel="0" collapsed="false">
      <c r="A164" s="31" t="n">
        <v>42742.75</v>
      </c>
      <c r="B164" s="32" t="n">
        <v>84.554</v>
      </c>
      <c r="D164" s="33" t="n">
        <f aca="false">WEEKDAY(A164,2)</f>
        <v>6</v>
      </c>
      <c r="E164" s="33" t="n">
        <f aca="false">HOUR(A164)+MINUTE(A164)/60</f>
        <v>18</v>
      </c>
      <c r="F164" s="33" t="n">
        <f aca="false">IF(OR(D164&gt;5,E164&lt;8,E164&gt;=18,COUNTIF($K$2:$K$10,INT(A164))&gt;0),1,0)</f>
        <v>1</v>
      </c>
      <c r="G164" s="34" t="n">
        <f aca="false">B164/1</f>
        <v>84.554</v>
      </c>
      <c r="H164" s="34" t="n">
        <f aca="false">IF(F164=1,G164,"")</f>
        <v>84.554</v>
      </c>
    </row>
    <row r="165" customFormat="false" ht="15" hidden="false" customHeight="false" outlineLevel="0" collapsed="false">
      <c r="A165" s="31" t="n">
        <v>42742.7916666667</v>
      </c>
      <c r="B165" s="32" t="n">
        <v>71.707</v>
      </c>
      <c r="D165" s="33" t="n">
        <f aca="false">WEEKDAY(A165,2)</f>
        <v>6</v>
      </c>
      <c r="E165" s="33" t="n">
        <f aca="false">HOUR(A165)+MINUTE(A165)/60</f>
        <v>19</v>
      </c>
      <c r="F165" s="33" t="n">
        <f aca="false">IF(OR(D165&gt;5,E165&lt;8,E165&gt;=18,COUNTIF($K$2:$K$10,INT(A165))&gt;0),1,0)</f>
        <v>1</v>
      </c>
      <c r="G165" s="34" t="n">
        <f aca="false">B165/1</f>
        <v>71.707</v>
      </c>
      <c r="H165" s="34" t="n">
        <f aca="false">IF(F165=1,G165,"")</f>
        <v>71.707</v>
      </c>
    </row>
    <row r="166" customFormat="false" ht="15" hidden="false" customHeight="false" outlineLevel="0" collapsed="false">
      <c r="A166" s="31" t="n">
        <v>42742.8333333333</v>
      </c>
      <c r="B166" s="32" t="n">
        <v>73.296</v>
      </c>
      <c r="D166" s="33" t="n">
        <f aca="false">WEEKDAY(A166,2)</f>
        <v>6</v>
      </c>
      <c r="E166" s="33" t="n">
        <f aca="false">HOUR(A166)+MINUTE(A166)/60</f>
        <v>20</v>
      </c>
      <c r="F166" s="33" t="n">
        <f aca="false">IF(OR(D166&gt;5,E166&lt;8,E166&gt;=18,COUNTIF($K$2:$K$10,INT(A166))&gt;0),1,0)</f>
        <v>1</v>
      </c>
      <c r="G166" s="34" t="n">
        <f aca="false">B166/1</f>
        <v>73.296</v>
      </c>
      <c r="H166" s="34" t="n">
        <f aca="false">IF(F166=1,G166,"")</f>
        <v>73.296</v>
      </c>
    </row>
    <row r="167" customFormat="false" ht="15" hidden="false" customHeight="false" outlineLevel="0" collapsed="false">
      <c r="A167" s="31" t="n">
        <v>42742.875</v>
      </c>
      <c r="B167" s="32" t="n">
        <v>70.264</v>
      </c>
      <c r="D167" s="33" t="n">
        <f aca="false">WEEKDAY(A167,2)</f>
        <v>6</v>
      </c>
      <c r="E167" s="33" t="n">
        <f aca="false">HOUR(A167)+MINUTE(A167)/60</f>
        <v>21</v>
      </c>
      <c r="F167" s="33" t="n">
        <f aca="false">IF(OR(D167&gt;5,E167&lt;8,E167&gt;=18,COUNTIF($K$2:$K$10,INT(A167))&gt;0),1,0)</f>
        <v>1</v>
      </c>
      <c r="G167" s="34" t="n">
        <f aca="false">B167/1</f>
        <v>70.264</v>
      </c>
      <c r="H167" s="34" t="n">
        <f aca="false">IF(F167=1,G167,"")</f>
        <v>70.264</v>
      </c>
    </row>
    <row r="168" customFormat="false" ht="15" hidden="false" customHeight="false" outlineLevel="0" collapsed="false">
      <c r="A168" s="31" t="n">
        <v>42742.9166666667</v>
      </c>
      <c r="B168" s="32" t="n">
        <v>69.327</v>
      </c>
      <c r="D168" s="33" t="n">
        <f aca="false">WEEKDAY(A168,2)</f>
        <v>6</v>
      </c>
      <c r="E168" s="33" t="n">
        <f aca="false">HOUR(A168)+MINUTE(A168)/60</f>
        <v>22</v>
      </c>
      <c r="F168" s="33" t="n">
        <f aca="false">IF(OR(D168&gt;5,E168&lt;8,E168&gt;=18,COUNTIF($K$2:$K$10,INT(A168))&gt;0),1,0)</f>
        <v>1</v>
      </c>
      <c r="G168" s="34" t="n">
        <f aca="false">B168/1</f>
        <v>69.327</v>
      </c>
      <c r="H168" s="34" t="n">
        <f aca="false">IF(F168=1,G168,"")</f>
        <v>69.327</v>
      </c>
    </row>
    <row r="169" customFormat="false" ht="15" hidden="false" customHeight="false" outlineLevel="0" collapsed="false">
      <c r="A169" s="31" t="n">
        <v>42742.9583333333</v>
      </c>
      <c r="B169" s="32" t="n">
        <v>63.095</v>
      </c>
      <c r="D169" s="33" t="n">
        <f aca="false">WEEKDAY(A169,2)</f>
        <v>6</v>
      </c>
      <c r="E169" s="33" t="n">
        <f aca="false">HOUR(A169)+MINUTE(A169)/60</f>
        <v>23</v>
      </c>
      <c r="F169" s="33" t="n">
        <f aca="false">IF(OR(D169&gt;5,E169&lt;8,E169&gt;=18,COUNTIF($K$2:$K$10,INT(A169))&gt;0),1,0)</f>
        <v>1</v>
      </c>
      <c r="G169" s="34" t="n">
        <f aca="false">B169/1</f>
        <v>63.095</v>
      </c>
      <c r="H169" s="34" t="n">
        <f aca="false">IF(F169=1,G169,"")</f>
        <v>63.095</v>
      </c>
    </row>
    <row r="170" customFormat="false" ht="15" hidden="false" customHeight="false" outlineLevel="0" collapsed="false">
      <c r="A170" s="31" t="n">
        <v>42743</v>
      </c>
      <c r="B170" s="32" t="n">
        <v>65.135</v>
      </c>
      <c r="D170" s="33" t="n">
        <f aca="false">WEEKDAY(A170,2)</f>
        <v>7</v>
      </c>
      <c r="E170" s="33" t="n">
        <f aca="false">HOUR(A170)+MINUTE(A170)/60</f>
        <v>0</v>
      </c>
      <c r="F170" s="33" t="n">
        <f aca="false">IF(OR(D170&gt;5,E170&lt;8,E170&gt;=18,COUNTIF($K$2:$K$10,INT(A170))&gt;0),1,0)</f>
        <v>1</v>
      </c>
      <c r="G170" s="34" t="n">
        <f aca="false">B170/1</f>
        <v>65.135</v>
      </c>
      <c r="H170" s="34" t="n">
        <f aca="false">IF(F170=1,G170,"")</f>
        <v>65.135</v>
      </c>
    </row>
    <row r="171" customFormat="false" ht="15" hidden="false" customHeight="false" outlineLevel="0" collapsed="false">
      <c r="A171" s="31" t="n">
        <v>42743.0416666667</v>
      </c>
      <c r="B171" s="32" t="n">
        <v>63.182</v>
      </c>
      <c r="D171" s="33" t="n">
        <f aca="false">WEEKDAY(A171,2)</f>
        <v>7</v>
      </c>
      <c r="E171" s="33" t="n">
        <f aca="false">HOUR(A171)+MINUTE(A171)/60</f>
        <v>1</v>
      </c>
      <c r="F171" s="33" t="n">
        <f aca="false">IF(OR(D171&gt;5,E171&lt;8,E171&gt;=18,COUNTIF($K$2:$K$10,INT(A171))&gt;0),1,0)</f>
        <v>1</v>
      </c>
      <c r="G171" s="34" t="n">
        <f aca="false">B171/1</f>
        <v>63.182</v>
      </c>
      <c r="H171" s="34" t="n">
        <f aca="false">IF(F171=1,G171,"")</f>
        <v>63.182</v>
      </c>
    </row>
    <row r="172" customFormat="false" ht="15" hidden="false" customHeight="false" outlineLevel="0" collapsed="false">
      <c r="A172" s="31" t="n">
        <v>42743.0833333333</v>
      </c>
      <c r="B172" s="32" t="n">
        <v>67.3</v>
      </c>
      <c r="D172" s="33" t="n">
        <f aca="false">WEEKDAY(A172,2)</f>
        <v>7</v>
      </c>
      <c r="E172" s="33" t="n">
        <f aca="false">HOUR(A172)+MINUTE(A172)/60</f>
        <v>2</v>
      </c>
      <c r="F172" s="33" t="n">
        <f aca="false">IF(OR(D172&gt;5,E172&lt;8,E172&gt;=18,COUNTIF($K$2:$K$10,INT(A172))&gt;0),1,0)</f>
        <v>1</v>
      </c>
      <c r="G172" s="34" t="n">
        <f aca="false">B172/1</f>
        <v>67.3</v>
      </c>
      <c r="H172" s="34" t="n">
        <f aca="false">IF(F172=1,G172,"")</f>
        <v>67.3</v>
      </c>
    </row>
    <row r="173" customFormat="false" ht="15" hidden="false" customHeight="false" outlineLevel="0" collapsed="false">
      <c r="A173" s="31" t="n">
        <v>42743.125</v>
      </c>
      <c r="B173" s="32" t="n">
        <v>65.032</v>
      </c>
      <c r="D173" s="33" t="n">
        <f aca="false">WEEKDAY(A173,2)</f>
        <v>7</v>
      </c>
      <c r="E173" s="33" t="n">
        <f aca="false">HOUR(A173)+MINUTE(A173)/60</f>
        <v>3</v>
      </c>
      <c r="F173" s="33" t="n">
        <f aca="false">IF(OR(D173&gt;5,E173&lt;8,E173&gt;=18,COUNTIF($K$2:$K$10,INT(A173))&gt;0),1,0)</f>
        <v>1</v>
      </c>
      <c r="G173" s="34" t="n">
        <f aca="false">B173/1</f>
        <v>65.032</v>
      </c>
      <c r="H173" s="34" t="n">
        <f aca="false">IF(F173=1,G173,"")</f>
        <v>65.032</v>
      </c>
    </row>
    <row r="174" customFormat="false" ht="15" hidden="false" customHeight="false" outlineLevel="0" collapsed="false">
      <c r="A174" s="31" t="n">
        <v>42743.1666666667</v>
      </c>
      <c r="B174" s="32" t="n">
        <v>64.413</v>
      </c>
      <c r="D174" s="33" t="n">
        <f aca="false">WEEKDAY(A174,2)</f>
        <v>7</v>
      </c>
      <c r="E174" s="33" t="n">
        <f aca="false">HOUR(A174)+MINUTE(A174)/60</f>
        <v>4</v>
      </c>
      <c r="F174" s="33" t="n">
        <f aca="false">IF(OR(D174&gt;5,E174&lt;8,E174&gt;=18,COUNTIF($K$2:$K$10,INT(A174))&gt;0),1,0)</f>
        <v>1</v>
      </c>
      <c r="G174" s="34" t="n">
        <f aca="false">B174/1</f>
        <v>64.413</v>
      </c>
      <c r="H174" s="34" t="n">
        <f aca="false">IF(F174=1,G174,"")</f>
        <v>64.413</v>
      </c>
    </row>
    <row r="175" customFormat="false" ht="15" hidden="false" customHeight="false" outlineLevel="0" collapsed="false">
      <c r="A175" s="31" t="n">
        <v>42743.2083333333</v>
      </c>
      <c r="B175" s="32" t="n">
        <v>64.623</v>
      </c>
      <c r="D175" s="33" t="n">
        <f aca="false">WEEKDAY(A175,2)</f>
        <v>7</v>
      </c>
      <c r="E175" s="33" t="n">
        <f aca="false">HOUR(A175)+MINUTE(A175)/60</f>
        <v>5</v>
      </c>
      <c r="F175" s="33" t="n">
        <f aca="false">IF(OR(D175&gt;5,E175&lt;8,E175&gt;=18,COUNTIF($K$2:$K$10,INT(A175))&gt;0),1,0)</f>
        <v>1</v>
      </c>
      <c r="G175" s="34" t="n">
        <f aca="false">B175/1</f>
        <v>64.623</v>
      </c>
      <c r="H175" s="34" t="n">
        <f aca="false">IF(F175=1,G175,"")</f>
        <v>64.623</v>
      </c>
    </row>
    <row r="176" customFormat="false" ht="15" hidden="false" customHeight="false" outlineLevel="0" collapsed="false">
      <c r="A176" s="31" t="n">
        <v>42743.25</v>
      </c>
      <c r="B176" s="32" t="n">
        <v>66.39</v>
      </c>
      <c r="D176" s="33" t="n">
        <f aca="false">WEEKDAY(A176,2)</f>
        <v>7</v>
      </c>
      <c r="E176" s="33" t="n">
        <f aca="false">HOUR(A176)+MINUTE(A176)/60</f>
        <v>6</v>
      </c>
      <c r="F176" s="33" t="n">
        <f aca="false">IF(OR(D176&gt;5,E176&lt;8,E176&gt;=18,COUNTIF($K$2:$K$10,INT(A176))&gt;0),1,0)</f>
        <v>1</v>
      </c>
      <c r="G176" s="34" t="n">
        <f aca="false">B176/1</f>
        <v>66.39</v>
      </c>
      <c r="H176" s="34" t="n">
        <f aca="false">IF(F176=1,G176,"")</f>
        <v>66.39</v>
      </c>
    </row>
    <row r="177" customFormat="false" ht="15" hidden="false" customHeight="false" outlineLevel="0" collapsed="false">
      <c r="A177" s="31" t="n">
        <v>42743.2916666667</v>
      </c>
      <c r="B177" s="32" t="n">
        <v>69.955</v>
      </c>
      <c r="D177" s="33" t="n">
        <f aca="false">WEEKDAY(A177,2)</f>
        <v>7</v>
      </c>
      <c r="E177" s="33" t="n">
        <f aca="false">HOUR(A177)+MINUTE(A177)/60</f>
        <v>7</v>
      </c>
      <c r="F177" s="33" t="n">
        <f aca="false">IF(OR(D177&gt;5,E177&lt;8,E177&gt;=18,COUNTIF($K$2:$K$10,INT(A177))&gt;0),1,0)</f>
        <v>1</v>
      </c>
      <c r="G177" s="34" t="n">
        <f aca="false">B177/1</f>
        <v>69.955</v>
      </c>
      <c r="H177" s="34" t="n">
        <f aca="false">IF(F177=1,G177,"")</f>
        <v>69.955</v>
      </c>
    </row>
    <row r="178" customFormat="false" ht="15" hidden="false" customHeight="false" outlineLevel="0" collapsed="false">
      <c r="A178" s="31" t="n">
        <v>42743.3333333333</v>
      </c>
      <c r="B178" s="32" t="n">
        <v>66.675</v>
      </c>
      <c r="D178" s="33" t="n">
        <f aca="false">WEEKDAY(A178,2)</f>
        <v>7</v>
      </c>
      <c r="E178" s="33" t="n">
        <f aca="false">HOUR(A178)+MINUTE(A178)/60</f>
        <v>8</v>
      </c>
      <c r="F178" s="33" t="n">
        <f aca="false">IF(OR(D178&gt;5,E178&lt;8,E178&gt;=18,COUNTIF($K$2:$K$10,INT(A178))&gt;0),1,0)</f>
        <v>1</v>
      </c>
      <c r="G178" s="34" t="n">
        <f aca="false">B178/1</f>
        <v>66.675</v>
      </c>
      <c r="H178" s="34" t="n">
        <f aca="false">IF(F178=1,G178,"")</f>
        <v>66.675</v>
      </c>
    </row>
    <row r="179" customFormat="false" ht="15" hidden="false" customHeight="false" outlineLevel="0" collapsed="false">
      <c r="A179" s="31" t="n">
        <v>42743.375</v>
      </c>
      <c r="B179" s="32" t="n">
        <v>66.843</v>
      </c>
      <c r="D179" s="33" t="n">
        <f aca="false">WEEKDAY(A179,2)</f>
        <v>7</v>
      </c>
      <c r="E179" s="33" t="n">
        <f aca="false">HOUR(A179)+MINUTE(A179)/60</f>
        <v>9</v>
      </c>
      <c r="F179" s="33" t="n">
        <f aca="false">IF(OR(D179&gt;5,E179&lt;8,E179&gt;=18,COUNTIF($K$2:$K$10,INT(A179))&gt;0),1,0)</f>
        <v>1</v>
      </c>
      <c r="G179" s="34" t="n">
        <f aca="false">B179/1</f>
        <v>66.843</v>
      </c>
      <c r="H179" s="34" t="n">
        <f aca="false">IF(F179=1,G179,"")</f>
        <v>66.843</v>
      </c>
    </row>
    <row r="180" customFormat="false" ht="15" hidden="false" customHeight="false" outlineLevel="0" collapsed="false">
      <c r="A180" s="31" t="n">
        <v>42743.4166666667</v>
      </c>
      <c r="B180" s="32" t="n">
        <v>65.432</v>
      </c>
      <c r="D180" s="33" t="n">
        <f aca="false">WEEKDAY(A180,2)</f>
        <v>7</v>
      </c>
      <c r="E180" s="33" t="n">
        <f aca="false">HOUR(A180)+MINUTE(A180)/60</f>
        <v>10</v>
      </c>
      <c r="F180" s="33" t="n">
        <f aca="false">IF(OR(D180&gt;5,E180&lt;8,E180&gt;=18,COUNTIF($K$2:$K$10,INT(A180))&gt;0),1,0)</f>
        <v>1</v>
      </c>
      <c r="G180" s="34" t="n">
        <f aca="false">B180/1</f>
        <v>65.432</v>
      </c>
      <c r="H180" s="34" t="n">
        <f aca="false">IF(F180=1,G180,"")</f>
        <v>65.432</v>
      </c>
    </row>
    <row r="181" customFormat="false" ht="15" hidden="false" customHeight="false" outlineLevel="0" collapsed="false">
      <c r="A181" s="31" t="n">
        <v>42743.4583333333</v>
      </c>
      <c r="B181" s="32" t="n">
        <v>65.508</v>
      </c>
      <c r="D181" s="33" t="n">
        <f aca="false">WEEKDAY(A181,2)</f>
        <v>7</v>
      </c>
      <c r="E181" s="33" t="n">
        <f aca="false">HOUR(A181)+MINUTE(A181)/60</f>
        <v>11</v>
      </c>
      <c r="F181" s="33" t="n">
        <f aca="false">IF(OR(D181&gt;5,E181&lt;8,E181&gt;=18,COUNTIF($K$2:$K$10,INT(A181))&gt;0),1,0)</f>
        <v>1</v>
      </c>
      <c r="G181" s="34" t="n">
        <f aca="false">B181/1</f>
        <v>65.508</v>
      </c>
      <c r="H181" s="34" t="n">
        <f aca="false">IF(F181=1,G181,"")</f>
        <v>65.508</v>
      </c>
    </row>
    <row r="182" customFormat="false" ht="15" hidden="false" customHeight="false" outlineLevel="0" collapsed="false">
      <c r="A182" s="31" t="n">
        <v>42743.5</v>
      </c>
      <c r="B182" s="32" t="n">
        <v>68.645</v>
      </c>
      <c r="D182" s="33" t="n">
        <f aca="false">WEEKDAY(A182,2)</f>
        <v>7</v>
      </c>
      <c r="E182" s="33" t="n">
        <f aca="false">HOUR(A182)+MINUTE(A182)/60</f>
        <v>12</v>
      </c>
      <c r="F182" s="33" t="n">
        <f aca="false">IF(OR(D182&gt;5,E182&lt;8,E182&gt;=18,COUNTIF($K$2:$K$10,INT(A182))&gt;0),1,0)</f>
        <v>1</v>
      </c>
      <c r="G182" s="34" t="n">
        <f aca="false">B182/1</f>
        <v>68.645</v>
      </c>
      <c r="H182" s="34" t="n">
        <f aca="false">IF(F182=1,G182,"")</f>
        <v>68.645</v>
      </c>
    </row>
    <row r="183" customFormat="false" ht="15" hidden="false" customHeight="false" outlineLevel="0" collapsed="false">
      <c r="A183" s="31" t="n">
        <v>42743.5416666667</v>
      </c>
      <c r="B183" s="32" t="n">
        <v>108.965</v>
      </c>
      <c r="D183" s="33" t="n">
        <f aca="false">WEEKDAY(A183,2)</f>
        <v>7</v>
      </c>
      <c r="E183" s="33" t="n">
        <f aca="false">HOUR(A183)+MINUTE(A183)/60</f>
        <v>13</v>
      </c>
      <c r="F183" s="33" t="n">
        <f aca="false">IF(OR(D183&gt;5,E183&lt;8,E183&gt;=18,COUNTIF($K$2:$K$10,INT(A183))&gt;0),1,0)</f>
        <v>1</v>
      </c>
      <c r="G183" s="34" t="n">
        <f aca="false">B183/1</f>
        <v>108.965</v>
      </c>
      <c r="H183" s="34" t="n">
        <f aca="false">IF(F183=1,G183,"")</f>
        <v>108.965</v>
      </c>
    </row>
    <row r="184" customFormat="false" ht="15" hidden="false" customHeight="false" outlineLevel="0" collapsed="false">
      <c r="A184" s="31" t="n">
        <v>42743.5833333333</v>
      </c>
      <c r="B184" s="32" t="n">
        <v>140.372</v>
      </c>
      <c r="D184" s="33" t="n">
        <f aca="false">WEEKDAY(A184,2)</f>
        <v>7</v>
      </c>
      <c r="E184" s="33" t="n">
        <f aca="false">HOUR(A184)+MINUTE(A184)/60</f>
        <v>14</v>
      </c>
      <c r="F184" s="33" t="n">
        <f aca="false">IF(OR(D184&gt;5,E184&lt;8,E184&gt;=18,COUNTIF($K$2:$K$10,INT(A184))&gt;0),1,0)</f>
        <v>1</v>
      </c>
      <c r="G184" s="34" t="n">
        <f aca="false">B184/1</f>
        <v>140.372</v>
      </c>
      <c r="H184" s="34" t="n">
        <f aca="false">IF(F184=1,G184,"")</f>
        <v>140.372</v>
      </c>
    </row>
    <row r="185" customFormat="false" ht="15" hidden="false" customHeight="false" outlineLevel="0" collapsed="false">
      <c r="A185" s="31" t="n">
        <v>42743.625</v>
      </c>
      <c r="B185" s="32" t="n">
        <v>142.013</v>
      </c>
      <c r="D185" s="33" t="n">
        <f aca="false">WEEKDAY(A185,2)</f>
        <v>7</v>
      </c>
      <c r="E185" s="33" t="n">
        <f aca="false">HOUR(A185)+MINUTE(A185)/60</f>
        <v>15</v>
      </c>
      <c r="F185" s="33" t="n">
        <f aca="false">IF(OR(D185&gt;5,E185&lt;8,E185&gt;=18,COUNTIF($K$2:$K$10,INT(A185))&gt;0),1,0)</f>
        <v>1</v>
      </c>
      <c r="G185" s="34" t="n">
        <f aca="false">B185/1</f>
        <v>142.013</v>
      </c>
      <c r="H185" s="34" t="n">
        <f aca="false">IF(F185=1,G185,"")</f>
        <v>142.013</v>
      </c>
    </row>
    <row r="186" customFormat="false" ht="15" hidden="false" customHeight="false" outlineLevel="0" collapsed="false">
      <c r="A186" s="31" t="n">
        <v>42743.6666666667</v>
      </c>
      <c r="B186" s="32" t="n">
        <v>141.714</v>
      </c>
      <c r="D186" s="33" t="n">
        <f aca="false">WEEKDAY(A186,2)</f>
        <v>7</v>
      </c>
      <c r="E186" s="33" t="n">
        <f aca="false">HOUR(A186)+MINUTE(A186)/60</f>
        <v>16</v>
      </c>
      <c r="F186" s="33" t="n">
        <f aca="false">IF(OR(D186&gt;5,E186&lt;8,E186&gt;=18,COUNTIF($K$2:$K$10,INT(A186))&gt;0),1,0)</f>
        <v>1</v>
      </c>
      <c r="G186" s="34" t="n">
        <f aca="false">B186/1</f>
        <v>141.714</v>
      </c>
      <c r="H186" s="34" t="n">
        <f aca="false">IF(F186=1,G186,"")</f>
        <v>141.714</v>
      </c>
    </row>
    <row r="187" customFormat="false" ht="15" hidden="false" customHeight="false" outlineLevel="0" collapsed="false">
      <c r="A187" s="31" t="n">
        <v>42743.7083333333</v>
      </c>
      <c r="B187" s="32" t="n">
        <v>141.638</v>
      </c>
      <c r="D187" s="33" t="n">
        <f aca="false">WEEKDAY(A187,2)</f>
        <v>7</v>
      </c>
      <c r="E187" s="33" t="n">
        <f aca="false">HOUR(A187)+MINUTE(A187)/60</f>
        <v>17</v>
      </c>
      <c r="F187" s="33" t="n">
        <f aca="false">IF(OR(D187&gt;5,E187&lt;8,E187&gt;=18,COUNTIF($K$2:$K$10,INT(A187))&gt;0),1,0)</f>
        <v>1</v>
      </c>
      <c r="G187" s="34" t="n">
        <f aca="false">B187/1</f>
        <v>141.638</v>
      </c>
      <c r="H187" s="34" t="n">
        <f aca="false">IF(F187=1,G187,"")</f>
        <v>141.638</v>
      </c>
    </row>
    <row r="188" customFormat="false" ht="15" hidden="false" customHeight="false" outlineLevel="0" collapsed="false">
      <c r="A188" s="31" t="n">
        <v>42743.75</v>
      </c>
      <c r="B188" s="32" t="n">
        <v>80.607</v>
      </c>
      <c r="D188" s="33" t="n">
        <f aca="false">WEEKDAY(A188,2)</f>
        <v>7</v>
      </c>
      <c r="E188" s="33" t="n">
        <f aca="false">HOUR(A188)+MINUTE(A188)/60</f>
        <v>18</v>
      </c>
      <c r="F188" s="33" t="n">
        <f aca="false">IF(OR(D188&gt;5,E188&lt;8,E188&gt;=18,COUNTIF($K$2:$K$10,INT(A188))&gt;0),1,0)</f>
        <v>1</v>
      </c>
      <c r="G188" s="34" t="n">
        <f aca="false">B188/1</f>
        <v>80.607</v>
      </c>
      <c r="H188" s="34" t="n">
        <f aca="false">IF(F188=1,G188,"")</f>
        <v>80.607</v>
      </c>
    </row>
    <row r="189" customFormat="false" ht="15" hidden="false" customHeight="false" outlineLevel="0" collapsed="false">
      <c r="A189" s="31" t="n">
        <v>42743.7916666667</v>
      </c>
      <c r="B189" s="32" t="n">
        <v>71.385</v>
      </c>
      <c r="D189" s="33" t="n">
        <f aca="false">WEEKDAY(A189,2)</f>
        <v>7</v>
      </c>
      <c r="E189" s="33" t="n">
        <f aca="false">HOUR(A189)+MINUTE(A189)/60</f>
        <v>19</v>
      </c>
      <c r="F189" s="33" t="n">
        <f aca="false">IF(OR(D189&gt;5,E189&lt;8,E189&gt;=18,COUNTIF($K$2:$K$10,INT(A189))&gt;0),1,0)</f>
        <v>1</v>
      </c>
      <c r="G189" s="34" t="n">
        <f aca="false">B189/1</f>
        <v>71.385</v>
      </c>
      <c r="H189" s="34" t="n">
        <f aca="false">IF(F189=1,G189,"")</f>
        <v>71.385</v>
      </c>
    </row>
    <row r="190" customFormat="false" ht="15" hidden="false" customHeight="false" outlineLevel="0" collapsed="false">
      <c r="A190" s="31" t="n">
        <v>42743.8333333333</v>
      </c>
      <c r="B190" s="32" t="n">
        <v>72.525</v>
      </c>
      <c r="D190" s="33" t="n">
        <f aca="false">WEEKDAY(A190,2)</f>
        <v>7</v>
      </c>
      <c r="E190" s="33" t="n">
        <f aca="false">HOUR(A190)+MINUTE(A190)/60</f>
        <v>20</v>
      </c>
      <c r="F190" s="33" t="n">
        <f aca="false">IF(OR(D190&gt;5,E190&lt;8,E190&gt;=18,COUNTIF($K$2:$K$10,INT(A190))&gt;0),1,0)</f>
        <v>1</v>
      </c>
      <c r="G190" s="34" t="n">
        <f aca="false">B190/1</f>
        <v>72.525</v>
      </c>
      <c r="H190" s="34" t="n">
        <f aca="false">IF(F190=1,G190,"")</f>
        <v>72.525</v>
      </c>
    </row>
    <row r="191" customFormat="false" ht="15" hidden="false" customHeight="false" outlineLevel="0" collapsed="false">
      <c r="A191" s="31" t="n">
        <v>42743.875</v>
      </c>
      <c r="B191" s="32" t="n">
        <v>66.046</v>
      </c>
      <c r="D191" s="33" t="n">
        <f aca="false">WEEKDAY(A191,2)</f>
        <v>7</v>
      </c>
      <c r="E191" s="33" t="n">
        <f aca="false">HOUR(A191)+MINUTE(A191)/60</f>
        <v>21</v>
      </c>
      <c r="F191" s="33" t="n">
        <f aca="false">IF(OR(D191&gt;5,E191&lt;8,E191&gt;=18,COUNTIF($K$2:$K$10,INT(A191))&gt;0),1,0)</f>
        <v>1</v>
      </c>
      <c r="G191" s="34" t="n">
        <f aca="false">B191/1</f>
        <v>66.046</v>
      </c>
      <c r="H191" s="34" t="n">
        <f aca="false">IF(F191=1,G191,"")</f>
        <v>66.046</v>
      </c>
    </row>
    <row r="192" customFormat="false" ht="15" hidden="false" customHeight="false" outlineLevel="0" collapsed="false">
      <c r="A192" s="31" t="n">
        <v>42743.9166666667</v>
      </c>
      <c r="B192" s="32" t="n">
        <v>69.707</v>
      </c>
      <c r="D192" s="33" t="n">
        <f aca="false">WEEKDAY(A192,2)</f>
        <v>7</v>
      </c>
      <c r="E192" s="33" t="n">
        <f aca="false">HOUR(A192)+MINUTE(A192)/60</f>
        <v>22</v>
      </c>
      <c r="F192" s="33" t="n">
        <f aca="false">IF(OR(D192&gt;5,E192&lt;8,E192&gt;=18,COUNTIF($K$2:$K$10,INT(A192))&gt;0),1,0)</f>
        <v>1</v>
      </c>
      <c r="G192" s="34" t="n">
        <f aca="false">B192/1</f>
        <v>69.707</v>
      </c>
      <c r="H192" s="34" t="n">
        <f aca="false">IF(F192=1,G192,"")</f>
        <v>69.707</v>
      </c>
    </row>
    <row r="193" customFormat="false" ht="15" hidden="false" customHeight="false" outlineLevel="0" collapsed="false">
      <c r="A193" s="31" t="n">
        <v>42743.9583333333</v>
      </c>
      <c r="B193" s="32" t="n">
        <v>63.62</v>
      </c>
      <c r="D193" s="33" t="n">
        <f aca="false">WEEKDAY(A193,2)</f>
        <v>7</v>
      </c>
      <c r="E193" s="33" t="n">
        <f aca="false">HOUR(A193)+MINUTE(A193)/60</f>
        <v>23</v>
      </c>
      <c r="F193" s="33" t="n">
        <f aca="false">IF(OR(D193&gt;5,E193&lt;8,E193&gt;=18,COUNTIF($K$2:$K$10,INT(A193))&gt;0),1,0)</f>
        <v>1</v>
      </c>
      <c r="G193" s="34" t="n">
        <f aca="false">B193/1</f>
        <v>63.62</v>
      </c>
      <c r="H193" s="34" t="n">
        <f aca="false">IF(F193=1,G193,"")</f>
        <v>63.62</v>
      </c>
    </row>
    <row r="194" customFormat="false" ht="15" hidden="false" customHeight="false" outlineLevel="0" collapsed="false">
      <c r="A194" s="31" t="n">
        <v>42744</v>
      </c>
      <c r="B194" s="32" t="n">
        <v>61.56</v>
      </c>
      <c r="D194" s="33" t="n">
        <f aca="false">WEEKDAY(A194,2)</f>
        <v>1</v>
      </c>
      <c r="E194" s="33" t="n">
        <f aca="false">HOUR(A194)+MINUTE(A194)/60</f>
        <v>0</v>
      </c>
      <c r="F194" s="33" t="n">
        <f aca="false">IF(OR(D194&gt;5,E194&lt;8,E194&gt;=18,COUNTIF($K$2:$K$10,INT(A194))&gt;0),1,0)</f>
        <v>1</v>
      </c>
      <c r="G194" s="34" t="n">
        <f aca="false">B194/1</f>
        <v>61.56</v>
      </c>
      <c r="H194" s="34" t="n">
        <f aca="false">IF(F194=1,G194,"")</f>
        <v>61.56</v>
      </c>
    </row>
    <row r="195" customFormat="false" ht="15" hidden="false" customHeight="false" outlineLevel="0" collapsed="false">
      <c r="A195" s="31" t="n">
        <v>42744.0416666667</v>
      </c>
      <c r="B195" s="32" t="n">
        <v>63.482</v>
      </c>
      <c r="D195" s="33" t="n">
        <f aca="false">WEEKDAY(A195,2)</f>
        <v>1</v>
      </c>
      <c r="E195" s="33" t="n">
        <f aca="false">HOUR(A195)+MINUTE(A195)/60</f>
        <v>1</v>
      </c>
      <c r="F195" s="33" t="n">
        <f aca="false">IF(OR(D195&gt;5,E195&lt;8,E195&gt;=18,COUNTIF($K$2:$K$10,INT(A195))&gt;0),1,0)</f>
        <v>1</v>
      </c>
      <c r="G195" s="34" t="n">
        <f aca="false">B195/1</f>
        <v>63.482</v>
      </c>
      <c r="H195" s="34" t="n">
        <f aca="false">IF(F195=1,G195,"")</f>
        <v>63.482</v>
      </c>
    </row>
    <row r="196" customFormat="false" ht="15" hidden="false" customHeight="false" outlineLevel="0" collapsed="false">
      <c r="A196" s="31" t="n">
        <v>42744.0833333333</v>
      </c>
      <c r="B196" s="32" t="n">
        <v>62.166</v>
      </c>
      <c r="D196" s="33" t="n">
        <f aca="false">WEEKDAY(A196,2)</f>
        <v>1</v>
      </c>
      <c r="E196" s="33" t="n">
        <f aca="false">HOUR(A196)+MINUTE(A196)/60</f>
        <v>2</v>
      </c>
      <c r="F196" s="33" t="n">
        <f aca="false">IF(OR(D196&gt;5,E196&lt;8,E196&gt;=18,COUNTIF($K$2:$K$10,INT(A196))&gt;0),1,0)</f>
        <v>1</v>
      </c>
      <c r="G196" s="34" t="n">
        <f aca="false">B196/1</f>
        <v>62.166</v>
      </c>
      <c r="H196" s="34" t="n">
        <f aca="false">IF(F196=1,G196,"")</f>
        <v>62.166</v>
      </c>
    </row>
    <row r="197" customFormat="false" ht="15" hidden="false" customHeight="false" outlineLevel="0" collapsed="false">
      <c r="A197" s="31" t="n">
        <v>42744.125</v>
      </c>
      <c r="B197" s="32" t="n">
        <v>62.735</v>
      </c>
      <c r="D197" s="33" t="n">
        <f aca="false">WEEKDAY(A197,2)</f>
        <v>1</v>
      </c>
      <c r="E197" s="33" t="n">
        <f aca="false">HOUR(A197)+MINUTE(A197)/60</f>
        <v>3</v>
      </c>
      <c r="F197" s="33" t="n">
        <f aca="false">IF(OR(D197&gt;5,E197&lt;8,E197&gt;=18,COUNTIF($K$2:$K$10,INT(A197))&gt;0),1,0)</f>
        <v>1</v>
      </c>
      <c r="G197" s="34" t="n">
        <f aca="false">B197/1</f>
        <v>62.735</v>
      </c>
      <c r="H197" s="34" t="n">
        <f aca="false">IF(F197=1,G197,"")</f>
        <v>62.735</v>
      </c>
    </row>
    <row r="198" customFormat="false" ht="15" hidden="false" customHeight="false" outlineLevel="0" collapsed="false">
      <c r="A198" s="31" t="n">
        <v>42744.1666666667</v>
      </c>
      <c r="B198" s="32" t="n">
        <v>61.232</v>
      </c>
      <c r="D198" s="33" t="n">
        <f aca="false">WEEKDAY(A198,2)</f>
        <v>1</v>
      </c>
      <c r="E198" s="33" t="n">
        <f aca="false">HOUR(A198)+MINUTE(A198)/60</f>
        <v>4</v>
      </c>
      <c r="F198" s="33" t="n">
        <f aca="false">IF(OR(D198&gt;5,E198&lt;8,E198&gt;=18,COUNTIF($K$2:$K$10,INT(A198))&gt;0),1,0)</f>
        <v>1</v>
      </c>
      <c r="G198" s="34" t="n">
        <f aca="false">B198/1</f>
        <v>61.232</v>
      </c>
      <c r="H198" s="34" t="n">
        <f aca="false">IF(F198=1,G198,"")</f>
        <v>61.232</v>
      </c>
    </row>
    <row r="199" customFormat="false" ht="15" hidden="false" customHeight="false" outlineLevel="0" collapsed="false">
      <c r="A199" s="31" t="n">
        <v>42744.2083333333</v>
      </c>
      <c r="B199" s="32" t="n">
        <v>65.33</v>
      </c>
      <c r="D199" s="33" t="n">
        <f aca="false">WEEKDAY(A199,2)</f>
        <v>1</v>
      </c>
      <c r="E199" s="33" t="n">
        <f aca="false">HOUR(A199)+MINUTE(A199)/60</f>
        <v>5</v>
      </c>
      <c r="F199" s="33" t="n">
        <f aca="false">IF(OR(D199&gt;5,E199&lt;8,E199&gt;=18,COUNTIF($K$2:$K$10,INT(A199))&gt;0),1,0)</f>
        <v>1</v>
      </c>
      <c r="G199" s="34" t="n">
        <f aca="false">B199/1</f>
        <v>65.33</v>
      </c>
      <c r="H199" s="34" t="n">
        <f aca="false">IF(F199=1,G199,"")</f>
        <v>65.33</v>
      </c>
    </row>
    <row r="200" customFormat="false" ht="15" hidden="false" customHeight="false" outlineLevel="0" collapsed="false">
      <c r="A200" s="31" t="n">
        <v>42744.25</v>
      </c>
      <c r="B200" s="32" t="n">
        <v>64.208</v>
      </c>
      <c r="D200" s="33" t="n">
        <f aca="false">WEEKDAY(A200,2)</f>
        <v>1</v>
      </c>
      <c r="E200" s="33" t="n">
        <f aca="false">HOUR(A200)+MINUTE(A200)/60</f>
        <v>6</v>
      </c>
      <c r="F200" s="33" t="n">
        <f aca="false">IF(OR(D200&gt;5,E200&lt;8,E200&gt;=18,COUNTIF($K$2:$K$10,INT(A200))&gt;0),1,0)</f>
        <v>1</v>
      </c>
      <c r="G200" s="34" t="n">
        <f aca="false">B200/1</f>
        <v>64.208</v>
      </c>
      <c r="H200" s="34" t="n">
        <f aca="false">IF(F200=1,G200,"")</f>
        <v>64.208</v>
      </c>
    </row>
    <row r="201" customFormat="false" ht="15" hidden="false" customHeight="false" outlineLevel="0" collapsed="false">
      <c r="A201" s="31" t="n">
        <v>42744.2916666667</v>
      </c>
      <c r="B201" s="32" t="n">
        <v>85.675</v>
      </c>
      <c r="D201" s="33" t="n">
        <f aca="false">WEEKDAY(A201,2)</f>
        <v>1</v>
      </c>
      <c r="E201" s="33" t="n">
        <f aca="false">HOUR(A201)+MINUTE(A201)/60</f>
        <v>7</v>
      </c>
      <c r="F201" s="33" t="n">
        <f aca="false">IF(OR(D201&gt;5,E201&lt;8,E201&gt;=18,COUNTIF($K$2:$K$10,INT(A201))&gt;0),1,0)</f>
        <v>1</v>
      </c>
      <c r="G201" s="34" t="n">
        <f aca="false">B201/1</f>
        <v>85.675</v>
      </c>
      <c r="H201" s="34" t="n">
        <f aca="false">IF(F201=1,G201,"")</f>
        <v>85.675</v>
      </c>
    </row>
    <row r="202" customFormat="false" ht="15" hidden="false" customHeight="false" outlineLevel="0" collapsed="false">
      <c r="A202" s="31" t="n">
        <v>42744.3333333333</v>
      </c>
      <c r="B202" s="32" t="n">
        <v>178.005</v>
      </c>
      <c r="D202" s="33" t="n">
        <f aca="false">WEEKDAY(A202,2)</f>
        <v>1</v>
      </c>
      <c r="E202" s="33" t="n">
        <f aca="false">HOUR(A202)+MINUTE(A202)/60</f>
        <v>8</v>
      </c>
      <c r="F202" s="33" t="n">
        <f aca="false">IF(OR(D202&gt;5,E202&lt;8,E202&gt;=18,COUNTIF($K$2:$K$10,INT(A202))&gt;0),1,0)</f>
        <v>0</v>
      </c>
      <c r="G202" s="34" t="n">
        <f aca="false">B202/1</f>
        <v>178.005</v>
      </c>
      <c r="H202" s="34" t="str">
        <f aca="false">IF(F202=1,G202,"")</f>
        <v/>
      </c>
    </row>
    <row r="203" customFormat="false" ht="15" hidden="false" customHeight="false" outlineLevel="0" collapsed="false">
      <c r="A203" s="31" t="n">
        <v>42744.375</v>
      </c>
      <c r="B203" s="32" t="n">
        <v>208.316</v>
      </c>
      <c r="D203" s="33" t="n">
        <f aca="false">WEEKDAY(A203,2)</f>
        <v>1</v>
      </c>
      <c r="E203" s="33" t="n">
        <f aca="false">HOUR(A203)+MINUTE(A203)/60</f>
        <v>9</v>
      </c>
      <c r="F203" s="33" t="n">
        <f aca="false">IF(OR(D203&gt;5,E203&lt;8,E203&gt;=18,COUNTIF($K$2:$K$10,INT(A203))&gt;0),1,0)</f>
        <v>0</v>
      </c>
      <c r="G203" s="34" t="n">
        <f aca="false">B203/1</f>
        <v>208.316</v>
      </c>
      <c r="H203" s="34" t="str">
        <f aca="false">IF(F203=1,G203,"")</f>
        <v/>
      </c>
    </row>
    <row r="204" customFormat="false" ht="15" hidden="false" customHeight="false" outlineLevel="0" collapsed="false">
      <c r="A204" s="31" t="n">
        <v>42744.4166666667</v>
      </c>
      <c r="B204" s="32" t="n">
        <v>224.973</v>
      </c>
      <c r="D204" s="33" t="n">
        <f aca="false">WEEKDAY(A204,2)</f>
        <v>1</v>
      </c>
      <c r="E204" s="33" t="n">
        <f aca="false">HOUR(A204)+MINUTE(A204)/60</f>
        <v>10</v>
      </c>
      <c r="F204" s="33" t="n">
        <f aca="false">IF(OR(D204&gt;5,E204&lt;8,E204&gt;=18,COUNTIF($K$2:$K$10,INT(A204))&gt;0),1,0)</f>
        <v>0</v>
      </c>
      <c r="G204" s="34" t="n">
        <f aca="false">B204/1</f>
        <v>224.973</v>
      </c>
      <c r="H204" s="34" t="str">
        <f aca="false">IF(F204=1,G204,"")</f>
        <v/>
      </c>
    </row>
    <row r="205" customFormat="false" ht="15" hidden="false" customHeight="false" outlineLevel="0" collapsed="false">
      <c r="A205" s="31" t="n">
        <v>42744.4583333333</v>
      </c>
      <c r="B205" s="32" t="n">
        <v>229.847</v>
      </c>
      <c r="D205" s="33" t="n">
        <f aca="false">WEEKDAY(A205,2)</f>
        <v>1</v>
      </c>
      <c r="E205" s="33" t="n">
        <f aca="false">HOUR(A205)+MINUTE(A205)/60</f>
        <v>11</v>
      </c>
      <c r="F205" s="33" t="n">
        <f aca="false">IF(OR(D205&gt;5,E205&lt;8,E205&gt;=18,COUNTIF($K$2:$K$10,INT(A205))&gt;0),1,0)</f>
        <v>0</v>
      </c>
      <c r="G205" s="34" t="n">
        <f aca="false">B205/1</f>
        <v>229.847</v>
      </c>
      <c r="H205" s="34" t="str">
        <f aca="false">IF(F205=1,G205,"")</f>
        <v/>
      </c>
    </row>
    <row r="206" customFormat="false" ht="15" hidden="false" customHeight="false" outlineLevel="0" collapsed="false">
      <c r="A206" s="31" t="n">
        <v>42744.5</v>
      </c>
      <c r="B206" s="32" t="n">
        <v>238.078</v>
      </c>
      <c r="D206" s="33" t="n">
        <f aca="false">WEEKDAY(A206,2)</f>
        <v>1</v>
      </c>
      <c r="E206" s="33" t="n">
        <f aca="false">HOUR(A206)+MINUTE(A206)/60</f>
        <v>12</v>
      </c>
      <c r="F206" s="33" t="n">
        <f aca="false">IF(OR(D206&gt;5,E206&lt;8,E206&gt;=18,COUNTIF($K$2:$K$10,INT(A206))&gt;0),1,0)</f>
        <v>0</v>
      </c>
      <c r="G206" s="34" t="n">
        <f aca="false">B206/1</f>
        <v>238.078</v>
      </c>
      <c r="H206" s="34" t="str">
        <f aca="false">IF(F206=1,G206,"")</f>
        <v/>
      </c>
    </row>
    <row r="207" customFormat="false" ht="15" hidden="false" customHeight="false" outlineLevel="0" collapsed="false">
      <c r="A207" s="31" t="n">
        <v>42744.5416666667</v>
      </c>
      <c r="B207" s="32" t="n">
        <v>239.964</v>
      </c>
      <c r="D207" s="33" t="n">
        <f aca="false">WEEKDAY(A207,2)</f>
        <v>1</v>
      </c>
      <c r="E207" s="33" t="n">
        <f aca="false">HOUR(A207)+MINUTE(A207)/60</f>
        <v>13</v>
      </c>
      <c r="F207" s="33" t="n">
        <f aca="false">IF(OR(D207&gt;5,E207&lt;8,E207&gt;=18,COUNTIF($K$2:$K$10,INT(A207))&gt;0),1,0)</f>
        <v>0</v>
      </c>
      <c r="G207" s="34" t="n">
        <f aca="false">B207/1</f>
        <v>239.964</v>
      </c>
      <c r="H207" s="34" t="str">
        <f aca="false">IF(F207=1,G207,"")</f>
        <v/>
      </c>
    </row>
    <row r="208" customFormat="false" ht="15" hidden="false" customHeight="false" outlineLevel="0" collapsed="false">
      <c r="A208" s="31" t="n">
        <v>42744.5833333333</v>
      </c>
      <c r="B208" s="32" t="n">
        <v>239.491</v>
      </c>
      <c r="D208" s="33" t="n">
        <f aca="false">WEEKDAY(A208,2)</f>
        <v>1</v>
      </c>
      <c r="E208" s="33" t="n">
        <f aca="false">HOUR(A208)+MINUTE(A208)/60</f>
        <v>14</v>
      </c>
      <c r="F208" s="33" t="n">
        <f aca="false">IF(OR(D208&gt;5,E208&lt;8,E208&gt;=18,COUNTIF($K$2:$K$10,INT(A208))&gt;0),1,0)</f>
        <v>0</v>
      </c>
      <c r="G208" s="34" t="n">
        <f aca="false">B208/1</f>
        <v>239.491</v>
      </c>
      <c r="H208" s="34" t="str">
        <f aca="false">IF(F208=1,G208,"")</f>
        <v/>
      </c>
    </row>
    <row r="209" customFormat="false" ht="15" hidden="false" customHeight="false" outlineLevel="0" collapsed="false">
      <c r="A209" s="31" t="n">
        <v>42744.625</v>
      </c>
      <c r="B209" s="32" t="n">
        <v>240.328</v>
      </c>
      <c r="D209" s="33" t="n">
        <f aca="false">WEEKDAY(A209,2)</f>
        <v>1</v>
      </c>
      <c r="E209" s="33" t="n">
        <f aca="false">HOUR(A209)+MINUTE(A209)/60</f>
        <v>15</v>
      </c>
      <c r="F209" s="33" t="n">
        <f aca="false">IF(OR(D209&gt;5,E209&lt;8,E209&gt;=18,COUNTIF($K$2:$K$10,INT(A209))&gt;0),1,0)</f>
        <v>0</v>
      </c>
      <c r="G209" s="34" t="n">
        <f aca="false">B209/1</f>
        <v>240.328</v>
      </c>
      <c r="H209" s="34" t="str">
        <f aca="false">IF(F209=1,G209,"")</f>
        <v/>
      </c>
    </row>
    <row r="210" customFormat="false" ht="15" hidden="false" customHeight="false" outlineLevel="0" collapsed="false">
      <c r="A210" s="31" t="n">
        <v>42744.6666666667</v>
      </c>
      <c r="B210" s="32" t="n">
        <v>232.426</v>
      </c>
      <c r="D210" s="33" t="n">
        <f aca="false">WEEKDAY(A210,2)</f>
        <v>1</v>
      </c>
      <c r="E210" s="33" t="n">
        <f aca="false">HOUR(A210)+MINUTE(A210)/60</f>
        <v>16</v>
      </c>
      <c r="F210" s="33" t="n">
        <f aca="false">IF(OR(D210&gt;5,E210&lt;8,E210&gt;=18,COUNTIF($K$2:$K$10,INT(A210))&gt;0),1,0)</f>
        <v>0</v>
      </c>
      <c r="G210" s="34" t="n">
        <f aca="false">B210/1</f>
        <v>232.426</v>
      </c>
      <c r="H210" s="34" t="str">
        <f aca="false">IF(F210=1,G210,"")</f>
        <v/>
      </c>
    </row>
    <row r="211" customFormat="false" ht="15" hidden="false" customHeight="false" outlineLevel="0" collapsed="false">
      <c r="A211" s="31" t="n">
        <v>42744.7083333333</v>
      </c>
      <c r="B211" s="32" t="n">
        <v>216.256</v>
      </c>
      <c r="D211" s="33" t="n">
        <f aca="false">WEEKDAY(A211,2)</f>
        <v>1</v>
      </c>
      <c r="E211" s="33" t="n">
        <f aca="false">HOUR(A211)+MINUTE(A211)/60</f>
        <v>17</v>
      </c>
      <c r="F211" s="33" t="n">
        <f aca="false">IF(OR(D211&gt;5,E211&lt;8,E211&gt;=18,COUNTIF($K$2:$K$10,INT(A211))&gt;0),1,0)</f>
        <v>0</v>
      </c>
      <c r="G211" s="34" t="n">
        <f aca="false">B211/1</f>
        <v>216.256</v>
      </c>
      <c r="H211" s="34" t="str">
        <f aca="false">IF(F211=1,G211,"")</f>
        <v/>
      </c>
    </row>
    <row r="212" customFormat="false" ht="15" hidden="false" customHeight="false" outlineLevel="0" collapsed="false">
      <c r="A212" s="31" t="n">
        <v>42744.75</v>
      </c>
      <c r="B212" s="32" t="n">
        <v>200.188</v>
      </c>
      <c r="D212" s="33" t="n">
        <f aca="false">WEEKDAY(A212,2)</f>
        <v>1</v>
      </c>
      <c r="E212" s="33" t="n">
        <f aca="false">HOUR(A212)+MINUTE(A212)/60</f>
        <v>18</v>
      </c>
      <c r="F212" s="33" t="n">
        <f aca="false">IF(OR(D212&gt;5,E212&lt;8,E212&gt;=18,COUNTIF($K$2:$K$10,INT(A212))&gt;0),1,0)</f>
        <v>1</v>
      </c>
      <c r="G212" s="34" t="n">
        <f aca="false">B212/1</f>
        <v>200.188</v>
      </c>
      <c r="H212" s="34" t="n">
        <f aca="false">IF(F212=1,G212,"")</f>
        <v>200.188</v>
      </c>
    </row>
    <row r="213" customFormat="false" ht="15" hidden="false" customHeight="false" outlineLevel="0" collapsed="false">
      <c r="A213" s="31" t="n">
        <v>42744.7916666667</v>
      </c>
      <c r="B213" s="32" t="n">
        <v>190.54</v>
      </c>
      <c r="D213" s="33" t="n">
        <f aca="false">WEEKDAY(A213,2)</f>
        <v>1</v>
      </c>
      <c r="E213" s="33" t="n">
        <f aca="false">HOUR(A213)+MINUTE(A213)/60</f>
        <v>19</v>
      </c>
      <c r="F213" s="33" t="n">
        <f aca="false">IF(OR(D213&gt;5,E213&lt;8,E213&gt;=18,COUNTIF($K$2:$K$10,INT(A213))&gt;0),1,0)</f>
        <v>1</v>
      </c>
      <c r="G213" s="34" t="n">
        <f aca="false">B213/1</f>
        <v>190.54</v>
      </c>
      <c r="H213" s="34" t="n">
        <f aca="false">IF(F213=1,G213,"")</f>
        <v>190.54</v>
      </c>
    </row>
    <row r="214" customFormat="false" ht="15" hidden="false" customHeight="false" outlineLevel="0" collapsed="false">
      <c r="A214" s="31" t="n">
        <v>42744.8333333333</v>
      </c>
      <c r="B214" s="32" t="n">
        <v>188.972</v>
      </c>
      <c r="D214" s="33" t="n">
        <f aca="false">WEEKDAY(A214,2)</f>
        <v>1</v>
      </c>
      <c r="E214" s="33" t="n">
        <f aca="false">HOUR(A214)+MINUTE(A214)/60</f>
        <v>20</v>
      </c>
      <c r="F214" s="33" t="n">
        <f aca="false">IF(OR(D214&gt;5,E214&lt;8,E214&gt;=18,COUNTIF($K$2:$K$10,INT(A214))&gt;0),1,0)</f>
        <v>1</v>
      </c>
      <c r="G214" s="34" t="n">
        <f aca="false">B214/1</f>
        <v>188.972</v>
      </c>
      <c r="H214" s="34" t="n">
        <f aca="false">IF(F214=1,G214,"")</f>
        <v>188.972</v>
      </c>
    </row>
    <row r="215" customFormat="false" ht="15" hidden="false" customHeight="false" outlineLevel="0" collapsed="false">
      <c r="A215" s="31" t="n">
        <v>42744.875</v>
      </c>
      <c r="B215" s="32" t="n">
        <v>187.234</v>
      </c>
      <c r="D215" s="33" t="n">
        <f aca="false">WEEKDAY(A215,2)</f>
        <v>1</v>
      </c>
      <c r="E215" s="33" t="n">
        <f aca="false">HOUR(A215)+MINUTE(A215)/60</f>
        <v>21</v>
      </c>
      <c r="F215" s="33" t="n">
        <f aca="false">IF(OR(D215&gt;5,E215&lt;8,E215&gt;=18,COUNTIF($K$2:$K$10,INT(A215))&gt;0),1,0)</f>
        <v>1</v>
      </c>
      <c r="G215" s="34" t="n">
        <f aca="false">B215/1</f>
        <v>187.234</v>
      </c>
      <c r="H215" s="34" t="n">
        <f aca="false">IF(F215=1,G215,"")</f>
        <v>187.234</v>
      </c>
    </row>
    <row r="216" customFormat="false" ht="15" hidden="false" customHeight="false" outlineLevel="0" collapsed="false">
      <c r="A216" s="31" t="n">
        <v>42744.9166666667</v>
      </c>
      <c r="B216" s="32" t="n">
        <v>138.05</v>
      </c>
      <c r="D216" s="33" t="n">
        <f aca="false">WEEKDAY(A216,2)</f>
        <v>1</v>
      </c>
      <c r="E216" s="33" t="n">
        <f aca="false">HOUR(A216)+MINUTE(A216)/60</f>
        <v>22</v>
      </c>
      <c r="F216" s="33" t="n">
        <f aca="false">IF(OR(D216&gt;5,E216&lt;8,E216&gt;=18,COUNTIF($K$2:$K$10,INT(A216))&gt;0),1,0)</f>
        <v>1</v>
      </c>
      <c r="G216" s="34" t="n">
        <f aca="false">B216/1</f>
        <v>138.05</v>
      </c>
      <c r="H216" s="34" t="n">
        <f aca="false">IF(F216=1,G216,"")</f>
        <v>138.05</v>
      </c>
    </row>
    <row r="217" customFormat="false" ht="15" hidden="false" customHeight="false" outlineLevel="0" collapsed="false">
      <c r="A217" s="31" t="n">
        <v>42744.9583333333</v>
      </c>
      <c r="B217" s="32" t="n">
        <v>73.579</v>
      </c>
      <c r="D217" s="33" t="n">
        <f aca="false">WEEKDAY(A217,2)</f>
        <v>1</v>
      </c>
      <c r="E217" s="33" t="n">
        <f aca="false">HOUR(A217)+MINUTE(A217)/60</f>
        <v>23</v>
      </c>
      <c r="F217" s="33" t="n">
        <f aca="false">IF(OR(D217&gt;5,E217&lt;8,E217&gt;=18,COUNTIF($K$2:$K$10,INT(A217))&gt;0),1,0)</f>
        <v>1</v>
      </c>
      <c r="G217" s="34" t="n">
        <f aca="false">B217/1</f>
        <v>73.579</v>
      </c>
      <c r="H217" s="34" t="n">
        <f aca="false">IF(F217=1,G217,"")</f>
        <v>73.579</v>
      </c>
    </row>
    <row r="218" customFormat="false" ht="15" hidden="false" customHeight="false" outlineLevel="0" collapsed="false">
      <c r="A218" s="31" t="n">
        <v>42745</v>
      </c>
      <c r="B218" s="32" t="n">
        <v>68.097</v>
      </c>
      <c r="D218" s="33" t="n">
        <f aca="false">WEEKDAY(A218,2)</f>
        <v>2</v>
      </c>
      <c r="E218" s="33" t="n">
        <f aca="false">HOUR(A218)+MINUTE(A218)/60</f>
        <v>0</v>
      </c>
      <c r="F218" s="33" t="n">
        <f aca="false">IF(OR(D218&gt;5,E218&lt;8,E218&gt;=18,COUNTIF($K$2:$K$10,INT(A218))&gt;0),1,0)</f>
        <v>1</v>
      </c>
      <c r="G218" s="34" t="n">
        <f aca="false">B218/1</f>
        <v>68.097</v>
      </c>
      <c r="H218" s="34" t="n">
        <f aca="false">IF(F218=1,G218,"")</f>
        <v>68.097</v>
      </c>
    </row>
    <row r="219" customFormat="false" ht="15" hidden="false" customHeight="false" outlineLevel="0" collapsed="false">
      <c r="A219" s="31" t="n">
        <v>42745.0416666667</v>
      </c>
      <c r="B219" s="32" t="n">
        <v>61.838</v>
      </c>
      <c r="D219" s="33" t="n">
        <f aca="false">WEEKDAY(A219,2)</f>
        <v>2</v>
      </c>
      <c r="E219" s="33" t="n">
        <f aca="false">HOUR(A219)+MINUTE(A219)/60</f>
        <v>1</v>
      </c>
      <c r="F219" s="33" t="n">
        <f aca="false">IF(OR(D219&gt;5,E219&lt;8,E219&gt;=18,COUNTIF($K$2:$K$10,INT(A219))&gt;0),1,0)</f>
        <v>1</v>
      </c>
      <c r="G219" s="34" t="n">
        <f aca="false">B219/1</f>
        <v>61.838</v>
      </c>
      <c r="H219" s="34" t="n">
        <f aca="false">IF(F219=1,G219,"")</f>
        <v>61.838</v>
      </c>
    </row>
    <row r="220" customFormat="false" ht="15" hidden="false" customHeight="false" outlineLevel="0" collapsed="false">
      <c r="A220" s="31" t="n">
        <v>42745.0833333333</v>
      </c>
      <c r="B220" s="32" t="n">
        <v>60.535</v>
      </c>
      <c r="D220" s="33" t="n">
        <f aca="false">WEEKDAY(A220,2)</f>
        <v>2</v>
      </c>
      <c r="E220" s="33" t="n">
        <f aca="false">HOUR(A220)+MINUTE(A220)/60</f>
        <v>2</v>
      </c>
      <c r="F220" s="33" t="n">
        <f aca="false">IF(OR(D220&gt;5,E220&lt;8,E220&gt;=18,COUNTIF($K$2:$K$10,INT(A220))&gt;0),1,0)</f>
        <v>1</v>
      </c>
      <c r="G220" s="34" t="n">
        <f aca="false">B220/1</f>
        <v>60.535</v>
      </c>
      <c r="H220" s="34" t="n">
        <f aca="false">IF(F220=1,G220,"")</f>
        <v>60.535</v>
      </c>
    </row>
    <row r="221" customFormat="false" ht="15" hidden="false" customHeight="false" outlineLevel="0" collapsed="false">
      <c r="A221" s="31" t="n">
        <v>42745.125</v>
      </c>
      <c r="B221" s="32" t="n">
        <v>62.472</v>
      </c>
      <c r="D221" s="33" t="n">
        <f aca="false">WEEKDAY(A221,2)</f>
        <v>2</v>
      </c>
      <c r="E221" s="33" t="n">
        <f aca="false">HOUR(A221)+MINUTE(A221)/60</f>
        <v>3</v>
      </c>
      <c r="F221" s="33" t="n">
        <f aca="false">IF(OR(D221&gt;5,E221&lt;8,E221&gt;=18,COUNTIF($K$2:$K$10,INT(A221))&gt;0),1,0)</f>
        <v>1</v>
      </c>
      <c r="G221" s="34" t="n">
        <f aca="false">B221/1</f>
        <v>62.472</v>
      </c>
      <c r="H221" s="34" t="n">
        <f aca="false">IF(F221=1,G221,"")</f>
        <v>62.472</v>
      </c>
    </row>
    <row r="222" customFormat="false" ht="15" hidden="false" customHeight="false" outlineLevel="0" collapsed="false">
      <c r="A222" s="31" t="n">
        <v>42745.1666666667</v>
      </c>
      <c r="B222" s="32" t="n">
        <v>62.124</v>
      </c>
      <c r="D222" s="33" t="n">
        <f aca="false">WEEKDAY(A222,2)</f>
        <v>2</v>
      </c>
      <c r="E222" s="33" t="n">
        <f aca="false">HOUR(A222)+MINUTE(A222)/60</f>
        <v>4</v>
      </c>
      <c r="F222" s="33" t="n">
        <f aca="false">IF(OR(D222&gt;5,E222&lt;8,E222&gt;=18,COUNTIF($K$2:$K$10,INT(A222))&gt;0),1,0)</f>
        <v>1</v>
      </c>
      <c r="G222" s="34" t="n">
        <f aca="false">B222/1</f>
        <v>62.124</v>
      </c>
      <c r="H222" s="34" t="n">
        <f aca="false">IF(F222=1,G222,"")</f>
        <v>62.124</v>
      </c>
    </row>
    <row r="223" customFormat="false" ht="15" hidden="false" customHeight="false" outlineLevel="0" collapsed="false">
      <c r="A223" s="31" t="n">
        <v>42745.2083333333</v>
      </c>
      <c r="B223" s="32" t="n">
        <v>61.184</v>
      </c>
      <c r="D223" s="33" t="n">
        <f aca="false">WEEKDAY(A223,2)</f>
        <v>2</v>
      </c>
      <c r="E223" s="33" t="n">
        <f aca="false">HOUR(A223)+MINUTE(A223)/60</f>
        <v>5</v>
      </c>
      <c r="F223" s="33" t="n">
        <f aca="false">IF(OR(D223&gt;5,E223&lt;8,E223&gt;=18,COUNTIF($K$2:$K$10,INT(A223))&gt;0),1,0)</f>
        <v>1</v>
      </c>
      <c r="G223" s="34" t="n">
        <f aca="false">B223/1</f>
        <v>61.184</v>
      </c>
      <c r="H223" s="34" t="n">
        <f aca="false">IF(F223=1,G223,"")</f>
        <v>61.184</v>
      </c>
    </row>
    <row r="224" customFormat="false" ht="15" hidden="false" customHeight="false" outlineLevel="0" collapsed="false">
      <c r="A224" s="31" t="n">
        <v>42745.25</v>
      </c>
      <c r="B224" s="32" t="n">
        <v>61.724</v>
      </c>
      <c r="D224" s="33" t="n">
        <f aca="false">WEEKDAY(A224,2)</f>
        <v>2</v>
      </c>
      <c r="E224" s="33" t="n">
        <f aca="false">HOUR(A224)+MINUTE(A224)/60</f>
        <v>6</v>
      </c>
      <c r="F224" s="33" t="n">
        <f aca="false">IF(OR(D224&gt;5,E224&lt;8,E224&gt;=18,COUNTIF($K$2:$K$10,INT(A224))&gt;0),1,0)</f>
        <v>1</v>
      </c>
      <c r="G224" s="34" t="n">
        <f aca="false">B224/1</f>
        <v>61.724</v>
      </c>
      <c r="H224" s="34" t="n">
        <f aca="false">IF(F224=1,G224,"")</f>
        <v>61.724</v>
      </c>
    </row>
    <row r="225" customFormat="false" ht="15" hidden="false" customHeight="false" outlineLevel="0" collapsed="false">
      <c r="A225" s="31" t="n">
        <v>42745.2916666667</v>
      </c>
      <c r="B225" s="32" t="n">
        <v>71.831</v>
      </c>
      <c r="D225" s="33" t="n">
        <f aca="false">WEEKDAY(A225,2)</f>
        <v>2</v>
      </c>
      <c r="E225" s="33" t="n">
        <f aca="false">HOUR(A225)+MINUTE(A225)/60</f>
        <v>7</v>
      </c>
      <c r="F225" s="33" t="n">
        <f aca="false">IF(OR(D225&gt;5,E225&lt;8,E225&gt;=18,COUNTIF($K$2:$K$10,INT(A225))&gt;0),1,0)</f>
        <v>1</v>
      </c>
      <c r="G225" s="34" t="n">
        <f aca="false">B225/1</f>
        <v>71.831</v>
      </c>
      <c r="H225" s="34" t="n">
        <f aca="false">IF(F225=1,G225,"")</f>
        <v>71.831</v>
      </c>
    </row>
    <row r="226" customFormat="false" ht="15" hidden="false" customHeight="false" outlineLevel="0" collapsed="false">
      <c r="A226" s="31" t="n">
        <v>42745.3333333333</v>
      </c>
      <c r="B226" s="32" t="n">
        <v>170.042</v>
      </c>
      <c r="D226" s="33" t="n">
        <f aca="false">WEEKDAY(A226,2)</f>
        <v>2</v>
      </c>
      <c r="E226" s="33" t="n">
        <f aca="false">HOUR(A226)+MINUTE(A226)/60</f>
        <v>8</v>
      </c>
      <c r="F226" s="33" t="n">
        <f aca="false">IF(OR(D226&gt;5,E226&lt;8,E226&gt;=18,COUNTIF($K$2:$K$10,INT(A226))&gt;0),1,0)</f>
        <v>0</v>
      </c>
      <c r="G226" s="34" t="n">
        <f aca="false">B226/1</f>
        <v>170.042</v>
      </c>
      <c r="H226" s="34" t="str">
        <f aca="false">IF(F226=1,G226,"")</f>
        <v/>
      </c>
    </row>
    <row r="227" customFormat="false" ht="15" hidden="false" customHeight="false" outlineLevel="0" collapsed="false">
      <c r="A227" s="31" t="n">
        <v>42745.375</v>
      </c>
      <c r="B227" s="32" t="n">
        <v>203.226</v>
      </c>
      <c r="D227" s="33" t="n">
        <f aca="false">WEEKDAY(A227,2)</f>
        <v>2</v>
      </c>
      <c r="E227" s="33" t="n">
        <f aca="false">HOUR(A227)+MINUTE(A227)/60</f>
        <v>9</v>
      </c>
      <c r="F227" s="33" t="n">
        <f aca="false">IF(OR(D227&gt;5,E227&lt;8,E227&gt;=18,COUNTIF($K$2:$K$10,INT(A227))&gt;0),1,0)</f>
        <v>0</v>
      </c>
      <c r="G227" s="34" t="n">
        <f aca="false">B227/1</f>
        <v>203.226</v>
      </c>
      <c r="H227" s="34" t="str">
        <f aca="false">IF(F227=1,G227,"")</f>
        <v/>
      </c>
    </row>
    <row r="228" customFormat="false" ht="15" hidden="false" customHeight="false" outlineLevel="0" collapsed="false">
      <c r="A228" s="31" t="n">
        <v>42745.4166666667</v>
      </c>
      <c r="B228" s="32" t="n">
        <v>215.251</v>
      </c>
      <c r="D228" s="33" t="n">
        <f aca="false">WEEKDAY(A228,2)</f>
        <v>2</v>
      </c>
      <c r="E228" s="33" t="n">
        <f aca="false">HOUR(A228)+MINUTE(A228)/60</f>
        <v>10</v>
      </c>
      <c r="F228" s="33" t="n">
        <f aca="false">IF(OR(D228&gt;5,E228&lt;8,E228&gt;=18,COUNTIF($K$2:$K$10,INT(A228))&gt;0),1,0)</f>
        <v>0</v>
      </c>
      <c r="G228" s="34" t="n">
        <f aca="false">B228/1</f>
        <v>215.251</v>
      </c>
      <c r="H228" s="34" t="str">
        <f aca="false">IF(F228=1,G228,"")</f>
        <v/>
      </c>
    </row>
    <row r="229" customFormat="false" ht="15" hidden="false" customHeight="false" outlineLevel="0" collapsed="false">
      <c r="A229" s="31" t="n">
        <v>42745.4583333333</v>
      </c>
      <c r="B229" s="32" t="n">
        <v>222.021</v>
      </c>
      <c r="D229" s="33" t="n">
        <f aca="false">WEEKDAY(A229,2)</f>
        <v>2</v>
      </c>
      <c r="E229" s="33" t="n">
        <f aca="false">HOUR(A229)+MINUTE(A229)/60</f>
        <v>11</v>
      </c>
      <c r="F229" s="33" t="n">
        <f aca="false">IF(OR(D229&gt;5,E229&lt;8,E229&gt;=18,COUNTIF($K$2:$K$10,INT(A229))&gt;0),1,0)</f>
        <v>0</v>
      </c>
      <c r="G229" s="34" t="n">
        <f aca="false">B229/1</f>
        <v>222.021</v>
      </c>
      <c r="H229" s="34" t="str">
        <f aca="false">IF(F229=1,G229,"")</f>
        <v/>
      </c>
    </row>
    <row r="230" customFormat="false" ht="15" hidden="false" customHeight="false" outlineLevel="0" collapsed="false">
      <c r="A230" s="31" t="n">
        <v>42745.5</v>
      </c>
      <c r="B230" s="32" t="n">
        <v>229.78</v>
      </c>
      <c r="D230" s="33" t="n">
        <f aca="false">WEEKDAY(A230,2)</f>
        <v>2</v>
      </c>
      <c r="E230" s="33" t="n">
        <f aca="false">HOUR(A230)+MINUTE(A230)/60</f>
        <v>12</v>
      </c>
      <c r="F230" s="33" t="n">
        <f aca="false">IF(OR(D230&gt;5,E230&lt;8,E230&gt;=18,COUNTIF($K$2:$K$10,INT(A230))&gt;0),1,0)</f>
        <v>0</v>
      </c>
      <c r="G230" s="34" t="n">
        <f aca="false">B230/1</f>
        <v>229.78</v>
      </c>
      <c r="H230" s="34" t="str">
        <f aca="false">IF(F230=1,G230,"")</f>
        <v/>
      </c>
    </row>
    <row r="231" customFormat="false" ht="15" hidden="false" customHeight="false" outlineLevel="0" collapsed="false">
      <c r="A231" s="31" t="n">
        <v>42745.5416666667</v>
      </c>
      <c r="B231" s="32" t="n">
        <v>227.657</v>
      </c>
      <c r="D231" s="33" t="n">
        <f aca="false">WEEKDAY(A231,2)</f>
        <v>2</v>
      </c>
      <c r="E231" s="33" t="n">
        <f aca="false">HOUR(A231)+MINUTE(A231)/60</f>
        <v>13</v>
      </c>
      <c r="F231" s="33" t="n">
        <f aca="false">IF(OR(D231&gt;5,E231&lt;8,E231&gt;=18,COUNTIF($K$2:$K$10,INT(A231))&gt;0),1,0)</f>
        <v>0</v>
      </c>
      <c r="G231" s="34" t="n">
        <f aca="false">B231/1</f>
        <v>227.657</v>
      </c>
      <c r="H231" s="34" t="str">
        <f aca="false">IF(F231=1,G231,"")</f>
        <v/>
      </c>
    </row>
    <row r="232" customFormat="false" ht="15" hidden="false" customHeight="false" outlineLevel="0" collapsed="false">
      <c r="A232" s="31" t="n">
        <v>42745.5833333333</v>
      </c>
      <c r="B232" s="32" t="n">
        <v>225.104</v>
      </c>
      <c r="D232" s="33" t="n">
        <f aca="false">WEEKDAY(A232,2)</f>
        <v>2</v>
      </c>
      <c r="E232" s="33" t="n">
        <f aca="false">HOUR(A232)+MINUTE(A232)/60</f>
        <v>14</v>
      </c>
      <c r="F232" s="33" t="n">
        <f aca="false">IF(OR(D232&gt;5,E232&lt;8,E232&gt;=18,COUNTIF($K$2:$K$10,INT(A232))&gt;0),1,0)</f>
        <v>0</v>
      </c>
      <c r="G232" s="34" t="n">
        <f aca="false">B232/1</f>
        <v>225.104</v>
      </c>
      <c r="H232" s="34" t="str">
        <f aca="false">IF(F232=1,G232,"")</f>
        <v/>
      </c>
    </row>
    <row r="233" customFormat="false" ht="15" hidden="false" customHeight="false" outlineLevel="0" collapsed="false">
      <c r="A233" s="31" t="n">
        <v>42745.625</v>
      </c>
      <c r="B233" s="32" t="n">
        <v>221.938</v>
      </c>
      <c r="D233" s="33" t="n">
        <f aca="false">WEEKDAY(A233,2)</f>
        <v>2</v>
      </c>
      <c r="E233" s="33" t="n">
        <f aca="false">HOUR(A233)+MINUTE(A233)/60</f>
        <v>15</v>
      </c>
      <c r="F233" s="33" t="n">
        <f aca="false">IF(OR(D233&gt;5,E233&lt;8,E233&gt;=18,COUNTIF($K$2:$K$10,INT(A233))&gt;0),1,0)</f>
        <v>0</v>
      </c>
      <c r="G233" s="34" t="n">
        <f aca="false">B233/1</f>
        <v>221.938</v>
      </c>
      <c r="H233" s="34" t="str">
        <f aca="false">IF(F233=1,G233,"")</f>
        <v/>
      </c>
    </row>
    <row r="234" customFormat="false" ht="15" hidden="false" customHeight="false" outlineLevel="0" collapsed="false">
      <c r="A234" s="31" t="n">
        <v>42745.6666666667</v>
      </c>
      <c r="B234" s="32" t="n">
        <v>219.362</v>
      </c>
      <c r="D234" s="33" t="n">
        <f aca="false">WEEKDAY(A234,2)</f>
        <v>2</v>
      </c>
      <c r="E234" s="33" t="n">
        <f aca="false">HOUR(A234)+MINUTE(A234)/60</f>
        <v>16</v>
      </c>
      <c r="F234" s="33" t="n">
        <f aca="false">IF(OR(D234&gt;5,E234&lt;8,E234&gt;=18,COUNTIF($K$2:$K$10,INT(A234))&gt;0),1,0)</f>
        <v>0</v>
      </c>
      <c r="G234" s="34" t="n">
        <f aca="false">B234/1</f>
        <v>219.362</v>
      </c>
      <c r="H234" s="34" t="str">
        <f aca="false">IF(F234=1,G234,"")</f>
        <v/>
      </c>
    </row>
    <row r="235" customFormat="false" ht="15" hidden="false" customHeight="false" outlineLevel="0" collapsed="false">
      <c r="A235" s="31" t="n">
        <v>42745.7083333333</v>
      </c>
      <c r="B235" s="32" t="n">
        <v>206.478</v>
      </c>
      <c r="D235" s="33" t="n">
        <f aca="false">WEEKDAY(A235,2)</f>
        <v>2</v>
      </c>
      <c r="E235" s="33" t="n">
        <f aca="false">HOUR(A235)+MINUTE(A235)/60</f>
        <v>17</v>
      </c>
      <c r="F235" s="33" t="n">
        <f aca="false">IF(OR(D235&gt;5,E235&lt;8,E235&gt;=18,COUNTIF($K$2:$K$10,INT(A235))&gt;0),1,0)</f>
        <v>0</v>
      </c>
      <c r="G235" s="34" t="n">
        <f aca="false">B235/1</f>
        <v>206.478</v>
      </c>
      <c r="H235" s="34" t="str">
        <f aca="false">IF(F235=1,G235,"")</f>
        <v/>
      </c>
    </row>
    <row r="236" customFormat="false" ht="15" hidden="false" customHeight="false" outlineLevel="0" collapsed="false">
      <c r="A236" s="31" t="n">
        <v>42745.75</v>
      </c>
      <c r="B236" s="32" t="n">
        <v>190.722</v>
      </c>
      <c r="D236" s="33" t="n">
        <f aca="false">WEEKDAY(A236,2)</f>
        <v>2</v>
      </c>
      <c r="E236" s="33" t="n">
        <f aca="false">HOUR(A236)+MINUTE(A236)/60</f>
        <v>18</v>
      </c>
      <c r="F236" s="33" t="n">
        <f aca="false">IF(OR(D236&gt;5,E236&lt;8,E236&gt;=18,COUNTIF($K$2:$K$10,INT(A236))&gt;0),1,0)</f>
        <v>1</v>
      </c>
      <c r="G236" s="34" t="n">
        <f aca="false">B236/1</f>
        <v>190.722</v>
      </c>
      <c r="H236" s="34" t="n">
        <f aca="false">IF(F236=1,G236,"")</f>
        <v>190.722</v>
      </c>
    </row>
    <row r="237" customFormat="false" ht="15" hidden="false" customHeight="false" outlineLevel="0" collapsed="false">
      <c r="A237" s="31" t="n">
        <v>42745.7916666667</v>
      </c>
      <c r="B237" s="32" t="n">
        <v>182.962</v>
      </c>
      <c r="D237" s="33" t="n">
        <f aca="false">WEEKDAY(A237,2)</f>
        <v>2</v>
      </c>
      <c r="E237" s="33" t="n">
        <f aca="false">HOUR(A237)+MINUTE(A237)/60</f>
        <v>19</v>
      </c>
      <c r="F237" s="33" t="n">
        <f aca="false">IF(OR(D237&gt;5,E237&lt;8,E237&gt;=18,COUNTIF($K$2:$K$10,INT(A237))&gt;0),1,0)</f>
        <v>1</v>
      </c>
      <c r="G237" s="34" t="n">
        <f aca="false">B237/1</f>
        <v>182.962</v>
      </c>
      <c r="H237" s="34" t="n">
        <f aca="false">IF(F237=1,G237,"")</f>
        <v>182.962</v>
      </c>
    </row>
    <row r="238" customFormat="false" ht="15" hidden="false" customHeight="false" outlineLevel="0" collapsed="false">
      <c r="A238" s="31" t="n">
        <v>42745.8333333333</v>
      </c>
      <c r="B238" s="32" t="n">
        <v>185.113</v>
      </c>
      <c r="D238" s="33" t="n">
        <f aca="false">WEEKDAY(A238,2)</f>
        <v>2</v>
      </c>
      <c r="E238" s="33" t="n">
        <f aca="false">HOUR(A238)+MINUTE(A238)/60</f>
        <v>20</v>
      </c>
      <c r="F238" s="33" t="n">
        <f aca="false">IF(OR(D238&gt;5,E238&lt;8,E238&gt;=18,COUNTIF($K$2:$K$10,INT(A238))&gt;0),1,0)</f>
        <v>1</v>
      </c>
      <c r="G238" s="34" t="n">
        <f aca="false">B238/1</f>
        <v>185.113</v>
      </c>
      <c r="H238" s="34" t="n">
        <f aca="false">IF(F238=1,G238,"")</f>
        <v>185.113</v>
      </c>
    </row>
    <row r="239" customFormat="false" ht="15" hidden="false" customHeight="false" outlineLevel="0" collapsed="false">
      <c r="A239" s="31" t="n">
        <v>42745.875</v>
      </c>
      <c r="B239" s="32" t="n">
        <v>183.512</v>
      </c>
      <c r="D239" s="33" t="n">
        <f aca="false">WEEKDAY(A239,2)</f>
        <v>2</v>
      </c>
      <c r="E239" s="33" t="n">
        <f aca="false">HOUR(A239)+MINUTE(A239)/60</f>
        <v>21</v>
      </c>
      <c r="F239" s="33" t="n">
        <f aca="false">IF(OR(D239&gt;5,E239&lt;8,E239&gt;=18,COUNTIF($K$2:$K$10,INT(A239))&gt;0),1,0)</f>
        <v>1</v>
      </c>
      <c r="G239" s="34" t="n">
        <f aca="false">B239/1</f>
        <v>183.512</v>
      </c>
      <c r="H239" s="34" t="n">
        <f aca="false">IF(F239=1,G239,"")</f>
        <v>183.512</v>
      </c>
    </row>
    <row r="240" customFormat="false" ht="15" hidden="false" customHeight="false" outlineLevel="0" collapsed="false">
      <c r="A240" s="31" t="n">
        <v>42745.9166666667</v>
      </c>
      <c r="B240" s="32" t="n">
        <v>139.759</v>
      </c>
      <c r="D240" s="33" t="n">
        <f aca="false">WEEKDAY(A240,2)</f>
        <v>2</v>
      </c>
      <c r="E240" s="33" t="n">
        <f aca="false">HOUR(A240)+MINUTE(A240)/60</f>
        <v>22</v>
      </c>
      <c r="F240" s="33" t="n">
        <f aca="false">IF(OR(D240&gt;5,E240&lt;8,E240&gt;=18,COUNTIF($K$2:$K$10,INT(A240))&gt;0),1,0)</f>
        <v>1</v>
      </c>
      <c r="G240" s="34" t="n">
        <f aca="false">B240/1</f>
        <v>139.759</v>
      </c>
      <c r="H240" s="34" t="n">
        <f aca="false">IF(F240=1,G240,"")</f>
        <v>139.759</v>
      </c>
    </row>
    <row r="241" customFormat="false" ht="15" hidden="false" customHeight="false" outlineLevel="0" collapsed="false">
      <c r="A241" s="31" t="n">
        <v>42745.9583333333</v>
      </c>
      <c r="B241" s="32" t="n">
        <v>74.571</v>
      </c>
      <c r="D241" s="33" t="n">
        <f aca="false">WEEKDAY(A241,2)</f>
        <v>2</v>
      </c>
      <c r="E241" s="33" t="n">
        <f aca="false">HOUR(A241)+MINUTE(A241)/60</f>
        <v>23</v>
      </c>
      <c r="F241" s="33" t="n">
        <f aca="false">IF(OR(D241&gt;5,E241&lt;8,E241&gt;=18,COUNTIF($K$2:$K$10,INT(A241))&gt;0),1,0)</f>
        <v>1</v>
      </c>
      <c r="G241" s="34" t="n">
        <f aca="false">B241/1</f>
        <v>74.571</v>
      </c>
      <c r="H241" s="34" t="n">
        <f aca="false">IF(F241=1,G241,"")</f>
        <v>74.571</v>
      </c>
    </row>
    <row r="242" customFormat="false" ht="15" hidden="false" customHeight="false" outlineLevel="0" collapsed="false">
      <c r="A242" s="31" t="n">
        <v>42746</v>
      </c>
      <c r="B242" s="32" t="n">
        <v>70.314</v>
      </c>
      <c r="D242" s="33" t="n">
        <f aca="false">WEEKDAY(A242,2)</f>
        <v>3</v>
      </c>
      <c r="E242" s="33" t="n">
        <f aca="false">HOUR(A242)+MINUTE(A242)/60</f>
        <v>0</v>
      </c>
      <c r="F242" s="33" t="n">
        <f aca="false">IF(OR(D242&gt;5,E242&lt;8,E242&gt;=18,COUNTIF($K$2:$K$10,INT(A242))&gt;0),1,0)</f>
        <v>1</v>
      </c>
      <c r="G242" s="34" t="n">
        <f aca="false">B242/1</f>
        <v>70.314</v>
      </c>
      <c r="H242" s="34" t="n">
        <f aca="false">IF(F242=1,G242,"")</f>
        <v>70.314</v>
      </c>
    </row>
    <row r="243" customFormat="false" ht="15" hidden="false" customHeight="false" outlineLevel="0" collapsed="false">
      <c r="A243" s="31" t="n">
        <v>42746.0416666667</v>
      </c>
      <c r="B243" s="32" t="n">
        <v>65.282</v>
      </c>
      <c r="D243" s="33" t="n">
        <f aca="false">WEEKDAY(A243,2)</f>
        <v>3</v>
      </c>
      <c r="E243" s="33" t="n">
        <f aca="false">HOUR(A243)+MINUTE(A243)/60</f>
        <v>1</v>
      </c>
      <c r="F243" s="33" t="n">
        <f aca="false">IF(OR(D243&gt;5,E243&lt;8,E243&gt;=18,COUNTIF($K$2:$K$10,INT(A243))&gt;0),1,0)</f>
        <v>1</v>
      </c>
      <c r="G243" s="34" t="n">
        <f aca="false">B243/1</f>
        <v>65.282</v>
      </c>
      <c r="H243" s="34" t="n">
        <f aca="false">IF(F243=1,G243,"")</f>
        <v>65.282</v>
      </c>
    </row>
    <row r="244" customFormat="false" ht="15" hidden="false" customHeight="false" outlineLevel="0" collapsed="false">
      <c r="A244" s="31" t="n">
        <v>42746.0833333333</v>
      </c>
      <c r="B244" s="32" t="n">
        <v>63.133</v>
      </c>
      <c r="D244" s="33" t="n">
        <f aca="false">WEEKDAY(A244,2)</f>
        <v>3</v>
      </c>
      <c r="E244" s="33" t="n">
        <f aca="false">HOUR(A244)+MINUTE(A244)/60</f>
        <v>2</v>
      </c>
      <c r="F244" s="33" t="n">
        <f aca="false">IF(OR(D244&gt;5,E244&lt;8,E244&gt;=18,COUNTIF($K$2:$K$10,INT(A244))&gt;0),1,0)</f>
        <v>1</v>
      </c>
      <c r="G244" s="34" t="n">
        <f aca="false">B244/1</f>
        <v>63.133</v>
      </c>
      <c r="H244" s="34" t="n">
        <f aca="false">IF(F244=1,G244,"")</f>
        <v>63.133</v>
      </c>
    </row>
    <row r="245" customFormat="false" ht="15" hidden="false" customHeight="false" outlineLevel="0" collapsed="false">
      <c r="A245" s="31" t="n">
        <v>42746.125</v>
      </c>
      <c r="B245" s="32" t="n">
        <v>65.938</v>
      </c>
      <c r="D245" s="33" t="n">
        <f aca="false">WEEKDAY(A245,2)</f>
        <v>3</v>
      </c>
      <c r="E245" s="33" t="n">
        <f aca="false">HOUR(A245)+MINUTE(A245)/60</f>
        <v>3</v>
      </c>
      <c r="F245" s="33" t="n">
        <f aca="false">IF(OR(D245&gt;5,E245&lt;8,E245&gt;=18,COUNTIF($K$2:$K$10,INT(A245))&gt;0),1,0)</f>
        <v>1</v>
      </c>
      <c r="G245" s="34" t="n">
        <f aca="false">B245/1</f>
        <v>65.938</v>
      </c>
      <c r="H245" s="34" t="n">
        <f aca="false">IF(F245=1,G245,"")</f>
        <v>65.938</v>
      </c>
    </row>
    <row r="246" customFormat="false" ht="15" hidden="false" customHeight="false" outlineLevel="0" collapsed="false">
      <c r="A246" s="31" t="n">
        <v>42746.1666666667</v>
      </c>
      <c r="B246" s="32" t="n">
        <v>65.287</v>
      </c>
      <c r="D246" s="33" t="n">
        <f aca="false">WEEKDAY(A246,2)</f>
        <v>3</v>
      </c>
      <c r="E246" s="33" t="n">
        <f aca="false">HOUR(A246)+MINUTE(A246)/60</f>
        <v>4</v>
      </c>
      <c r="F246" s="33" t="n">
        <f aca="false">IF(OR(D246&gt;5,E246&lt;8,E246&gt;=18,COUNTIF($K$2:$K$10,INT(A246))&gt;0),1,0)</f>
        <v>1</v>
      </c>
      <c r="G246" s="34" t="n">
        <f aca="false">B246/1</f>
        <v>65.287</v>
      </c>
      <c r="H246" s="34" t="n">
        <f aca="false">IF(F246=1,G246,"")</f>
        <v>65.287</v>
      </c>
    </row>
    <row r="247" customFormat="false" ht="15" hidden="false" customHeight="false" outlineLevel="0" collapsed="false">
      <c r="A247" s="31" t="n">
        <v>42746.2083333333</v>
      </c>
      <c r="B247" s="32" t="n">
        <v>63.614</v>
      </c>
      <c r="D247" s="33" t="n">
        <f aca="false">WEEKDAY(A247,2)</f>
        <v>3</v>
      </c>
      <c r="E247" s="33" t="n">
        <f aca="false">HOUR(A247)+MINUTE(A247)/60</f>
        <v>5</v>
      </c>
      <c r="F247" s="33" t="n">
        <f aca="false">IF(OR(D247&gt;5,E247&lt;8,E247&gt;=18,COUNTIF($K$2:$K$10,INT(A247))&gt;0),1,0)</f>
        <v>1</v>
      </c>
      <c r="G247" s="34" t="n">
        <f aca="false">B247/1</f>
        <v>63.614</v>
      </c>
      <c r="H247" s="34" t="n">
        <f aca="false">IF(F247=1,G247,"")</f>
        <v>63.614</v>
      </c>
    </row>
    <row r="248" customFormat="false" ht="15" hidden="false" customHeight="false" outlineLevel="0" collapsed="false">
      <c r="A248" s="31" t="n">
        <v>42746.25</v>
      </c>
      <c r="B248" s="32" t="n">
        <v>68.875</v>
      </c>
      <c r="D248" s="33" t="n">
        <f aca="false">WEEKDAY(A248,2)</f>
        <v>3</v>
      </c>
      <c r="E248" s="33" t="n">
        <f aca="false">HOUR(A248)+MINUTE(A248)/60</f>
        <v>6</v>
      </c>
      <c r="F248" s="33" t="n">
        <f aca="false">IF(OR(D248&gt;5,E248&lt;8,E248&gt;=18,COUNTIF($K$2:$K$10,INT(A248))&gt;0),1,0)</f>
        <v>1</v>
      </c>
      <c r="G248" s="34" t="n">
        <f aca="false">B248/1</f>
        <v>68.875</v>
      </c>
      <c r="H248" s="34" t="n">
        <f aca="false">IF(F248=1,G248,"")</f>
        <v>68.875</v>
      </c>
    </row>
    <row r="249" customFormat="false" ht="15" hidden="false" customHeight="false" outlineLevel="0" collapsed="false">
      <c r="A249" s="31" t="n">
        <v>42746.2916666667</v>
      </c>
      <c r="B249" s="32" t="n">
        <v>69.096</v>
      </c>
      <c r="D249" s="33" t="n">
        <f aca="false">WEEKDAY(A249,2)</f>
        <v>3</v>
      </c>
      <c r="E249" s="33" t="n">
        <f aca="false">HOUR(A249)+MINUTE(A249)/60</f>
        <v>7</v>
      </c>
      <c r="F249" s="33" t="n">
        <f aca="false">IF(OR(D249&gt;5,E249&lt;8,E249&gt;=18,COUNTIF($K$2:$K$10,INT(A249))&gt;0),1,0)</f>
        <v>1</v>
      </c>
      <c r="G249" s="34" t="n">
        <f aca="false">B249/1</f>
        <v>69.096</v>
      </c>
      <c r="H249" s="34" t="n">
        <f aca="false">IF(F249=1,G249,"")</f>
        <v>69.096</v>
      </c>
    </row>
    <row r="250" customFormat="false" ht="15" hidden="false" customHeight="false" outlineLevel="0" collapsed="false">
      <c r="A250" s="31" t="n">
        <v>42746.3333333333</v>
      </c>
      <c r="B250" s="32" t="n">
        <v>168.514</v>
      </c>
      <c r="D250" s="33" t="n">
        <f aca="false">WEEKDAY(A250,2)</f>
        <v>3</v>
      </c>
      <c r="E250" s="33" t="n">
        <f aca="false">HOUR(A250)+MINUTE(A250)/60</f>
        <v>8</v>
      </c>
      <c r="F250" s="33" t="n">
        <f aca="false">IF(OR(D250&gt;5,E250&lt;8,E250&gt;=18,COUNTIF($K$2:$K$10,INT(A250))&gt;0),1,0)</f>
        <v>0</v>
      </c>
      <c r="G250" s="34" t="n">
        <f aca="false">B250/1</f>
        <v>168.514</v>
      </c>
      <c r="H250" s="34" t="str">
        <f aca="false">IF(F250=1,G250,"")</f>
        <v/>
      </c>
    </row>
    <row r="251" customFormat="false" ht="15" hidden="false" customHeight="false" outlineLevel="0" collapsed="false">
      <c r="A251" s="31" t="n">
        <v>42746.375</v>
      </c>
      <c r="B251" s="32" t="n">
        <v>199.344</v>
      </c>
      <c r="D251" s="33" t="n">
        <f aca="false">WEEKDAY(A251,2)</f>
        <v>3</v>
      </c>
      <c r="E251" s="33" t="n">
        <f aca="false">HOUR(A251)+MINUTE(A251)/60</f>
        <v>9</v>
      </c>
      <c r="F251" s="33" t="n">
        <f aca="false">IF(OR(D251&gt;5,E251&lt;8,E251&gt;=18,COUNTIF($K$2:$K$10,INT(A251))&gt;0),1,0)</f>
        <v>0</v>
      </c>
      <c r="G251" s="34" t="n">
        <f aca="false">B251/1</f>
        <v>199.344</v>
      </c>
      <c r="H251" s="34" t="str">
        <f aca="false">IF(F251=1,G251,"")</f>
        <v/>
      </c>
    </row>
    <row r="252" customFormat="false" ht="15" hidden="false" customHeight="false" outlineLevel="0" collapsed="false">
      <c r="A252" s="31" t="n">
        <v>42746.4166666667</v>
      </c>
      <c r="B252" s="32" t="n">
        <v>214.7</v>
      </c>
      <c r="D252" s="33" t="n">
        <f aca="false">WEEKDAY(A252,2)</f>
        <v>3</v>
      </c>
      <c r="E252" s="33" t="n">
        <f aca="false">HOUR(A252)+MINUTE(A252)/60</f>
        <v>10</v>
      </c>
      <c r="F252" s="33" t="n">
        <f aca="false">IF(OR(D252&gt;5,E252&lt;8,E252&gt;=18,COUNTIF($K$2:$K$10,INT(A252))&gt;0),1,0)</f>
        <v>0</v>
      </c>
      <c r="G252" s="34" t="n">
        <f aca="false">B252/1</f>
        <v>214.7</v>
      </c>
      <c r="H252" s="34" t="str">
        <f aca="false">IF(F252=1,G252,"")</f>
        <v/>
      </c>
    </row>
    <row r="253" customFormat="false" ht="15" hidden="false" customHeight="false" outlineLevel="0" collapsed="false">
      <c r="A253" s="31" t="n">
        <v>42746.4583333333</v>
      </c>
      <c r="B253" s="32" t="n">
        <v>223.822</v>
      </c>
      <c r="D253" s="33" t="n">
        <f aca="false">WEEKDAY(A253,2)</f>
        <v>3</v>
      </c>
      <c r="E253" s="33" t="n">
        <f aca="false">HOUR(A253)+MINUTE(A253)/60</f>
        <v>11</v>
      </c>
      <c r="F253" s="33" t="n">
        <f aca="false">IF(OR(D253&gt;5,E253&lt;8,E253&gt;=18,COUNTIF($K$2:$K$10,INT(A253))&gt;0),1,0)</f>
        <v>0</v>
      </c>
      <c r="G253" s="34" t="n">
        <f aca="false">B253/1</f>
        <v>223.822</v>
      </c>
      <c r="H253" s="34" t="str">
        <f aca="false">IF(F253=1,G253,"")</f>
        <v/>
      </c>
    </row>
    <row r="254" customFormat="false" ht="15" hidden="false" customHeight="false" outlineLevel="0" collapsed="false">
      <c r="A254" s="31" t="n">
        <v>42746.5</v>
      </c>
      <c r="B254" s="32" t="n">
        <v>228.822</v>
      </c>
      <c r="D254" s="33" t="n">
        <f aca="false">WEEKDAY(A254,2)</f>
        <v>3</v>
      </c>
      <c r="E254" s="33" t="n">
        <f aca="false">HOUR(A254)+MINUTE(A254)/60</f>
        <v>12</v>
      </c>
      <c r="F254" s="33" t="n">
        <f aca="false">IF(OR(D254&gt;5,E254&lt;8,E254&gt;=18,COUNTIF($K$2:$K$10,INT(A254))&gt;0),1,0)</f>
        <v>0</v>
      </c>
      <c r="G254" s="34" t="n">
        <f aca="false">B254/1</f>
        <v>228.822</v>
      </c>
      <c r="H254" s="34" t="str">
        <f aca="false">IF(F254=1,G254,"")</f>
        <v/>
      </c>
    </row>
    <row r="255" customFormat="false" ht="15" hidden="false" customHeight="false" outlineLevel="0" collapsed="false">
      <c r="A255" s="31" t="n">
        <v>42746.5416666667</v>
      </c>
      <c r="B255" s="32" t="n">
        <v>227.798</v>
      </c>
      <c r="D255" s="33" t="n">
        <f aca="false">WEEKDAY(A255,2)</f>
        <v>3</v>
      </c>
      <c r="E255" s="33" t="n">
        <f aca="false">HOUR(A255)+MINUTE(A255)/60</f>
        <v>13</v>
      </c>
      <c r="F255" s="33" t="n">
        <f aca="false">IF(OR(D255&gt;5,E255&lt;8,E255&gt;=18,COUNTIF($K$2:$K$10,INT(A255))&gt;0),1,0)</f>
        <v>0</v>
      </c>
      <c r="G255" s="34" t="n">
        <f aca="false">B255/1</f>
        <v>227.798</v>
      </c>
      <c r="H255" s="34" t="str">
        <f aca="false">IF(F255=1,G255,"")</f>
        <v/>
      </c>
    </row>
    <row r="256" customFormat="false" ht="15" hidden="false" customHeight="false" outlineLevel="0" collapsed="false">
      <c r="A256" s="31" t="n">
        <v>42746.5833333333</v>
      </c>
      <c r="B256" s="32" t="n">
        <v>228.397</v>
      </c>
      <c r="D256" s="33" t="n">
        <f aca="false">WEEKDAY(A256,2)</f>
        <v>3</v>
      </c>
      <c r="E256" s="33" t="n">
        <f aca="false">HOUR(A256)+MINUTE(A256)/60</f>
        <v>14</v>
      </c>
      <c r="F256" s="33" t="n">
        <f aca="false">IF(OR(D256&gt;5,E256&lt;8,E256&gt;=18,COUNTIF($K$2:$K$10,INT(A256))&gt;0),1,0)</f>
        <v>0</v>
      </c>
      <c r="G256" s="34" t="n">
        <f aca="false">B256/1</f>
        <v>228.397</v>
      </c>
      <c r="H256" s="34" t="str">
        <f aca="false">IF(F256=1,G256,"")</f>
        <v/>
      </c>
    </row>
    <row r="257" customFormat="false" ht="15" hidden="false" customHeight="false" outlineLevel="0" collapsed="false">
      <c r="A257" s="31" t="n">
        <v>42746.625</v>
      </c>
      <c r="B257" s="32" t="n">
        <v>227.079</v>
      </c>
      <c r="D257" s="33" t="n">
        <f aca="false">WEEKDAY(A257,2)</f>
        <v>3</v>
      </c>
      <c r="E257" s="33" t="n">
        <f aca="false">HOUR(A257)+MINUTE(A257)/60</f>
        <v>15</v>
      </c>
      <c r="F257" s="33" t="n">
        <f aca="false">IF(OR(D257&gt;5,E257&lt;8,E257&gt;=18,COUNTIF($K$2:$K$10,INT(A257))&gt;0),1,0)</f>
        <v>0</v>
      </c>
      <c r="G257" s="34" t="n">
        <f aca="false">B257/1</f>
        <v>227.079</v>
      </c>
      <c r="H257" s="34" t="str">
        <f aca="false">IF(F257=1,G257,"")</f>
        <v/>
      </c>
    </row>
    <row r="258" customFormat="false" ht="15" hidden="false" customHeight="false" outlineLevel="0" collapsed="false">
      <c r="A258" s="31" t="n">
        <v>42746.6666666667</v>
      </c>
      <c r="B258" s="32" t="n">
        <v>218.232</v>
      </c>
      <c r="D258" s="33" t="n">
        <f aca="false">WEEKDAY(A258,2)</f>
        <v>3</v>
      </c>
      <c r="E258" s="33" t="n">
        <f aca="false">HOUR(A258)+MINUTE(A258)/60</f>
        <v>16</v>
      </c>
      <c r="F258" s="33" t="n">
        <f aca="false">IF(OR(D258&gt;5,E258&lt;8,E258&gt;=18,COUNTIF($K$2:$K$10,INT(A258))&gt;0),1,0)</f>
        <v>0</v>
      </c>
      <c r="G258" s="34" t="n">
        <f aca="false">B258/1</f>
        <v>218.232</v>
      </c>
      <c r="H258" s="34" t="str">
        <f aca="false">IF(F258=1,G258,"")</f>
        <v/>
      </c>
    </row>
    <row r="259" customFormat="false" ht="15" hidden="false" customHeight="false" outlineLevel="0" collapsed="false">
      <c r="A259" s="31" t="n">
        <v>42746.7083333333</v>
      </c>
      <c r="B259" s="32" t="n">
        <v>207.936</v>
      </c>
      <c r="D259" s="33" t="n">
        <f aca="false">WEEKDAY(A259,2)</f>
        <v>3</v>
      </c>
      <c r="E259" s="33" t="n">
        <f aca="false">HOUR(A259)+MINUTE(A259)/60</f>
        <v>17</v>
      </c>
      <c r="F259" s="33" t="n">
        <f aca="false">IF(OR(D259&gt;5,E259&lt;8,E259&gt;=18,COUNTIF($K$2:$K$10,INT(A259))&gt;0),1,0)</f>
        <v>0</v>
      </c>
      <c r="G259" s="34" t="n">
        <f aca="false">B259/1</f>
        <v>207.936</v>
      </c>
      <c r="H259" s="34" t="str">
        <f aca="false">IF(F259=1,G259,"")</f>
        <v/>
      </c>
    </row>
    <row r="260" customFormat="false" ht="15" hidden="false" customHeight="false" outlineLevel="0" collapsed="false">
      <c r="A260" s="31" t="n">
        <v>42746.75</v>
      </c>
      <c r="B260" s="32" t="n">
        <v>193.116</v>
      </c>
      <c r="D260" s="33" t="n">
        <f aca="false">WEEKDAY(A260,2)</f>
        <v>3</v>
      </c>
      <c r="E260" s="33" t="n">
        <f aca="false">HOUR(A260)+MINUTE(A260)/60</f>
        <v>18</v>
      </c>
      <c r="F260" s="33" t="n">
        <f aca="false">IF(OR(D260&gt;5,E260&lt;8,E260&gt;=18,COUNTIF($K$2:$K$10,INT(A260))&gt;0),1,0)</f>
        <v>1</v>
      </c>
      <c r="G260" s="34" t="n">
        <f aca="false">B260/1</f>
        <v>193.116</v>
      </c>
      <c r="H260" s="34" t="n">
        <f aca="false">IF(F260=1,G260,"")</f>
        <v>193.116</v>
      </c>
    </row>
    <row r="261" customFormat="false" ht="15" hidden="false" customHeight="false" outlineLevel="0" collapsed="false">
      <c r="A261" s="31" t="n">
        <v>42746.7916666667</v>
      </c>
      <c r="B261" s="32" t="n">
        <v>185.849</v>
      </c>
      <c r="D261" s="33" t="n">
        <f aca="false">WEEKDAY(A261,2)</f>
        <v>3</v>
      </c>
      <c r="E261" s="33" t="n">
        <f aca="false">HOUR(A261)+MINUTE(A261)/60</f>
        <v>19</v>
      </c>
      <c r="F261" s="33" t="n">
        <f aca="false">IF(OR(D261&gt;5,E261&lt;8,E261&gt;=18,COUNTIF($K$2:$K$10,INT(A261))&gt;0),1,0)</f>
        <v>1</v>
      </c>
      <c r="G261" s="34" t="n">
        <f aca="false">B261/1</f>
        <v>185.849</v>
      </c>
      <c r="H261" s="34" t="n">
        <f aca="false">IF(F261=1,G261,"")</f>
        <v>185.849</v>
      </c>
    </row>
    <row r="262" customFormat="false" ht="15" hidden="false" customHeight="false" outlineLevel="0" collapsed="false">
      <c r="A262" s="31" t="n">
        <v>42746.8333333333</v>
      </c>
      <c r="B262" s="32" t="n">
        <v>183.304</v>
      </c>
      <c r="D262" s="33" t="n">
        <f aca="false">WEEKDAY(A262,2)</f>
        <v>3</v>
      </c>
      <c r="E262" s="33" t="n">
        <f aca="false">HOUR(A262)+MINUTE(A262)/60</f>
        <v>20</v>
      </c>
      <c r="F262" s="33" t="n">
        <f aca="false">IF(OR(D262&gt;5,E262&lt;8,E262&gt;=18,COUNTIF($K$2:$K$10,INT(A262))&gt;0),1,0)</f>
        <v>1</v>
      </c>
      <c r="G262" s="34" t="n">
        <f aca="false">B262/1</f>
        <v>183.304</v>
      </c>
      <c r="H262" s="34" t="n">
        <f aca="false">IF(F262=1,G262,"")</f>
        <v>183.304</v>
      </c>
    </row>
    <row r="263" customFormat="false" ht="15" hidden="false" customHeight="false" outlineLevel="0" collapsed="false">
      <c r="A263" s="31" t="n">
        <v>42746.875</v>
      </c>
      <c r="B263" s="32" t="n">
        <v>182.589</v>
      </c>
      <c r="D263" s="33" t="n">
        <f aca="false">WEEKDAY(A263,2)</f>
        <v>3</v>
      </c>
      <c r="E263" s="33" t="n">
        <f aca="false">HOUR(A263)+MINUTE(A263)/60</f>
        <v>21</v>
      </c>
      <c r="F263" s="33" t="n">
        <f aca="false">IF(OR(D263&gt;5,E263&lt;8,E263&gt;=18,COUNTIF($K$2:$K$10,INT(A263))&gt;0),1,0)</f>
        <v>1</v>
      </c>
      <c r="G263" s="34" t="n">
        <f aca="false">B263/1</f>
        <v>182.589</v>
      </c>
      <c r="H263" s="34" t="n">
        <f aca="false">IF(F263=1,G263,"")</f>
        <v>182.589</v>
      </c>
    </row>
    <row r="264" customFormat="false" ht="15" hidden="false" customHeight="false" outlineLevel="0" collapsed="false">
      <c r="A264" s="31" t="n">
        <v>42746.9166666667</v>
      </c>
      <c r="B264" s="32" t="n">
        <v>136.78</v>
      </c>
      <c r="D264" s="33" t="n">
        <f aca="false">WEEKDAY(A264,2)</f>
        <v>3</v>
      </c>
      <c r="E264" s="33" t="n">
        <f aca="false">HOUR(A264)+MINUTE(A264)/60</f>
        <v>22</v>
      </c>
      <c r="F264" s="33" t="n">
        <f aca="false">IF(OR(D264&gt;5,E264&lt;8,E264&gt;=18,COUNTIF($K$2:$K$10,INT(A264))&gt;0),1,0)</f>
        <v>1</v>
      </c>
      <c r="G264" s="34" t="n">
        <f aca="false">B264/1</f>
        <v>136.78</v>
      </c>
      <c r="H264" s="34" t="n">
        <f aca="false">IF(F264=1,G264,"")</f>
        <v>136.78</v>
      </c>
    </row>
    <row r="265" customFormat="false" ht="15" hidden="false" customHeight="false" outlineLevel="0" collapsed="false">
      <c r="A265" s="31" t="n">
        <v>42746.9583333333</v>
      </c>
      <c r="B265" s="32" t="n">
        <v>75.764</v>
      </c>
      <c r="D265" s="33" t="n">
        <f aca="false">WEEKDAY(A265,2)</f>
        <v>3</v>
      </c>
      <c r="E265" s="33" t="n">
        <f aca="false">HOUR(A265)+MINUTE(A265)/60</f>
        <v>23</v>
      </c>
      <c r="F265" s="33" t="n">
        <f aca="false">IF(OR(D265&gt;5,E265&lt;8,E265&gt;=18,COUNTIF($K$2:$K$10,INT(A265))&gt;0),1,0)</f>
        <v>1</v>
      </c>
      <c r="G265" s="34" t="n">
        <f aca="false">B265/1</f>
        <v>75.764</v>
      </c>
      <c r="H265" s="34" t="n">
        <f aca="false">IF(F265=1,G265,"")</f>
        <v>75.764</v>
      </c>
    </row>
    <row r="266" customFormat="false" ht="15" hidden="false" customHeight="false" outlineLevel="0" collapsed="false">
      <c r="A266" s="31" t="n">
        <v>42747</v>
      </c>
      <c r="B266" s="32" t="n">
        <v>72.619</v>
      </c>
      <c r="D266" s="33" t="n">
        <f aca="false">WEEKDAY(A266,2)</f>
        <v>4</v>
      </c>
      <c r="E266" s="33" t="n">
        <f aca="false">HOUR(A266)+MINUTE(A266)/60</f>
        <v>0</v>
      </c>
      <c r="F266" s="33" t="n">
        <f aca="false">IF(OR(D266&gt;5,E266&lt;8,E266&gt;=18,COUNTIF($K$2:$K$10,INT(A266))&gt;0),1,0)</f>
        <v>1</v>
      </c>
      <c r="G266" s="34" t="n">
        <f aca="false">B266/1</f>
        <v>72.619</v>
      </c>
      <c r="H266" s="34" t="n">
        <f aca="false">IF(F266=1,G266,"")</f>
        <v>72.619</v>
      </c>
    </row>
    <row r="267" customFormat="false" ht="15" hidden="false" customHeight="false" outlineLevel="0" collapsed="false">
      <c r="A267" s="31" t="n">
        <v>42747.0416666667</v>
      </c>
      <c r="B267" s="32" t="n">
        <v>71.759</v>
      </c>
      <c r="D267" s="33" t="n">
        <f aca="false">WEEKDAY(A267,2)</f>
        <v>4</v>
      </c>
      <c r="E267" s="33" t="n">
        <f aca="false">HOUR(A267)+MINUTE(A267)/60</f>
        <v>1</v>
      </c>
      <c r="F267" s="33" t="n">
        <f aca="false">IF(OR(D267&gt;5,E267&lt;8,E267&gt;=18,COUNTIF($K$2:$K$10,INT(A267))&gt;0),1,0)</f>
        <v>1</v>
      </c>
      <c r="G267" s="34" t="n">
        <f aca="false">B267/1</f>
        <v>71.759</v>
      </c>
      <c r="H267" s="34" t="n">
        <f aca="false">IF(F267=1,G267,"")</f>
        <v>71.759</v>
      </c>
    </row>
    <row r="268" customFormat="false" ht="15" hidden="false" customHeight="false" outlineLevel="0" collapsed="false">
      <c r="A268" s="31" t="n">
        <v>42747.0833333333</v>
      </c>
      <c r="B268" s="32" t="n">
        <v>69.622</v>
      </c>
      <c r="D268" s="33" t="n">
        <f aca="false">WEEKDAY(A268,2)</f>
        <v>4</v>
      </c>
      <c r="E268" s="33" t="n">
        <f aca="false">HOUR(A268)+MINUTE(A268)/60</f>
        <v>2</v>
      </c>
      <c r="F268" s="33" t="n">
        <f aca="false">IF(OR(D268&gt;5,E268&lt;8,E268&gt;=18,COUNTIF($K$2:$K$10,INT(A268))&gt;0),1,0)</f>
        <v>1</v>
      </c>
      <c r="G268" s="34" t="n">
        <f aca="false">B268/1</f>
        <v>69.622</v>
      </c>
      <c r="H268" s="34" t="n">
        <f aca="false">IF(F268=1,G268,"")</f>
        <v>69.622</v>
      </c>
    </row>
    <row r="269" customFormat="false" ht="15" hidden="false" customHeight="false" outlineLevel="0" collapsed="false">
      <c r="A269" s="31" t="n">
        <v>42747.125</v>
      </c>
      <c r="B269" s="32" t="n">
        <v>68.666</v>
      </c>
      <c r="D269" s="33" t="n">
        <f aca="false">WEEKDAY(A269,2)</f>
        <v>4</v>
      </c>
      <c r="E269" s="33" t="n">
        <f aca="false">HOUR(A269)+MINUTE(A269)/60</f>
        <v>3</v>
      </c>
      <c r="F269" s="33" t="n">
        <f aca="false">IF(OR(D269&gt;5,E269&lt;8,E269&gt;=18,COUNTIF($K$2:$K$10,INT(A269))&gt;0),1,0)</f>
        <v>1</v>
      </c>
      <c r="G269" s="34" t="n">
        <f aca="false">B269/1</f>
        <v>68.666</v>
      </c>
      <c r="H269" s="34" t="n">
        <f aca="false">IF(F269=1,G269,"")</f>
        <v>68.666</v>
      </c>
    </row>
    <row r="270" customFormat="false" ht="15" hidden="false" customHeight="false" outlineLevel="0" collapsed="false">
      <c r="A270" s="31" t="n">
        <v>42747.1666666667</v>
      </c>
      <c r="B270" s="32" t="n">
        <v>67.016</v>
      </c>
      <c r="D270" s="33" t="n">
        <f aca="false">WEEKDAY(A270,2)</f>
        <v>4</v>
      </c>
      <c r="E270" s="33" t="n">
        <f aca="false">HOUR(A270)+MINUTE(A270)/60</f>
        <v>4</v>
      </c>
      <c r="F270" s="33" t="n">
        <f aca="false">IF(OR(D270&gt;5,E270&lt;8,E270&gt;=18,COUNTIF($K$2:$K$10,INT(A270))&gt;0),1,0)</f>
        <v>1</v>
      </c>
      <c r="G270" s="34" t="n">
        <f aca="false">B270/1</f>
        <v>67.016</v>
      </c>
      <c r="H270" s="34" t="n">
        <f aca="false">IF(F270=1,G270,"")</f>
        <v>67.016</v>
      </c>
    </row>
    <row r="271" customFormat="false" ht="15" hidden="false" customHeight="false" outlineLevel="0" collapsed="false">
      <c r="A271" s="31" t="n">
        <v>42747.2083333333</v>
      </c>
      <c r="B271" s="32" t="n">
        <v>66.495</v>
      </c>
      <c r="D271" s="33" t="n">
        <f aca="false">WEEKDAY(A271,2)</f>
        <v>4</v>
      </c>
      <c r="E271" s="33" t="n">
        <f aca="false">HOUR(A271)+MINUTE(A271)/60</f>
        <v>5</v>
      </c>
      <c r="F271" s="33" t="n">
        <f aca="false">IF(OR(D271&gt;5,E271&lt;8,E271&gt;=18,COUNTIF($K$2:$K$10,INT(A271))&gt;0),1,0)</f>
        <v>1</v>
      </c>
      <c r="G271" s="34" t="n">
        <f aca="false">B271/1</f>
        <v>66.495</v>
      </c>
      <c r="H271" s="34" t="n">
        <f aca="false">IF(F271=1,G271,"")</f>
        <v>66.495</v>
      </c>
    </row>
    <row r="272" customFormat="false" ht="15" hidden="false" customHeight="false" outlineLevel="0" collapsed="false">
      <c r="A272" s="31" t="n">
        <v>42747.25</v>
      </c>
      <c r="B272" s="32" t="n">
        <v>70.314</v>
      </c>
      <c r="D272" s="33" t="n">
        <f aca="false">WEEKDAY(A272,2)</f>
        <v>4</v>
      </c>
      <c r="E272" s="33" t="n">
        <f aca="false">HOUR(A272)+MINUTE(A272)/60</f>
        <v>6</v>
      </c>
      <c r="F272" s="33" t="n">
        <f aca="false">IF(OR(D272&gt;5,E272&lt;8,E272&gt;=18,COUNTIF($K$2:$K$10,INT(A272))&gt;0),1,0)</f>
        <v>1</v>
      </c>
      <c r="G272" s="34" t="n">
        <f aca="false">B272/1</f>
        <v>70.314</v>
      </c>
      <c r="H272" s="34" t="n">
        <f aca="false">IF(F272=1,G272,"")</f>
        <v>70.314</v>
      </c>
    </row>
    <row r="273" customFormat="false" ht="15" hidden="false" customHeight="false" outlineLevel="0" collapsed="false">
      <c r="A273" s="31" t="n">
        <v>42747.2916666667</v>
      </c>
      <c r="B273" s="32" t="n">
        <v>73.292</v>
      </c>
      <c r="D273" s="33" t="n">
        <f aca="false">WEEKDAY(A273,2)</f>
        <v>4</v>
      </c>
      <c r="E273" s="33" t="n">
        <f aca="false">HOUR(A273)+MINUTE(A273)/60</f>
        <v>7</v>
      </c>
      <c r="F273" s="33" t="n">
        <f aca="false">IF(OR(D273&gt;5,E273&lt;8,E273&gt;=18,COUNTIF($K$2:$K$10,INT(A273))&gt;0),1,0)</f>
        <v>1</v>
      </c>
      <c r="G273" s="34" t="n">
        <f aca="false">B273/1</f>
        <v>73.292</v>
      </c>
      <c r="H273" s="34" t="n">
        <f aca="false">IF(F273=1,G273,"")</f>
        <v>73.292</v>
      </c>
    </row>
    <row r="274" customFormat="false" ht="15" hidden="false" customHeight="false" outlineLevel="0" collapsed="false">
      <c r="A274" s="31" t="n">
        <v>42747.3333333333</v>
      </c>
      <c r="B274" s="32" t="n">
        <v>173.168</v>
      </c>
      <c r="D274" s="33" t="n">
        <f aca="false">WEEKDAY(A274,2)</f>
        <v>4</v>
      </c>
      <c r="E274" s="33" t="n">
        <f aca="false">HOUR(A274)+MINUTE(A274)/60</f>
        <v>8</v>
      </c>
      <c r="F274" s="33" t="n">
        <f aca="false">IF(OR(D274&gt;5,E274&lt;8,E274&gt;=18,COUNTIF($K$2:$K$10,INT(A274))&gt;0),1,0)</f>
        <v>0</v>
      </c>
      <c r="G274" s="34" t="n">
        <f aca="false">B274/1</f>
        <v>173.168</v>
      </c>
      <c r="H274" s="34" t="str">
        <f aca="false">IF(F274=1,G274,"")</f>
        <v/>
      </c>
    </row>
    <row r="275" customFormat="false" ht="15" hidden="false" customHeight="false" outlineLevel="0" collapsed="false">
      <c r="A275" s="31" t="n">
        <v>42747.375</v>
      </c>
      <c r="B275" s="32" t="n">
        <v>204.952</v>
      </c>
      <c r="D275" s="33" t="n">
        <f aca="false">WEEKDAY(A275,2)</f>
        <v>4</v>
      </c>
      <c r="E275" s="33" t="n">
        <f aca="false">HOUR(A275)+MINUTE(A275)/60</f>
        <v>9</v>
      </c>
      <c r="F275" s="33" t="n">
        <f aca="false">IF(OR(D275&gt;5,E275&lt;8,E275&gt;=18,COUNTIF($K$2:$K$10,INT(A275))&gt;0),1,0)</f>
        <v>0</v>
      </c>
      <c r="G275" s="34" t="n">
        <f aca="false">B275/1</f>
        <v>204.952</v>
      </c>
      <c r="H275" s="34" t="str">
        <f aca="false">IF(F275=1,G275,"")</f>
        <v/>
      </c>
    </row>
    <row r="276" customFormat="false" ht="15" hidden="false" customHeight="false" outlineLevel="0" collapsed="false">
      <c r="A276" s="31" t="n">
        <v>42747.4166666667</v>
      </c>
      <c r="B276" s="32" t="n">
        <v>222.906</v>
      </c>
      <c r="D276" s="33" t="n">
        <f aca="false">WEEKDAY(A276,2)</f>
        <v>4</v>
      </c>
      <c r="E276" s="33" t="n">
        <f aca="false">HOUR(A276)+MINUTE(A276)/60</f>
        <v>10</v>
      </c>
      <c r="F276" s="33" t="n">
        <f aca="false">IF(OR(D276&gt;5,E276&lt;8,E276&gt;=18,COUNTIF($K$2:$K$10,INT(A276))&gt;0),1,0)</f>
        <v>0</v>
      </c>
      <c r="G276" s="34" t="n">
        <f aca="false">B276/1</f>
        <v>222.906</v>
      </c>
      <c r="H276" s="34" t="str">
        <f aca="false">IF(F276=1,G276,"")</f>
        <v/>
      </c>
    </row>
    <row r="277" customFormat="false" ht="15" hidden="false" customHeight="false" outlineLevel="0" collapsed="false">
      <c r="A277" s="31" t="n">
        <v>42747.4583333333</v>
      </c>
      <c r="B277" s="32" t="n">
        <v>225.426</v>
      </c>
      <c r="D277" s="33" t="n">
        <f aca="false">WEEKDAY(A277,2)</f>
        <v>4</v>
      </c>
      <c r="E277" s="33" t="n">
        <f aca="false">HOUR(A277)+MINUTE(A277)/60</f>
        <v>11</v>
      </c>
      <c r="F277" s="33" t="n">
        <f aca="false">IF(OR(D277&gt;5,E277&lt;8,E277&gt;=18,COUNTIF($K$2:$K$10,INT(A277))&gt;0),1,0)</f>
        <v>0</v>
      </c>
      <c r="G277" s="34" t="n">
        <f aca="false">B277/1</f>
        <v>225.426</v>
      </c>
      <c r="H277" s="34" t="str">
        <f aca="false">IF(F277=1,G277,"")</f>
        <v/>
      </c>
    </row>
    <row r="278" customFormat="false" ht="15" hidden="false" customHeight="false" outlineLevel="0" collapsed="false">
      <c r="A278" s="31" t="n">
        <v>42747.5</v>
      </c>
      <c r="B278" s="32" t="n">
        <v>228.842</v>
      </c>
      <c r="D278" s="33" t="n">
        <f aca="false">WEEKDAY(A278,2)</f>
        <v>4</v>
      </c>
      <c r="E278" s="33" t="n">
        <f aca="false">HOUR(A278)+MINUTE(A278)/60</f>
        <v>12</v>
      </c>
      <c r="F278" s="33" t="n">
        <f aca="false">IF(OR(D278&gt;5,E278&lt;8,E278&gt;=18,COUNTIF($K$2:$K$10,INT(A278))&gt;0),1,0)</f>
        <v>0</v>
      </c>
      <c r="G278" s="34" t="n">
        <f aca="false">B278/1</f>
        <v>228.842</v>
      </c>
      <c r="H278" s="34" t="str">
        <f aca="false">IF(F278=1,G278,"")</f>
        <v/>
      </c>
    </row>
    <row r="279" customFormat="false" ht="15" hidden="false" customHeight="false" outlineLevel="0" collapsed="false">
      <c r="A279" s="31" t="n">
        <v>42747.5416666667</v>
      </c>
      <c r="B279" s="32" t="n">
        <v>224.329</v>
      </c>
      <c r="D279" s="33" t="n">
        <f aca="false">WEEKDAY(A279,2)</f>
        <v>4</v>
      </c>
      <c r="E279" s="33" t="n">
        <f aca="false">HOUR(A279)+MINUTE(A279)/60</f>
        <v>13</v>
      </c>
      <c r="F279" s="33" t="n">
        <f aca="false">IF(OR(D279&gt;5,E279&lt;8,E279&gt;=18,COUNTIF($K$2:$K$10,INT(A279))&gt;0),1,0)</f>
        <v>0</v>
      </c>
      <c r="G279" s="34" t="n">
        <f aca="false">B279/1</f>
        <v>224.329</v>
      </c>
      <c r="H279" s="34" t="str">
        <f aca="false">IF(F279=1,G279,"")</f>
        <v/>
      </c>
    </row>
    <row r="280" customFormat="false" ht="15" hidden="false" customHeight="false" outlineLevel="0" collapsed="false">
      <c r="A280" s="31" t="n">
        <v>42747.5833333333</v>
      </c>
      <c r="B280" s="32" t="n">
        <v>226.781</v>
      </c>
      <c r="D280" s="33" t="n">
        <f aca="false">WEEKDAY(A280,2)</f>
        <v>4</v>
      </c>
      <c r="E280" s="33" t="n">
        <f aca="false">HOUR(A280)+MINUTE(A280)/60</f>
        <v>14</v>
      </c>
      <c r="F280" s="33" t="n">
        <f aca="false">IF(OR(D280&gt;5,E280&lt;8,E280&gt;=18,COUNTIF($K$2:$K$10,INT(A280))&gt;0),1,0)</f>
        <v>0</v>
      </c>
      <c r="G280" s="34" t="n">
        <f aca="false">B280/1</f>
        <v>226.781</v>
      </c>
      <c r="H280" s="34" t="str">
        <f aca="false">IF(F280=1,G280,"")</f>
        <v/>
      </c>
    </row>
    <row r="281" customFormat="false" ht="15" hidden="false" customHeight="false" outlineLevel="0" collapsed="false">
      <c r="A281" s="31" t="n">
        <v>42747.625</v>
      </c>
      <c r="B281" s="32" t="n">
        <v>224.187</v>
      </c>
      <c r="D281" s="33" t="n">
        <f aca="false">WEEKDAY(A281,2)</f>
        <v>4</v>
      </c>
      <c r="E281" s="33" t="n">
        <f aca="false">HOUR(A281)+MINUTE(A281)/60</f>
        <v>15</v>
      </c>
      <c r="F281" s="33" t="n">
        <f aca="false">IF(OR(D281&gt;5,E281&lt;8,E281&gt;=18,COUNTIF($K$2:$K$10,INT(A281))&gt;0),1,0)</f>
        <v>0</v>
      </c>
      <c r="G281" s="34" t="n">
        <f aca="false">B281/1</f>
        <v>224.187</v>
      </c>
      <c r="H281" s="34" t="str">
        <f aca="false">IF(F281=1,G281,"")</f>
        <v/>
      </c>
    </row>
    <row r="282" customFormat="false" ht="15" hidden="false" customHeight="false" outlineLevel="0" collapsed="false">
      <c r="A282" s="31" t="n">
        <v>42747.6666666667</v>
      </c>
      <c r="B282" s="32" t="n">
        <v>217.965</v>
      </c>
      <c r="D282" s="33" t="n">
        <f aca="false">WEEKDAY(A282,2)</f>
        <v>4</v>
      </c>
      <c r="E282" s="33" t="n">
        <f aca="false">HOUR(A282)+MINUTE(A282)/60</f>
        <v>16</v>
      </c>
      <c r="F282" s="33" t="n">
        <f aca="false">IF(OR(D282&gt;5,E282&lt;8,E282&gt;=18,COUNTIF($K$2:$K$10,INT(A282))&gt;0),1,0)</f>
        <v>0</v>
      </c>
      <c r="G282" s="34" t="n">
        <f aca="false">B282/1</f>
        <v>217.965</v>
      </c>
      <c r="H282" s="34" t="str">
        <f aca="false">IF(F282=1,G282,"")</f>
        <v/>
      </c>
    </row>
    <row r="283" customFormat="false" ht="15" hidden="false" customHeight="false" outlineLevel="0" collapsed="false">
      <c r="A283" s="31" t="n">
        <v>42747.7083333333</v>
      </c>
      <c r="B283" s="32" t="n">
        <v>206.861</v>
      </c>
      <c r="D283" s="33" t="n">
        <f aca="false">WEEKDAY(A283,2)</f>
        <v>4</v>
      </c>
      <c r="E283" s="33" t="n">
        <f aca="false">HOUR(A283)+MINUTE(A283)/60</f>
        <v>17</v>
      </c>
      <c r="F283" s="33" t="n">
        <f aca="false">IF(OR(D283&gt;5,E283&lt;8,E283&gt;=18,COUNTIF($K$2:$K$10,INT(A283))&gt;0),1,0)</f>
        <v>0</v>
      </c>
      <c r="G283" s="34" t="n">
        <f aca="false">B283/1</f>
        <v>206.861</v>
      </c>
      <c r="H283" s="34" t="str">
        <f aca="false">IF(F283=1,G283,"")</f>
        <v/>
      </c>
    </row>
    <row r="284" customFormat="false" ht="15" hidden="false" customHeight="false" outlineLevel="0" collapsed="false">
      <c r="A284" s="31" t="n">
        <v>42747.75</v>
      </c>
      <c r="B284" s="32" t="n">
        <v>197.001</v>
      </c>
      <c r="D284" s="33" t="n">
        <f aca="false">WEEKDAY(A284,2)</f>
        <v>4</v>
      </c>
      <c r="E284" s="33" t="n">
        <f aca="false">HOUR(A284)+MINUTE(A284)/60</f>
        <v>18</v>
      </c>
      <c r="F284" s="33" t="n">
        <f aca="false">IF(OR(D284&gt;5,E284&lt;8,E284&gt;=18,COUNTIF($K$2:$K$10,INT(A284))&gt;0),1,0)</f>
        <v>1</v>
      </c>
      <c r="G284" s="34" t="n">
        <f aca="false">B284/1</f>
        <v>197.001</v>
      </c>
      <c r="H284" s="34" t="n">
        <f aca="false">IF(F284=1,G284,"")</f>
        <v>197.001</v>
      </c>
    </row>
    <row r="285" customFormat="false" ht="15" hidden="false" customHeight="false" outlineLevel="0" collapsed="false">
      <c r="A285" s="31" t="n">
        <v>42747.7916666667</v>
      </c>
      <c r="B285" s="32" t="n">
        <v>197.066</v>
      </c>
      <c r="D285" s="33" t="n">
        <f aca="false">WEEKDAY(A285,2)</f>
        <v>4</v>
      </c>
      <c r="E285" s="33" t="n">
        <f aca="false">HOUR(A285)+MINUTE(A285)/60</f>
        <v>19</v>
      </c>
      <c r="F285" s="33" t="n">
        <f aca="false">IF(OR(D285&gt;5,E285&lt;8,E285&gt;=18,COUNTIF($K$2:$K$10,INT(A285))&gt;0),1,0)</f>
        <v>1</v>
      </c>
      <c r="G285" s="34" t="n">
        <f aca="false">B285/1</f>
        <v>197.066</v>
      </c>
      <c r="H285" s="34" t="n">
        <f aca="false">IF(F285=1,G285,"")</f>
        <v>197.066</v>
      </c>
    </row>
    <row r="286" customFormat="false" ht="15" hidden="false" customHeight="false" outlineLevel="0" collapsed="false">
      <c r="A286" s="31" t="n">
        <v>42747.8333333333</v>
      </c>
      <c r="B286" s="32" t="n">
        <v>187.735</v>
      </c>
      <c r="D286" s="33" t="n">
        <f aca="false">WEEKDAY(A286,2)</f>
        <v>4</v>
      </c>
      <c r="E286" s="33" t="n">
        <f aca="false">HOUR(A286)+MINUTE(A286)/60</f>
        <v>20</v>
      </c>
      <c r="F286" s="33" t="n">
        <f aca="false">IF(OR(D286&gt;5,E286&lt;8,E286&gt;=18,COUNTIF($K$2:$K$10,INT(A286))&gt;0),1,0)</f>
        <v>1</v>
      </c>
      <c r="G286" s="34" t="n">
        <f aca="false">B286/1</f>
        <v>187.735</v>
      </c>
      <c r="H286" s="34" t="n">
        <f aca="false">IF(F286=1,G286,"")</f>
        <v>187.735</v>
      </c>
    </row>
    <row r="287" customFormat="false" ht="15" hidden="false" customHeight="false" outlineLevel="0" collapsed="false">
      <c r="A287" s="31" t="n">
        <v>42747.875</v>
      </c>
      <c r="B287" s="32" t="n">
        <v>187.545</v>
      </c>
      <c r="D287" s="33" t="n">
        <f aca="false">WEEKDAY(A287,2)</f>
        <v>4</v>
      </c>
      <c r="E287" s="33" t="n">
        <f aca="false">HOUR(A287)+MINUTE(A287)/60</f>
        <v>21</v>
      </c>
      <c r="F287" s="33" t="n">
        <f aca="false">IF(OR(D287&gt;5,E287&lt;8,E287&gt;=18,COUNTIF($K$2:$K$10,INT(A287))&gt;0),1,0)</f>
        <v>1</v>
      </c>
      <c r="G287" s="34" t="n">
        <f aca="false">B287/1</f>
        <v>187.545</v>
      </c>
      <c r="H287" s="34" t="n">
        <f aca="false">IF(F287=1,G287,"")</f>
        <v>187.545</v>
      </c>
    </row>
    <row r="288" customFormat="false" ht="15" hidden="false" customHeight="false" outlineLevel="0" collapsed="false">
      <c r="A288" s="31" t="n">
        <v>42747.9166666667</v>
      </c>
      <c r="B288" s="32" t="n">
        <v>139.94</v>
      </c>
      <c r="D288" s="33" t="n">
        <f aca="false">WEEKDAY(A288,2)</f>
        <v>4</v>
      </c>
      <c r="E288" s="33" t="n">
        <f aca="false">HOUR(A288)+MINUTE(A288)/60</f>
        <v>22</v>
      </c>
      <c r="F288" s="33" t="n">
        <f aca="false">IF(OR(D288&gt;5,E288&lt;8,E288&gt;=18,COUNTIF($K$2:$K$10,INT(A288))&gt;0),1,0)</f>
        <v>1</v>
      </c>
      <c r="G288" s="34" t="n">
        <f aca="false">B288/1</f>
        <v>139.94</v>
      </c>
      <c r="H288" s="34" t="n">
        <f aca="false">IF(F288=1,G288,"")</f>
        <v>139.94</v>
      </c>
    </row>
    <row r="289" customFormat="false" ht="15" hidden="false" customHeight="false" outlineLevel="0" collapsed="false">
      <c r="A289" s="31" t="n">
        <v>42747.9583333333</v>
      </c>
      <c r="B289" s="32" t="n">
        <v>80.958</v>
      </c>
      <c r="D289" s="33" t="n">
        <f aca="false">WEEKDAY(A289,2)</f>
        <v>4</v>
      </c>
      <c r="E289" s="33" t="n">
        <f aca="false">HOUR(A289)+MINUTE(A289)/60</f>
        <v>23</v>
      </c>
      <c r="F289" s="33" t="n">
        <f aca="false">IF(OR(D289&gt;5,E289&lt;8,E289&gt;=18,COUNTIF($K$2:$K$10,INT(A289))&gt;0),1,0)</f>
        <v>1</v>
      </c>
      <c r="G289" s="34" t="n">
        <f aca="false">B289/1</f>
        <v>80.958</v>
      </c>
      <c r="H289" s="34" t="n">
        <f aca="false">IF(F289=1,G289,"")</f>
        <v>80.958</v>
      </c>
    </row>
    <row r="290" customFormat="false" ht="15" hidden="false" customHeight="false" outlineLevel="0" collapsed="false">
      <c r="A290" s="31" t="n">
        <v>42748</v>
      </c>
      <c r="B290" s="32" t="n">
        <v>72.819</v>
      </c>
      <c r="D290" s="33" t="n">
        <f aca="false">WEEKDAY(A290,2)</f>
        <v>5</v>
      </c>
      <c r="E290" s="33" t="n">
        <f aca="false">HOUR(A290)+MINUTE(A290)/60</f>
        <v>0</v>
      </c>
      <c r="F290" s="33" t="n">
        <f aca="false">IF(OR(D290&gt;5,E290&lt;8,E290&gt;=18,COUNTIF($K$2:$K$10,INT(A290))&gt;0),1,0)</f>
        <v>1</v>
      </c>
      <c r="G290" s="34" t="n">
        <f aca="false">B290/1</f>
        <v>72.819</v>
      </c>
      <c r="H290" s="34" t="n">
        <f aca="false">IF(F290=1,G290,"")</f>
        <v>72.819</v>
      </c>
    </row>
    <row r="291" customFormat="false" ht="15" hidden="false" customHeight="false" outlineLevel="0" collapsed="false">
      <c r="A291" s="31" t="n">
        <v>42748.0416666667</v>
      </c>
      <c r="B291" s="32" t="n">
        <v>69.826</v>
      </c>
      <c r="D291" s="33" t="n">
        <f aca="false">WEEKDAY(A291,2)</f>
        <v>5</v>
      </c>
      <c r="E291" s="33" t="n">
        <f aca="false">HOUR(A291)+MINUTE(A291)/60</f>
        <v>1</v>
      </c>
      <c r="F291" s="33" t="n">
        <f aca="false">IF(OR(D291&gt;5,E291&lt;8,E291&gt;=18,COUNTIF($K$2:$K$10,INT(A291))&gt;0),1,0)</f>
        <v>1</v>
      </c>
      <c r="G291" s="34" t="n">
        <f aca="false">B291/1</f>
        <v>69.826</v>
      </c>
      <c r="H291" s="34" t="n">
        <f aca="false">IF(F291=1,G291,"")</f>
        <v>69.826</v>
      </c>
    </row>
    <row r="292" customFormat="false" ht="15" hidden="false" customHeight="false" outlineLevel="0" collapsed="false">
      <c r="A292" s="31" t="n">
        <v>42748.0833333333</v>
      </c>
      <c r="B292" s="32" t="n">
        <v>65.151</v>
      </c>
      <c r="D292" s="33" t="n">
        <f aca="false">WEEKDAY(A292,2)</f>
        <v>5</v>
      </c>
      <c r="E292" s="33" t="n">
        <f aca="false">HOUR(A292)+MINUTE(A292)/60</f>
        <v>2</v>
      </c>
      <c r="F292" s="33" t="n">
        <f aca="false">IF(OR(D292&gt;5,E292&lt;8,E292&gt;=18,COUNTIF($K$2:$K$10,INT(A292))&gt;0),1,0)</f>
        <v>1</v>
      </c>
      <c r="G292" s="34" t="n">
        <f aca="false">B292/1</f>
        <v>65.151</v>
      </c>
      <c r="H292" s="34" t="n">
        <f aca="false">IF(F292=1,G292,"")</f>
        <v>65.151</v>
      </c>
    </row>
    <row r="293" customFormat="false" ht="15" hidden="false" customHeight="false" outlineLevel="0" collapsed="false">
      <c r="A293" s="31" t="n">
        <v>42748.125</v>
      </c>
      <c r="B293" s="32" t="n">
        <v>67.02</v>
      </c>
      <c r="D293" s="33" t="n">
        <f aca="false">WEEKDAY(A293,2)</f>
        <v>5</v>
      </c>
      <c r="E293" s="33" t="n">
        <f aca="false">HOUR(A293)+MINUTE(A293)/60</f>
        <v>3</v>
      </c>
      <c r="F293" s="33" t="n">
        <f aca="false">IF(OR(D293&gt;5,E293&lt;8,E293&gt;=18,COUNTIF($K$2:$K$10,INT(A293))&gt;0),1,0)</f>
        <v>1</v>
      </c>
      <c r="G293" s="34" t="n">
        <f aca="false">B293/1</f>
        <v>67.02</v>
      </c>
      <c r="H293" s="34" t="n">
        <f aca="false">IF(F293=1,G293,"")</f>
        <v>67.02</v>
      </c>
    </row>
    <row r="294" customFormat="false" ht="15" hidden="false" customHeight="false" outlineLevel="0" collapsed="false">
      <c r="A294" s="31" t="n">
        <v>42748.1666666667</v>
      </c>
      <c r="B294" s="32" t="n">
        <v>67.741</v>
      </c>
      <c r="D294" s="33" t="n">
        <f aca="false">WEEKDAY(A294,2)</f>
        <v>5</v>
      </c>
      <c r="E294" s="33" t="n">
        <f aca="false">HOUR(A294)+MINUTE(A294)/60</f>
        <v>4</v>
      </c>
      <c r="F294" s="33" t="n">
        <f aca="false">IF(OR(D294&gt;5,E294&lt;8,E294&gt;=18,COUNTIF($K$2:$K$10,INT(A294))&gt;0),1,0)</f>
        <v>1</v>
      </c>
      <c r="G294" s="34" t="n">
        <f aca="false">B294/1</f>
        <v>67.741</v>
      </c>
      <c r="H294" s="34" t="n">
        <f aca="false">IF(F294=1,G294,"")</f>
        <v>67.741</v>
      </c>
    </row>
    <row r="295" customFormat="false" ht="15" hidden="false" customHeight="false" outlineLevel="0" collapsed="false">
      <c r="A295" s="31" t="n">
        <v>42748.2083333333</v>
      </c>
      <c r="B295" s="32" t="n">
        <v>65.54</v>
      </c>
      <c r="D295" s="33" t="n">
        <f aca="false">WEEKDAY(A295,2)</f>
        <v>5</v>
      </c>
      <c r="E295" s="33" t="n">
        <f aca="false">HOUR(A295)+MINUTE(A295)/60</f>
        <v>5</v>
      </c>
      <c r="F295" s="33" t="n">
        <f aca="false">IF(OR(D295&gt;5,E295&lt;8,E295&gt;=18,COUNTIF($K$2:$K$10,INT(A295))&gt;0),1,0)</f>
        <v>1</v>
      </c>
      <c r="G295" s="34" t="n">
        <f aca="false">B295/1</f>
        <v>65.54</v>
      </c>
      <c r="H295" s="34" t="n">
        <f aca="false">IF(F295=1,G295,"")</f>
        <v>65.54</v>
      </c>
    </row>
    <row r="296" customFormat="false" ht="15" hidden="false" customHeight="false" outlineLevel="0" collapsed="false">
      <c r="A296" s="31" t="n">
        <v>42748.25</v>
      </c>
      <c r="B296" s="32" t="n">
        <v>69.085</v>
      </c>
      <c r="D296" s="33" t="n">
        <f aca="false">WEEKDAY(A296,2)</f>
        <v>5</v>
      </c>
      <c r="E296" s="33" t="n">
        <f aca="false">HOUR(A296)+MINUTE(A296)/60</f>
        <v>6</v>
      </c>
      <c r="F296" s="33" t="n">
        <f aca="false">IF(OR(D296&gt;5,E296&lt;8,E296&gt;=18,COUNTIF($K$2:$K$10,INT(A296))&gt;0),1,0)</f>
        <v>1</v>
      </c>
      <c r="G296" s="34" t="n">
        <f aca="false">B296/1</f>
        <v>69.085</v>
      </c>
      <c r="H296" s="34" t="n">
        <f aca="false">IF(F296=1,G296,"")</f>
        <v>69.085</v>
      </c>
    </row>
    <row r="297" customFormat="false" ht="15" hidden="false" customHeight="false" outlineLevel="0" collapsed="false">
      <c r="A297" s="31" t="n">
        <v>42748.2916666667</v>
      </c>
      <c r="B297" s="32" t="n">
        <v>70.074</v>
      </c>
      <c r="D297" s="33" t="n">
        <f aca="false">WEEKDAY(A297,2)</f>
        <v>5</v>
      </c>
      <c r="E297" s="33" t="n">
        <f aca="false">HOUR(A297)+MINUTE(A297)/60</f>
        <v>7</v>
      </c>
      <c r="F297" s="33" t="n">
        <f aca="false">IF(OR(D297&gt;5,E297&lt;8,E297&gt;=18,COUNTIF($K$2:$K$10,INT(A297))&gt;0),1,0)</f>
        <v>1</v>
      </c>
      <c r="G297" s="34" t="n">
        <f aca="false">B297/1</f>
        <v>70.074</v>
      </c>
      <c r="H297" s="34" t="n">
        <f aca="false">IF(F297=1,G297,"")</f>
        <v>70.074</v>
      </c>
    </row>
    <row r="298" customFormat="false" ht="15" hidden="false" customHeight="false" outlineLevel="0" collapsed="false">
      <c r="A298" s="31" t="n">
        <v>42748.3333333333</v>
      </c>
      <c r="B298" s="32" t="n">
        <v>176.901</v>
      </c>
      <c r="D298" s="33" t="n">
        <f aca="false">WEEKDAY(A298,2)</f>
        <v>5</v>
      </c>
      <c r="E298" s="33" t="n">
        <f aca="false">HOUR(A298)+MINUTE(A298)/60</f>
        <v>8</v>
      </c>
      <c r="F298" s="33" t="n">
        <f aca="false">IF(OR(D298&gt;5,E298&lt;8,E298&gt;=18,COUNTIF($K$2:$K$10,INT(A298))&gt;0),1,0)</f>
        <v>0</v>
      </c>
      <c r="G298" s="34" t="n">
        <f aca="false">B298/1</f>
        <v>176.901</v>
      </c>
      <c r="H298" s="34" t="str">
        <f aca="false">IF(F298=1,G298,"")</f>
        <v/>
      </c>
    </row>
    <row r="299" customFormat="false" ht="15" hidden="false" customHeight="false" outlineLevel="0" collapsed="false">
      <c r="A299" s="31" t="n">
        <v>42748.375</v>
      </c>
      <c r="B299" s="32" t="n">
        <v>215.304</v>
      </c>
      <c r="D299" s="33" t="n">
        <f aca="false">WEEKDAY(A299,2)</f>
        <v>5</v>
      </c>
      <c r="E299" s="33" t="n">
        <f aca="false">HOUR(A299)+MINUTE(A299)/60</f>
        <v>9</v>
      </c>
      <c r="F299" s="33" t="n">
        <f aca="false">IF(OR(D299&gt;5,E299&lt;8,E299&gt;=18,COUNTIF($K$2:$K$10,INT(A299))&gt;0),1,0)</f>
        <v>0</v>
      </c>
      <c r="G299" s="34" t="n">
        <f aca="false">B299/1</f>
        <v>215.304</v>
      </c>
      <c r="H299" s="34" t="str">
        <f aca="false">IF(F299=1,G299,"")</f>
        <v/>
      </c>
    </row>
    <row r="300" customFormat="false" ht="15" hidden="false" customHeight="false" outlineLevel="0" collapsed="false">
      <c r="A300" s="31" t="n">
        <v>42748.4166666667</v>
      </c>
      <c r="B300" s="32" t="n">
        <v>228.501</v>
      </c>
      <c r="D300" s="33" t="n">
        <f aca="false">WEEKDAY(A300,2)</f>
        <v>5</v>
      </c>
      <c r="E300" s="33" t="n">
        <f aca="false">HOUR(A300)+MINUTE(A300)/60</f>
        <v>10</v>
      </c>
      <c r="F300" s="33" t="n">
        <f aca="false">IF(OR(D300&gt;5,E300&lt;8,E300&gt;=18,COUNTIF($K$2:$K$10,INT(A300))&gt;0),1,0)</f>
        <v>0</v>
      </c>
      <c r="G300" s="34" t="n">
        <f aca="false">B300/1</f>
        <v>228.501</v>
      </c>
      <c r="H300" s="34" t="str">
        <f aca="false">IF(F300=1,G300,"")</f>
        <v/>
      </c>
    </row>
    <row r="301" customFormat="false" ht="15" hidden="false" customHeight="false" outlineLevel="0" collapsed="false">
      <c r="A301" s="31" t="n">
        <v>42748.4583333333</v>
      </c>
      <c r="B301" s="32" t="n">
        <v>229.308</v>
      </c>
      <c r="D301" s="33" t="n">
        <f aca="false">WEEKDAY(A301,2)</f>
        <v>5</v>
      </c>
      <c r="E301" s="33" t="n">
        <f aca="false">HOUR(A301)+MINUTE(A301)/60</f>
        <v>11</v>
      </c>
      <c r="F301" s="33" t="n">
        <f aca="false">IF(OR(D301&gt;5,E301&lt;8,E301&gt;=18,COUNTIF($K$2:$K$10,INT(A301))&gt;0),1,0)</f>
        <v>0</v>
      </c>
      <c r="G301" s="34" t="n">
        <f aca="false">B301/1</f>
        <v>229.308</v>
      </c>
      <c r="H301" s="34" t="str">
        <f aca="false">IF(F301=1,G301,"")</f>
        <v/>
      </c>
    </row>
    <row r="302" customFormat="false" ht="15" hidden="false" customHeight="false" outlineLevel="0" collapsed="false">
      <c r="A302" s="31" t="n">
        <v>42748.5</v>
      </c>
      <c r="B302" s="32" t="n">
        <v>224.327</v>
      </c>
      <c r="D302" s="33" t="n">
        <f aca="false">WEEKDAY(A302,2)</f>
        <v>5</v>
      </c>
      <c r="E302" s="33" t="n">
        <f aca="false">HOUR(A302)+MINUTE(A302)/60</f>
        <v>12</v>
      </c>
      <c r="F302" s="33" t="n">
        <f aca="false">IF(OR(D302&gt;5,E302&lt;8,E302&gt;=18,COUNTIF($K$2:$K$10,INT(A302))&gt;0),1,0)</f>
        <v>0</v>
      </c>
      <c r="G302" s="34" t="n">
        <f aca="false">B302/1</f>
        <v>224.327</v>
      </c>
      <c r="H302" s="34" t="str">
        <f aca="false">IF(F302=1,G302,"")</f>
        <v/>
      </c>
    </row>
    <row r="303" customFormat="false" ht="15" hidden="false" customHeight="false" outlineLevel="0" collapsed="false">
      <c r="A303" s="31" t="n">
        <v>42748.5416666667</v>
      </c>
      <c r="B303" s="32" t="n">
        <v>226.778</v>
      </c>
      <c r="D303" s="33" t="n">
        <f aca="false">WEEKDAY(A303,2)</f>
        <v>5</v>
      </c>
      <c r="E303" s="33" t="n">
        <f aca="false">HOUR(A303)+MINUTE(A303)/60</f>
        <v>13</v>
      </c>
      <c r="F303" s="33" t="n">
        <f aca="false">IF(OR(D303&gt;5,E303&lt;8,E303&gt;=18,COUNTIF($K$2:$K$10,INT(A303))&gt;0),1,0)</f>
        <v>0</v>
      </c>
      <c r="G303" s="34" t="n">
        <f aca="false">B303/1</f>
        <v>226.778</v>
      </c>
      <c r="H303" s="34" t="str">
        <f aca="false">IF(F303=1,G303,"")</f>
        <v/>
      </c>
    </row>
    <row r="304" customFormat="false" ht="15" hidden="false" customHeight="false" outlineLevel="0" collapsed="false">
      <c r="A304" s="31" t="n">
        <v>42748.5833333333</v>
      </c>
      <c r="B304" s="32" t="n">
        <v>223.665</v>
      </c>
      <c r="D304" s="33" t="n">
        <f aca="false">WEEKDAY(A304,2)</f>
        <v>5</v>
      </c>
      <c r="E304" s="33" t="n">
        <f aca="false">HOUR(A304)+MINUTE(A304)/60</f>
        <v>14</v>
      </c>
      <c r="F304" s="33" t="n">
        <f aca="false">IF(OR(D304&gt;5,E304&lt;8,E304&gt;=18,COUNTIF($K$2:$K$10,INT(A304))&gt;0),1,0)</f>
        <v>0</v>
      </c>
      <c r="G304" s="34" t="n">
        <f aca="false">B304/1</f>
        <v>223.665</v>
      </c>
      <c r="H304" s="34" t="str">
        <f aca="false">IF(F304=1,G304,"")</f>
        <v/>
      </c>
    </row>
    <row r="305" customFormat="false" ht="15" hidden="false" customHeight="false" outlineLevel="0" collapsed="false">
      <c r="A305" s="31" t="n">
        <v>42748.625</v>
      </c>
      <c r="B305" s="32" t="n">
        <v>217.647</v>
      </c>
      <c r="D305" s="33" t="n">
        <f aca="false">WEEKDAY(A305,2)</f>
        <v>5</v>
      </c>
      <c r="E305" s="33" t="n">
        <f aca="false">HOUR(A305)+MINUTE(A305)/60</f>
        <v>15</v>
      </c>
      <c r="F305" s="33" t="n">
        <f aca="false">IF(OR(D305&gt;5,E305&lt;8,E305&gt;=18,COUNTIF($K$2:$K$10,INT(A305))&gt;0),1,0)</f>
        <v>0</v>
      </c>
      <c r="G305" s="34" t="n">
        <f aca="false">B305/1</f>
        <v>217.647</v>
      </c>
      <c r="H305" s="34" t="str">
        <f aca="false">IF(F305=1,G305,"")</f>
        <v/>
      </c>
    </row>
    <row r="306" customFormat="false" ht="15" hidden="false" customHeight="false" outlineLevel="0" collapsed="false">
      <c r="A306" s="31" t="n">
        <v>42748.6666666667</v>
      </c>
      <c r="B306" s="32" t="n">
        <v>216.37</v>
      </c>
      <c r="D306" s="33" t="n">
        <f aca="false">WEEKDAY(A306,2)</f>
        <v>5</v>
      </c>
      <c r="E306" s="33" t="n">
        <f aca="false">HOUR(A306)+MINUTE(A306)/60</f>
        <v>16</v>
      </c>
      <c r="F306" s="33" t="n">
        <f aca="false">IF(OR(D306&gt;5,E306&lt;8,E306&gt;=18,COUNTIF($K$2:$K$10,INT(A306))&gt;0),1,0)</f>
        <v>0</v>
      </c>
      <c r="G306" s="34" t="n">
        <f aca="false">B306/1</f>
        <v>216.37</v>
      </c>
      <c r="H306" s="34" t="str">
        <f aca="false">IF(F306=1,G306,"")</f>
        <v/>
      </c>
    </row>
    <row r="307" customFormat="false" ht="15" hidden="false" customHeight="false" outlineLevel="0" collapsed="false">
      <c r="A307" s="31" t="n">
        <v>42748.7083333333</v>
      </c>
      <c r="B307" s="32" t="n">
        <v>203.917</v>
      </c>
      <c r="D307" s="33" t="n">
        <f aca="false">WEEKDAY(A307,2)</f>
        <v>5</v>
      </c>
      <c r="E307" s="33" t="n">
        <f aca="false">HOUR(A307)+MINUTE(A307)/60</f>
        <v>17</v>
      </c>
      <c r="F307" s="33" t="n">
        <f aca="false">IF(OR(D307&gt;5,E307&lt;8,E307&gt;=18,COUNTIF($K$2:$K$10,INT(A307))&gt;0),1,0)</f>
        <v>0</v>
      </c>
      <c r="G307" s="34" t="n">
        <f aca="false">B307/1</f>
        <v>203.917</v>
      </c>
      <c r="H307" s="34" t="str">
        <f aca="false">IF(F307=1,G307,"")</f>
        <v/>
      </c>
    </row>
    <row r="308" customFormat="false" ht="15" hidden="false" customHeight="false" outlineLevel="0" collapsed="false">
      <c r="A308" s="31" t="n">
        <v>42748.75</v>
      </c>
      <c r="B308" s="32" t="n">
        <v>197.507</v>
      </c>
      <c r="D308" s="33" t="n">
        <f aca="false">WEEKDAY(A308,2)</f>
        <v>5</v>
      </c>
      <c r="E308" s="33" t="n">
        <f aca="false">HOUR(A308)+MINUTE(A308)/60</f>
        <v>18</v>
      </c>
      <c r="F308" s="33" t="n">
        <f aca="false">IF(OR(D308&gt;5,E308&lt;8,E308&gt;=18,COUNTIF($K$2:$K$10,INT(A308))&gt;0),1,0)</f>
        <v>1</v>
      </c>
      <c r="G308" s="34" t="n">
        <f aca="false">B308/1</f>
        <v>197.507</v>
      </c>
      <c r="H308" s="34" t="n">
        <f aca="false">IF(F308=1,G308,"")</f>
        <v>197.507</v>
      </c>
    </row>
    <row r="309" customFormat="false" ht="15" hidden="false" customHeight="false" outlineLevel="0" collapsed="false">
      <c r="A309" s="31" t="n">
        <v>42748.7916666667</v>
      </c>
      <c r="B309" s="32" t="n">
        <v>189.776</v>
      </c>
      <c r="D309" s="33" t="n">
        <f aca="false">WEEKDAY(A309,2)</f>
        <v>5</v>
      </c>
      <c r="E309" s="33" t="n">
        <f aca="false">HOUR(A309)+MINUTE(A309)/60</f>
        <v>19</v>
      </c>
      <c r="F309" s="33" t="n">
        <f aca="false">IF(OR(D309&gt;5,E309&lt;8,E309&gt;=18,COUNTIF($K$2:$K$10,INT(A309))&gt;0),1,0)</f>
        <v>1</v>
      </c>
      <c r="G309" s="34" t="n">
        <f aca="false">B309/1</f>
        <v>189.776</v>
      </c>
      <c r="H309" s="34" t="n">
        <f aca="false">IF(F309=1,G309,"")</f>
        <v>189.776</v>
      </c>
    </row>
    <row r="310" customFormat="false" ht="15" hidden="false" customHeight="false" outlineLevel="0" collapsed="false">
      <c r="A310" s="31" t="n">
        <v>42748.8333333333</v>
      </c>
      <c r="B310" s="32" t="n">
        <v>190.075</v>
      </c>
      <c r="D310" s="33" t="n">
        <f aca="false">WEEKDAY(A310,2)</f>
        <v>5</v>
      </c>
      <c r="E310" s="33" t="n">
        <f aca="false">HOUR(A310)+MINUTE(A310)/60</f>
        <v>20</v>
      </c>
      <c r="F310" s="33" t="n">
        <f aca="false">IF(OR(D310&gt;5,E310&lt;8,E310&gt;=18,COUNTIF($K$2:$K$10,INT(A310))&gt;0),1,0)</f>
        <v>1</v>
      </c>
      <c r="G310" s="34" t="n">
        <f aca="false">B310/1</f>
        <v>190.075</v>
      </c>
      <c r="H310" s="34" t="n">
        <f aca="false">IF(F310=1,G310,"")</f>
        <v>190.075</v>
      </c>
    </row>
    <row r="311" customFormat="false" ht="15" hidden="false" customHeight="false" outlineLevel="0" collapsed="false">
      <c r="A311" s="31" t="n">
        <v>42748.875</v>
      </c>
      <c r="B311" s="32" t="n">
        <v>185.768</v>
      </c>
      <c r="D311" s="33" t="n">
        <f aca="false">WEEKDAY(A311,2)</f>
        <v>5</v>
      </c>
      <c r="E311" s="33" t="n">
        <f aca="false">HOUR(A311)+MINUTE(A311)/60</f>
        <v>21</v>
      </c>
      <c r="F311" s="33" t="n">
        <f aca="false">IF(OR(D311&gt;5,E311&lt;8,E311&gt;=18,COUNTIF($K$2:$K$10,INT(A311))&gt;0),1,0)</f>
        <v>1</v>
      </c>
      <c r="G311" s="34" t="n">
        <f aca="false">B311/1</f>
        <v>185.768</v>
      </c>
      <c r="H311" s="34" t="n">
        <f aca="false">IF(F311=1,G311,"")</f>
        <v>185.768</v>
      </c>
    </row>
    <row r="312" customFormat="false" ht="15" hidden="false" customHeight="false" outlineLevel="0" collapsed="false">
      <c r="A312" s="31" t="n">
        <v>42748.9166666667</v>
      </c>
      <c r="B312" s="32" t="n">
        <v>134.169</v>
      </c>
      <c r="D312" s="33" t="n">
        <f aca="false">WEEKDAY(A312,2)</f>
        <v>5</v>
      </c>
      <c r="E312" s="33" t="n">
        <f aca="false">HOUR(A312)+MINUTE(A312)/60</f>
        <v>22</v>
      </c>
      <c r="F312" s="33" t="n">
        <f aca="false">IF(OR(D312&gt;5,E312&lt;8,E312&gt;=18,COUNTIF($K$2:$K$10,INT(A312))&gt;0),1,0)</f>
        <v>1</v>
      </c>
      <c r="G312" s="34" t="n">
        <f aca="false">B312/1</f>
        <v>134.169</v>
      </c>
      <c r="H312" s="34" t="n">
        <f aca="false">IF(F312=1,G312,"")</f>
        <v>134.169</v>
      </c>
    </row>
    <row r="313" customFormat="false" ht="15" hidden="false" customHeight="false" outlineLevel="0" collapsed="false">
      <c r="A313" s="31" t="n">
        <v>42748.9583333333</v>
      </c>
      <c r="B313" s="32" t="n">
        <v>76.521</v>
      </c>
      <c r="D313" s="33" t="n">
        <f aca="false">WEEKDAY(A313,2)</f>
        <v>5</v>
      </c>
      <c r="E313" s="33" t="n">
        <f aca="false">HOUR(A313)+MINUTE(A313)/60</f>
        <v>23</v>
      </c>
      <c r="F313" s="33" t="n">
        <f aca="false">IF(OR(D313&gt;5,E313&lt;8,E313&gt;=18,COUNTIF($K$2:$K$10,INT(A313))&gt;0),1,0)</f>
        <v>1</v>
      </c>
      <c r="G313" s="34" t="n">
        <f aca="false">B313/1</f>
        <v>76.521</v>
      </c>
      <c r="H313" s="34" t="n">
        <f aca="false">IF(F313=1,G313,"")</f>
        <v>76.521</v>
      </c>
    </row>
    <row r="314" customFormat="false" ht="15" hidden="false" customHeight="false" outlineLevel="0" collapsed="false">
      <c r="A314" s="31" t="n">
        <v>42749</v>
      </c>
      <c r="B314" s="32" t="n">
        <v>70.309</v>
      </c>
      <c r="D314" s="33" t="n">
        <f aca="false">WEEKDAY(A314,2)</f>
        <v>6</v>
      </c>
      <c r="E314" s="33" t="n">
        <f aca="false">HOUR(A314)+MINUTE(A314)/60</f>
        <v>0</v>
      </c>
      <c r="F314" s="33" t="n">
        <f aca="false">IF(OR(D314&gt;5,E314&lt;8,E314&gt;=18,COUNTIF($K$2:$K$10,INT(A314))&gt;0),1,0)</f>
        <v>1</v>
      </c>
      <c r="G314" s="34" t="n">
        <f aca="false">B314/1</f>
        <v>70.309</v>
      </c>
      <c r="H314" s="34" t="n">
        <f aca="false">IF(F314=1,G314,"")</f>
        <v>70.309</v>
      </c>
    </row>
    <row r="315" customFormat="false" ht="15" hidden="false" customHeight="false" outlineLevel="0" collapsed="false">
      <c r="A315" s="31" t="n">
        <v>42749.0416666667</v>
      </c>
      <c r="B315" s="32" t="n">
        <v>70.564</v>
      </c>
      <c r="D315" s="33" t="n">
        <f aca="false">WEEKDAY(A315,2)</f>
        <v>6</v>
      </c>
      <c r="E315" s="33" t="n">
        <f aca="false">HOUR(A315)+MINUTE(A315)/60</f>
        <v>1</v>
      </c>
      <c r="F315" s="33" t="n">
        <f aca="false">IF(OR(D315&gt;5,E315&lt;8,E315&gt;=18,COUNTIF($K$2:$K$10,INT(A315))&gt;0),1,0)</f>
        <v>1</v>
      </c>
      <c r="G315" s="34" t="n">
        <f aca="false">B315/1</f>
        <v>70.564</v>
      </c>
      <c r="H315" s="34" t="n">
        <f aca="false">IF(F315=1,G315,"")</f>
        <v>70.564</v>
      </c>
    </row>
    <row r="316" customFormat="false" ht="15" hidden="false" customHeight="false" outlineLevel="0" collapsed="false">
      <c r="A316" s="31" t="n">
        <v>42749.0833333333</v>
      </c>
      <c r="B316" s="32" t="n">
        <v>63.741</v>
      </c>
      <c r="D316" s="33" t="n">
        <f aca="false">WEEKDAY(A316,2)</f>
        <v>6</v>
      </c>
      <c r="E316" s="33" t="n">
        <f aca="false">HOUR(A316)+MINUTE(A316)/60</f>
        <v>2</v>
      </c>
      <c r="F316" s="33" t="n">
        <f aca="false">IF(OR(D316&gt;5,E316&lt;8,E316&gt;=18,COUNTIF($K$2:$K$10,INT(A316))&gt;0),1,0)</f>
        <v>1</v>
      </c>
      <c r="G316" s="34" t="n">
        <f aca="false">B316/1</f>
        <v>63.741</v>
      </c>
      <c r="H316" s="34" t="n">
        <f aca="false">IF(F316=1,G316,"")</f>
        <v>63.741</v>
      </c>
    </row>
    <row r="317" customFormat="false" ht="15" hidden="false" customHeight="false" outlineLevel="0" collapsed="false">
      <c r="A317" s="31" t="n">
        <v>42749.125</v>
      </c>
      <c r="B317" s="32" t="n">
        <v>66.255</v>
      </c>
      <c r="D317" s="33" t="n">
        <f aca="false">WEEKDAY(A317,2)</f>
        <v>6</v>
      </c>
      <c r="E317" s="33" t="n">
        <f aca="false">HOUR(A317)+MINUTE(A317)/60</f>
        <v>3</v>
      </c>
      <c r="F317" s="33" t="n">
        <f aca="false">IF(OR(D317&gt;5,E317&lt;8,E317&gt;=18,COUNTIF($K$2:$K$10,INT(A317))&gt;0),1,0)</f>
        <v>1</v>
      </c>
      <c r="G317" s="34" t="n">
        <f aca="false">B317/1</f>
        <v>66.255</v>
      </c>
      <c r="H317" s="34" t="n">
        <f aca="false">IF(F317=1,G317,"")</f>
        <v>66.255</v>
      </c>
    </row>
    <row r="318" customFormat="false" ht="15" hidden="false" customHeight="false" outlineLevel="0" collapsed="false">
      <c r="A318" s="31" t="n">
        <v>42749.1666666667</v>
      </c>
      <c r="B318" s="32" t="n">
        <v>64.708</v>
      </c>
      <c r="D318" s="33" t="n">
        <f aca="false">WEEKDAY(A318,2)</f>
        <v>6</v>
      </c>
      <c r="E318" s="33" t="n">
        <f aca="false">HOUR(A318)+MINUTE(A318)/60</f>
        <v>4</v>
      </c>
      <c r="F318" s="33" t="n">
        <f aca="false">IF(OR(D318&gt;5,E318&lt;8,E318&gt;=18,COUNTIF($K$2:$K$10,INT(A318))&gt;0),1,0)</f>
        <v>1</v>
      </c>
      <c r="G318" s="34" t="n">
        <f aca="false">B318/1</f>
        <v>64.708</v>
      </c>
      <c r="H318" s="34" t="n">
        <f aca="false">IF(F318=1,G318,"")</f>
        <v>64.708</v>
      </c>
    </row>
    <row r="319" customFormat="false" ht="15" hidden="false" customHeight="false" outlineLevel="0" collapsed="false">
      <c r="A319" s="31" t="n">
        <v>42749.2083333333</v>
      </c>
      <c r="B319" s="32" t="n">
        <v>63.22</v>
      </c>
      <c r="D319" s="33" t="n">
        <f aca="false">WEEKDAY(A319,2)</f>
        <v>6</v>
      </c>
      <c r="E319" s="33" t="n">
        <f aca="false">HOUR(A319)+MINUTE(A319)/60</f>
        <v>5</v>
      </c>
      <c r="F319" s="33" t="n">
        <f aca="false">IF(OR(D319&gt;5,E319&lt;8,E319&gt;=18,COUNTIF($K$2:$K$10,INT(A319))&gt;0),1,0)</f>
        <v>1</v>
      </c>
      <c r="G319" s="34" t="n">
        <f aca="false">B319/1</f>
        <v>63.22</v>
      </c>
      <c r="H319" s="34" t="n">
        <f aca="false">IF(F319=1,G319,"")</f>
        <v>63.22</v>
      </c>
    </row>
    <row r="320" customFormat="false" ht="15" hidden="false" customHeight="false" outlineLevel="0" collapsed="false">
      <c r="A320" s="31" t="n">
        <v>42749.25</v>
      </c>
      <c r="B320" s="32" t="n">
        <v>65.022</v>
      </c>
      <c r="D320" s="33" t="n">
        <f aca="false">WEEKDAY(A320,2)</f>
        <v>6</v>
      </c>
      <c r="E320" s="33" t="n">
        <f aca="false">HOUR(A320)+MINUTE(A320)/60</f>
        <v>6</v>
      </c>
      <c r="F320" s="33" t="n">
        <f aca="false">IF(OR(D320&gt;5,E320&lt;8,E320&gt;=18,COUNTIF($K$2:$K$10,INT(A320))&gt;0),1,0)</f>
        <v>1</v>
      </c>
      <c r="G320" s="34" t="n">
        <f aca="false">B320/1</f>
        <v>65.022</v>
      </c>
      <c r="H320" s="34" t="n">
        <f aca="false">IF(F320=1,G320,"")</f>
        <v>65.022</v>
      </c>
    </row>
    <row r="321" customFormat="false" ht="15" hidden="false" customHeight="false" outlineLevel="0" collapsed="false">
      <c r="A321" s="31" t="n">
        <v>42749.2916666667</v>
      </c>
      <c r="B321" s="32" t="n">
        <v>63.309</v>
      </c>
      <c r="D321" s="33" t="n">
        <f aca="false">WEEKDAY(A321,2)</f>
        <v>6</v>
      </c>
      <c r="E321" s="33" t="n">
        <f aca="false">HOUR(A321)+MINUTE(A321)/60</f>
        <v>7</v>
      </c>
      <c r="F321" s="33" t="n">
        <f aca="false">IF(OR(D321&gt;5,E321&lt;8,E321&gt;=18,COUNTIF($K$2:$K$10,INT(A321))&gt;0),1,0)</f>
        <v>1</v>
      </c>
      <c r="G321" s="34" t="n">
        <f aca="false">B321/1</f>
        <v>63.309</v>
      </c>
      <c r="H321" s="34" t="n">
        <f aca="false">IF(F321=1,G321,"")</f>
        <v>63.309</v>
      </c>
    </row>
    <row r="322" customFormat="false" ht="15" hidden="false" customHeight="false" outlineLevel="0" collapsed="false">
      <c r="A322" s="31" t="n">
        <v>42749.3333333333</v>
      </c>
      <c r="B322" s="32" t="n">
        <v>131.73</v>
      </c>
      <c r="D322" s="33" t="n">
        <f aca="false">WEEKDAY(A322,2)</f>
        <v>6</v>
      </c>
      <c r="E322" s="33" t="n">
        <f aca="false">HOUR(A322)+MINUTE(A322)/60</f>
        <v>8</v>
      </c>
      <c r="F322" s="33" t="n">
        <f aca="false">IF(OR(D322&gt;5,E322&lt;8,E322&gt;=18,COUNTIF($K$2:$K$10,INT(A322))&gt;0),1,0)</f>
        <v>1</v>
      </c>
      <c r="G322" s="34" t="n">
        <f aca="false">B322/1</f>
        <v>131.73</v>
      </c>
      <c r="H322" s="34" t="n">
        <f aca="false">IF(F322=1,G322,"")</f>
        <v>131.73</v>
      </c>
    </row>
    <row r="323" customFormat="false" ht="15" hidden="false" customHeight="false" outlineLevel="0" collapsed="false">
      <c r="A323" s="31" t="n">
        <v>42749.375</v>
      </c>
      <c r="B323" s="32" t="n">
        <v>166.814</v>
      </c>
      <c r="D323" s="33" t="n">
        <f aca="false">WEEKDAY(A323,2)</f>
        <v>6</v>
      </c>
      <c r="E323" s="33" t="n">
        <f aca="false">HOUR(A323)+MINUTE(A323)/60</f>
        <v>9</v>
      </c>
      <c r="F323" s="33" t="n">
        <f aca="false">IF(OR(D323&gt;5,E323&lt;8,E323&gt;=18,COUNTIF($K$2:$K$10,INT(A323))&gt;0),1,0)</f>
        <v>1</v>
      </c>
      <c r="G323" s="34" t="n">
        <f aca="false">B323/1</f>
        <v>166.814</v>
      </c>
      <c r="H323" s="34" t="n">
        <f aca="false">IF(F323=1,G323,"")</f>
        <v>166.814</v>
      </c>
    </row>
    <row r="324" customFormat="false" ht="15" hidden="false" customHeight="false" outlineLevel="0" collapsed="false">
      <c r="A324" s="31" t="n">
        <v>42749.4166666667</v>
      </c>
      <c r="B324" s="32" t="n">
        <v>171.863</v>
      </c>
      <c r="D324" s="33" t="n">
        <f aca="false">WEEKDAY(A324,2)</f>
        <v>6</v>
      </c>
      <c r="E324" s="33" t="n">
        <f aca="false">HOUR(A324)+MINUTE(A324)/60</f>
        <v>10</v>
      </c>
      <c r="F324" s="33" t="n">
        <f aca="false">IF(OR(D324&gt;5,E324&lt;8,E324&gt;=18,COUNTIF($K$2:$K$10,INT(A324))&gt;0),1,0)</f>
        <v>1</v>
      </c>
      <c r="G324" s="34" t="n">
        <f aca="false">B324/1</f>
        <v>171.863</v>
      </c>
      <c r="H324" s="34" t="n">
        <f aca="false">IF(F324=1,G324,"")</f>
        <v>171.863</v>
      </c>
    </row>
    <row r="325" customFormat="false" ht="15" hidden="false" customHeight="false" outlineLevel="0" collapsed="false">
      <c r="A325" s="31" t="n">
        <v>42749.4583333333</v>
      </c>
      <c r="B325" s="32" t="n">
        <v>171.533</v>
      </c>
      <c r="D325" s="33" t="n">
        <f aca="false">WEEKDAY(A325,2)</f>
        <v>6</v>
      </c>
      <c r="E325" s="33" t="n">
        <f aca="false">HOUR(A325)+MINUTE(A325)/60</f>
        <v>11</v>
      </c>
      <c r="F325" s="33" t="n">
        <f aca="false">IF(OR(D325&gt;5,E325&lt;8,E325&gt;=18,COUNTIF($K$2:$K$10,INT(A325))&gt;0),1,0)</f>
        <v>1</v>
      </c>
      <c r="G325" s="34" t="n">
        <f aca="false">B325/1</f>
        <v>171.533</v>
      </c>
      <c r="H325" s="34" t="n">
        <f aca="false">IF(F325=1,G325,"")</f>
        <v>171.533</v>
      </c>
    </row>
    <row r="326" customFormat="false" ht="15" hidden="false" customHeight="false" outlineLevel="0" collapsed="false">
      <c r="A326" s="31" t="n">
        <v>42749.5</v>
      </c>
      <c r="B326" s="32" t="n">
        <v>172.565</v>
      </c>
      <c r="D326" s="33" t="n">
        <f aca="false">WEEKDAY(A326,2)</f>
        <v>6</v>
      </c>
      <c r="E326" s="33" t="n">
        <f aca="false">HOUR(A326)+MINUTE(A326)/60</f>
        <v>12</v>
      </c>
      <c r="F326" s="33" t="n">
        <f aca="false">IF(OR(D326&gt;5,E326&lt;8,E326&gt;=18,COUNTIF($K$2:$K$10,INT(A326))&gt;0),1,0)</f>
        <v>1</v>
      </c>
      <c r="G326" s="34" t="n">
        <f aca="false">B326/1</f>
        <v>172.565</v>
      </c>
      <c r="H326" s="34" t="n">
        <f aca="false">IF(F326=1,G326,"")</f>
        <v>172.565</v>
      </c>
    </row>
    <row r="327" customFormat="false" ht="15" hidden="false" customHeight="false" outlineLevel="0" collapsed="false">
      <c r="A327" s="31" t="n">
        <v>42749.5416666667</v>
      </c>
      <c r="B327" s="32" t="n">
        <v>170.964</v>
      </c>
      <c r="D327" s="33" t="n">
        <f aca="false">WEEKDAY(A327,2)</f>
        <v>6</v>
      </c>
      <c r="E327" s="33" t="n">
        <f aca="false">HOUR(A327)+MINUTE(A327)/60</f>
        <v>13</v>
      </c>
      <c r="F327" s="33" t="n">
        <f aca="false">IF(OR(D327&gt;5,E327&lt;8,E327&gt;=18,COUNTIF($K$2:$K$10,INT(A327))&gt;0),1,0)</f>
        <v>1</v>
      </c>
      <c r="G327" s="34" t="n">
        <f aca="false">B327/1</f>
        <v>170.964</v>
      </c>
      <c r="H327" s="34" t="n">
        <f aca="false">IF(F327=1,G327,"")</f>
        <v>170.964</v>
      </c>
    </row>
    <row r="328" customFormat="false" ht="15" hidden="false" customHeight="false" outlineLevel="0" collapsed="false">
      <c r="A328" s="31" t="n">
        <v>42749.5833333333</v>
      </c>
      <c r="B328" s="32" t="n">
        <v>173.367</v>
      </c>
      <c r="D328" s="33" t="n">
        <f aca="false">WEEKDAY(A328,2)</f>
        <v>6</v>
      </c>
      <c r="E328" s="33" t="n">
        <f aca="false">HOUR(A328)+MINUTE(A328)/60</f>
        <v>14</v>
      </c>
      <c r="F328" s="33" t="n">
        <f aca="false">IF(OR(D328&gt;5,E328&lt;8,E328&gt;=18,COUNTIF($K$2:$K$10,INT(A328))&gt;0),1,0)</f>
        <v>1</v>
      </c>
      <c r="G328" s="34" t="n">
        <f aca="false">B328/1</f>
        <v>173.367</v>
      </c>
      <c r="H328" s="34" t="n">
        <f aca="false">IF(F328=1,G328,"")</f>
        <v>173.367</v>
      </c>
    </row>
    <row r="329" customFormat="false" ht="15" hidden="false" customHeight="false" outlineLevel="0" collapsed="false">
      <c r="A329" s="31" t="n">
        <v>42749.625</v>
      </c>
      <c r="B329" s="32" t="n">
        <v>171.003</v>
      </c>
      <c r="D329" s="33" t="n">
        <f aca="false">WEEKDAY(A329,2)</f>
        <v>6</v>
      </c>
      <c r="E329" s="33" t="n">
        <f aca="false">HOUR(A329)+MINUTE(A329)/60</f>
        <v>15</v>
      </c>
      <c r="F329" s="33" t="n">
        <f aca="false">IF(OR(D329&gt;5,E329&lt;8,E329&gt;=18,COUNTIF($K$2:$K$10,INT(A329))&gt;0),1,0)</f>
        <v>1</v>
      </c>
      <c r="G329" s="34" t="n">
        <f aca="false">B329/1</f>
        <v>171.003</v>
      </c>
      <c r="H329" s="34" t="n">
        <f aca="false">IF(F329=1,G329,"")</f>
        <v>171.003</v>
      </c>
    </row>
    <row r="330" customFormat="false" ht="15" hidden="false" customHeight="false" outlineLevel="0" collapsed="false">
      <c r="A330" s="31" t="n">
        <v>42749.6666666667</v>
      </c>
      <c r="B330" s="32" t="n">
        <v>172.796</v>
      </c>
      <c r="D330" s="33" t="n">
        <f aca="false">WEEKDAY(A330,2)</f>
        <v>6</v>
      </c>
      <c r="E330" s="33" t="n">
        <f aca="false">HOUR(A330)+MINUTE(A330)/60</f>
        <v>16</v>
      </c>
      <c r="F330" s="33" t="n">
        <f aca="false">IF(OR(D330&gt;5,E330&lt;8,E330&gt;=18,COUNTIF($K$2:$K$10,INT(A330))&gt;0),1,0)</f>
        <v>1</v>
      </c>
      <c r="G330" s="34" t="n">
        <f aca="false">B330/1</f>
        <v>172.796</v>
      </c>
      <c r="H330" s="34" t="n">
        <f aca="false">IF(F330=1,G330,"")</f>
        <v>172.796</v>
      </c>
    </row>
    <row r="331" customFormat="false" ht="15" hidden="false" customHeight="false" outlineLevel="0" collapsed="false">
      <c r="A331" s="31" t="n">
        <v>42749.7083333333</v>
      </c>
      <c r="B331" s="32" t="n">
        <v>144.469</v>
      </c>
      <c r="D331" s="33" t="n">
        <f aca="false">WEEKDAY(A331,2)</f>
        <v>6</v>
      </c>
      <c r="E331" s="33" t="n">
        <f aca="false">HOUR(A331)+MINUTE(A331)/60</f>
        <v>17</v>
      </c>
      <c r="F331" s="33" t="n">
        <f aca="false">IF(OR(D331&gt;5,E331&lt;8,E331&gt;=18,COUNTIF($K$2:$K$10,INT(A331))&gt;0),1,0)</f>
        <v>1</v>
      </c>
      <c r="G331" s="34" t="n">
        <f aca="false">B331/1</f>
        <v>144.469</v>
      </c>
      <c r="H331" s="34" t="n">
        <f aca="false">IF(F331=1,G331,"")</f>
        <v>144.469</v>
      </c>
    </row>
    <row r="332" customFormat="false" ht="15" hidden="false" customHeight="false" outlineLevel="0" collapsed="false">
      <c r="A332" s="31" t="n">
        <v>42749.75</v>
      </c>
      <c r="B332" s="32" t="n">
        <v>82.699</v>
      </c>
      <c r="D332" s="33" t="n">
        <f aca="false">WEEKDAY(A332,2)</f>
        <v>6</v>
      </c>
      <c r="E332" s="33" t="n">
        <f aca="false">HOUR(A332)+MINUTE(A332)/60</f>
        <v>18</v>
      </c>
      <c r="F332" s="33" t="n">
        <f aca="false">IF(OR(D332&gt;5,E332&lt;8,E332&gt;=18,COUNTIF($K$2:$K$10,INT(A332))&gt;0),1,0)</f>
        <v>1</v>
      </c>
      <c r="G332" s="34" t="n">
        <f aca="false">B332/1</f>
        <v>82.699</v>
      </c>
      <c r="H332" s="34" t="n">
        <f aca="false">IF(F332=1,G332,"")</f>
        <v>82.699</v>
      </c>
    </row>
    <row r="333" customFormat="false" ht="15" hidden="false" customHeight="false" outlineLevel="0" collapsed="false">
      <c r="A333" s="31" t="n">
        <v>42749.7916666667</v>
      </c>
      <c r="B333" s="32" t="n">
        <v>69.648</v>
      </c>
      <c r="D333" s="33" t="n">
        <f aca="false">WEEKDAY(A333,2)</f>
        <v>6</v>
      </c>
      <c r="E333" s="33" t="n">
        <f aca="false">HOUR(A333)+MINUTE(A333)/60</f>
        <v>19</v>
      </c>
      <c r="F333" s="33" t="n">
        <f aca="false">IF(OR(D333&gt;5,E333&lt;8,E333&gt;=18,COUNTIF($K$2:$K$10,INT(A333))&gt;0),1,0)</f>
        <v>1</v>
      </c>
      <c r="G333" s="34" t="n">
        <f aca="false">B333/1</f>
        <v>69.648</v>
      </c>
      <c r="H333" s="34" t="n">
        <f aca="false">IF(F333=1,G333,"")</f>
        <v>69.648</v>
      </c>
    </row>
    <row r="334" customFormat="false" ht="15" hidden="false" customHeight="false" outlineLevel="0" collapsed="false">
      <c r="A334" s="31" t="n">
        <v>42749.8333333333</v>
      </c>
      <c r="B334" s="32" t="n">
        <v>66.675</v>
      </c>
      <c r="D334" s="33" t="n">
        <f aca="false">WEEKDAY(A334,2)</f>
        <v>6</v>
      </c>
      <c r="E334" s="33" t="n">
        <f aca="false">HOUR(A334)+MINUTE(A334)/60</f>
        <v>20</v>
      </c>
      <c r="F334" s="33" t="n">
        <f aca="false">IF(OR(D334&gt;5,E334&lt;8,E334&gt;=18,COUNTIF($K$2:$K$10,INT(A334))&gt;0),1,0)</f>
        <v>1</v>
      </c>
      <c r="G334" s="34" t="n">
        <f aca="false">B334/1</f>
        <v>66.675</v>
      </c>
      <c r="H334" s="34" t="n">
        <f aca="false">IF(F334=1,G334,"")</f>
        <v>66.675</v>
      </c>
    </row>
    <row r="335" customFormat="false" ht="15" hidden="false" customHeight="false" outlineLevel="0" collapsed="false">
      <c r="A335" s="31" t="n">
        <v>42749.875</v>
      </c>
      <c r="B335" s="32" t="n">
        <v>66.789</v>
      </c>
      <c r="D335" s="33" t="n">
        <f aca="false">WEEKDAY(A335,2)</f>
        <v>6</v>
      </c>
      <c r="E335" s="33" t="n">
        <f aca="false">HOUR(A335)+MINUTE(A335)/60</f>
        <v>21</v>
      </c>
      <c r="F335" s="33" t="n">
        <f aca="false">IF(OR(D335&gt;5,E335&lt;8,E335&gt;=18,COUNTIF($K$2:$K$10,INT(A335))&gt;0),1,0)</f>
        <v>1</v>
      </c>
      <c r="G335" s="34" t="n">
        <f aca="false">B335/1</f>
        <v>66.789</v>
      </c>
      <c r="H335" s="34" t="n">
        <f aca="false">IF(F335=1,G335,"")</f>
        <v>66.789</v>
      </c>
    </row>
    <row r="336" customFormat="false" ht="15" hidden="false" customHeight="false" outlineLevel="0" collapsed="false">
      <c r="A336" s="31" t="n">
        <v>42749.9166666667</v>
      </c>
      <c r="B336" s="32" t="n">
        <v>67.119</v>
      </c>
      <c r="D336" s="33" t="n">
        <f aca="false">WEEKDAY(A336,2)</f>
        <v>6</v>
      </c>
      <c r="E336" s="33" t="n">
        <f aca="false">HOUR(A336)+MINUTE(A336)/60</f>
        <v>22</v>
      </c>
      <c r="F336" s="33" t="n">
        <f aca="false">IF(OR(D336&gt;5,E336&lt;8,E336&gt;=18,COUNTIF($K$2:$K$10,INT(A336))&gt;0),1,0)</f>
        <v>1</v>
      </c>
      <c r="G336" s="34" t="n">
        <f aca="false">B336/1</f>
        <v>67.119</v>
      </c>
      <c r="H336" s="34" t="n">
        <f aca="false">IF(F336=1,G336,"")</f>
        <v>67.119</v>
      </c>
    </row>
    <row r="337" customFormat="false" ht="15" hidden="false" customHeight="false" outlineLevel="0" collapsed="false">
      <c r="A337" s="31" t="n">
        <v>42749.9583333333</v>
      </c>
      <c r="B337" s="32" t="n">
        <v>65.461</v>
      </c>
      <c r="D337" s="33" t="n">
        <f aca="false">WEEKDAY(A337,2)</f>
        <v>6</v>
      </c>
      <c r="E337" s="33" t="n">
        <f aca="false">HOUR(A337)+MINUTE(A337)/60</f>
        <v>23</v>
      </c>
      <c r="F337" s="33" t="n">
        <f aca="false">IF(OR(D337&gt;5,E337&lt;8,E337&gt;=18,COUNTIF($K$2:$K$10,INT(A337))&gt;0),1,0)</f>
        <v>1</v>
      </c>
      <c r="G337" s="34" t="n">
        <f aca="false">B337/1</f>
        <v>65.461</v>
      </c>
      <c r="H337" s="34" t="n">
        <f aca="false">IF(F337=1,G337,"")</f>
        <v>65.461</v>
      </c>
    </row>
    <row r="338" customFormat="false" ht="15" hidden="false" customHeight="false" outlineLevel="0" collapsed="false">
      <c r="A338" s="31" t="n">
        <v>42750</v>
      </c>
      <c r="B338" s="32" t="n">
        <v>66.351</v>
      </c>
      <c r="D338" s="33" t="n">
        <f aca="false">WEEKDAY(A338,2)</f>
        <v>7</v>
      </c>
      <c r="E338" s="33" t="n">
        <f aca="false">HOUR(A338)+MINUTE(A338)/60</f>
        <v>0</v>
      </c>
      <c r="F338" s="33" t="n">
        <f aca="false">IF(OR(D338&gt;5,E338&lt;8,E338&gt;=18,COUNTIF($K$2:$K$10,INT(A338))&gt;0),1,0)</f>
        <v>1</v>
      </c>
      <c r="G338" s="34" t="n">
        <f aca="false">B338/1</f>
        <v>66.351</v>
      </c>
      <c r="H338" s="34" t="n">
        <f aca="false">IF(F338=1,G338,"")</f>
        <v>66.351</v>
      </c>
    </row>
    <row r="339" customFormat="false" ht="15" hidden="false" customHeight="false" outlineLevel="0" collapsed="false">
      <c r="A339" s="31" t="n">
        <v>42750.0416666667</v>
      </c>
      <c r="B339" s="32" t="n">
        <v>67.668</v>
      </c>
      <c r="D339" s="33" t="n">
        <f aca="false">WEEKDAY(A339,2)</f>
        <v>7</v>
      </c>
      <c r="E339" s="33" t="n">
        <f aca="false">HOUR(A339)+MINUTE(A339)/60</f>
        <v>1</v>
      </c>
      <c r="F339" s="33" t="n">
        <f aca="false">IF(OR(D339&gt;5,E339&lt;8,E339&gt;=18,COUNTIF($K$2:$K$10,INT(A339))&gt;0),1,0)</f>
        <v>1</v>
      </c>
      <c r="G339" s="34" t="n">
        <f aca="false">B339/1</f>
        <v>67.668</v>
      </c>
      <c r="H339" s="34" t="n">
        <f aca="false">IF(F339=1,G339,"")</f>
        <v>67.668</v>
      </c>
    </row>
    <row r="340" customFormat="false" ht="15" hidden="false" customHeight="false" outlineLevel="0" collapsed="false">
      <c r="A340" s="31" t="n">
        <v>42750.0833333333</v>
      </c>
      <c r="B340" s="32" t="n">
        <v>63.75</v>
      </c>
      <c r="D340" s="33" t="n">
        <f aca="false">WEEKDAY(A340,2)</f>
        <v>7</v>
      </c>
      <c r="E340" s="33" t="n">
        <f aca="false">HOUR(A340)+MINUTE(A340)/60</f>
        <v>2</v>
      </c>
      <c r="F340" s="33" t="n">
        <f aca="false">IF(OR(D340&gt;5,E340&lt;8,E340&gt;=18,COUNTIF($K$2:$K$10,INT(A340))&gt;0),1,0)</f>
        <v>1</v>
      </c>
      <c r="G340" s="34" t="n">
        <f aca="false">B340/1</f>
        <v>63.75</v>
      </c>
      <c r="H340" s="34" t="n">
        <f aca="false">IF(F340=1,G340,"")</f>
        <v>63.75</v>
      </c>
    </row>
    <row r="341" customFormat="false" ht="15" hidden="false" customHeight="false" outlineLevel="0" collapsed="false">
      <c r="A341" s="31" t="n">
        <v>42750.125</v>
      </c>
      <c r="B341" s="32" t="n">
        <v>64.765</v>
      </c>
      <c r="D341" s="33" t="n">
        <f aca="false">WEEKDAY(A341,2)</f>
        <v>7</v>
      </c>
      <c r="E341" s="33" t="n">
        <f aca="false">HOUR(A341)+MINUTE(A341)/60</f>
        <v>3</v>
      </c>
      <c r="F341" s="33" t="n">
        <f aca="false">IF(OR(D341&gt;5,E341&lt;8,E341&gt;=18,COUNTIF($K$2:$K$10,INT(A341))&gt;0),1,0)</f>
        <v>1</v>
      </c>
      <c r="G341" s="34" t="n">
        <f aca="false">B341/1</f>
        <v>64.765</v>
      </c>
      <c r="H341" s="34" t="n">
        <f aca="false">IF(F341=1,G341,"")</f>
        <v>64.765</v>
      </c>
    </row>
    <row r="342" customFormat="false" ht="15" hidden="false" customHeight="false" outlineLevel="0" collapsed="false">
      <c r="A342" s="31" t="n">
        <v>42750.1666666667</v>
      </c>
      <c r="B342" s="32" t="n">
        <v>64.199</v>
      </c>
      <c r="D342" s="33" t="n">
        <f aca="false">WEEKDAY(A342,2)</f>
        <v>7</v>
      </c>
      <c r="E342" s="33" t="n">
        <f aca="false">HOUR(A342)+MINUTE(A342)/60</f>
        <v>4</v>
      </c>
      <c r="F342" s="33" t="n">
        <f aca="false">IF(OR(D342&gt;5,E342&lt;8,E342&gt;=18,COUNTIF($K$2:$K$10,INT(A342))&gt;0),1,0)</f>
        <v>1</v>
      </c>
      <c r="G342" s="34" t="n">
        <f aca="false">B342/1</f>
        <v>64.199</v>
      </c>
      <c r="H342" s="34" t="n">
        <f aca="false">IF(F342=1,G342,"")</f>
        <v>64.199</v>
      </c>
    </row>
    <row r="343" customFormat="false" ht="15" hidden="false" customHeight="false" outlineLevel="0" collapsed="false">
      <c r="A343" s="31" t="n">
        <v>42750.2083333333</v>
      </c>
      <c r="B343" s="32" t="n">
        <v>65.788</v>
      </c>
      <c r="D343" s="33" t="n">
        <f aca="false">WEEKDAY(A343,2)</f>
        <v>7</v>
      </c>
      <c r="E343" s="33" t="n">
        <f aca="false">HOUR(A343)+MINUTE(A343)/60</f>
        <v>5</v>
      </c>
      <c r="F343" s="33" t="n">
        <f aca="false">IF(OR(D343&gt;5,E343&lt;8,E343&gt;=18,COUNTIF($K$2:$K$10,INT(A343))&gt;0),1,0)</f>
        <v>1</v>
      </c>
      <c r="G343" s="34" t="n">
        <f aca="false">B343/1</f>
        <v>65.788</v>
      </c>
      <c r="H343" s="34" t="n">
        <f aca="false">IF(F343=1,G343,"")</f>
        <v>65.788</v>
      </c>
    </row>
    <row r="344" customFormat="false" ht="15" hidden="false" customHeight="false" outlineLevel="0" collapsed="false">
      <c r="A344" s="31" t="n">
        <v>42750.25</v>
      </c>
      <c r="B344" s="32" t="n">
        <v>64.293</v>
      </c>
      <c r="D344" s="33" t="n">
        <f aca="false">WEEKDAY(A344,2)</f>
        <v>7</v>
      </c>
      <c r="E344" s="33" t="n">
        <f aca="false">HOUR(A344)+MINUTE(A344)/60</f>
        <v>6</v>
      </c>
      <c r="F344" s="33" t="n">
        <f aca="false">IF(OR(D344&gt;5,E344&lt;8,E344&gt;=18,COUNTIF($K$2:$K$10,INT(A344))&gt;0),1,0)</f>
        <v>1</v>
      </c>
      <c r="G344" s="34" t="n">
        <f aca="false">B344/1</f>
        <v>64.293</v>
      </c>
      <c r="H344" s="34" t="n">
        <f aca="false">IF(F344=1,G344,"")</f>
        <v>64.293</v>
      </c>
    </row>
    <row r="345" customFormat="false" ht="15" hidden="false" customHeight="false" outlineLevel="0" collapsed="false">
      <c r="A345" s="31" t="n">
        <v>42750.2916666667</v>
      </c>
      <c r="B345" s="32" t="n">
        <v>65.475</v>
      </c>
      <c r="D345" s="33" t="n">
        <f aca="false">WEEKDAY(A345,2)</f>
        <v>7</v>
      </c>
      <c r="E345" s="33" t="n">
        <f aca="false">HOUR(A345)+MINUTE(A345)/60</f>
        <v>7</v>
      </c>
      <c r="F345" s="33" t="n">
        <f aca="false">IF(OR(D345&gt;5,E345&lt;8,E345&gt;=18,COUNTIF($K$2:$K$10,INT(A345))&gt;0),1,0)</f>
        <v>1</v>
      </c>
      <c r="G345" s="34" t="n">
        <f aca="false">B345/1</f>
        <v>65.475</v>
      </c>
      <c r="H345" s="34" t="n">
        <f aca="false">IF(F345=1,G345,"")</f>
        <v>65.475</v>
      </c>
    </row>
    <row r="346" customFormat="false" ht="15" hidden="false" customHeight="false" outlineLevel="0" collapsed="false">
      <c r="A346" s="31" t="n">
        <v>42750.3333333333</v>
      </c>
      <c r="B346" s="32" t="n">
        <v>66.834</v>
      </c>
      <c r="D346" s="33" t="n">
        <f aca="false">WEEKDAY(A346,2)</f>
        <v>7</v>
      </c>
      <c r="E346" s="33" t="n">
        <f aca="false">HOUR(A346)+MINUTE(A346)/60</f>
        <v>8</v>
      </c>
      <c r="F346" s="33" t="n">
        <f aca="false">IF(OR(D346&gt;5,E346&lt;8,E346&gt;=18,COUNTIF($K$2:$K$10,INT(A346))&gt;0),1,0)</f>
        <v>1</v>
      </c>
      <c r="G346" s="34" t="n">
        <f aca="false">B346/1</f>
        <v>66.834</v>
      </c>
      <c r="H346" s="34" t="n">
        <f aca="false">IF(F346=1,G346,"")</f>
        <v>66.834</v>
      </c>
    </row>
    <row r="347" customFormat="false" ht="15" hidden="false" customHeight="false" outlineLevel="0" collapsed="false">
      <c r="A347" s="31" t="n">
        <v>42750.375</v>
      </c>
      <c r="B347" s="32" t="n">
        <v>63.369</v>
      </c>
      <c r="D347" s="33" t="n">
        <f aca="false">WEEKDAY(A347,2)</f>
        <v>7</v>
      </c>
      <c r="E347" s="33" t="n">
        <f aca="false">HOUR(A347)+MINUTE(A347)/60</f>
        <v>9</v>
      </c>
      <c r="F347" s="33" t="n">
        <f aca="false">IF(OR(D347&gt;5,E347&lt;8,E347&gt;=18,COUNTIF($K$2:$K$10,INT(A347))&gt;0),1,0)</f>
        <v>1</v>
      </c>
      <c r="G347" s="34" t="n">
        <f aca="false">B347/1</f>
        <v>63.369</v>
      </c>
      <c r="H347" s="34" t="n">
        <f aca="false">IF(F347=1,G347,"")</f>
        <v>63.369</v>
      </c>
    </row>
    <row r="348" customFormat="false" ht="15" hidden="false" customHeight="false" outlineLevel="0" collapsed="false">
      <c r="A348" s="31" t="n">
        <v>42750.4166666667</v>
      </c>
      <c r="B348" s="32" t="n">
        <v>62.102</v>
      </c>
      <c r="D348" s="33" t="n">
        <f aca="false">WEEKDAY(A348,2)</f>
        <v>7</v>
      </c>
      <c r="E348" s="33" t="n">
        <f aca="false">HOUR(A348)+MINUTE(A348)/60</f>
        <v>10</v>
      </c>
      <c r="F348" s="33" t="n">
        <f aca="false">IF(OR(D348&gt;5,E348&lt;8,E348&gt;=18,COUNTIF($K$2:$K$10,INT(A348))&gt;0),1,0)</f>
        <v>1</v>
      </c>
      <c r="G348" s="34" t="n">
        <f aca="false">B348/1</f>
        <v>62.102</v>
      </c>
      <c r="H348" s="34" t="n">
        <f aca="false">IF(F348=1,G348,"")</f>
        <v>62.102</v>
      </c>
    </row>
    <row r="349" customFormat="false" ht="15" hidden="false" customHeight="false" outlineLevel="0" collapsed="false">
      <c r="A349" s="31" t="n">
        <v>42750.4583333333</v>
      </c>
      <c r="B349" s="32" t="n">
        <v>67.279</v>
      </c>
      <c r="D349" s="33" t="n">
        <f aca="false">WEEKDAY(A349,2)</f>
        <v>7</v>
      </c>
      <c r="E349" s="33" t="n">
        <f aca="false">HOUR(A349)+MINUTE(A349)/60</f>
        <v>11</v>
      </c>
      <c r="F349" s="33" t="n">
        <f aca="false">IF(OR(D349&gt;5,E349&lt;8,E349&gt;=18,COUNTIF($K$2:$K$10,INT(A349))&gt;0),1,0)</f>
        <v>1</v>
      </c>
      <c r="G349" s="34" t="n">
        <f aca="false">B349/1</f>
        <v>67.279</v>
      </c>
      <c r="H349" s="34" t="n">
        <f aca="false">IF(F349=1,G349,"")</f>
        <v>67.279</v>
      </c>
    </row>
    <row r="350" customFormat="false" ht="15" hidden="false" customHeight="false" outlineLevel="0" collapsed="false">
      <c r="A350" s="31" t="n">
        <v>42750.5</v>
      </c>
      <c r="B350" s="32" t="n">
        <v>67.691</v>
      </c>
      <c r="D350" s="33" t="n">
        <f aca="false">WEEKDAY(A350,2)</f>
        <v>7</v>
      </c>
      <c r="E350" s="33" t="n">
        <f aca="false">HOUR(A350)+MINUTE(A350)/60</f>
        <v>12</v>
      </c>
      <c r="F350" s="33" t="n">
        <f aca="false">IF(OR(D350&gt;5,E350&lt;8,E350&gt;=18,COUNTIF($K$2:$K$10,INT(A350))&gt;0),1,0)</f>
        <v>1</v>
      </c>
      <c r="G350" s="34" t="n">
        <f aca="false">B350/1</f>
        <v>67.691</v>
      </c>
      <c r="H350" s="34" t="n">
        <f aca="false">IF(F350=1,G350,"")</f>
        <v>67.691</v>
      </c>
    </row>
    <row r="351" customFormat="false" ht="15" hidden="false" customHeight="false" outlineLevel="0" collapsed="false">
      <c r="A351" s="31" t="n">
        <v>42750.5416666667</v>
      </c>
      <c r="B351" s="32" t="n">
        <v>107.488</v>
      </c>
      <c r="D351" s="33" t="n">
        <f aca="false">WEEKDAY(A351,2)</f>
        <v>7</v>
      </c>
      <c r="E351" s="33" t="n">
        <f aca="false">HOUR(A351)+MINUTE(A351)/60</f>
        <v>13</v>
      </c>
      <c r="F351" s="33" t="n">
        <f aca="false">IF(OR(D351&gt;5,E351&lt;8,E351&gt;=18,COUNTIF($K$2:$K$10,INT(A351))&gt;0),1,0)</f>
        <v>1</v>
      </c>
      <c r="G351" s="34" t="n">
        <f aca="false">B351/1</f>
        <v>107.488</v>
      </c>
      <c r="H351" s="34" t="n">
        <f aca="false">IF(F351=1,G351,"")</f>
        <v>107.488</v>
      </c>
    </row>
    <row r="352" customFormat="false" ht="15" hidden="false" customHeight="false" outlineLevel="0" collapsed="false">
      <c r="A352" s="31" t="n">
        <v>42750.5833333333</v>
      </c>
      <c r="B352" s="32" t="n">
        <v>141.775</v>
      </c>
      <c r="D352" s="33" t="n">
        <f aca="false">WEEKDAY(A352,2)</f>
        <v>7</v>
      </c>
      <c r="E352" s="33" t="n">
        <f aca="false">HOUR(A352)+MINUTE(A352)/60</f>
        <v>14</v>
      </c>
      <c r="F352" s="33" t="n">
        <f aca="false">IF(OR(D352&gt;5,E352&lt;8,E352&gt;=18,COUNTIF($K$2:$K$10,INT(A352))&gt;0),1,0)</f>
        <v>1</v>
      </c>
      <c r="G352" s="34" t="n">
        <f aca="false">B352/1</f>
        <v>141.775</v>
      </c>
      <c r="H352" s="34" t="n">
        <f aca="false">IF(F352=1,G352,"")</f>
        <v>141.775</v>
      </c>
    </row>
    <row r="353" customFormat="false" ht="15" hidden="false" customHeight="false" outlineLevel="0" collapsed="false">
      <c r="A353" s="31" t="n">
        <v>42750.625</v>
      </c>
      <c r="B353" s="32" t="n">
        <v>141.089</v>
      </c>
      <c r="D353" s="33" t="n">
        <f aca="false">WEEKDAY(A353,2)</f>
        <v>7</v>
      </c>
      <c r="E353" s="33" t="n">
        <f aca="false">HOUR(A353)+MINUTE(A353)/60</f>
        <v>15</v>
      </c>
      <c r="F353" s="33" t="n">
        <f aca="false">IF(OR(D353&gt;5,E353&lt;8,E353&gt;=18,COUNTIF($K$2:$K$10,INT(A353))&gt;0),1,0)</f>
        <v>1</v>
      </c>
      <c r="G353" s="34" t="n">
        <f aca="false">B353/1</f>
        <v>141.089</v>
      </c>
      <c r="H353" s="34" t="n">
        <f aca="false">IF(F353=1,G353,"")</f>
        <v>141.089</v>
      </c>
    </row>
    <row r="354" customFormat="false" ht="15" hidden="false" customHeight="false" outlineLevel="0" collapsed="false">
      <c r="A354" s="31" t="n">
        <v>42750.6666666667</v>
      </c>
      <c r="B354" s="32" t="n">
        <v>142.484</v>
      </c>
      <c r="D354" s="33" t="n">
        <f aca="false">WEEKDAY(A354,2)</f>
        <v>7</v>
      </c>
      <c r="E354" s="33" t="n">
        <f aca="false">HOUR(A354)+MINUTE(A354)/60</f>
        <v>16</v>
      </c>
      <c r="F354" s="33" t="n">
        <f aca="false">IF(OR(D354&gt;5,E354&lt;8,E354&gt;=18,COUNTIF($K$2:$K$10,INT(A354))&gt;0),1,0)</f>
        <v>1</v>
      </c>
      <c r="G354" s="34" t="n">
        <f aca="false">B354/1</f>
        <v>142.484</v>
      </c>
      <c r="H354" s="34" t="n">
        <f aca="false">IF(F354=1,G354,"")</f>
        <v>142.484</v>
      </c>
    </row>
    <row r="355" customFormat="false" ht="15" hidden="false" customHeight="false" outlineLevel="0" collapsed="false">
      <c r="A355" s="31" t="n">
        <v>42750.7083333333</v>
      </c>
      <c r="B355" s="32" t="n">
        <v>142.496</v>
      </c>
      <c r="D355" s="33" t="n">
        <f aca="false">WEEKDAY(A355,2)</f>
        <v>7</v>
      </c>
      <c r="E355" s="33" t="n">
        <f aca="false">HOUR(A355)+MINUTE(A355)/60</f>
        <v>17</v>
      </c>
      <c r="F355" s="33" t="n">
        <f aca="false">IF(OR(D355&gt;5,E355&lt;8,E355&gt;=18,COUNTIF($K$2:$K$10,INT(A355))&gt;0),1,0)</f>
        <v>1</v>
      </c>
      <c r="G355" s="34" t="n">
        <f aca="false">B355/1</f>
        <v>142.496</v>
      </c>
      <c r="H355" s="34" t="n">
        <f aca="false">IF(F355=1,G355,"")</f>
        <v>142.496</v>
      </c>
    </row>
    <row r="356" customFormat="false" ht="15" hidden="false" customHeight="false" outlineLevel="0" collapsed="false">
      <c r="A356" s="31" t="n">
        <v>42750.75</v>
      </c>
      <c r="B356" s="32" t="n">
        <v>74.7</v>
      </c>
      <c r="D356" s="33" t="n">
        <f aca="false">WEEKDAY(A356,2)</f>
        <v>7</v>
      </c>
      <c r="E356" s="33" t="n">
        <f aca="false">HOUR(A356)+MINUTE(A356)/60</f>
        <v>18</v>
      </c>
      <c r="F356" s="33" t="n">
        <f aca="false">IF(OR(D356&gt;5,E356&lt;8,E356&gt;=18,COUNTIF($K$2:$K$10,INT(A356))&gt;0),1,0)</f>
        <v>1</v>
      </c>
      <c r="G356" s="34" t="n">
        <f aca="false">B356/1</f>
        <v>74.7</v>
      </c>
      <c r="H356" s="34" t="n">
        <f aca="false">IF(F356=1,G356,"")</f>
        <v>74.7</v>
      </c>
    </row>
    <row r="357" customFormat="false" ht="15" hidden="false" customHeight="false" outlineLevel="0" collapsed="false">
      <c r="A357" s="31" t="n">
        <v>42750.7916666667</v>
      </c>
      <c r="B357" s="32" t="n">
        <v>71.923</v>
      </c>
      <c r="D357" s="33" t="n">
        <f aca="false">WEEKDAY(A357,2)</f>
        <v>7</v>
      </c>
      <c r="E357" s="33" t="n">
        <f aca="false">HOUR(A357)+MINUTE(A357)/60</f>
        <v>19</v>
      </c>
      <c r="F357" s="33" t="n">
        <f aca="false">IF(OR(D357&gt;5,E357&lt;8,E357&gt;=18,COUNTIF($K$2:$K$10,INT(A357))&gt;0),1,0)</f>
        <v>1</v>
      </c>
      <c r="G357" s="34" t="n">
        <f aca="false">B357/1</f>
        <v>71.923</v>
      </c>
      <c r="H357" s="34" t="n">
        <f aca="false">IF(F357=1,G357,"")</f>
        <v>71.923</v>
      </c>
    </row>
    <row r="358" customFormat="false" ht="15" hidden="false" customHeight="false" outlineLevel="0" collapsed="false">
      <c r="A358" s="31" t="n">
        <v>42750.8333333333</v>
      </c>
      <c r="B358" s="32" t="n">
        <v>67.964</v>
      </c>
      <c r="D358" s="33" t="n">
        <f aca="false">WEEKDAY(A358,2)</f>
        <v>7</v>
      </c>
      <c r="E358" s="33" t="n">
        <f aca="false">HOUR(A358)+MINUTE(A358)/60</f>
        <v>20</v>
      </c>
      <c r="F358" s="33" t="n">
        <f aca="false">IF(OR(D358&gt;5,E358&lt;8,E358&gt;=18,COUNTIF($K$2:$K$10,INT(A358))&gt;0),1,0)</f>
        <v>1</v>
      </c>
      <c r="G358" s="34" t="n">
        <f aca="false">B358/1</f>
        <v>67.964</v>
      </c>
      <c r="H358" s="34" t="n">
        <f aca="false">IF(F358=1,G358,"")</f>
        <v>67.964</v>
      </c>
    </row>
    <row r="359" customFormat="false" ht="15" hidden="false" customHeight="false" outlineLevel="0" collapsed="false">
      <c r="A359" s="31" t="n">
        <v>42750.875</v>
      </c>
      <c r="B359" s="32" t="n">
        <v>64.074</v>
      </c>
      <c r="D359" s="33" t="n">
        <f aca="false">WEEKDAY(A359,2)</f>
        <v>7</v>
      </c>
      <c r="E359" s="33" t="n">
        <f aca="false">HOUR(A359)+MINUTE(A359)/60</f>
        <v>21</v>
      </c>
      <c r="F359" s="33" t="n">
        <f aca="false">IF(OR(D359&gt;5,E359&lt;8,E359&gt;=18,COUNTIF($K$2:$K$10,INT(A359))&gt;0),1,0)</f>
        <v>1</v>
      </c>
      <c r="G359" s="34" t="n">
        <f aca="false">B359/1</f>
        <v>64.074</v>
      </c>
      <c r="H359" s="34" t="n">
        <f aca="false">IF(F359=1,G359,"")</f>
        <v>64.074</v>
      </c>
    </row>
    <row r="360" customFormat="false" ht="15" hidden="false" customHeight="false" outlineLevel="0" collapsed="false">
      <c r="A360" s="31" t="n">
        <v>42750.9166666667</v>
      </c>
      <c r="B360" s="32" t="n">
        <v>64.342</v>
      </c>
      <c r="D360" s="33" t="n">
        <f aca="false">WEEKDAY(A360,2)</f>
        <v>7</v>
      </c>
      <c r="E360" s="33" t="n">
        <f aca="false">HOUR(A360)+MINUTE(A360)/60</f>
        <v>22</v>
      </c>
      <c r="F360" s="33" t="n">
        <f aca="false">IF(OR(D360&gt;5,E360&lt;8,E360&gt;=18,COUNTIF($K$2:$K$10,INT(A360))&gt;0),1,0)</f>
        <v>1</v>
      </c>
      <c r="G360" s="34" t="n">
        <f aca="false">B360/1</f>
        <v>64.342</v>
      </c>
      <c r="H360" s="34" t="n">
        <f aca="false">IF(F360=1,G360,"")</f>
        <v>64.342</v>
      </c>
    </row>
    <row r="361" customFormat="false" ht="15" hidden="false" customHeight="false" outlineLevel="0" collapsed="false">
      <c r="A361" s="31" t="n">
        <v>42750.9583333333</v>
      </c>
      <c r="B361" s="32" t="n">
        <v>63.985</v>
      </c>
      <c r="D361" s="33" t="n">
        <f aca="false">WEEKDAY(A361,2)</f>
        <v>7</v>
      </c>
      <c r="E361" s="33" t="n">
        <f aca="false">HOUR(A361)+MINUTE(A361)/60</f>
        <v>23</v>
      </c>
      <c r="F361" s="33" t="n">
        <f aca="false">IF(OR(D361&gt;5,E361&lt;8,E361&gt;=18,COUNTIF($K$2:$K$10,INT(A361))&gt;0),1,0)</f>
        <v>1</v>
      </c>
      <c r="G361" s="34" t="n">
        <f aca="false">B361/1</f>
        <v>63.985</v>
      </c>
      <c r="H361" s="34" t="n">
        <f aca="false">IF(F361=1,G361,"")</f>
        <v>63.985</v>
      </c>
    </row>
    <row r="362" customFormat="false" ht="15" hidden="false" customHeight="false" outlineLevel="0" collapsed="false">
      <c r="A362" s="31" t="n">
        <v>42751</v>
      </c>
      <c r="B362" s="32" t="n">
        <v>64.779</v>
      </c>
      <c r="D362" s="33" t="n">
        <f aca="false">WEEKDAY(A362,2)</f>
        <v>1</v>
      </c>
      <c r="E362" s="33" t="n">
        <f aca="false">HOUR(A362)+MINUTE(A362)/60</f>
        <v>0</v>
      </c>
      <c r="F362" s="33" t="n">
        <f aca="false">IF(OR(D362&gt;5,E362&lt;8,E362&gt;=18,COUNTIF($K$2:$K$10,INT(A362))&gt;0),1,0)</f>
        <v>1</v>
      </c>
      <c r="G362" s="34" t="n">
        <f aca="false">B362/1</f>
        <v>64.779</v>
      </c>
      <c r="H362" s="34" t="n">
        <f aca="false">IF(F362=1,G362,"")</f>
        <v>64.779</v>
      </c>
    </row>
    <row r="363" customFormat="false" ht="15" hidden="false" customHeight="false" outlineLevel="0" collapsed="false">
      <c r="A363" s="31" t="n">
        <v>42751.0416666667</v>
      </c>
      <c r="B363" s="32" t="n">
        <v>63.565</v>
      </c>
      <c r="D363" s="33" t="n">
        <f aca="false">WEEKDAY(A363,2)</f>
        <v>1</v>
      </c>
      <c r="E363" s="33" t="n">
        <f aca="false">HOUR(A363)+MINUTE(A363)/60</f>
        <v>1</v>
      </c>
      <c r="F363" s="33" t="n">
        <f aca="false">IF(OR(D363&gt;5,E363&lt;8,E363&gt;=18,COUNTIF($K$2:$K$10,INT(A363))&gt;0),1,0)</f>
        <v>1</v>
      </c>
      <c r="G363" s="34" t="n">
        <f aca="false">B363/1</f>
        <v>63.565</v>
      </c>
      <c r="H363" s="34" t="n">
        <f aca="false">IF(F363=1,G363,"")</f>
        <v>63.565</v>
      </c>
    </row>
    <row r="364" customFormat="false" ht="15" hidden="false" customHeight="false" outlineLevel="0" collapsed="false">
      <c r="A364" s="31" t="n">
        <v>42751.0833333333</v>
      </c>
      <c r="B364" s="32" t="n">
        <v>65.189</v>
      </c>
      <c r="D364" s="33" t="n">
        <f aca="false">WEEKDAY(A364,2)</f>
        <v>1</v>
      </c>
      <c r="E364" s="33" t="n">
        <f aca="false">HOUR(A364)+MINUTE(A364)/60</f>
        <v>2</v>
      </c>
      <c r="F364" s="33" t="n">
        <f aca="false">IF(OR(D364&gt;5,E364&lt;8,E364&gt;=18,COUNTIF($K$2:$K$10,INT(A364))&gt;0),1,0)</f>
        <v>1</v>
      </c>
      <c r="G364" s="34" t="n">
        <f aca="false">B364/1</f>
        <v>65.189</v>
      </c>
      <c r="H364" s="34" t="n">
        <f aca="false">IF(F364=1,G364,"")</f>
        <v>65.189</v>
      </c>
    </row>
    <row r="365" customFormat="false" ht="15" hidden="false" customHeight="false" outlineLevel="0" collapsed="false">
      <c r="A365" s="31" t="n">
        <v>42751.125</v>
      </c>
      <c r="B365" s="32" t="n">
        <v>65.872</v>
      </c>
      <c r="D365" s="33" t="n">
        <f aca="false">WEEKDAY(A365,2)</f>
        <v>1</v>
      </c>
      <c r="E365" s="33" t="n">
        <f aca="false">HOUR(A365)+MINUTE(A365)/60</f>
        <v>3</v>
      </c>
      <c r="F365" s="33" t="n">
        <f aca="false">IF(OR(D365&gt;5,E365&lt;8,E365&gt;=18,COUNTIF($K$2:$K$10,INT(A365))&gt;0),1,0)</f>
        <v>1</v>
      </c>
      <c r="G365" s="34" t="n">
        <f aca="false">B365/1</f>
        <v>65.872</v>
      </c>
      <c r="H365" s="34" t="n">
        <f aca="false">IF(F365=1,G365,"")</f>
        <v>65.872</v>
      </c>
    </row>
    <row r="366" customFormat="false" ht="15" hidden="false" customHeight="false" outlineLevel="0" collapsed="false">
      <c r="A366" s="31" t="n">
        <v>42751.1666666667</v>
      </c>
      <c r="B366" s="32" t="n">
        <v>64.34</v>
      </c>
      <c r="D366" s="33" t="n">
        <f aca="false">WEEKDAY(A366,2)</f>
        <v>1</v>
      </c>
      <c r="E366" s="33" t="n">
        <f aca="false">HOUR(A366)+MINUTE(A366)/60</f>
        <v>4</v>
      </c>
      <c r="F366" s="33" t="n">
        <f aca="false">IF(OR(D366&gt;5,E366&lt;8,E366&gt;=18,COUNTIF($K$2:$K$10,INT(A366))&gt;0),1,0)</f>
        <v>1</v>
      </c>
      <c r="G366" s="34" t="n">
        <f aca="false">B366/1</f>
        <v>64.34</v>
      </c>
      <c r="H366" s="34" t="n">
        <f aca="false">IF(F366=1,G366,"")</f>
        <v>64.34</v>
      </c>
    </row>
    <row r="367" customFormat="false" ht="15" hidden="false" customHeight="false" outlineLevel="0" collapsed="false">
      <c r="A367" s="31" t="n">
        <v>42751.2083333333</v>
      </c>
      <c r="B367" s="32" t="n">
        <v>63.195</v>
      </c>
      <c r="D367" s="33" t="n">
        <f aca="false">WEEKDAY(A367,2)</f>
        <v>1</v>
      </c>
      <c r="E367" s="33" t="n">
        <f aca="false">HOUR(A367)+MINUTE(A367)/60</f>
        <v>5</v>
      </c>
      <c r="F367" s="33" t="n">
        <f aca="false">IF(OR(D367&gt;5,E367&lt;8,E367&gt;=18,COUNTIF($K$2:$K$10,INT(A367))&gt;0),1,0)</f>
        <v>1</v>
      </c>
      <c r="G367" s="34" t="n">
        <f aca="false">B367/1</f>
        <v>63.195</v>
      </c>
      <c r="H367" s="34" t="n">
        <f aca="false">IF(F367=1,G367,"")</f>
        <v>63.195</v>
      </c>
    </row>
    <row r="368" customFormat="false" ht="15" hidden="false" customHeight="false" outlineLevel="0" collapsed="false">
      <c r="A368" s="31" t="n">
        <v>42751.25</v>
      </c>
      <c r="B368" s="32" t="n">
        <v>66.768</v>
      </c>
      <c r="D368" s="33" t="n">
        <f aca="false">WEEKDAY(A368,2)</f>
        <v>1</v>
      </c>
      <c r="E368" s="33" t="n">
        <f aca="false">HOUR(A368)+MINUTE(A368)/60</f>
        <v>6</v>
      </c>
      <c r="F368" s="33" t="n">
        <f aca="false">IF(OR(D368&gt;5,E368&lt;8,E368&gt;=18,COUNTIF($K$2:$K$10,INT(A368))&gt;0),1,0)</f>
        <v>1</v>
      </c>
      <c r="G368" s="34" t="n">
        <f aca="false">B368/1</f>
        <v>66.768</v>
      </c>
      <c r="H368" s="34" t="n">
        <f aca="false">IF(F368=1,G368,"")</f>
        <v>66.768</v>
      </c>
    </row>
    <row r="369" customFormat="false" ht="15" hidden="false" customHeight="false" outlineLevel="0" collapsed="false">
      <c r="A369" s="31" t="n">
        <v>42751.2916666667</v>
      </c>
      <c r="B369" s="32" t="n">
        <v>76.603</v>
      </c>
      <c r="D369" s="33" t="n">
        <f aca="false">WEEKDAY(A369,2)</f>
        <v>1</v>
      </c>
      <c r="E369" s="33" t="n">
        <f aca="false">HOUR(A369)+MINUTE(A369)/60</f>
        <v>7</v>
      </c>
      <c r="F369" s="33" t="n">
        <f aca="false">IF(OR(D369&gt;5,E369&lt;8,E369&gt;=18,COUNTIF($K$2:$K$10,INT(A369))&gt;0),1,0)</f>
        <v>1</v>
      </c>
      <c r="G369" s="34" t="n">
        <f aca="false">B369/1</f>
        <v>76.603</v>
      </c>
      <c r="H369" s="34" t="n">
        <f aca="false">IF(F369=1,G369,"")</f>
        <v>76.603</v>
      </c>
    </row>
    <row r="370" customFormat="false" ht="15" hidden="false" customHeight="false" outlineLevel="0" collapsed="false">
      <c r="A370" s="31" t="n">
        <v>42751.3333333333</v>
      </c>
      <c r="B370" s="32" t="n">
        <v>96.743</v>
      </c>
      <c r="D370" s="33" t="n">
        <f aca="false">WEEKDAY(A370,2)</f>
        <v>1</v>
      </c>
      <c r="E370" s="33" t="n">
        <f aca="false">HOUR(A370)+MINUTE(A370)/60</f>
        <v>8</v>
      </c>
      <c r="F370" s="33" t="n">
        <f aca="false">IF(OR(D370&gt;5,E370&lt;8,E370&gt;=18,COUNTIF($K$2:$K$10,INT(A370))&gt;0),1,0)</f>
        <v>1</v>
      </c>
      <c r="G370" s="34" t="n">
        <f aca="false">B370/1</f>
        <v>96.743</v>
      </c>
      <c r="H370" s="34" t="n">
        <f aca="false">IF(F370=1,G370,"")</f>
        <v>96.743</v>
      </c>
    </row>
    <row r="371" customFormat="false" ht="15" hidden="false" customHeight="false" outlineLevel="0" collapsed="false">
      <c r="A371" s="31" t="n">
        <v>42751.375</v>
      </c>
      <c r="B371" s="32" t="n">
        <v>98.118</v>
      </c>
      <c r="D371" s="33" t="n">
        <f aca="false">WEEKDAY(A371,2)</f>
        <v>1</v>
      </c>
      <c r="E371" s="33" t="n">
        <f aca="false">HOUR(A371)+MINUTE(A371)/60</f>
        <v>9</v>
      </c>
      <c r="F371" s="33" t="n">
        <f aca="false">IF(OR(D371&gt;5,E371&lt;8,E371&gt;=18,COUNTIF($K$2:$K$10,INT(A371))&gt;0),1,0)</f>
        <v>1</v>
      </c>
      <c r="G371" s="34" t="n">
        <f aca="false">B371/1</f>
        <v>98.118</v>
      </c>
      <c r="H371" s="34" t="n">
        <f aca="false">IF(F371=1,G371,"")</f>
        <v>98.118</v>
      </c>
    </row>
    <row r="372" customFormat="false" ht="15" hidden="false" customHeight="false" outlineLevel="0" collapsed="false">
      <c r="A372" s="31" t="n">
        <v>42751.4166666667</v>
      </c>
      <c r="B372" s="32" t="n">
        <v>100.586</v>
      </c>
      <c r="D372" s="33" t="n">
        <f aca="false">WEEKDAY(A372,2)</f>
        <v>1</v>
      </c>
      <c r="E372" s="33" t="n">
        <f aca="false">HOUR(A372)+MINUTE(A372)/60</f>
        <v>10</v>
      </c>
      <c r="F372" s="33" t="n">
        <f aca="false">IF(OR(D372&gt;5,E372&lt;8,E372&gt;=18,COUNTIF($K$2:$K$10,INT(A372))&gt;0),1,0)</f>
        <v>1</v>
      </c>
      <c r="G372" s="34" t="n">
        <f aca="false">B372/1</f>
        <v>100.586</v>
      </c>
      <c r="H372" s="34" t="n">
        <f aca="false">IF(F372=1,G372,"")</f>
        <v>100.586</v>
      </c>
    </row>
    <row r="373" customFormat="false" ht="15" hidden="false" customHeight="false" outlineLevel="0" collapsed="false">
      <c r="A373" s="31" t="n">
        <v>42751.4583333333</v>
      </c>
      <c r="B373" s="32" t="n">
        <v>99.679</v>
      </c>
      <c r="D373" s="33" t="n">
        <f aca="false">WEEKDAY(A373,2)</f>
        <v>1</v>
      </c>
      <c r="E373" s="33" t="n">
        <f aca="false">HOUR(A373)+MINUTE(A373)/60</f>
        <v>11</v>
      </c>
      <c r="F373" s="33" t="n">
        <f aca="false">IF(OR(D373&gt;5,E373&lt;8,E373&gt;=18,COUNTIF($K$2:$K$10,INT(A373))&gt;0),1,0)</f>
        <v>1</v>
      </c>
      <c r="G373" s="34" t="n">
        <f aca="false">B373/1</f>
        <v>99.679</v>
      </c>
      <c r="H373" s="34" t="n">
        <f aca="false">IF(F373=1,G373,"")</f>
        <v>99.679</v>
      </c>
    </row>
    <row r="374" customFormat="false" ht="15" hidden="false" customHeight="false" outlineLevel="0" collapsed="false">
      <c r="A374" s="31" t="n">
        <v>42751.5</v>
      </c>
      <c r="B374" s="32" t="n">
        <v>100.426</v>
      </c>
      <c r="D374" s="33" t="n">
        <f aca="false">WEEKDAY(A374,2)</f>
        <v>1</v>
      </c>
      <c r="E374" s="33" t="n">
        <f aca="false">HOUR(A374)+MINUTE(A374)/60</f>
        <v>12</v>
      </c>
      <c r="F374" s="33" t="n">
        <f aca="false">IF(OR(D374&gt;5,E374&lt;8,E374&gt;=18,COUNTIF($K$2:$K$10,INT(A374))&gt;0),1,0)</f>
        <v>1</v>
      </c>
      <c r="G374" s="34" t="n">
        <f aca="false">B374/1</f>
        <v>100.426</v>
      </c>
      <c r="H374" s="34" t="n">
        <f aca="false">IF(F374=1,G374,"")</f>
        <v>100.426</v>
      </c>
    </row>
    <row r="375" customFormat="false" ht="15" hidden="false" customHeight="false" outlineLevel="0" collapsed="false">
      <c r="A375" s="31" t="n">
        <v>42751.5416666667</v>
      </c>
      <c r="B375" s="32" t="n">
        <v>100.563</v>
      </c>
      <c r="D375" s="33" t="n">
        <f aca="false">WEEKDAY(A375,2)</f>
        <v>1</v>
      </c>
      <c r="E375" s="33" t="n">
        <f aca="false">HOUR(A375)+MINUTE(A375)/60</f>
        <v>13</v>
      </c>
      <c r="F375" s="33" t="n">
        <f aca="false">IF(OR(D375&gt;5,E375&lt;8,E375&gt;=18,COUNTIF($K$2:$K$10,INT(A375))&gt;0),1,0)</f>
        <v>1</v>
      </c>
      <c r="G375" s="34" t="n">
        <f aca="false">B375/1</f>
        <v>100.563</v>
      </c>
      <c r="H375" s="34" t="n">
        <f aca="false">IF(F375=1,G375,"")</f>
        <v>100.563</v>
      </c>
    </row>
    <row r="376" customFormat="false" ht="15" hidden="false" customHeight="false" outlineLevel="0" collapsed="false">
      <c r="A376" s="31" t="n">
        <v>42751.5833333333</v>
      </c>
      <c r="B376" s="32" t="n">
        <v>101.05</v>
      </c>
      <c r="D376" s="33" t="n">
        <f aca="false">WEEKDAY(A376,2)</f>
        <v>1</v>
      </c>
      <c r="E376" s="33" t="n">
        <f aca="false">HOUR(A376)+MINUTE(A376)/60</f>
        <v>14</v>
      </c>
      <c r="F376" s="33" t="n">
        <f aca="false">IF(OR(D376&gt;5,E376&lt;8,E376&gt;=18,COUNTIF($K$2:$K$10,INT(A376))&gt;0),1,0)</f>
        <v>1</v>
      </c>
      <c r="G376" s="34" t="n">
        <f aca="false">B376/1</f>
        <v>101.05</v>
      </c>
      <c r="H376" s="34" t="n">
        <f aca="false">IF(F376=1,G376,"")</f>
        <v>101.05</v>
      </c>
    </row>
    <row r="377" customFormat="false" ht="15" hidden="false" customHeight="false" outlineLevel="0" collapsed="false">
      <c r="A377" s="31" t="n">
        <v>42751.625</v>
      </c>
      <c r="B377" s="32" t="n">
        <v>103.512</v>
      </c>
      <c r="D377" s="33" t="n">
        <f aca="false">WEEKDAY(A377,2)</f>
        <v>1</v>
      </c>
      <c r="E377" s="33" t="n">
        <f aca="false">HOUR(A377)+MINUTE(A377)/60</f>
        <v>15</v>
      </c>
      <c r="F377" s="33" t="n">
        <f aca="false">IF(OR(D377&gt;5,E377&lt;8,E377&gt;=18,COUNTIF($K$2:$K$10,INT(A377))&gt;0),1,0)</f>
        <v>1</v>
      </c>
      <c r="G377" s="34" t="n">
        <f aca="false">B377/1</f>
        <v>103.512</v>
      </c>
      <c r="H377" s="34" t="n">
        <f aca="false">IF(F377=1,G377,"")</f>
        <v>103.512</v>
      </c>
    </row>
    <row r="378" customFormat="false" ht="15" hidden="false" customHeight="false" outlineLevel="0" collapsed="false">
      <c r="A378" s="31" t="n">
        <v>42751.6666666667</v>
      </c>
      <c r="B378" s="32" t="n">
        <v>100.534</v>
      </c>
      <c r="D378" s="33" t="n">
        <f aca="false">WEEKDAY(A378,2)</f>
        <v>1</v>
      </c>
      <c r="E378" s="33" t="n">
        <f aca="false">HOUR(A378)+MINUTE(A378)/60</f>
        <v>16</v>
      </c>
      <c r="F378" s="33" t="n">
        <f aca="false">IF(OR(D378&gt;5,E378&lt;8,E378&gt;=18,COUNTIF($K$2:$K$10,INT(A378))&gt;0),1,0)</f>
        <v>1</v>
      </c>
      <c r="G378" s="34" t="n">
        <f aca="false">B378/1</f>
        <v>100.534</v>
      </c>
      <c r="H378" s="34" t="n">
        <f aca="false">IF(F378=1,G378,"")</f>
        <v>100.534</v>
      </c>
    </row>
    <row r="379" customFormat="false" ht="15" hidden="false" customHeight="false" outlineLevel="0" collapsed="false">
      <c r="A379" s="31" t="n">
        <v>42751.7083333333</v>
      </c>
      <c r="B379" s="32" t="n">
        <v>95.859</v>
      </c>
      <c r="D379" s="33" t="n">
        <f aca="false">WEEKDAY(A379,2)</f>
        <v>1</v>
      </c>
      <c r="E379" s="33" t="n">
        <f aca="false">HOUR(A379)+MINUTE(A379)/60</f>
        <v>17</v>
      </c>
      <c r="F379" s="33" t="n">
        <f aca="false">IF(OR(D379&gt;5,E379&lt;8,E379&gt;=18,COUNTIF($K$2:$K$10,INT(A379))&gt;0),1,0)</f>
        <v>1</v>
      </c>
      <c r="G379" s="34" t="n">
        <f aca="false">B379/1</f>
        <v>95.859</v>
      </c>
      <c r="H379" s="34" t="n">
        <f aca="false">IF(F379=1,G379,"")</f>
        <v>95.859</v>
      </c>
    </row>
    <row r="380" customFormat="false" ht="15" hidden="false" customHeight="false" outlineLevel="0" collapsed="false">
      <c r="A380" s="31" t="n">
        <v>42751.75</v>
      </c>
      <c r="B380" s="32" t="n">
        <v>97.019</v>
      </c>
      <c r="D380" s="33" t="n">
        <f aca="false">WEEKDAY(A380,2)</f>
        <v>1</v>
      </c>
      <c r="E380" s="33" t="n">
        <f aca="false">HOUR(A380)+MINUTE(A380)/60</f>
        <v>18</v>
      </c>
      <c r="F380" s="33" t="n">
        <f aca="false">IF(OR(D380&gt;5,E380&lt;8,E380&gt;=18,COUNTIF($K$2:$K$10,INT(A380))&gt;0),1,0)</f>
        <v>1</v>
      </c>
      <c r="G380" s="34" t="n">
        <f aca="false">B380/1</f>
        <v>97.019</v>
      </c>
      <c r="H380" s="34" t="n">
        <f aca="false">IF(F380=1,G380,"")</f>
        <v>97.019</v>
      </c>
    </row>
    <row r="381" customFormat="false" ht="15" hidden="false" customHeight="false" outlineLevel="0" collapsed="false">
      <c r="A381" s="31" t="n">
        <v>42751.7916666667</v>
      </c>
      <c r="B381" s="32" t="n">
        <v>98.795</v>
      </c>
      <c r="D381" s="33" t="n">
        <f aca="false">WEEKDAY(A381,2)</f>
        <v>1</v>
      </c>
      <c r="E381" s="33" t="n">
        <f aca="false">HOUR(A381)+MINUTE(A381)/60</f>
        <v>19</v>
      </c>
      <c r="F381" s="33" t="n">
        <f aca="false">IF(OR(D381&gt;5,E381&lt;8,E381&gt;=18,COUNTIF($K$2:$K$10,INT(A381))&gt;0),1,0)</f>
        <v>1</v>
      </c>
      <c r="G381" s="34" t="n">
        <f aca="false">B381/1</f>
        <v>98.795</v>
      </c>
      <c r="H381" s="34" t="n">
        <f aca="false">IF(F381=1,G381,"")</f>
        <v>98.795</v>
      </c>
    </row>
    <row r="382" customFormat="false" ht="15" hidden="false" customHeight="false" outlineLevel="0" collapsed="false">
      <c r="A382" s="31" t="n">
        <v>42751.8333333333</v>
      </c>
      <c r="B382" s="32" t="n">
        <v>95.768</v>
      </c>
      <c r="D382" s="33" t="n">
        <f aca="false">WEEKDAY(A382,2)</f>
        <v>1</v>
      </c>
      <c r="E382" s="33" t="n">
        <f aca="false">HOUR(A382)+MINUTE(A382)/60</f>
        <v>20</v>
      </c>
      <c r="F382" s="33" t="n">
        <f aca="false">IF(OR(D382&gt;5,E382&lt;8,E382&gt;=18,COUNTIF($K$2:$K$10,INT(A382))&gt;0),1,0)</f>
        <v>1</v>
      </c>
      <c r="G382" s="34" t="n">
        <f aca="false">B382/1</f>
        <v>95.768</v>
      </c>
      <c r="H382" s="34" t="n">
        <f aca="false">IF(F382=1,G382,"")</f>
        <v>95.768</v>
      </c>
    </row>
    <row r="383" customFormat="false" ht="15" hidden="false" customHeight="false" outlineLevel="0" collapsed="false">
      <c r="A383" s="31" t="n">
        <v>42751.875</v>
      </c>
      <c r="B383" s="32" t="n">
        <v>96.616</v>
      </c>
      <c r="D383" s="33" t="n">
        <f aca="false">WEEKDAY(A383,2)</f>
        <v>1</v>
      </c>
      <c r="E383" s="33" t="n">
        <f aca="false">HOUR(A383)+MINUTE(A383)/60</f>
        <v>21</v>
      </c>
      <c r="F383" s="33" t="n">
        <f aca="false">IF(OR(D383&gt;5,E383&lt;8,E383&gt;=18,COUNTIF($K$2:$K$10,INT(A383))&gt;0),1,0)</f>
        <v>1</v>
      </c>
      <c r="G383" s="34" t="n">
        <f aca="false">B383/1</f>
        <v>96.616</v>
      </c>
      <c r="H383" s="34" t="n">
        <f aca="false">IF(F383=1,G383,"")</f>
        <v>96.616</v>
      </c>
    </row>
    <row r="384" customFormat="false" ht="15" hidden="false" customHeight="false" outlineLevel="0" collapsed="false">
      <c r="A384" s="31" t="n">
        <v>42751.9166666667</v>
      </c>
      <c r="B384" s="32" t="n">
        <v>78.644</v>
      </c>
      <c r="D384" s="33" t="n">
        <f aca="false">WEEKDAY(A384,2)</f>
        <v>1</v>
      </c>
      <c r="E384" s="33" t="n">
        <f aca="false">HOUR(A384)+MINUTE(A384)/60</f>
        <v>22</v>
      </c>
      <c r="F384" s="33" t="n">
        <f aca="false">IF(OR(D384&gt;5,E384&lt;8,E384&gt;=18,COUNTIF($K$2:$K$10,INT(A384))&gt;0),1,0)</f>
        <v>1</v>
      </c>
      <c r="G384" s="34" t="n">
        <f aca="false">B384/1</f>
        <v>78.644</v>
      </c>
      <c r="H384" s="34" t="n">
        <f aca="false">IF(F384=1,G384,"")</f>
        <v>78.644</v>
      </c>
    </row>
    <row r="385" customFormat="false" ht="15" hidden="false" customHeight="false" outlineLevel="0" collapsed="false">
      <c r="A385" s="31" t="n">
        <v>42751.9583333333</v>
      </c>
      <c r="B385" s="32" t="n">
        <v>65.525</v>
      </c>
      <c r="D385" s="33" t="n">
        <f aca="false">WEEKDAY(A385,2)</f>
        <v>1</v>
      </c>
      <c r="E385" s="33" t="n">
        <f aca="false">HOUR(A385)+MINUTE(A385)/60</f>
        <v>23</v>
      </c>
      <c r="F385" s="33" t="n">
        <f aca="false">IF(OR(D385&gt;5,E385&lt;8,E385&gt;=18,COUNTIF($K$2:$K$10,INT(A385))&gt;0),1,0)</f>
        <v>1</v>
      </c>
      <c r="G385" s="34" t="n">
        <f aca="false">B385/1</f>
        <v>65.525</v>
      </c>
      <c r="H385" s="34" t="n">
        <f aca="false">IF(F385=1,G385,"")</f>
        <v>65.525</v>
      </c>
    </row>
    <row r="386" customFormat="false" ht="15" hidden="false" customHeight="false" outlineLevel="0" collapsed="false">
      <c r="A386" s="31" t="n">
        <v>42752</v>
      </c>
      <c r="B386" s="32" t="n">
        <v>65.867</v>
      </c>
      <c r="D386" s="33" t="n">
        <f aca="false">WEEKDAY(A386,2)</f>
        <v>2</v>
      </c>
      <c r="E386" s="33" t="n">
        <f aca="false">HOUR(A386)+MINUTE(A386)/60</f>
        <v>0</v>
      </c>
      <c r="F386" s="33" t="n">
        <f aca="false">IF(OR(D386&gt;5,E386&lt;8,E386&gt;=18,COUNTIF($K$2:$K$10,INT(A386))&gt;0),1,0)</f>
        <v>1</v>
      </c>
      <c r="G386" s="34" t="n">
        <f aca="false">B386/1</f>
        <v>65.867</v>
      </c>
      <c r="H386" s="34" t="n">
        <f aca="false">IF(F386=1,G386,"")</f>
        <v>65.867</v>
      </c>
    </row>
    <row r="387" customFormat="false" ht="15" hidden="false" customHeight="false" outlineLevel="0" collapsed="false">
      <c r="A387" s="31" t="n">
        <v>42752.0416666667</v>
      </c>
      <c r="B387" s="32" t="n">
        <v>65.381</v>
      </c>
      <c r="D387" s="33" t="n">
        <f aca="false">WEEKDAY(A387,2)</f>
        <v>2</v>
      </c>
      <c r="E387" s="33" t="n">
        <f aca="false">HOUR(A387)+MINUTE(A387)/60</f>
        <v>1</v>
      </c>
      <c r="F387" s="33" t="n">
        <f aca="false">IF(OR(D387&gt;5,E387&lt;8,E387&gt;=18,COUNTIF($K$2:$K$10,INT(A387))&gt;0),1,0)</f>
        <v>1</v>
      </c>
      <c r="G387" s="34" t="n">
        <f aca="false">B387/1</f>
        <v>65.381</v>
      </c>
      <c r="H387" s="34" t="n">
        <f aca="false">IF(F387=1,G387,"")</f>
        <v>65.381</v>
      </c>
    </row>
    <row r="388" customFormat="false" ht="15" hidden="false" customHeight="false" outlineLevel="0" collapsed="false">
      <c r="A388" s="31" t="n">
        <v>42752.0833333333</v>
      </c>
      <c r="B388" s="32" t="n">
        <v>62.891</v>
      </c>
      <c r="D388" s="33" t="n">
        <f aca="false">WEEKDAY(A388,2)</f>
        <v>2</v>
      </c>
      <c r="E388" s="33" t="n">
        <f aca="false">HOUR(A388)+MINUTE(A388)/60</f>
        <v>2</v>
      </c>
      <c r="F388" s="33" t="n">
        <f aca="false">IF(OR(D388&gt;5,E388&lt;8,E388&gt;=18,COUNTIF($K$2:$K$10,INT(A388))&gt;0),1,0)</f>
        <v>1</v>
      </c>
      <c r="G388" s="34" t="n">
        <f aca="false">B388/1</f>
        <v>62.891</v>
      </c>
      <c r="H388" s="34" t="n">
        <f aca="false">IF(F388=1,G388,"")</f>
        <v>62.891</v>
      </c>
    </row>
    <row r="389" customFormat="false" ht="15" hidden="false" customHeight="false" outlineLevel="0" collapsed="false">
      <c r="A389" s="31" t="n">
        <v>42752.125</v>
      </c>
      <c r="B389" s="32" t="n">
        <v>63.242</v>
      </c>
      <c r="D389" s="33" t="n">
        <f aca="false">WEEKDAY(A389,2)</f>
        <v>2</v>
      </c>
      <c r="E389" s="33" t="n">
        <f aca="false">HOUR(A389)+MINUTE(A389)/60</f>
        <v>3</v>
      </c>
      <c r="F389" s="33" t="n">
        <f aca="false">IF(OR(D389&gt;5,E389&lt;8,E389&gt;=18,COUNTIF($K$2:$K$10,INT(A389))&gt;0),1,0)</f>
        <v>1</v>
      </c>
      <c r="G389" s="34" t="n">
        <f aca="false">B389/1</f>
        <v>63.242</v>
      </c>
      <c r="H389" s="34" t="n">
        <f aca="false">IF(F389=1,G389,"")</f>
        <v>63.242</v>
      </c>
    </row>
    <row r="390" customFormat="false" ht="15" hidden="false" customHeight="false" outlineLevel="0" collapsed="false">
      <c r="A390" s="31" t="n">
        <v>42752.1666666667</v>
      </c>
      <c r="B390" s="32" t="n">
        <v>62.173</v>
      </c>
      <c r="D390" s="33" t="n">
        <f aca="false">WEEKDAY(A390,2)</f>
        <v>2</v>
      </c>
      <c r="E390" s="33" t="n">
        <f aca="false">HOUR(A390)+MINUTE(A390)/60</f>
        <v>4</v>
      </c>
      <c r="F390" s="33" t="n">
        <f aca="false">IF(OR(D390&gt;5,E390&lt;8,E390&gt;=18,COUNTIF($K$2:$K$10,INT(A390))&gt;0),1,0)</f>
        <v>1</v>
      </c>
      <c r="G390" s="34" t="n">
        <f aca="false">B390/1</f>
        <v>62.173</v>
      </c>
      <c r="H390" s="34" t="n">
        <f aca="false">IF(F390=1,G390,"")</f>
        <v>62.173</v>
      </c>
    </row>
    <row r="391" customFormat="false" ht="15" hidden="false" customHeight="false" outlineLevel="0" collapsed="false">
      <c r="A391" s="31" t="n">
        <v>42752.2083333333</v>
      </c>
      <c r="B391" s="32" t="n">
        <v>64.09</v>
      </c>
      <c r="D391" s="33" t="n">
        <f aca="false">WEEKDAY(A391,2)</f>
        <v>2</v>
      </c>
      <c r="E391" s="33" t="n">
        <f aca="false">HOUR(A391)+MINUTE(A391)/60</f>
        <v>5</v>
      </c>
      <c r="F391" s="33" t="n">
        <f aca="false">IF(OR(D391&gt;5,E391&lt;8,E391&gt;=18,COUNTIF($K$2:$K$10,INT(A391))&gt;0),1,0)</f>
        <v>1</v>
      </c>
      <c r="G391" s="34" t="n">
        <f aca="false">B391/1</f>
        <v>64.09</v>
      </c>
      <c r="H391" s="34" t="n">
        <f aca="false">IF(F391=1,G391,"")</f>
        <v>64.09</v>
      </c>
    </row>
    <row r="392" customFormat="false" ht="15" hidden="false" customHeight="false" outlineLevel="0" collapsed="false">
      <c r="A392" s="31" t="n">
        <v>42752.25</v>
      </c>
      <c r="B392" s="32" t="n">
        <v>64.223</v>
      </c>
      <c r="D392" s="33" t="n">
        <f aca="false">WEEKDAY(A392,2)</f>
        <v>2</v>
      </c>
      <c r="E392" s="33" t="n">
        <f aca="false">HOUR(A392)+MINUTE(A392)/60</f>
        <v>6</v>
      </c>
      <c r="F392" s="33" t="n">
        <f aca="false">IF(OR(D392&gt;5,E392&lt;8,E392&gt;=18,COUNTIF($K$2:$K$10,INT(A392))&gt;0),1,0)</f>
        <v>1</v>
      </c>
      <c r="G392" s="34" t="n">
        <f aca="false">B392/1</f>
        <v>64.223</v>
      </c>
      <c r="H392" s="34" t="n">
        <f aca="false">IF(F392=1,G392,"")</f>
        <v>64.223</v>
      </c>
    </row>
    <row r="393" customFormat="false" ht="15" hidden="false" customHeight="false" outlineLevel="0" collapsed="false">
      <c r="A393" s="31" t="n">
        <v>42752.2916666667</v>
      </c>
      <c r="B393" s="32" t="n">
        <v>71.281</v>
      </c>
      <c r="D393" s="33" t="n">
        <f aca="false">WEEKDAY(A393,2)</f>
        <v>2</v>
      </c>
      <c r="E393" s="33" t="n">
        <f aca="false">HOUR(A393)+MINUTE(A393)/60</f>
        <v>7</v>
      </c>
      <c r="F393" s="33" t="n">
        <f aca="false">IF(OR(D393&gt;5,E393&lt;8,E393&gt;=18,COUNTIF($K$2:$K$10,INT(A393))&gt;0),1,0)</f>
        <v>1</v>
      </c>
      <c r="G393" s="34" t="n">
        <f aca="false">B393/1</f>
        <v>71.281</v>
      </c>
      <c r="H393" s="34" t="n">
        <f aca="false">IF(F393=1,G393,"")</f>
        <v>71.281</v>
      </c>
    </row>
    <row r="394" customFormat="false" ht="15" hidden="false" customHeight="false" outlineLevel="0" collapsed="false">
      <c r="A394" s="31" t="n">
        <v>42752.3333333333</v>
      </c>
      <c r="B394" s="32" t="n">
        <v>180.443</v>
      </c>
      <c r="D394" s="33" t="n">
        <f aca="false">WEEKDAY(A394,2)</f>
        <v>2</v>
      </c>
      <c r="E394" s="33" t="n">
        <f aca="false">HOUR(A394)+MINUTE(A394)/60</f>
        <v>8</v>
      </c>
      <c r="F394" s="33" t="n">
        <f aca="false">IF(OR(D394&gt;5,E394&lt;8,E394&gt;=18,COUNTIF($K$2:$K$10,INT(A394))&gt;0),1,0)</f>
        <v>0</v>
      </c>
      <c r="G394" s="34" t="n">
        <f aca="false">B394/1</f>
        <v>180.443</v>
      </c>
      <c r="H394" s="34" t="str">
        <f aca="false">IF(F394=1,G394,"")</f>
        <v/>
      </c>
    </row>
    <row r="395" customFormat="false" ht="15" hidden="false" customHeight="false" outlineLevel="0" collapsed="false">
      <c r="A395" s="31" t="n">
        <v>42752.375</v>
      </c>
      <c r="B395" s="32" t="n">
        <v>228.971</v>
      </c>
      <c r="D395" s="33" t="n">
        <f aca="false">WEEKDAY(A395,2)</f>
        <v>2</v>
      </c>
      <c r="E395" s="33" t="n">
        <f aca="false">HOUR(A395)+MINUTE(A395)/60</f>
        <v>9</v>
      </c>
      <c r="F395" s="33" t="n">
        <f aca="false">IF(OR(D395&gt;5,E395&lt;8,E395&gt;=18,COUNTIF($K$2:$K$10,INT(A395))&gt;0),1,0)</f>
        <v>0</v>
      </c>
      <c r="G395" s="34" t="n">
        <f aca="false">B395/1</f>
        <v>228.971</v>
      </c>
      <c r="H395" s="34" t="str">
        <f aca="false">IF(F395=1,G395,"")</f>
        <v/>
      </c>
    </row>
    <row r="396" customFormat="false" ht="15" hidden="false" customHeight="false" outlineLevel="0" collapsed="false">
      <c r="A396" s="31" t="n">
        <v>42752.4166666667</v>
      </c>
      <c r="B396" s="32" t="n">
        <v>241.3</v>
      </c>
      <c r="D396" s="33" t="n">
        <f aca="false">WEEKDAY(A396,2)</f>
        <v>2</v>
      </c>
      <c r="E396" s="33" t="n">
        <f aca="false">HOUR(A396)+MINUTE(A396)/60</f>
        <v>10</v>
      </c>
      <c r="F396" s="33" t="n">
        <f aca="false">IF(OR(D396&gt;5,E396&lt;8,E396&gt;=18,COUNTIF($K$2:$K$10,INT(A396))&gt;0),1,0)</f>
        <v>0</v>
      </c>
      <c r="G396" s="34" t="n">
        <f aca="false">B396/1</f>
        <v>241.3</v>
      </c>
      <c r="H396" s="34" t="str">
        <f aca="false">IF(F396=1,G396,"")</f>
        <v/>
      </c>
    </row>
    <row r="397" customFormat="false" ht="15" hidden="false" customHeight="false" outlineLevel="0" collapsed="false">
      <c r="A397" s="31" t="n">
        <v>42752.4583333333</v>
      </c>
      <c r="B397" s="32" t="n">
        <v>260.019</v>
      </c>
      <c r="D397" s="33" t="n">
        <f aca="false">WEEKDAY(A397,2)</f>
        <v>2</v>
      </c>
      <c r="E397" s="33" t="n">
        <f aca="false">HOUR(A397)+MINUTE(A397)/60</f>
        <v>11</v>
      </c>
      <c r="F397" s="33" t="n">
        <f aca="false">IF(OR(D397&gt;5,E397&lt;8,E397&gt;=18,COUNTIF($K$2:$K$10,INT(A397))&gt;0),1,0)</f>
        <v>0</v>
      </c>
      <c r="G397" s="34" t="n">
        <f aca="false">B397/1</f>
        <v>260.019</v>
      </c>
      <c r="H397" s="34" t="str">
        <f aca="false">IF(F397=1,G397,"")</f>
        <v/>
      </c>
    </row>
    <row r="398" customFormat="false" ht="15" hidden="false" customHeight="false" outlineLevel="0" collapsed="false">
      <c r="A398" s="31" t="n">
        <v>42752.5</v>
      </c>
      <c r="B398" s="32" t="n">
        <v>262.478</v>
      </c>
      <c r="D398" s="33" t="n">
        <f aca="false">WEEKDAY(A398,2)</f>
        <v>2</v>
      </c>
      <c r="E398" s="33" t="n">
        <f aca="false">HOUR(A398)+MINUTE(A398)/60</f>
        <v>12</v>
      </c>
      <c r="F398" s="33" t="n">
        <f aca="false">IF(OR(D398&gt;5,E398&lt;8,E398&gt;=18,COUNTIF($K$2:$K$10,INT(A398))&gt;0),1,0)</f>
        <v>0</v>
      </c>
      <c r="G398" s="34" t="n">
        <f aca="false">B398/1</f>
        <v>262.478</v>
      </c>
      <c r="H398" s="34" t="str">
        <f aca="false">IF(F398=1,G398,"")</f>
        <v/>
      </c>
    </row>
    <row r="399" customFormat="false" ht="15" hidden="false" customHeight="false" outlineLevel="0" collapsed="false">
      <c r="A399" s="31" t="n">
        <v>42752.5416666667</v>
      </c>
      <c r="B399" s="32" t="n">
        <v>256.251</v>
      </c>
      <c r="D399" s="33" t="n">
        <f aca="false">WEEKDAY(A399,2)</f>
        <v>2</v>
      </c>
      <c r="E399" s="33" t="n">
        <f aca="false">HOUR(A399)+MINUTE(A399)/60</f>
        <v>13</v>
      </c>
      <c r="F399" s="33" t="n">
        <f aca="false">IF(OR(D399&gt;5,E399&lt;8,E399&gt;=18,COUNTIF($K$2:$K$10,INT(A399))&gt;0),1,0)</f>
        <v>0</v>
      </c>
      <c r="G399" s="34" t="n">
        <f aca="false">B399/1</f>
        <v>256.251</v>
      </c>
      <c r="H399" s="34" t="str">
        <f aca="false">IF(F399=1,G399,"")</f>
        <v/>
      </c>
    </row>
    <row r="400" customFormat="false" ht="15" hidden="false" customHeight="false" outlineLevel="0" collapsed="false">
      <c r="A400" s="31" t="n">
        <v>42752.5833333333</v>
      </c>
      <c r="B400" s="32" t="n">
        <v>249.917</v>
      </c>
      <c r="D400" s="33" t="n">
        <f aca="false">WEEKDAY(A400,2)</f>
        <v>2</v>
      </c>
      <c r="E400" s="33" t="n">
        <f aca="false">HOUR(A400)+MINUTE(A400)/60</f>
        <v>14</v>
      </c>
      <c r="F400" s="33" t="n">
        <f aca="false">IF(OR(D400&gt;5,E400&lt;8,E400&gt;=18,COUNTIF($K$2:$K$10,INT(A400))&gt;0),1,0)</f>
        <v>0</v>
      </c>
      <c r="G400" s="34" t="n">
        <f aca="false">B400/1</f>
        <v>249.917</v>
      </c>
      <c r="H400" s="34" t="str">
        <f aca="false">IF(F400=1,G400,"")</f>
        <v/>
      </c>
    </row>
    <row r="401" customFormat="false" ht="15" hidden="false" customHeight="false" outlineLevel="0" collapsed="false">
      <c r="A401" s="31" t="n">
        <v>42752.625</v>
      </c>
      <c r="B401" s="32" t="n">
        <v>250.362</v>
      </c>
      <c r="D401" s="33" t="n">
        <f aca="false">WEEKDAY(A401,2)</f>
        <v>2</v>
      </c>
      <c r="E401" s="33" t="n">
        <f aca="false">HOUR(A401)+MINUTE(A401)/60</f>
        <v>15</v>
      </c>
      <c r="F401" s="33" t="n">
        <f aca="false">IF(OR(D401&gt;5,E401&lt;8,E401&gt;=18,COUNTIF($K$2:$K$10,INT(A401))&gt;0),1,0)</f>
        <v>0</v>
      </c>
      <c r="G401" s="34" t="n">
        <f aca="false">B401/1</f>
        <v>250.362</v>
      </c>
      <c r="H401" s="34" t="str">
        <f aca="false">IF(F401=1,G401,"")</f>
        <v/>
      </c>
    </row>
    <row r="402" customFormat="false" ht="15" hidden="false" customHeight="false" outlineLevel="0" collapsed="false">
      <c r="A402" s="31" t="n">
        <v>42752.6666666667</v>
      </c>
      <c r="B402" s="32" t="n">
        <v>249.243</v>
      </c>
      <c r="D402" s="33" t="n">
        <f aca="false">WEEKDAY(A402,2)</f>
        <v>2</v>
      </c>
      <c r="E402" s="33" t="n">
        <f aca="false">HOUR(A402)+MINUTE(A402)/60</f>
        <v>16</v>
      </c>
      <c r="F402" s="33" t="n">
        <f aca="false">IF(OR(D402&gt;5,E402&lt;8,E402&gt;=18,COUNTIF($K$2:$K$10,INT(A402))&gt;0),1,0)</f>
        <v>0</v>
      </c>
      <c r="G402" s="34" t="n">
        <f aca="false">B402/1</f>
        <v>249.243</v>
      </c>
      <c r="H402" s="34" t="str">
        <f aca="false">IF(F402=1,G402,"")</f>
        <v/>
      </c>
    </row>
    <row r="403" customFormat="false" ht="15" hidden="false" customHeight="false" outlineLevel="0" collapsed="false">
      <c r="A403" s="31" t="n">
        <v>42752.7083333333</v>
      </c>
      <c r="B403" s="32" t="n">
        <v>232.208</v>
      </c>
      <c r="D403" s="33" t="n">
        <f aca="false">WEEKDAY(A403,2)</f>
        <v>2</v>
      </c>
      <c r="E403" s="33" t="n">
        <f aca="false">HOUR(A403)+MINUTE(A403)/60</f>
        <v>17</v>
      </c>
      <c r="F403" s="33" t="n">
        <f aca="false">IF(OR(D403&gt;5,E403&lt;8,E403&gt;=18,COUNTIF($K$2:$K$10,INT(A403))&gt;0),1,0)</f>
        <v>0</v>
      </c>
      <c r="G403" s="34" t="n">
        <f aca="false">B403/1</f>
        <v>232.208</v>
      </c>
      <c r="H403" s="34" t="str">
        <f aca="false">IF(F403=1,G403,"")</f>
        <v/>
      </c>
    </row>
    <row r="404" customFormat="false" ht="15" hidden="false" customHeight="false" outlineLevel="0" collapsed="false">
      <c r="A404" s="31" t="n">
        <v>42752.75</v>
      </c>
      <c r="B404" s="32" t="n">
        <v>217.07</v>
      </c>
      <c r="D404" s="33" t="n">
        <f aca="false">WEEKDAY(A404,2)</f>
        <v>2</v>
      </c>
      <c r="E404" s="33" t="n">
        <f aca="false">HOUR(A404)+MINUTE(A404)/60</f>
        <v>18</v>
      </c>
      <c r="F404" s="33" t="n">
        <f aca="false">IF(OR(D404&gt;5,E404&lt;8,E404&gt;=18,COUNTIF($K$2:$K$10,INT(A404))&gt;0),1,0)</f>
        <v>1</v>
      </c>
      <c r="G404" s="34" t="n">
        <f aca="false">B404/1</f>
        <v>217.07</v>
      </c>
      <c r="H404" s="34" t="n">
        <f aca="false">IF(F404=1,G404,"")</f>
        <v>217.07</v>
      </c>
    </row>
    <row r="405" customFormat="false" ht="15" hidden="false" customHeight="false" outlineLevel="0" collapsed="false">
      <c r="A405" s="31" t="n">
        <v>42752.7916666667</v>
      </c>
      <c r="B405" s="32" t="n">
        <v>209.665</v>
      </c>
      <c r="D405" s="33" t="n">
        <f aca="false">WEEKDAY(A405,2)</f>
        <v>2</v>
      </c>
      <c r="E405" s="33" t="n">
        <f aca="false">HOUR(A405)+MINUTE(A405)/60</f>
        <v>19</v>
      </c>
      <c r="F405" s="33" t="n">
        <f aca="false">IF(OR(D405&gt;5,E405&lt;8,E405&gt;=18,COUNTIF($K$2:$K$10,INT(A405))&gt;0),1,0)</f>
        <v>1</v>
      </c>
      <c r="G405" s="34" t="n">
        <f aca="false">B405/1</f>
        <v>209.665</v>
      </c>
      <c r="H405" s="34" t="n">
        <f aca="false">IF(F405=1,G405,"")</f>
        <v>209.665</v>
      </c>
    </row>
    <row r="406" customFormat="false" ht="15" hidden="false" customHeight="false" outlineLevel="0" collapsed="false">
      <c r="A406" s="31" t="n">
        <v>42752.8333333333</v>
      </c>
      <c r="B406" s="32" t="n">
        <v>206.858</v>
      </c>
      <c r="D406" s="33" t="n">
        <f aca="false">WEEKDAY(A406,2)</f>
        <v>2</v>
      </c>
      <c r="E406" s="33" t="n">
        <f aca="false">HOUR(A406)+MINUTE(A406)/60</f>
        <v>20</v>
      </c>
      <c r="F406" s="33" t="n">
        <f aca="false">IF(OR(D406&gt;5,E406&lt;8,E406&gt;=18,COUNTIF($K$2:$K$10,INT(A406))&gt;0),1,0)</f>
        <v>1</v>
      </c>
      <c r="G406" s="34" t="n">
        <f aca="false">B406/1</f>
        <v>206.858</v>
      </c>
      <c r="H406" s="34" t="n">
        <f aca="false">IF(F406=1,G406,"")</f>
        <v>206.858</v>
      </c>
    </row>
    <row r="407" customFormat="false" ht="15" hidden="false" customHeight="false" outlineLevel="0" collapsed="false">
      <c r="A407" s="31" t="n">
        <v>42752.875</v>
      </c>
      <c r="B407" s="32" t="n">
        <v>192.685</v>
      </c>
      <c r="D407" s="33" t="n">
        <f aca="false">WEEKDAY(A407,2)</f>
        <v>2</v>
      </c>
      <c r="E407" s="33" t="n">
        <f aca="false">HOUR(A407)+MINUTE(A407)/60</f>
        <v>21</v>
      </c>
      <c r="F407" s="33" t="n">
        <f aca="false">IF(OR(D407&gt;5,E407&lt;8,E407&gt;=18,COUNTIF($K$2:$K$10,INT(A407))&gt;0),1,0)</f>
        <v>1</v>
      </c>
      <c r="G407" s="34" t="n">
        <f aca="false">B407/1</f>
        <v>192.685</v>
      </c>
      <c r="H407" s="34" t="n">
        <f aca="false">IF(F407=1,G407,"")</f>
        <v>192.685</v>
      </c>
    </row>
    <row r="408" customFormat="false" ht="15" hidden="false" customHeight="false" outlineLevel="0" collapsed="false">
      <c r="A408" s="31" t="n">
        <v>42752.9166666667</v>
      </c>
      <c r="B408" s="32" t="n">
        <v>136.15</v>
      </c>
      <c r="D408" s="33" t="n">
        <f aca="false">WEEKDAY(A408,2)</f>
        <v>2</v>
      </c>
      <c r="E408" s="33" t="n">
        <f aca="false">HOUR(A408)+MINUTE(A408)/60</f>
        <v>22</v>
      </c>
      <c r="F408" s="33" t="n">
        <f aca="false">IF(OR(D408&gt;5,E408&lt;8,E408&gt;=18,COUNTIF($K$2:$K$10,INT(A408))&gt;0),1,0)</f>
        <v>1</v>
      </c>
      <c r="G408" s="34" t="n">
        <f aca="false">B408/1</f>
        <v>136.15</v>
      </c>
      <c r="H408" s="34" t="n">
        <f aca="false">IF(F408=1,G408,"")</f>
        <v>136.15</v>
      </c>
    </row>
    <row r="409" customFormat="false" ht="15" hidden="false" customHeight="false" outlineLevel="0" collapsed="false">
      <c r="A409" s="31" t="n">
        <v>42752.9583333333</v>
      </c>
      <c r="B409" s="32" t="n">
        <v>74.366</v>
      </c>
      <c r="D409" s="33" t="n">
        <f aca="false">WEEKDAY(A409,2)</f>
        <v>2</v>
      </c>
      <c r="E409" s="33" t="n">
        <f aca="false">HOUR(A409)+MINUTE(A409)/60</f>
        <v>23</v>
      </c>
      <c r="F409" s="33" t="n">
        <f aca="false">IF(OR(D409&gt;5,E409&lt;8,E409&gt;=18,COUNTIF($K$2:$K$10,INT(A409))&gt;0),1,0)</f>
        <v>1</v>
      </c>
      <c r="G409" s="34" t="n">
        <f aca="false">B409/1</f>
        <v>74.366</v>
      </c>
      <c r="H409" s="34" t="n">
        <f aca="false">IF(F409=1,G409,"")</f>
        <v>74.366</v>
      </c>
    </row>
    <row r="410" customFormat="false" ht="15" hidden="false" customHeight="false" outlineLevel="0" collapsed="false">
      <c r="A410" s="31" t="n">
        <v>42753</v>
      </c>
      <c r="B410" s="32" t="n">
        <v>71.108</v>
      </c>
      <c r="D410" s="33" t="n">
        <f aca="false">WEEKDAY(A410,2)</f>
        <v>3</v>
      </c>
      <c r="E410" s="33" t="n">
        <f aca="false">HOUR(A410)+MINUTE(A410)/60</f>
        <v>0</v>
      </c>
      <c r="F410" s="33" t="n">
        <f aca="false">IF(OR(D410&gt;5,E410&lt;8,E410&gt;=18,COUNTIF($K$2:$K$10,INT(A410))&gt;0),1,0)</f>
        <v>1</v>
      </c>
      <c r="G410" s="34" t="n">
        <f aca="false">B410/1</f>
        <v>71.108</v>
      </c>
      <c r="H410" s="34" t="n">
        <f aca="false">IF(F410=1,G410,"")</f>
        <v>71.108</v>
      </c>
    </row>
    <row r="411" customFormat="false" ht="15" hidden="false" customHeight="false" outlineLevel="0" collapsed="false">
      <c r="A411" s="31" t="n">
        <v>42753.0416666667</v>
      </c>
      <c r="B411" s="32" t="n">
        <v>66.254</v>
      </c>
      <c r="D411" s="33" t="n">
        <f aca="false">WEEKDAY(A411,2)</f>
        <v>3</v>
      </c>
      <c r="E411" s="33" t="n">
        <f aca="false">HOUR(A411)+MINUTE(A411)/60</f>
        <v>1</v>
      </c>
      <c r="F411" s="33" t="n">
        <f aca="false">IF(OR(D411&gt;5,E411&lt;8,E411&gt;=18,COUNTIF($K$2:$K$10,INT(A411))&gt;0),1,0)</f>
        <v>1</v>
      </c>
      <c r="G411" s="34" t="n">
        <f aca="false">B411/1</f>
        <v>66.254</v>
      </c>
      <c r="H411" s="34" t="n">
        <f aca="false">IF(F411=1,G411,"")</f>
        <v>66.254</v>
      </c>
    </row>
    <row r="412" customFormat="false" ht="15" hidden="false" customHeight="false" outlineLevel="0" collapsed="false">
      <c r="A412" s="31" t="n">
        <v>42753.0833333333</v>
      </c>
      <c r="B412" s="32" t="n">
        <v>65.106</v>
      </c>
      <c r="D412" s="33" t="n">
        <f aca="false">WEEKDAY(A412,2)</f>
        <v>3</v>
      </c>
      <c r="E412" s="33" t="n">
        <f aca="false">HOUR(A412)+MINUTE(A412)/60</f>
        <v>2</v>
      </c>
      <c r="F412" s="33" t="n">
        <f aca="false">IF(OR(D412&gt;5,E412&lt;8,E412&gt;=18,COUNTIF($K$2:$K$10,INT(A412))&gt;0),1,0)</f>
        <v>1</v>
      </c>
      <c r="G412" s="34" t="n">
        <f aca="false">B412/1</f>
        <v>65.106</v>
      </c>
      <c r="H412" s="34" t="n">
        <f aca="false">IF(F412=1,G412,"")</f>
        <v>65.106</v>
      </c>
    </row>
    <row r="413" customFormat="false" ht="15" hidden="false" customHeight="false" outlineLevel="0" collapsed="false">
      <c r="A413" s="31" t="n">
        <v>42753.125</v>
      </c>
      <c r="B413" s="32" t="n">
        <v>67.633</v>
      </c>
      <c r="D413" s="33" t="n">
        <f aca="false">WEEKDAY(A413,2)</f>
        <v>3</v>
      </c>
      <c r="E413" s="33" t="n">
        <f aca="false">HOUR(A413)+MINUTE(A413)/60</f>
        <v>3</v>
      </c>
      <c r="F413" s="33" t="n">
        <f aca="false">IF(OR(D413&gt;5,E413&lt;8,E413&gt;=18,COUNTIF($K$2:$K$10,INT(A413))&gt;0),1,0)</f>
        <v>1</v>
      </c>
      <c r="G413" s="34" t="n">
        <f aca="false">B413/1</f>
        <v>67.633</v>
      </c>
      <c r="H413" s="34" t="n">
        <f aca="false">IF(F413=1,G413,"")</f>
        <v>67.633</v>
      </c>
    </row>
    <row r="414" customFormat="false" ht="15" hidden="false" customHeight="false" outlineLevel="0" collapsed="false">
      <c r="A414" s="31" t="n">
        <v>42753.1666666667</v>
      </c>
      <c r="B414" s="32" t="n">
        <v>66.542</v>
      </c>
      <c r="D414" s="33" t="n">
        <f aca="false">WEEKDAY(A414,2)</f>
        <v>3</v>
      </c>
      <c r="E414" s="33" t="n">
        <f aca="false">HOUR(A414)+MINUTE(A414)/60</f>
        <v>4</v>
      </c>
      <c r="F414" s="33" t="n">
        <f aca="false">IF(OR(D414&gt;5,E414&lt;8,E414&gt;=18,COUNTIF($K$2:$K$10,INT(A414))&gt;0),1,0)</f>
        <v>1</v>
      </c>
      <c r="G414" s="34" t="n">
        <f aca="false">B414/1</f>
        <v>66.542</v>
      </c>
      <c r="H414" s="34" t="n">
        <f aca="false">IF(F414=1,G414,"")</f>
        <v>66.542</v>
      </c>
    </row>
    <row r="415" customFormat="false" ht="15" hidden="false" customHeight="false" outlineLevel="0" collapsed="false">
      <c r="A415" s="31" t="n">
        <v>42753.2083333333</v>
      </c>
      <c r="B415" s="32" t="n">
        <v>68.584</v>
      </c>
      <c r="D415" s="33" t="n">
        <f aca="false">WEEKDAY(A415,2)</f>
        <v>3</v>
      </c>
      <c r="E415" s="33" t="n">
        <f aca="false">HOUR(A415)+MINUTE(A415)/60</f>
        <v>5</v>
      </c>
      <c r="F415" s="33" t="n">
        <f aca="false">IF(OR(D415&gt;5,E415&lt;8,E415&gt;=18,COUNTIF($K$2:$K$10,INT(A415))&gt;0),1,0)</f>
        <v>1</v>
      </c>
      <c r="G415" s="34" t="n">
        <f aca="false">B415/1</f>
        <v>68.584</v>
      </c>
      <c r="H415" s="34" t="n">
        <f aca="false">IF(F415=1,G415,"")</f>
        <v>68.584</v>
      </c>
    </row>
    <row r="416" customFormat="false" ht="15" hidden="false" customHeight="false" outlineLevel="0" collapsed="false">
      <c r="A416" s="31" t="n">
        <v>42753.25</v>
      </c>
      <c r="B416" s="32" t="n">
        <v>68.396</v>
      </c>
      <c r="D416" s="33" t="n">
        <f aca="false">WEEKDAY(A416,2)</f>
        <v>3</v>
      </c>
      <c r="E416" s="33" t="n">
        <f aca="false">HOUR(A416)+MINUTE(A416)/60</f>
        <v>6</v>
      </c>
      <c r="F416" s="33" t="n">
        <f aca="false">IF(OR(D416&gt;5,E416&lt;8,E416&gt;=18,COUNTIF($K$2:$K$10,INT(A416))&gt;0),1,0)</f>
        <v>1</v>
      </c>
      <c r="G416" s="34" t="n">
        <f aca="false">B416/1</f>
        <v>68.396</v>
      </c>
      <c r="H416" s="34" t="n">
        <f aca="false">IF(F416=1,G416,"")</f>
        <v>68.396</v>
      </c>
    </row>
    <row r="417" customFormat="false" ht="15" hidden="false" customHeight="false" outlineLevel="0" collapsed="false">
      <c r="A417" s="31" t="n">
        <v>42753.2916666667</v>
      </c>
      <c r="B417" s="32" t="n">
        <v>72.94</v>
      </c>
      <c r="D417" s="33" t="n">
        <f aca="false">WEEKDAY(A417,2)</f>
        <v>3</v>
      </c>
      <c r="E417" s="33" t="n">
        <f aca="false">HOUR(A417)+MINUTE(A417)/60</f>
        <v>7</v>
      </c>
      <c r="F417" s="33" t="n">
        <f aca="false">IF(OR(D417&gt;5,E417&lt;8,E417&gt;=18,COUNTIF($K$2:$K$10,INT(A417))&gt;0),1,0)</f>
        <v>1</v>
      </c>
      <c r="G417" s="34" t="n">
        <f aca="false">B417/1</f>
        <v>72.94</v>
      </c>
      <c r="H417" s="34" t="n">
        <f aca="false">IF(F417=1,G417,"")</f>
        <v>72.94</v>
      </c>
    </row>
    <row r="418" customFormat="false" ht="15" hidden="false" customHeight="false" outlineLevel="0" collapsed="false">
      <c r="A418" s="31" t="n">
        <v>42753.3333333333</v>
      </c>
      <c r="B418" s="32" t="n">
        <v>175.022</v>
      </c>
      <c r="D418" s="33" t="n">
        <f aca="false">WEEKDAY(A418,2)</f>
        <v>3</v>
      </c>
      <c r="E418" s="33" t="n">
        <f aca="false">HOUR(A418)+MINUTE(A418)/60</f>
        <v>8</v>
      </c>
      <c r="F418" s="33" t="n">
        <f aca="false">IF(OR(D418&gt;5,E418&lt;8,E418&gt;=18,COUNTIF($K$2:$K$10,INT(A418))&gt;0),1,0)</f>
        <v>0</v>
      </c>
      <c r="G418" s="34" t="n">
        <f aca="false">B418/1</f>
        <v>175.022</v>
      </c>
      <c r="H418" s="34" t="str">
        <f aca="false">IF(F418=1,G418,"")</f>
        <v/>
      </c>
    </row>
    <row r="419" customFormat="false" ht="15" hidden="false" customHeight="false" outlineLevel="0" collapsed="false">
      <c r="A419" s="31" t="n">
        <v>42753.375</v>
      </c>
      <c r="B419" s="32" t="n">
        <v>219.385</v>
      </c>
      <c r="D419" s="33" t="n">
        <f aca="false">WEEKDAY(A419,2)</f>
        <v>3</v>
      </c>
      <c r="E419" s="33" t="n">
        <f aca="false">HOUR(A419)+MINUTE(A419)/60</f>
        <v>9</v>
      </c>
      <c r="F419" s="33" t="n">
        <f aca="false">IF(OR(D419&gt;5,E419&lt;8,E419&gt;=18,COUNTIF($K$2:$K$10,INT(A419))&gt;0),1,0)</f>
        <v>0</v>
      </c>
      <c r="G419" s="34" t="n">
        <f aca="false">B419/1</f>
        <v>219.385</v>
      </c>
      <c r="H419" s="34" t="str">
        <f aca="false">IF(F419=1,G419,"")</f>
        <v/>
      </c>
    </row>
    <row r="420" customFormat="false" ht="15" hidden="false" customHeight="false" outlineLevel="0" collapsed="false">
      <c r="A420" s="31" t="n">
        <v>42753.4166666667</v>
      </c>
      <c r="B420" s="32" t="n">
        <v>247.657</v>
      </c>
      <c r="D420" s="33" t="n">
        <f aca="false">WEEKDAY(A420,2)</f>
        <v>3</v>
      </c>
      <c r="E420" s="33" t="n">
        <f aca="false">HOUR(A420)+MINUTE(A420)/60</f>
        <v>10</v>
      </c>
      <c r="F420" s="33" t="n">
        <f aca="false">IF(OR(D420&gt;5,E420&lt;8,E420&gt;=18,COUNTIF($K$2:$K$10,INT(A420))&gt;0),1,0)</f>
        <v>0</v>
      </c>
      <c r="G420" s="34" t="n">
        <f aca="false">B420/1</f>
        <v>247.657</v>
      </c>
      <c r="H420" s="34" t="str">
        <f aca="false">IF(F420=1,G420,"")</f>
        <v/>
      </c>
    </row>
    <row r="421" customFormat="false" ht="15" hidden="false" customHeight="false" outlineLevel="0" collapsed="false">
      <c r="A421" s="31" t="n">
        <v>42753.4583333333</v>
      </c>
      <c r="B421" s="32" t="n">
        <v>256.634</v>
      </c>
      <c r="D421" s="33" t="n">
        <f aca="false">WEEKDAY(A421,2)</f>
        <v>3</v>
      </c>
      <c r="E421" s="33" t="n">
        <f aca="false">HOUR(A421)+MINUTE(A421)/60</f>
        <v>11</v>
      </c>
      <c r="F421" s="33" t="n">
        <f aca="false">IF(OR(D421&gt;5,E421&lt;8,E421&gt;=18,COUNTIF($K$2:$K$10,INT(A421))&gt;0),1,0)</f>
        <v>0</v>
      </c>
      <c r="G421" s="34" t="n">
        <f aca="false">B421/1</f>
        <v>256.634</v>
      </c>
      <c r="H421" s="34" t="str">
        <f aca="false">IF(F421=1,G421,"")</f>
        <v/>
      </c>
    </row>
    <row r="422" customFormat="false" ht="15" hidden="false" customHeight="false" outlineLevel="0" collapsed="false">
      <c r="A422" s="31" t="n">
        <v>42753.5</v>
      </c>
      <c r="B422" s="32" t="n">
        <v>259.066</v>
      </c>
      <c r="D422" s="33" t="n">
        <f aca="false">WEEKDAY(A422,2)</f>
        <v>3</v>
      </c>
      <c r="E422" s="33" t="n">
        <f aca="false">HOUR(A422)+MINUTE(A422)/60</f>
        <v>12</v>
      </c>
      <c r="F422" s="33" t="n">
        <f aca="false">IF(OR(D422&gt;5,E422&lt;8,E422&gt;=18,COUNTIF($K$2:$K$10,INT(A422))&gt;0),1,0)</f>
        <v>0</v>
      </c>
      <c r="G422" s="34" t="n">
        <f aca="false">B422/1</f>
        <v>259.066</v>
      </c>
      <c r="H422" s="34" t="str">
        <f aca="false">IF(F422=1,G422,"")</f>
        <v/>
      </c>
    </row>
    <row r="423" customFormat="false" ht="15" hidden="false" customHeight="false" outlineLevel="0" collapsed="false">
      <c r="A423" s="31" t="n">
        <v>42753.5416666667</v>
      </c>
      <c r="B423" s="32" t="n">
        <v>264.42</v>
      </c>
      <c r="D423" s="33" t="n">
        <f aca="false">WEEKDAY(A423,2)</f>
        <v>3</v>
      </c>
      <c r="E423" s="33" t="n">
        <f aca="false">HOUR(A423)+MINUTE(A423)/60</f>
        <v>13</v>
      </c>
      <c r="F423" s="33" t="n">
        <f aca="false">IF(OR(D423&gt;5,E423&lt;8,E423&gt;=18,COUNTIF($K$2:$K$10,INT(A423))&gt;0),1,0)</f>
        <v>0</v>
      </c>
      <c r="G423" s="34" t="n">
        <f aca="false">B423/1</f>
        <v>264.42</v>
      </c>
      <c r="H423" s="34" t="str">
        <f aca="false">IF(F423=1,G423,"")</f>
        <v/>
      </c>
    </row>
    <row r="424" customFormat="false" ht="15" hidden="false" customHeight="false" outlineLevel="0" collapsed="false">
      <c r="A424" s="31" t="n">
        <v>42753.5833333333</v>
      </c>
      <c r="B424" s="32" t="n">
        <v>252.623</v>
      </c>
      <c r="D424" s="33" t="n">
        <f aca="false">WEEKDAY(A424,2)</f>
        <v>3</v>
      </c>
      <c r="E424" s="33" t="n">
        <f aca="false">HOUR(A424)+MINUTE(A424)/60</f>
        <v>14</v>
      </c>
      <c r="F424" s="33" t="n">
        <f aca="false">IF(OR(D424&gt;5,E424&lt;8,E424&gt;=18,COUNTIF($K$2:$K$10,INT(A424))&gt;0),1,0)</f>
        <v>0</v>
      </c>
      <c r="G424" s="34" t="n">
        <f aca="false">B424/1</f>
        <v>252.623</v>
      </c>
      <c r="H424" s="34" t="str">
        <f aca="false">IF(F424=1,G424,"")</f>
        <v/>
      </c>
    </row>
    <row r="425" customFormat="false" ht="15" hidden="false" customHeight="false" outlineLevel="0" collapsed="false">
      <c r="A425" s="31" t="n">
        <v>42753.625</v>
      </c>
      <c r="B425" s="32" t="n">
        <v>256.057</v>
      </c>
      <c r="D425" s="33" t="n">
        <f aca="false">WEEKDAY(A425,2)</f>
        <v>3</v>
      </c>
      <c r="E425" s="33" t="n">
        <f aca="false">HOUR(A425)+MINUTE(A425)/60</f>
        <v>15</v>
      </c>
      <c r="F425" s="33" t="n">
        <f aca="false">IF(OR(D425&gt;5,E425&lt;8,E425&gt;=18,COUNTIF($K$2:$K$10,INT(A425))&gt;0),1,0)</f>
        <v>0</v>
      </c>
      <c r="G425" s="34" t="n">
        <f aca="false">B425/1</f>
        <v>256.057</v>
      </c>
      <c r="H425" s="34" t="str">
        <f aca="false">IF(F425=1,G425,"")</f>
        <v/>
      </c>
    </row>
    <row r="426" customFormat="false" ht="15" hidden="false" customHeight="false" outlineLevel="0" collapsed="false">
      <c r="A426" s="31" t="n">
        <v>42753.6666666667</v>
      </c>
      <c r="B426" s="32" t="n">
        <v>248.609</v>
      </c>
      <c r="D426" s="33" t="n">
        <f aca="false">WEEKDAY(A426,2)</f>
        <v>3</v>
      </c>
      <c r="E426" s="33" t="n">
        <f aca="false">HOUR(A426)+MINUTE(A426)/60</f>
        <v>16</v>
      </c>
      <c r="F426" s="33" t="n">
        <f aca="false">IF(OR(D426&gt;5,E426&lt;8,E426&gt;=18,COUNTIF($K$2:$K$10,INT(A426))&gt;0),1,0)</f>
        <v>0</v>
      </c>
      <c r="G426" s="34" t="n">
        <f aca="false">B426/1</f>
        <v>248.609</v>
      </c>
      <c r="H426" s="34" t="str">
        <f aca="false">IF(F426=1,G426,"")</f>
        <v/>
      </c>
    </row>
    <row r="427" customFormat="false" ht="15" hidden="false" customHeight="false" outlineLevel="0" collapsed="false">
      <c r="A427" s="31" t="n">
        <v>42753.7083333333</v>
      </c>
      <c r="B427" s="32" t="n">
        <v>232.573</v>
      </c>
      <c r="D427" s="33" t="n">
        <f aca="false">WEEKDAY(A427,2)</f>
        <v>3</v>
      </c>
      <c r="E427" s="33" t="n">
        <f aca="false">HOUR(A427)+MINUTE(A427)/60</f>
        <v>17</v>
      </c>
      <c r="F427" s="33" t="n">
        <f aca="false">IF(OR(D427&gt;5,E427&lt;8,E427&gt;=18,COUNTIF($K$2:$K$10,INT(A427))&gt;0),1,0)</f>
        <v>0</v>
      </c>
      <c r="G427" s="34" t="n">
        <f aca="false">B427/1</f>
        <v>232.573</v>
      </c>
      <c r="H427" s="34" t="str">
        <f aca="false">IF(F427=1,G427,"")</f>
        <v/>
      </c>
    </row>
    <row r="428" customFormat="false" ht="15" hidden="false" customHeight="false" outlineLevel="0" collapsed="false">
      <c r="A428" s="31" t="n">
        <v>42753.75</v>
      </c>
      <c r="B428" s="32" t="n">
        <v>221.632</v>
      </c>
      <c r="D428" s="33" t="n">
        <f aca="false">WEEKDAY(A428,2)</f>
        <v>3</v>
      </c>
      <c r="E428" s="33" t="n">
        <f aca="false">HOUR(A428)+MINUTE(A428)/60</f>
        <v>18</v>
      </c>
      <c r="F428" s="33" t="n">
        <f aca="false">IF(OR(D428&gt;5,E428&lt;8,E428&gt;=18,COUNTIF($K$2:$K$10,INT(A428))&gt;0),1,0)</f>
        <v>1</v>
      </c>
      <c r="G428" s="34" t="n">
        <f aca="false">B428/1</f>
        <v>221.632</v>
      </c>
      <c r="H428" s="34" t="n">
        <f aca="false">IF(F428=1,G428,"")</f>
        <v>221.632</v>
      </c>
    </row>
    <row r="429" customFormat="false" ht="15" hidden="false" customHeight="false" outlineLevel="0" collapsed="false">
      <c r="A429" s="31" t="n">
        <v>42753.7916666667</v>
      </c>
      <c r="B429" s="32" t="n">
        <v>208.718</v>
      </c>
      <c r="D429" s="33" t="n">
        <f aca="false">WEEKDAY(A429,2)</f>
        <v>3</v>
      </c>
      <c r="E429" s="33" t="n">
        <f aca="false">HOUR(A429)+MINUTE(A429)/60</f>
        <v>19</v>
      </c>
      <c r="F429" s="33" t="n">
        <f aca="false">IF(OR(D429&gt;5,E429&lt;8,E429&gt;=18,COUNTIF($K$2:$K$10,INT(A429))&gt;0),1,0)</f>
        <v>1</v>
      </c>
      <c r="G429" s="34" t="n">
        <f aca="false">B429/1</f>
        <v>208.718</v>
      </c>
      <c r="H429" s="34" t="n">
        <f aca="false">IF(F429=1,G429,"")</f>
        <v>208.718</v>
      </c>
    </row>
    <row r="430" customFormat="false" ht="15" hidden="false" customHeight="false" outlineLevel="0" collapsed="false">
      <c r="A430" s="31" t="n">
        <v>42753.8333333333</v>
      </c>
      <c r="B430" s="32" t="n">
        <v>204.365</v>
      </c>
      <c r="D430" s="33" t="n">
        <f aca="false">WEEKDAY(A430,2)</f>
        <v>3</v>
      </c>
      <c r="E430" s="33" t="n">
        <f aca="false">HOUR(A430)+MINUTE(A430)/60</f>
        <v>20</v>
      </c>
      <c r="F430" s="33" t="n">
        <f aca="false">IF(OR(D430&gt;5,E430&lt;8,E430&gt;=18,COUNTIF($K$2:$K$10,INT(A430))&gt;0),1,0)</f>
        <v>1</v>
      </c>
      <c r="G430" s="34" t="n">
        <f aca="false">B430/1</f>
        <v>204.365</v>
      </c>
      <c r="H430" s="34" t="n">
        <f aca="false">IF(F430=1,G430,"")</f>
        <v>204.365</v>
      </c>
    </row>
    <row r="431" customFormat="false" ht="15" hidden="false" customHeight="false" outlineLevel="0" collapsed="false">
      <c r="A431" s="31" t="n">
        <v>42753.875</v>
      </c>
      <c r="B431" s="32" t="n">
        <v>195.158</v>
      </c>
      <c r="D431" s="33" t="n">
        <f aca="false">WEEKDAY(A431,2)</f>
        <v>3</v>
      </c>
      <c r="E431" s="33" t="n">
        <f aca="false">HOUR(A431)+MINUTE(A431)/60</f>
        <v>21</v>
      </c>
      <c r="F431" s="33" t="n">
        <f aca="false">IF(OR(D431&gt;5,E431&lt;8,E431&gt;=18,COUNTIF($K$2:$K$10,INT(A431))&gt;0),1,0)</f>
        <v>1</v>
      </c>
      <c r="G431" s="34" t="n">
        <f aca="false">B431/1</f>
        <v>195.158</v>
      </c>
      <c r="H431" s="34" t="n">
        <f aca="false">IF(F431=1,G431,"")</f>
        <v>195.158</v>
      </c>
    </row>
    <row r="432" customFormat="false" ht="15" hidden="false" customHeight="false" outlineLevel="0" collapsed="false">
      <c r="A432" s="31" t="n">
        <v>42753.9166666667</v>
      </c>
      <c r="B432" s="32" t="n">
        <v>134.603</v>
      </c>
      <c r="D432" s="33" t="n">
        <f aca="false">WEEKDAY(A432,2)</f>
        <v>3</v>
      </c>
      <c r="E432" s="33" t="n">
        <f aca="false">HOUR(A432)+MINUTE(A432)/60</f>
        <v>22</v>
      </c>
      <c r="F432" s="33" t="n">
        <f aca="false">IF(OR(D432&gt;5,E432&lt;8,E432&gt;=18,COUNTIF($K$2:$K$10,INT(A432))&gt;0),1,0)</f>
        <v>1</v>
      </c>
      <c r="G432" s="34" t="n">
        <f aca="false">B432/1</f>
        <v>134.603</v>
      </c>
      <c r="H432" s="34" t="n">
        <f aca="false">IF(F432=1,G432,"")</f>
        <v>134.603</v>
      </c>
    </row>
    <row r="433" customFormat="false" ht="15" hidden="false" customHeight="false" outlineLevel="0" collapsed="false">
      <c r="A433" s="31" t="n">
        <v>42753.9583333333</v>
      </c>
      <c r="B433" s="32" t="n">
        <v>76.149</v>
      </c>
      <c r="D433" s="33" t="n">
        <f aca="false">WEEKDAY(A433,2)</f>
        <v>3</v>
      </c>
      <c r="E433" s="33" t="n">
        <f aca="false">HOUR(A433)+MINUTE(A433)/60</f>
        <v>23</v>
      </c>
      <c r="F433" s="33" t="n">
        <f aca="false">IF(OR(D433&gt;5,E433&lt;8,E433&gt;=18,COUNTIF($K$2:$K$10,INT(A433))&gt;0),1,0)</f>
        <v>1</v>
      </c>
      <c r="G433" s="34" t="n">
        <f aca="false">B433/1</f>
        <v>76.149</v>
      </c>
      <c r="H433" s="34" t="n">
        <f aca="false">IF(F433=1,G433,"")</f>
        <v>76.149</v>
      </c>
    </row>
    <row r="434" customFormat="false" ht="15" hidden="false" customHeight="false" outlineLevel="0" collapsed="false">
      <c r="A434" s="31" t="n">
        <v>42754</v>
      </c>
      <c r="B434" s="32" t="n">
        <v>67.394</v>
      </c>
      <c r="D434" s="33" t="n">
        <f aca="false">WEEKDAY(A434,2)</f>
        <v>4</v>
      </c>
      <c r="E434" s="33" t="n">
        <f aca="false">HOUR(A434)+MINUTE(A434)/60</f>
        <v>0</v>
      </c>
      <c r="F434" s="33" t="n">
        <f aca="false">IF(OR(D434&gt;5,E434&lt;8,E434&gt;=18,COUNTIF($K$2:$K$10,INT(A434))&gt;0),1,0)</f>
        <v>1</v>
      </c>
      <c r="G434" s="34" t="n">
        <f aca="false">B434/1</f>
        <v>67.394</v>
      </c>
      <c r="H434" s="34" t="n">
        <f aca="false">IF(F434=1,G434,"")</f>
        <v>67.394</v>
      </c>
    </row>
    <row r="435" customFormat="false" ht="15" hidden="false" customHeight="false" outlineLevel="0" collapsed="false">
      <c r="A435" s="31" t="n">
        <v>42754.0416666667</v>
      </c>
      <c r="B435" s="32" t="n">
        <v>63.339</v>
      </c>
      <c r="D435" s="33" t="n">
        <f aca="false">WEEKDAY(A435,2)</f>
        <v>4</v>
      </c>
      <c r="E435" s="33" t="n">
        <f aca="false">HOUR(A435)+MINUTE(A435)/60</f>
        <v>1</v>
      </c>
      <c r="F435" s="33" t="n">
        <f aca="false">IF(OR(D435&gt;5,E435&lt;8,E435&gt;=18,COUNTIF($K$2:$K$10,INT(A435))&gt;0),1,0)</f>
        <v>1</v>
      </c>
      <c r="G435" s="34" t="n">
        <f aca="false">B435/1</f>
        <v>63.339</v>
      </c>
      <c r="H435" s="34" t="n">
        <f aca="false">IF(F435=1,G435,"")</f>
        <v>63.339</v>
      </c>
    </row>
    <row r="436" customFormat="false" ht="15" hidden="false" customHeight="false" outlineLevel="0" collapsed="false">
      <c r="A436" s="31" t="n">
        <v>42754.0833333333</v>
      </c>
      <c r="B436" s="32" t="n">
        <v>62.218</v>
      </c>
      <c r="D436" s="33" t="n">
        <f aca="false">WEEKDAY(A436,2)</f>
        <v>4</v>
      </c>
      <c r="E436" s="33" t="n">
        <f aca="false">HOUR(A436)+MINUTE(A436)/60</f>
        <v>2</v>
      </c>
      <c r="F436" s="33" t="n">
        <f aca="false">IF(OR(D436&gt;5,E436&lt;8,E436&gt;=18,COUNTIF($K$2:$K$10,INT(A436))&gt;0),1,0)</f>
        <v>1</v>
      </c>
      <c r="G436" s="34" t="n">
        <f aca="false">B436/1</f>
        <v>62.218</v>
      </c>
      <c r="H436" s="34" t="n">
        <f aca="false">IF(F436=1,G436,"")</f>
        <v>62.218</v>
      </c>
    </row>
    <row r="437" customFormat="false" ht="15" hidden="false" customHeight="false" outlineLevel="0" collapsed="false">
      <c r="A437" s="31" t="n">
        <v>42754.125</v>
      </c>
      <c r="B437" s="32" t="n">
        <v>64.985</v>
      </c>
      <c r="D437" s="33" t="n">
        <f aca="false">WEEKDAY(A437,2)</f>
        <v>4</v>
      </c>
      <c r="E437" s="33" t="n">
        <f aca="false">HOUR(A437)+MINUTE(A437)/60</f>
        <v>3</v>
      </c>
      <c r="F437" s="33" t="n">
        <f aca="false">IF(OR(D437&gt;5,E437&lt;8,E437&gt;=18,COUNTIF($K$2:$K$10,INT(A437))&gt;0),1,0)</f>
        <v>1</v>
      </c>
      <c r="G437" s="34" t="n">
        <f aca="false">B437/1</f>
        <v>64.985</v>
      </c>
      <c r="H437" s="34" t="n">
        <f aca="false">IF(F437=1,G437,"")</f>
        <v>64.985</v>
      </c>
    </row>
    <row r="438" customFormat="false" ht="15" hidden="false" customHeight="false" outlineLevel="0" collapsed="false">
      <c r="A438" s="31" t="n">
        <v>42754.1666666667</v>
      </c>
      <c r="B438" s="32" t="n">
        <v>64.267</v>
      </c>
      <c r="D438" s="33" t="n">
        <f aca="false">WEEKDAY(A438,2)</f>
        <v>4</v>
      </c>
      <c r="E438" s="33" t="n">
        <f aca="false">HOUR(A438)+MINUTE(A438)/60</f>
        <v>4</v>
      </c>
      <c r="F438" s="33" t="n">
        <f aca="false">IF(OR(D438&gt;5,E438&lt;8,E438&gt;=18,COUNTIF($K$2:$K$10,INT(A438))&gt;0),1,0)</f>
        <v>1</v>
      </c>
      <c r="G438" s="34" t="n">
        <f aca="false">B438/1</f>
        <v>64.267</v>
      </c>
      <c r="H438" s="34" t="n">
        <f aca="false">IF(F438=1,G438,"")</f>
        <v>64.267</v>
      </c>
    </row>
    <row r="439" customFormat="false" ht="15" hidden="false" customHeight="false" outlineLevel="0" collapsed="false">
      <c r="A439" s="31" t="n">
        <v>42754.2083333333</v>
      </c>
      <c r="B439" s="32" t="n">
        <v>62.439</v>
      </c>
      <c r="D439" s="33" t="n">
        <f aca="false">WEEKDAY(A439,2)</f>
        <v>4</v>
      </c>
      <c r="E439" s="33" t="n">
        <f aca="false">HOUR(A439)+MINUTE(A439)/60</f>
        <v>5</v>
      </c>
      <c r="F439" s="33" t="n">
        <f aca="false">IF(OR(D439&gt;5,E439&lt;8,E439&gt;=18,COUNTIF($K$2:$K$10,INT(A439))&gt;0),1,0)</f>
        <v>1</v>
      </c>
      <c r="G439" s="34" t="n">
        <f aca="false">B439/1</f>
        <v>62.439</v>
      </c>
      <c r="H439" s="34" t="n">
        <f aca="false">IF(F439=1,G439,"")</f>
        <v>62.439</v>
      </c>
    </row>
    <row r="440" customFormat="false" ht="15" hidden="false" customHeight="false" outlineLevel="0" collapsed="false">
      <c r="A440" s="31" t="n">
        <v>42754.25</v>
      </c>
      <c r="B440" s="32" t="n">
        <v>62.788</v>
      </c>
      <c r="D440" s="33" t="n">
        <f aca="false">WEEKDAY(A440,2)</f>
        <v>4</v>
      </c>
      <c r="E440" s="33" t="n">
        <f aca="false">HOUR(A440)+MINUTE(A440)/60</f>
        <v>6</v>
      </c>
      <c r="F440" s="33" t="n">
        <f aca="false">IF(OR(D440&gt;5,E440&lt;8,E440&gt;=18,COUNTIF($K$2:$K$10,INT(A440))&gt;0),1,0)</f>
        <v>1</v>
      </c>
      <c r="G440" s="34" t="n">
        <f aca="false">B440/1</f>
        <v>62.788</v>
      </c>
      <c r="H440" s="34" t="n">
        <f aca="false">IF(F440=1,G440,"")</f>
        <v>62.788</v>
      </c>
    </row>
    <row r="441" customFormat="false" ht="15" hidden="false" customHeight="false" outlineLevel="0" collapsed="false">
      <c r="A441" s="31" t="n">
        <v>42754.2916666667</v>
      </c>
      <c r="B441" s="32" t="n">
        <v>70.732</v>
      </c>
      <c r="D441" s="33" t="n">
        <f aca="false">WEEKDAY(A441,2)</f>
        <v>4</v>
      </c>
      <c r="E441" s="33" t="n">
        <f aca="false">HOUR(A441)+MINUTE(A441)/60</f>
        <v>7</v>
      </c>
      <c r="F441" s="33" t="n">
        <f aca="false">IF(OR(D441&gt;5,E441&lt;8,E441&gt;=18,COUNTIF($K$2:$K$10,INT(A441))&gt;0),1,0)</f>
        <v>1</v>
      </c>
      <c r="G441" s="34" t="n">
        <f aca="false">B441/1</f>
        <v>70.732</v>
      </c>
      <c r="H441" s="34" t="n">
        <f aca="false">IF(F441=1,G441,"")</f>
        <v>70.732</v>
      </c>
    </row>
    <row r="442" customFormat="false" ht="15" hidden="false" customHeight="false" outlineLevel="0" collapsed="false">
      <c r="A442" s="31" t="n">
        <v>42754.3333333333</v>
      </c>
      <c r="B442" s="32" t="n">
        <v>178.306</v>
      </c>
      <c r="D442" s="33" t="n">
        <f aca="false">WEEKDAY(A442,2)</f>
        <v>4</v>
      </c>
      <c r="E442" s="33" t="n">
        <f aca="false">HOUR(A442)+MINUTE(A442)/60</f>
        <v>8</v>
      </c>
      <c r="F442" s="33" t="n">
        <f aca="false">IF(OR(D442&gt;5,E442&lt;8,E442&gt;=18,COUNTIF($K$2:$K$10,INT(A442))&gt;0),1,0)</f>
        <v>0</v>
      </c>
      <c r="G442" s="34" t="n">
        <f aca="false">B442/1</f>
        <v>178.306</v>
      </c>
      <c r="H442" s="34" t="str">
        <f aca="false">IF(F442=1,G442,"")</f>
        <v/>
      </c>
    </row>
    <row r="443" customFormat="false" ht="15" hidden="false" customHeight="false" outlineLevel="0" collapsed="false">
      <c r="A443" s="31" t="n">
        <v>42754.375</v>
      </c>
      <c r="B443" s="32" t="n">
        <v>219.193</v>
      </c>
      <c r="D443" s="33" t="n">
        <f aca="false">WEEKDAY(A443,2)</f>
        <v>4</v>
      </c>
      <c r="E443" s="33" t="n">
        <f aca="false">HOUR(A443)+MINUTE(A443)/60</f>
        <v>9</v>
      </c>
      <c r="F443" s="33" t="n">
        <f aca="false">IF(OR(D443&gt;5,E443&lt;8,E443&gt;=18,COUNTIF($K$2:$K$10,INT(A443))&gt;0),1,0)</f>
        <v>0</v>
      </c>
      <c r="G443" s="34" t="n">
        <f aca="false">B443/1</f>
        <v>219.193</v>
      </c>
      <c r="H443" s="34" t="str">
        <f aca="false">IF(F443=1,G443,"")</f>
        <v/>
      </c>
    </row>
    <row r="444" customFormat="false" ht="15" hidden="false" customHeight="false" outlineLevel="0" collapsed="false">
      <c r="A444" s="31" t="n">
        <v>42754.4166666667</v>
      </c>
      <c r="B444" s="32" t="n">
        <v>248.75</v>
      </c>
      <c r="D444" s="33" t="n">
        <f aca="false">WEEKDAY(A444,2)</f>
        <v>4</v>
      </c>
      <c r="E444" s="33" t="n">
        <f aca="false">HOUR(A444)+MINUTE(A444)/60</f>
        <v>10</v>
      </c>
      <c r="F444" s="33" t="n">
        <f aca="false">IF(OR(D444&gt;5,E444&lt;8,E444&gt;=18,COUNTIF($K$2:$K$10,INT(A444))&gt;0),1,0)</f>
        <v>0</v>
      </c>
      <c r="G444" s="34" t="n">
        <f aca="false">B444/1</f>
        <v>248.75</v>
      </c>
      <c r="H444" s="34" t="str">
        <f aca="false">IF(F444=1,G444,"")</f>
        <v/>
      </c>
    </row>
    <row r="445" customFormat="false" ht="15" hidden="false" customHeight="false" outlineLevel="0" collapsed="false">
      <c r="A445" s="31" t="n">
        <v>42754.4583333333</v>
      </c>
      <c r="B445" s="32" t="n">
        <v>250.928</v>
      </c>
      <c r="D445" s="33" t="n">
        <f aca="false">WEEKDAY(A445,2)</f>
        <v>4</v>
      </c>
      <c r="E445" s="33" t="n">
        <f aca="false">HOUR(A445)+MINUTE(A445)/60</f>
        <v>11</v>
      </c>
      <c r="F445" s="33" t="n">
        <f aca="false">IF(OR(D445&gt;5,E445&lt;8,E445&gt;=18,COUNTIF($K$2:$K$10,INT(A445))&gt;0),1,0)</f>
        <v>0</v>
      </c>
      <c r="G445" s="34" t="n">
        <f aca="false">B445/1</f>
        <v>250.928</v>
      </c>
      <c r="H445" s="34" t="str">
        <f aca="false">IF(F445=1,G445,"")</f>
        <v/>
      </c>
    </row>
    <row r="446" customFormat="false" ht="15" hidden="false" customHeight="false" outlineLevel="0" collapsed="false">
      <c r="A446" s="31" t="n">
        <v>42754.5</v>
      </c>
      <c r="B446" s="32" t="n">
        <v>250.337</v>
      </c>
      <c r="D446" s="33" t="n">
        <f aca="false">WEEKDAY(A446,2)</f>
        <v>4</v>
      </c>
      <c r="E446" s="33" t="n">
        <f aca="false">HOUR(A446)+MINUTE(A446)/60</f>
        <v>12</v>
      </c>
      <c r="F446" s="33" t="n">
        <f aca="false">IF(OR(D446&gt;5,E446&lt;8,E446&gt;=18,COUNTIF($K$2:$K$10,INT(A446))&gt;0),1,0)</f>
        <v>0</v>
      </c>
      <c r="G446" s="34" t="n">
        <f aca="false">B446/1</f>
        <v>250.337</v>
      </c>
      <c r="H446" s="34" t="str">
        <f aca="false">IF(F446=1,G446,"")</f>
        <v/>
      </c>
    </row>
    <row r="447" customFormat="false" ht="15" hidden="false" customHeight="false" outlineLevel="0" collapsed="false">
      <c r="A447" s="31" t="n">
        <v>42754.5416666667</v>
      </c>
      <c r="B447" s="32" t="n">
        <v>251.919</v>
      </c>
      <c r="D447" s="33" t="n">
        <f aca="false">WEEKDAY(A447,2)</f>
        <v>4</v>
      </c>
      <c r="E447" s="33" t="n">
        <f aca="false">HOUR(A447)+MINUTE(A447)/60</f>
        <v>13</v>
      </c>
      <c r="F447" s="33" t="n">
        <f aca="false">IF(OR(D447&gt;5,E447&lt;8,E447&gt;=18,COUNTIF($K$2:$K$10,INT(A447))&gt;0),1,0)</f>
        <v>0</v>
      </c>
      <c r="G447" s="34" t="n">
        <f aca="false">B447/1</f>
        <v>251.919</v>
      </c>
      <c r="H447" s="34" t="str">
        <f aca="false">IF(F447=1,G447,"")</f>
        <v/>
      </c>
    </row>
    <row r="448" customFormat="false" ht="15" hidden="false" customHeight="false" outlineLevel="0" collapsed="false">
      <c r="A448" s="31" t="n">
        <v>42754.5833333333</v>
      </c>
      <c r="B448" s="32" t="n">
        <v>241.261</v>
      </c>
      <c r="D448" s="33" t="n">
        <f aca="false">WEEKDAY(A448,2)</f>
        <v>4</v>
      </c>
      <c r="E448" s="33" t="n">
        <f aca="false">HOUR(A448)+MINUTE(A448)/60</f>
        <v>14</v>
      </c>
      <c r="F448" s="33" t="n">
        <f aca="false">IF(OR(D448&gt;5,E448&lt;8,E448&gt;=18,COUNTIF($K$2:$K$10,INT(A448))&gt;0),1,0)</f>
        <v>0</v>
      </c>
      <c r="G448" s="34" t="n">
        <f aca="false">B448/1</f>
        <v>241.261</v>
      </c>
      <c r="H448" s="34" t="str">
        <f aca="false">IF(F448=1,G448,"")</f>
        <v/>
      </c>
    </row>
    <row r="449" customFormat="false" ht="15" hidden="false" customHeight="false" outlineLevel="0" collapsed="false">
      <c r="A449" s="31" t="n">
        <v>42754.625</v>
      </c>
      <c r="B449" s="32" t="n">
        <v>245.706</v>
      </c>
      <c r="D449" s="33" t="n">
        <f aca="false">WEEKDAY(A449,2)</f>
        <v>4</v>
      </c>
      <c r="E449" s="33" t="n">
        <f aca="false">HOUR(A449)+MINUTE(A449)/60</f>
        <v>15</v>
      </c>
      <c r="F449" s="33" t="n">
        <f aca="false">IF(OR(D449&gt;5,E449&lt;8,E449&gt;=18,COUNTIF($K$2:$K$10,INT(A449))&gt;0),1,0)</f>
        <v>0</v>
      </c>
      <c r="G449" s="34" t="n">
        <f aca="false">B449/1</f>
        <v>245.706</v>
      </c>
      <c r="H449" s="34" t="str">
        <f aca="false">IF(F449=1,G449,"")</f>
        <v/>
      </c>
    </row>
    <row r="450" customFormat="false" ht="15" hidden="false" customHeight="false" outlineLevel="0" collapsed="false">
      <c r="A450" s="31" t="n">
        <v>42754.6666666667</v>
      </c>
      <c r="B450" s="32" t="n">
        <v>240.212</v>
      </c>
      <c r="D450" s="33" t="n">
        <f aca="false">WEEKDAY(A450,2)</f>
        <v>4</v>
      </c>
      <c r="E450" s="33" t="n">
        <f aca="false">HOUR(A450)+MINUTE(A450)/60</f>
        <v>16</v>
      </c>
      <c r="F450" s="33" t="n">
        <f aca="false">IF(OR(D450&gt;5,E450&lt;8,E450&gt;=18,COUNTIF($K$2:$K$10,INT(A450))&gt;0),1,0)</f>
        <v>0</v>
      </c>
      <c r="G450" s="34" t="n">
        <f aca="false">B450/1</f>
        <v>240.212</v>
      </c>
      <c r="H450" s="34" t="str">
        <f aca="false">IF(F450=1,G450,"")</f>
        <v/>
      </c>
    </row>
    <row r="451" customFormat="false" ht="15" hidden="false" customHeight="false" outlineLevel="0" collapsed="false">
      <c r="A451" s="31" t="n">
        <v>42754.7083333333</v>
      </c>
      <c r="B451" s="32" t="n">
        <v>227.093</v>
      </c>
      <c r="D451" s="33" t="n">
        <f aca="false">WEEKDAY(A451,2)</f>
        <v>4</v>
      </c>
      <c r="E451" s="33" t="n">
        <f aca="false">HOUR(A451)+MINUTE(A451)/60</f>
        <v>17</v>
      </c>
      <c r="F451" s="33" t="n">
        <f aca="false">IF(OR(D451&gt;5,E451&lt;8,E451&gt;=18,COUNTIF($K$2:$K$10,INT(A451))&gt;0),1,0)</f>
        <v>0</v>
      </c>
      <c r="G451" s="34" t="n">
        <f aca="false">B451/1</f>
        <v>227.093</v>
      </c>
      <c r="H451" s="34" t="str">
        <f aca="false">IF(F451=1,G451,"")</f>
        <v/>
      </c>
    </row>
    <row r="452" customFormat="false" ht="15" hidden="false" customHeight="false" outlineLevel="0" collapsed="false">
      <c r="A452" s="31" t="n">
        <v>42754.75</v>
      </c>
      <c r="B452" s="32" t="n">
        <v>222.017</v>
      </c>
      <c r="D452" s="33" t="n">
        <f aca="false">WEEKDAY(A452,2)</f>
        <v>4</v>
      </c>
      <c r="E452" s="33" t="n">
        <f aca="false">HOUR(A452)+MINUTE(A452)/60</f>
        <v>18</v>
      </c>
      <c r="F452" s="33" t="n">
        <f aca="false">IF(OR(D452&gt;5,E452&lt;8,E452&gt;=18,COUNTIF($K$2:$K$10,INT(A452))&gt;0),1,0)</f>
        <v>1</v>
      </c>
      <c r="G452" s="34" t="n">
        <f aca="false">B452/1</f>
        <v>222.017</v>
      </c>
      <c r="H452" s="34" t="n">
        <f aca="false">IF(F452=1,G452,"")</f>
        <v>222.017</v>
      </c>
    </row>
    <row r="453" customFormat="false" ht="15" hidden="false" customHeight="false" outlineLevel="0" collapsed="false">
      <c r="A453" s="31" t="n">
        <v>42754.7916666667</v>
      </c>
      <c r="B453" s="32" t="n">
        <v>216.839</v>
      </c>
      <c r="D453" s="33" t="n">
        <f aca="false">WEEKDAY(A453,2)</f>
        <v>4</v>
      </c>
      <c r="E453" s="33" t="n">
        <f aca="false">HOUR(A453)+MINUTE(A453)/60</f>
        <v>19</v>
      </c>
      <c r="F453" s="33" t="n">
        <f aca="false">IF(OR(D453&gt;5,E453&lt;8,E453&gt;=18,COUNTIF($K$2:$K$10,INT(A453))&gt;0),1,0)</f>
        <v>1</v>
      </c>
      <c r="G453" s="34" t="n">
        <f aca="false">B453/1</f>
        <v>216.839</v>
      </c>
      <c r="H453" s="34" t="n">
        <f aca="false">IF(F453=1,G453,"")</f>
        <v>216.839</v>
      </c>
    </row>
    <row r="454" customFormat="false" ht="15" hidden="false" customHeight="false" outlineLevel="0" collapsed="false">
      <c r="A454" s="31" t="n">
        <v>42754.8333333333</v>
      </c>
      <c r="B454" s="32" t="n">
        <v>205.974</v>
      </c>
      <c r="D454" s="33" t="n">
        <f aca="false">WEEKDAY(A454,2)</f>
        <v>4</v>
      </c>
      <c r="E454" s="33" t="n">
        <f aca="false">HOUR(A454)+MINUTE(A454)/60</f>
        <v>20</v>
      </c>
      <c r="F454" s="33" t="n">
        <f aca="false">IF(OR(D454&gt;5,E454&lt;8,E454&gt;=18,COUNTIF($K$2:$K$10,INT(A454))&gt;0),1,0)</f>
        <v>1</v>
      </c>
      <c r="G454" s="34" t="n">
        <f aca="false">B454/1</f>
        <v>205.974</v>
      </c>
      <c r="H454" s="34" t="n">
        <f aca="false">IF(F454=1,G454,"")</f>
        <v>205.974</v>
      </c>
    </row>
    <row r="455" customFormat="false" ht="15" hidden="false" customHeight="false" outlineLevel="0" collapsed="false">
      <c r="A455" s="31" t="n">
        <v>42754.875</v>
      </c>
      <c r="B455" s="32" t="n">
        <v>201.896</v>
      </c>
      <c r="D455" s="33" t="n">
        <f aca="false">WEEKDAY(A455,2)</f>
        <v>4</v>
      </c>
      <c r="E455" s="33" t="n">
        <f aca="false">HOUR(A455)+MINUTE(A455)/60</f>
        <v>21</v>
      </c>
      <c r="F455" s="33" t="n">
        <f aca="false">IF(OR(D455&gt;5,E455&lt;8,E455&gt;=18,COUNTIF($K$2:$K$10,INT(A455))&gt;0),1,0)</f>
        <v>1</v>
      </c>
      <c r="G455" s="34" t="n">
        <f aca="false">B455/1</f>
        <v>201.896</v>
      </c>
      <c r="H455" s="34" t="n">
        <f aca="false">IF(F455=1,G455,"")</f>
        <v>201.896</v>
      </c>
    </row>
    <row r="456" customFormat="false" ht="15" hidden="false" customHeight="false" outlineLevel="0" collapsed="false">
      <c r="A456" s="31" t="n">
        <v>42754.9166666667</v>
      </c>
      <c r="B456" s="32" t="n">
        <v>141.812</v>
      </c>
      <c r="D456" s="33" t="n">
        <f aca="false">WEEKDAY(A456,2)</f>
        <v>4</v>
      </c>
      <c r="E456" s="33" t="n">
        <f aca="false">HOUR(A456)+MINUTE(A456)/60</f>
        <v>22</v>
      </c>
      <c r="F456" s="33" t="n">
        <f aca="false">IF(OR(D456&gt;5,E456&lt;8,E456&gt;=18,COUNTIF($K$2:$K$10,INT(A456))&gt;0),1,0)</f>
        <v>1</v>
      </c>
      <c r="G456" s="34" t="n">
        <f aca="false">B456/1</f>
        <v>141.812</v>
      </c>
      <c r="H456" s="34" t="n">
        <f aca="false">IF(F456=1,G456,"")</f>
        <v>141.812</v>
      </c>
    </row>
    <row r="457" customFormat="false" ht="15" hidden="false" customHeight="false" outlineLevel="0" collapsed="false">
      <c r="A457" s="31" t="n">
        <v>42754.9583333333</v>
      </c>
      <c r="B457" s="32" t="n">
        <v>76.923</v>
      </c>
      <c r="D457" s="33" t="n">
        <f aca="false">WEEKDAY(A457,2)</f>
        <v>4</v>
      </c>
      <c r="E457" s="33" t="n">
        <f aca="false">HOUR(A457)+MINUTE(A457)/60</f>
        <v>23</v>
      </c>
      <c r="F457" s="33" t="n">
        <f aca="false">IF(OR(D457&gt;5,E457&lt;8,E457&gt;=18,COUNTIF($K$2:$K$10,INT(A457))&gt;0),1,0)</f>
        <v>1</v>
      </c>
      <c r="G457" s="34" t="n">
        <f aca="false">B457/1</f>
        <v>76.923</v>
      </c>
      <c r="H457" s="34" t="n">
        <f aca="false">IF(F457=1,G457,"")</f>
        <v>76.923</v>
      </c>
    </row>
    <row r="458" customFormat="false" ht="15" hidden="false" customHeight="false" outlineLevel="0" collapsed="false">
      <c r="A458" s="31" t="n">
        <v>42755</v>
      </c>
      <c r="B458" s="32" t="n">
        <v>66.506</v>
      </c>
      <c r="D458" s="33" t="n">
        <f aca="false">WEEKDAY(A458,2)</f>
        <v>5</v>
      </c>
      <c r="E458" s="33" t="n">
        <f aca="false">HOUR(A458)+MINUTE(A458)/60</f>
        <v>0</v>
      </c>
      <c r="F458" s="33" t="n">
        <f aca="false">IF(OR(D458&gt;5,E458&lt;8,E458&gt;=18,COUNTIF($K$2:$K$10,INT(A458))&gt;0),1,0)</f>
        <v>1</v>
      </c>
      <c r="G458" s="34" t="n">
        <f aca="false">B458/1</f>
        <v>66.506</v>
      </c>
      <c r="H458" s="34" t="n">
        <f aca="false">IF(F458=1,G458,"")</f>
        <v>66.506</v>
      </c>
    </row>
    <row r="459" customFormat="false" ht="15" hidden="false" customHeight="false" outlineLevel="0" collapsed="false">
      <c r="A459" s="31" t="n">
        <v>42755.0416666667</v>
      </c>
      <c r="B459" s="32" t="n">
        <v>64.377</v>
      </c>
      <c r="D459" s="33" t="n">
        <f aca="false">WEEKDAY(A459,2)</f>
        <v>5</v>
      </c>
      <c r="E459" s="33" t="n">
        <f aca="false">HOUR(A459)+MINUTE(A459)/60</f>
        <v>1</v>
      </c>
      <c r="F459" s="33" t="n">
        <f aca="false">IF(OR(D459&gt;5,E459&lt;8,E459&gt;=18,COUNTIF($K$2:$K$10,INT(A459))&gt;0),1,0)</f>
        <v>1</v>
      </c>
      <c r="G459" s="34" t="n">
        <f aca="false">B459/1</f>
        <v>64.377</v>
      </c>
      <c r="H459" s="34" t="n">
        <f aca="false">IF(F459=1,G459,"")</f>
        <v>64.377</v>
      </c>
    </row>
    <row r="460" customFormat="false" ht="15" hidden="false" customHeight="false" outlineLevel="0" collapsed="false">
      <c r="A460" s="31" t="n">
        <v>42755.0833333333</v>
      </c>
      <c r="B460" s="32" t="n">
        <v>64.598</v>
      </c>
      <c r="D460" s="33" t="n">
        <f aca="false">WEEKDAY(A460,2)</f>
        <v>5</v>
      </c>
      <c r="E460" s="33" t="n">
        <f aca="false">HOUR(A460)+MINUTE(A460)/60</f>
        <v>2</v>
      </c>
      <c r="F460" s="33" t="n">
        <f aca="false">IF(OR(D460&gt;5,E460&lt;8,E460&gt;=18,COUNTIF($K$2:$K$10,INT(A460))&gt;0),1,0)</f>
        <v>1</v>
      </c>
      <c r="G460" s="34" t="n">
        <f aca="false">B460/1</f>
        <v>64.598</v>
      </c>
      <c r="H460" s="34" t="n">
        <f aca="false">IF(F460=1,G460,"")</f>
        <v>64.598</v>
      </c>
    </row>
    <row r="461" customFormat="false" ht="15" hidden="false" customHeight="false" outlineLevel="0" collapsed="false">
      <c r="A461" s="31" t="n">
        <v>42755.125</v>
      </c>
      <c r="B461" s="32" t="n">
        <v>61.206</v>
      </c>
      <c r="D461" s="33" t="n">
        <f aca="false">WEEKDAY(A461,2)</f>
        <v>5</v>
      </c>
      <c r="E461" s="33" t="n">
        <f aca="false">HOUR(A461)+MINUTE(A461)/60</f>
        <v>3</v>
      </c>
      <c r="F461" s="33" t="n">
        <f aca="false">IF(OR(D461&gt;5,E461&lt;8,E461&gt;=18,COUNTIF($K$2:$K$10,INT(A461))&gt;0),1,0)</f>
        <v>1</v>
      </c>
      <c r="G461" s="34" t="n">
        <f aca="false">B461/1</f>
        <v>61.206</v>
      </c>
      <c r="H461" s="34" t="n">
        <f aca="false">IF(F461=1,G461,"")</f>
        <v>61.206</v>
      </c>
    </row>
    <row r="462" customFormat="false" ht="15" hidden="false" customHeight="false" outlineLevel="0" collapsed="false">
      <c r="A462" s="31" t="n">
        <v>42755.1666666667</v>
      </c>
      <c r="B462" s="32" t="n">
        <v>66.045</v>
      </c>
      <c r="D462" s="33" t="n">
        <f aca="false">WEEKDAY(A462,2)</f>
        <v>5</v>
      </c>
      <c r="E462" s="33" t="n">
        <f aca="false">HOUR(A462)+MINUTE(A462)/60</f>
        <v>4</v>
      </c>
      <c r="F462" s="33" t="n">
        <f aca="false">IF(OR(D462&gt;5,E462&lt;8,E462&gt;=18,COUNTIF($K$2:$K$10,INT(A462))&gt;0),1,0)</f>
        <v>1</v>
      </c>
      <c r="G462" s="34" t="n">
        <f aca="false">B462/1</f>
        <v>66.045</v>
      </c>
      <c r="H462" s="34" t="n">
        <f aca="false">IF(F462=1,G462,"")</f>
        <v>66.045</v>
      </c>
    </row>
    <row r="463" customFormat="false" ht="15" hidden="false" customHeight="false" outlineLevel="0" collapsed="false">
      <c r="A463" s="31" t="n">
        <v>42755.2083333333</v>
      </c>
      <c r="B463" s="32" t="n">
        <v>63.467</v>
      </c>
      <c r="D463" s="33" t="n">
        <f aca="false">WEEKDAY(A463,2)</f>
        <v>5</v>
      </c>
      <c r="E463" s="33" t="n">
        <f aca="false">HOUR(A463)+MINUTE(A463)/60</f>
        <v>5</v>
      </c>
      <c r="F463" s="33" t="n">
        <f aca="false">IF(OR(D463&gt;5,E463&lt;8,E463&gt;=18,COUNTIF($K$2:$K$10,INT(A463))&gt;0),1,0)</f>
        <v>1</v>
      </c>
      <c r="G463" s="34" t="n">
        <f aca="false">B463/1</f>
        <v>63.467</v>
      </c>
      <c r="H463" s="34" t="n">
        <f aca="false">IF(F463=1,G463,"")</f>
        <v>63.467</v>
      </c>
    </row>
    <row r="464" customFormat="false" ht="15" hidden="false" customHeight="false" outlineLevel="0" collapsed="false">
      <c r="A464" s="31" t="n">
        <v>42755.25</v>
      </c>
      <c r="B464" s="32" t="n">
        <v>65.694</v>
      </c>
      <c r="D464" s="33" t="n">
        <f aca="false">WEEKDAY(A464,2)</f>
        <v>5</v>
      </c>
      <c r="E464" s="33" t="n">
        <f aca="false">HOUR(A464)+MINUTE(A464)/60</f>
        <v>6</v>
      </c>
      <c r="F464" s="33" t="n">
        <f aca="false">IF(OR(D464&gt;5,E464&lt;8,E464&gt;=18,COUNTIF($K$2:$K$10,INT(A464))&gt;0),1,0)</f>
        <v>1</v>
      </c>
      <c r="G464" s="34" t="n">
        <f aca="false">B464/1</f>
        <v>65.694</v>
      </c>
      <c r="H464" s="34" t="n">
        <f aca="false">IF(F464=1,G464,"")</f>
        <v>65.694</v>
      </c>
    </row>
    <row r="465" customFormat="false" ht="15" hidden="false" customHeight="false" outlineLevel="0" collapsed="false">
      <c r="A465" s="31" t="n">
        <v>42755.2916666667</v>
      </c>
      <c r="B465" s="32" t="n">
        <v>70.683</v>
      </c>
      <c r="D465" s="33" t="n">
        <f aca="false">WEEKDAY(A465,2)</f>
        <v>5</v>
      </c>
      <c r="E465" s="33" t="n">
        <f aca="false">HOUR(A465)+MINUTE(A465)/60</f>
        <v>7</v>
      </c>
      <c r="F465" s="33" t="n">
        <f aca="false">IF(OR(D465&gt;5,E465&lt;8,E465&gt;=18,COUNTIF($K$2:$K$10,INT(A465))&gt;0),1,0)</f>
        <v>1</v>
      </c>
      <c r="G465" s="34" t="n">
        <f aca="false">B465/1</f>
        <v>70.683</v>
      </c>
      <c r="H465" s="34" t="n">
        <f aca="false">IF(F465=1,G465,"")</f>
        <v>70.683</v>
      </c>
    </row>
    <row r="466" customFormat="false" ht="15" hidden="false" customHeight="false" outlineLevel="0" collapsed="false">
      <c r="A466" s="31" t="n">
        <v>42755.3333333333</v>
      </c>
      <c r="B466" s="32" t="n">
        <v>170.604</v>
      </c>
      <c r="D466" s="33" t="n">
        <f aca="false">WEEKDAY(A466,2)</f>
        <v>5</v>
      </c>
      <c r="E466" s="33" t="n">
        <f aca="false">HOUR(A466)+MINUTE(A466)/60</f>
        <v>8</v>
      </c>
      <c r="F466" s="33" t="n">
        <f aca="false">IF(OR(D466&gt;5,E466&lt;8,E466&gt;=18,COUNTIF($K$2:$K$10,INT(A466))&gt;0),1,0)</f>
        <v>0</v>
      </c>
      <c r="G466" s="34" t="n">
        <f aca="false">B466/1</f>
        <v>170.604</v>
      </c>
      <c r="H466" s="34" t="str">
        <f aca="false">IF(F466=1,G466,"")</f>
        <v/>
      </c>
    </row>
    <row r="467" customFormat="false" ht="15" hidden="false" customHeight="false" outlineLevel="0" collapsed="false">
      <c r="A467" s="31" t="n">
        <v>42755.375</v>
      </c>
      <c r="B467" s="32" t="n">
        <v>207.626</v>
      </c>
      <c r="D467" s="33" t="n">
        <f aca="false">WEEKDAY(A467,2)</f>
        <v>5</v>
      </c>
      <c r="E467" s="33" t="n">
        <f aca="false">HOUR(A467)+MINUTE(A467)/60</f>
        <v>9</v>
      </c>
      <c r="F467" s="33" t="n">
        <f aca="false">IF(OR(D467&gt;5,E467&lt;8,E467&gt;=18,COUNTIF($K$2:$K$10,INT(A467))&gt;0),1,0)</f>
        <v>0</v>
      </c>
      <c r="G467" s="34" t="n">
        <f aca="false">B467/1</f>
        <v>207.626</v>
      </c>
      <c r="H467" s="34" t="str">
        <f aca="false">IF(F467=1,G467,"")</f>
        <v/>
      </c>
    </row>
    <row r="468" customFormat="false" ht="15" hidden="false" customHeight="false" outlineLevel="0" collapsed="false">
      <c r="A468" s="31" t="n">
        <v>42755.4166666667</v>
      </c>
      <c r="B468" s="32" t="n">
        <v>221.688</v>
      </c>
      <c r="D468" s="33" t="n">
        <f aca="false">WEEKDAY(A468,2)</f>
        <v>5</v>
      </c>
      <c r="E468" s="33" t="n">
        <f aca="false">HOUR(A468)+MINUTE(A468)/60</f>
        <v>10</v>
      </c>
      <c r="F468" s="33" t="n">
        <f aca="false">IF(OR(D468&gt;5,E468&lt;8,E468&gt;=18,COUNTIF($K$2:$K$10,INT(A468))&gt;0),1,0)</f>
        <v>0</v>
      </c>
      <c r="G468" s="34" t="n">
        <f aca="false">B468/1</f>
        <v>221.688</v>
      </c>
      <c r="H468" s="34" t="str">
        <f aca="false">IF(F468=1,G468,"")</f>
        <v/>
      </c>
    </row>
    <row r="469" customFormat="false" ht="15" hidden="false" customHeight="false" outlineLevel="0" collapsed="false">
      <c r="A469" s="31" t="n">
        <v>42755.4583333333</v>
      </c>
      <c r="B469" s="32" t="n">
        <v>232.874</v>
      </c>
      <c r="D469" s="33" t="n">
        <f aca="false">WEEKDAY(A469,2)</f>
        <v>5</v>
      </c>
      <c r="E469" s="33" t="n">
        <f aca="false">HOUR(A469)+MINUTE(A469)/60</f>
        <v>11</v>
      </c>
      <c r="F469" s="33" t="n">
        <f aca="false">IF(OR(D469&gt;5,E469&lt;8,E469&gt;=18,COUNTIF($K$2:$K$10,INT(A469))&gt;0),1,0)</f>
        <v>0</v>
      </c>
      <c r="G469" s="34" t="n">
        <f aca="false">B469/1</f>
        <v>232.874</v>
      </c>
      <c r="H469" s="34" t="str">
        <f aca="false">IF(F469=1,G469,"")</f>
        <v/>
      </c>
    </row>
    <row r="470" customFormat="false" ht="15" hidden="false" customHeight="false" outlineLevel="0" collapsed="false">
      <c r="A470" s="31" t="n">
        <v>42755.5</v>
      </c>
      <c r="B470" s="32" t="n">
        <v>243.251</v>
      </c>
      <c r="D470" s="33" t="n">
        <f aca="false">WEEKDAY(A470,2)</f>
        <v>5</v>
      </c>
      <c r="E470" s="33" t="n">
        <f aca="false">HOUR(A470)+MINUTE(A470)/60</f>
        <v>12</v>
      </c>
      <c r="F470" s="33" t="n">
        <f aca="false">IF(OR(D470&gt;5,E470&lt;8,E470&gt;=18,COUNTIF($K$2:$K$10,INT(A470))&gt;0),1,0)</f>
        <v>0</v>
      </c>
      <c r="G470" s="34" t="n">
        <f aca="false">B470/1</f>
        <v>243.251</v>
      </c>
      <c r="H470" s="34" t="str">
        <f aca="false">IF(F470=1,G470,"")</f>
        <v/>
      </c>
    </row>
    <row r="471" customFormat="false" ht="15" hidden="false" customHeight="false" outlineLevel="0" collapsed="false">
      <c r="A471" s="31" t="n">
        <v>42755.5416666667</v>
      </c>
      <c r="B471" s="32" t="n">
        <v>233.719</v>
      </c>
      <c r="D471" s="33" t="n">
        <f aca="false">WEEKDAY(A471,2)</f>
        <v>5</v>
      </c>
      <c r="E471" s="33" t="n">
        <f aca="false">HOUR(A471)+MINUTE(A471)/60</f>
        <v>13</v>
      </c>
      <c r="F471" s="33" t="n">
        <f aca="false">IF(OR(D471&gt;5,E471&lt;8,E471&gt;=18,COUNTIF($K$2:$K$10,INT(A471))&gt;0),1,0)</f>
        <v>0</v>
      </c>
      <c r="G471" s="34" t="n">
        <f aca="false">B471/1</f>
        <v>233.719</v>
      </c>
      <c r="H471" s="34" t="str">
        <f aca="false">IF(F471=1,G471,"")</f>
        <v/>
      </c>
    </row>
    <row r="472" customFormat="false" ht="15" hidden="false" customHeight="false" outlineLevel="0" collapsed="false">
      <c r="A472" s="31" t="n">
        <v>42755.5833333333</v>
      </c>
      <c r="B472" s="32" t="n">
        <v>231.577</v>
      </c>
      <c r="D472" s="33" t="n">
        <f aca="false">WEEKDAY(A472,2)</f>
        <v>5</v>
      </c>
      <c r="E472" s="33" t="n">
        <f aca="false">HOUR(A472)+MINUTE(A472)/60</f>
        <v>14</v>
      </c>
      <c r="F472" s="33" t="n">
        <f aca="false">IF(OR(D472&gt;5,E472&lt;8,E472&gt;=18,COUNTIF($K$2:$K$10,INT(A472))&gt;0),1,0)</f>
        <v>0</v>
      </c>
      <c r="G472" s="34" t="n">
        <f aca="false">B472/1</f>
        <v>231.577</v>
      </c>
      <c r="H472" s="34" t="str">
        <f aca="false">IF(F472=1,G472,"")</f>
        <v/>
      </c>
    </row>
    <row r="473" customFormat="false" ht="15" hidden="false" customHeight="false" outlineLevel="0" collapsed="false">
      <c r="A473" s="31" t="n">
        <v>42755.625</v>
      </c>
      <c r="B473" s="32" t="n">
        <v>223.948</v>
      </c>
      <c r="D473" s="33" t="n">
        <f aca="false">WEEKDAY(A473,2)</f>
        <v>5</v>
      </c>
      <c r="E473" s="33" t="n">
        <f aca="false">HOUR(A473)+MINUTE(A473)/60</f>
        <v>15</v>
      </c>
      <c r="F473" s="33" t="n">
        <f aca="false">IF(OR(D473&gt;5,E473&lt;8,E473&gt;=18,COUNTIF($K$2:$K$10,INT(A473))&gt;0),1,0)</f>
        <v>0</v>
      </c>
      <c r="G473" s="34" t="n">
        <f aca="false">B473/1</f>
        <v>223.948</v>
      </c>
      <c r="H473" s="34" t="str">
        <f aca="false">IF(F473=1,G473,"")</f>
        <v/>
      </c>
    </row>
    <row r="474" customFormat="false" ht="15" hidden="false" customHeight="false" outlineLevel="0" collapsed="false">
      <c r="A474" s="31" t="n">
        <v>42755.6666666667</v>
      </c>
      <c r="B474" s="32" t="n">
        <v>211.899</v>
      </c>
      <c r="D474" s="33" t="n">
        <f aca="false">WEEKDAY(A474,2)</f>
        <v>5</v>
      </c>
      <c r="E474" s="33" t="n">
        <f aca="false">HOUR(A474)+MINUTE(A474)/60</f>
        <v>16</v>
      </c>
      <c r="F474" s="33" t="n">
        <f aca="false">IF(OR(D474&gt;5,E474&lt;8,E474&gt;=18,COUNTIF($K$2:$K$10,INT(A474))&gt;0),1,0)</f>
        <v>0</v>
      </c>
      <c r="G474" s="34" t="n">
        <f aca="false">B474/1</f>
        <v>211.899</v>
      </c>
      <c r="H474" s="34" t="str">
        <f aca="false">IF(F474=1,G474,"")</f>
        <v/>
      </c>
    </row>
    <row r="475" customFormat="false" ht="15" hidden="false" customHeight="false" outlineLevel="0" collapsed="false">
      <c r="A475" s="31" t="n">
        <v>42755.7083333333</v>
      </c>
      <c r="B475" s="32" t="n">
        <v>202.594</v>
      </c>
      <c r="D475" s="33" t="n">
        <f aca="false">WEEKDAY(A475,2)</f>
        <v>5</v>
      </c>
      <c r="E475" s="33" t="n">
        <f aca="false">HOUR(A475)+MINUTE(A475)/60</f>
        <v>17</v>
      </c>
      <c r="F475" s="33" t="n">
        <f aca="false">IF(OR(D475&gt;5,E475&lt;8,E475&gt;=18,COUNTIF($K$2:$K$10,INT(A475))&gt;0),1,0)</f>
        <v>0</v>
      </c>
      <c r="G475" s="34" t="n">
        <f aca="false">B475/1</f>
        <v>202.594</v>
      </c>
      <c r="H475" s="34" t="str">
        <f aca="false">IF(F475=1,G475,"")</f>
        <v/>
      </c>
    </row>
    <row r="476" customFormat="false" ht="15" hidden="false" customHeight="false" outlineLevel="0" collapsed="false">
      <c r="A476" s="31" t="n">
        <v>42755.75</v>
      </c>
      <c r="B476" s="32" t="n">
        <v>186.122</v>
      </c>
      <c r="D476" s="33" t="n">
        <f aca="false">WEEKDAY(A476,2)</f>
        <v>5</v>
      </c>
      <c r="E476" s="33" t="n">
        <f aca="false">HOUR(A476)+MINUTE(A476)/60</f>
        <v>18</v>
      </c>
      <c r="F476" s="33" t="n">
        <f aca="false">IF(OR(D476&gt;5,E476&lt;8,E476&gt;=18,COUNTIF($K$2:$K$10,INT(A476))&gt;0),1,0)</f>
        <v>1</v>
      </c>
      <c r="G476" s="34" t="n">
        <f aca="false">B476/1</f>
        <v>186.122</v>
      </c>
      <c r="H476" s="34" t="n">
        <f aca="false">IF(F476=1,G476,"")</f>
        <v>186.122</v>
      </c>
    </row>
    <row r="477" customFormat="false" ht="15" hidden="false" customHeight="false" outlineLevel="0" collapsed="false">
      <c r="A477" s="31" t="n">
        <v>42755.7916666667</v>
      </c>
      <c r="B477" s="32" t="n">
        <v>186.848</v>
      </c>
      <c r="D477" s="33" t="n">
        <f aca="false">WEEKDAY(A477,2)</f>
        <v>5</v>
      </c>
      <c r="E477" s="33" t="n">
        <f aca="false">HOUR(A477)+MINUTE(A477)/60</f>
        <v>19</v>
      </c>
      <c r="F477" s="33" t="n">
        <f aca="false">IF(OR(D477&gt;5,E477&lt;8,E477&gt;=18,COUNTIF($K$2:$K$10,INT(A477))&gt;0),1,0)</f>
        <v>1</v>
      </c>
      <c r="G477" s="34" t="n">
        <f aca="false">B477/1</f>
        <v>186.848</v>
      </c>
      <c r="H477" s="34" t="n">
        <f aca="false">IF(F477=1,G477,"")</f>
        <v>186.848</v>
      </c>
    </row>
    <row r="478" customFormat="false" ht="15" hidden="false" customHeight="false" outlineLevel="0" collapsed="false">
      <c r="A478" s="31" t="n">
        <v>42755.8333333333</v>
      </c>
      <c r="B478" s="32" t="n">
        <v>182.532</v>
      </c>
      <c r="D478" s="33" t="n">
        <f aca="false">WEEKDAY(A478,2)</f>
        <v>5</v>
      </c>
      <c r="E478" s="33" t="n">
        <f aca="false">HOUR(A478)+MINUTE(A478)/60</f>
        <v>20</v>
      </c>
      <c r="F478" s="33" t="n">
        <f aca="false">IF(OR(D478&gt;5,E478&lt;8,E478&gt;=18,COUNTIF($K$2:$K$10,INT(A478))&gt;0),1,0)</f>
        <v>1</v>
      </c>
      <c r="G478" s="34" t="n">
        <f aca="false">B478/1</f>
        <v>182.532</v>
      </c>
      <c r="H478" s="34" t="n">
        <f aca="false">IF(F478=1,G478,"")</f>
        <v>182.532</v>
      </c>
    </row>
    <row r="479" customFormat="false" ht="15" hidden="false" customHeight="false" outlineLevel="0" collapsed="false">
      <c r="A479" s="31" t="n">
        <v>42755.875</v>
      </c>
      <c r="B479" s="32" t="n">
        <v>180.788</v>
      </c>
      <c r="D479" s="33" t="n">
        <f aca="false">WEEKDAY(A479,2)</f>
        <v>5</v>
      </c>
      <c r="E479" s="33" t="n">
        <f aca="false">HOUR(A479)+MINUTE(A479)/60</f>
        <v>21</v>
      </c>
      <c r="F479" s="33" t="n">
        <f aca="false">IF(OR(D479&gt;5,E479&lt;8,E479&gt;=18,COUNTIF($K$2:$K$10,INT(A479))&gt;0),1,0)</f>
        <v>1</v>
      </c>
      <c r="G479" s="34" t="n">
        <f aca="false">B479/1</f>
        <v>180.788</v>
      </c>
      <c r="H479" s="34" t="n">
        <f aca="false">IF(F479=1,G479,"")</f>
        <v>180.788</v>
      </c>
    </row>
    <row r="480" customFormat="false" ht="15" hidden="false" customHeight="false" outlineLevel="0" collapsed="false">
      <c r="A480" s="31" t="n">
        <v>42755.9166666667</v>
      </c>
      <c r="B480" s="32" t="n">
        <v>125.453</v>
      </c>
      <c r="D480" s="33" t="n">
        <f aca="false">WEEKDAY(A480,2)</f>
        <v>5</v>
      </c>
      <c r="E480" s="33" t="n">
        <f aca="false">HOUR(A480)+MINUTE(A480)/60</f>
        <v>22</v>
      </c>
      <c r="F480" s="33" t="n">
        <f aca="false">IF(OR(D480&gt;5,E480&lt;8,E480&gt;=18,COUNTIF($K$2:$K$10,INT(A480))&gt;0),1,0)</f>
        <v>1</v>
      </c>
      <c r="G480" s="34" t="n">
        <f aca="false">B480/1</f>
        <v>125.453</v>
      </c>
      <c r="H480" s="34" t="n">
        <f aca="false">IF(F480=1,G480,"")</f>
        <v>125.453</v>
      </c>
    </row>
    <row r="481" customFormat="false" ht="15" hidden="false" customHeight="false" outlineLevel="0" collapsed="false">
      <c r="A481" s="31" t="n">
        <v>42755.9583333333</v>
      </c>
      <c r="B481" s="32" t="n">
        <v>71.82</v>
      </c>
      <c r="D481" s="33" t="n">
        <f aca="false">WEEKDAY(A481,2)</f>
        <v>5</v>
      </c>
      <c r="E481" s="33" t="n">
        <f aca="false">HOUR(A481)+MINUTE(A481)/60</f>
        <v>23</v>
      </c>
      <c r="F481" s="33" t="n">
        <f aca="false">IF(OR(D481&gt;5,E481&lt;8,E481&gt;=18,COUNTIF($K$2:$K$10,INT(A481))&gt;0),1,0)</f>
        <v>1</v>
      </c>
      <c r="G481" s="34" t="n">
        <f aca="false">B481/1</f>
        <v>71.82</v>
      </c>
      <c r="H481" s="34" t="n">
        <f aca="false">IF(F481=1,G481,"")</f>
        <v>71.82</v>
      </c>
    </row>
    <row r="482" customFormat="false" ht="15" hidden="false" customHeight="false" outlineLevel="0" collapsed="false">
      <c r="A482" s="31" t="n">
        <v>42756</v>
      </c>
      <c r="B482" s="32" t="n">
        <v>66.116</v>
      </c>
      <c r="D482" s="33" t="n">
        <f aca="false">WEEKDAY(A482,2)</f>
        <v>6</v>
      </c>
      <c r="E482" s="33" t="n">
        <f aca="false">HOUR(A482)+MINUTE(A482)/60</f>
        <v>0</v>
      </c>
      <c r="F482" s="33" t="n">
        <f aca="false">IF(OR(D482&gt;5,E482&lt;8,E482&gt;=18,COUNTIF($K$2:$K$10,INT(A482))&gt;0),1,0)</f>
        <v>1</v>
      </c>
      <c r="G482" s="34" t="n">
        <f aca="false">B482/1</f>
        <v>66.116</v>
      </c>
      <c r="H482" s="34" t="n">
        <f aca="false">IF(F482=1,G482,"")</f>
        <v>66.116</v>
      </c>
    </row>
    <row r="483" customFormat="false" ht="15" hidden="false" customHeight="false" outlineLevel="0" collapsed="false">
      <c r="A483" s="31" t="n">
        <v>42756.0416666667</v>
      </c>
      <c r="B483" s="32" t="n">
        <v>59.544</v>
      </c>
      <c r="D483" s="33" t="n">
        <f aca="false">WEEKDAY(A483,2)</f>
        <v>6</v>
      </c>
      <c r="E483" s="33" t="n">
        <f aca="false">HOUR(A483)+MINUTE(A483)/60</f>
        <v>1</v>
      </c>
      <c r="F483" s="33" t="n">
        <f aca="false">IF(OR(D483&gt;5,E483&lt;8,E483&gt;=18,COUNTIF($K$2:$K$10,INT(A483))&gt;0),1,0)</f>
        <v>1</v>
      </c>
      <c r="G483" s="34" t="n">
        <f aca="false">B483/1</f>
        <v>59.544</v>
      </c>
      <c r="H483" s="34" t="n">
        <f aca="false">IF(F483=1,G483,"")</f>
        <v>59.544</v>
      </c>
    </row>
    <row r="484" customFormat="false" ht="15" hidden="false" customHeight="false" outlineLevel="0" collapsed="false">
      <c r="A484" s="31" t="n">
        <v>42756.0833333333</v>
      </c>
      <c r="B484" s="32" t="n">
        <v>57.428</v>
      </c>
      <c r="D484" s="33" t="n">
        <f aca="false">WEEKDAY(A484,2)</f>
        <v>6</v>
      </c>
      <c r="E484" s="33" t="n">
        <f aca="false">HOUR(A484)+MINUTE(A484)/60</f>
        <v>2</v>
      </c>
      <c r="F484" s="33" t="n">
        <f aca="false">IF(OR(D484&gt;5,E484&lt;8,E484&gt;=18,COUNTIF($K$2:$K$10,INT(A484))&gt;0),1,0)</f>
        <v>1</v>
      </c>
      <c r="G484" s="34" t="n">
        <f aca="false">B484/1</f>
        <v>57.428</v>
      </c>
      <c r="H484" s="34" t="n">
        <f aca="false">IF(F484=1,G484,"")</f>
        <v>57.428</v>
      </c>
    </row>
    <row r="485" customFormat="false" ht="15" hidden="false" customHeight="false" outlineLevel="0" collapsed="false">
      <c r="A485" s="31" t="n">
        <v>42756.125</v>
      </c>
      <c r="B485" s="32" t="n">
        <v>62.427</v>
      </c>
      <c r="D485" s="33" t="n">
        <f aca="false">WEEKDAY(A485,2)</f>
        <v>6</v>
      </c>
      <c r="E485" s="33" t="n">
        <f aca="false">HOUR(A485)+MINUTE(A485)/60</f>
        <v>3</v>
      </c>
      <c r="F485" s="33" t="n">
        <f aca="false">IF(OR(D485&gt;5,E485&lt;8,E485&gt;=18,COUNTIF($K$2:$K$10,INT(A485))&gt;0),1,0)</f>
        <v>1</v>
      </c>
      <c r="G485" s="34" t="n">
        <f aca="false">B485/1</f>
        <v>62.427</v>
      </c>
      <c r="H485" s="34" t="n">
        <f aca="false">IF(F485=1,G485,"")</f>
        <v>62.427</v>
      </c>
    </row>
    <row r="486" customFormat="false" ht="15" hidden="false" customHeight="false" outlineLevel="0" collapsed="false">
      <c r="A486" s="31" t="n">
        <v>42756.1666666667</v>
      </c>
      <c r="B486" s="32" t="n">
        <v>61.813</v>
      </c>
      <c r="D486" s="33" t="n">
        <f aca="false">WEEKDAY(A486,2)</f>
        <v>6</v>
      </c>
      <c r="E486" s="33" t="n">
        <f aca="false">HOUR(A486)+MINUTE(A486)/60</f>
        <v>4</v>
      </c>
      <c r="F486" s="33" t="n">
        <f aca="false">IF(OR(D486&gt;5,E486&lt;8,E486&gt;=18,COUNTIF($K$2:$K$10,INT(A486))&gt;0),1,0)</f>
        <v>1</v>
      </c>
      <c r="G486" s="34" t="n">
        <f aca="false">B486/1</f>
        <v>61.813</v>
      </c>
      <c r="H486" s="34" t="n">
        <f aca="false">IF(F486=1,G486,"")</f>
        <v>61.813</v>
      </c>
    </row>
    <row r="487" customFormat="false" ht="15" hidden="false" customHeight="false" outlineLevel="0" collapsed="false">
      <c r="A487" s="31" t="n">
        <v>42756.2083333333</v>
      </c>
      <c r="B487" s="32" t="n">
        <v>57.155</v>
      </c>
      <c r="D487" s="33" t="n">
        <f aca="false">WEEKDAY(A487,2)</f>
        <v>6</v>
      </c>
      <c r="E487" s="33" t="n">
        <f aca="false">HOUR(A487)+MINUTE(A487)/60</f>
        <v>5</v>
      </c>
      <c r="F487" s="33" t="n">
        <f aca="false">IF(OR(D487&gt;5,E487&lt;8,E487&gt;=18,COUNTIF($K$2:$K$10,INT(A487))&gt;0),1,0)</f>
        <v>1</v>
      </c>
      <c r="G487" s="34" t="n">
        <f aca="false">B487/1</f>
        <v>57.155</v>
      </c>
      <c r="H487" s="34" t="n">
        <f aca="false">IF(F487=1,G487,"")</f>
        <v>57.155</v>
      </c>
    </row>
    <row r="488" customFormat="false" ht="15" hidden="false" customHeight="false" outlineLevel="0" collapsed="false">
      <c r="A488" s="31" t="n">
        <v>42756.25</v>
      </c>
      <c r="B488" s="32" t="n">
        <v>60.828</v>
      </c>
      <c r="D488" s="33" t="n">
        <f aca="false">WEEKDAY(A488,2)</f>
        <v>6</v>
      </c>
      <c r="E488" s="33" t="n">
        <f aca="false">HOUR(A488)+MINUTE(A488)/60</f>
        <v>6</v>
      </c>
      <c r="F488" s="33" t="n">
        <f aca="false">IF(OR(D488&gt;5,E488&lt;8,E488&gt;=18,COUNTIF($K$2:$K$10,INT(A488))&gt;0),1,0)</f>
        <v>1</v>
      </c>
      <c r="G488" s="34" t="n">
        <f aca="false">B488/1</f>
        <v>60.828</v>
      </c>
      <c r="H488" s="34" t="n">
        <f aca="false">IF(F488=1,G488,"")</f>
        <v>60.828</v>
      </c>
    </row>
    <row r="489" customFormat="false" ht="15" hidden="false" customHeight="false" outlineLevel="0" collapsed="false">
      <c r="A489" s="31" t="n">
        <v>42756.2916666667</v>
      </c>
      <c r="B489" s="32" t="n">
        <v>61.444</v>
      </c>
      <c r="D489" s="33" t="n">
        <f aca="false">WEEKDAY(A489,2)</f>
        <v>6</v>
      </c>
      <c r="E489" s="33" t="n">
        <f aca="false">HOUR(A489)+MINUTE(A489)/60</f>
        <v>7</v>
      </c>
      <c r="F489" s="33" t="n">
        <f aca="false">IF(OR(D489&gt;5,E489&lt;8,E489&gt;=18,COUNTIF($K$2:$K$10,INT(A489))&gt;0),1,0)</f>
        <v>1</v>
      </c>
      <c r="G489" s="34" t="n">
        <f aca="false">B489/1</f>
        <v>61.444</v>
      </c>
      <c r="H489" s="34" t="n">
        <f aca="false">IF(F489=1,G489,"")</f>
        <v>61.444</v>
      </c>
    </row>
    <row r="490" customFormat="false" ht="15" hidden="false" customHeight="false" outlineLevel="0" collapsed="false">
      <c r="A490" s="31" t="n">
        <v>42756.3333333333</v>
      </c>
      <c r="B490" s="32" t="n">
        <v>121.618</v>
      </c>
      <c r="D490" s="33" t="n">
        <f aca="false">WEEKDAY(A490,2)</f>
        <v>6</v>
      </c>
      <c r="E490" s="33" t="n">
        <f aca="false">HOUR(A490)+MINUTE(A490)/60</f>
        <v>8</v>
      </c>
      <c r="F490" s="33" t="n">
        <f aca="false">IF(OR(D490&gt;5,E490&lt;8,E490&gt;=18,COUNTIF($K$2:$K$10,INT(A490))&gt;0),1,0)</f>
        <v>1</v>
      </c>
      <c r="G490" s="34" t="n">
        <f aca="false">B490/1</f>
        <v>121.618</v>
      </c>
      <c r="H490" s="34" t="n">
        <f aca="false">IF(F490=1,G490,"")</f>
        <v>121.618</v>
      </c>
    </row>
    <row r="491" customFormat="false" ht="15" hidden="false" customHeight="false" outlineLevel="0" collapsed="false">
      <c r="A491" s="31" t="n">
        <v>42756.375</v>
      </c>
      <c r="B491" s="32" t="n">
        <v>168.944</v>
      </c>
      <c r="D491" s="33" t="n">
        <f aca="false">WEEKDAY(A491,2)</f>
        <v>6</v>
      </c>
      <c r="E491" s="33" t="n">
        <f aca="false">HOUR(A491)+MINUTE(A491)/60</f>
        <v>9</v>
      </c>
      <c r="F491" s="33" t="n">
        <f aca="false">IF(OR(D491&gt;5,E491&lt;8,E491&gt;=18,COUNTIF($K$2:$K$10,INT(A491))&gt;0),1,0)</f>
        <v>1</v>
      </c>
      <c r="G491" s="34" t="n">
        <f aca="false">B491/1</f>
        <v>168.944</v>
      </c>
      <c r="H491" s="34" t="n">
        <f aca="false">IF(F491=1,G491,"")</f>
        <v>168.944</v>
      </c>
    </row>
    <row r="492" customFormat="false" ht="15" hidden="false" customHeight="false" outlineLevel="0" collapsed="false">
      <c r="A492" s="31" t="n">
        <v>42756.4166666667</v>
      </c>
      <c r="B492" s="32" t="n">
        <v>164.547</v>
      </c>
      <c r="D492" s="33" t="n">
        <f aca="false">WEEKDAY(A492,2)</f>
        <v>6</v>
      </c>
      <c r="E492" s="33" t="n">
        <f aca="false">HOUR(A492)+MINUTE(A492)/60</f>
        <v>10</v>
      </c>
      <c r="F492" s="33" t="n">
        <f aca="false">IF(OR(D492&gt;5,E492&lt;8,E492&gt;=18,COUNTIF($K$2:$K$10,INT(A492))&gt;0),1,0)</f>
        <v>1</v>
      </c>
      <c r="G492" s="34" t="n">
        <f aca="false">B492/1</f>
        <v>164.547</v>
      </c>
      <c r="H492" s="34" t="n">
        <f aca="false">IF(F492=1,G492,"")</f>
        <v>164.547</v>
      </c>
    </row>
    <row r="493" customFormat="false" ht="15" hidden="false" customHeight="false" outlineLevel="0" collapsed="false">
      <c r="A493" s="31" t="n">
        <v>42756.4583333333</v>
      </c>
      <c r="B493" s="32" t="n">
        <v>170.514</v>
      </c>
      <c r="D493" s="33" t="n">
        <f aca="false">WEEKDAY(A493,2)</f>
        <v>6</v>
      </c>
      <c r="E493" s="33" t="n">
        <f aca="false">HOUR(A493)+MINUTE(A493)/60</f>
        <v>11</v>
      </c>
      <c r="F493" s="33" t="n">
        <f aca="false">IF(OR(D493&gt;5,E493&lt;8,E493&gt;=18,COUNTIF($K$2:$K$10,INT(A493))&gt;0),1,0)</f>
        <v>1</v>
      </c>
      <c r="G493" s="34" t="n">
        <f aca="false">B493/1</f>
        <v>170.514</v>
      </c>
      <c r="H493" s="34" t="n">
        <f aca="false">IF(F493=1,G493,"")</f>
        <v>170.514</v>
      </c>
    </row>
    <row r="494" customFormat="false" ht="15" hidden="false" customHeight="false" outlineLevel="0" collapsed="false">
      <c r="A494" s="31" t="n">
        <v>42756.5</v>
      </c>
      <c r="B494" s="32" t="n">
        <v>168.143</v>
      </c>
      <c r="D494" s="33" t="n">
        <f aca="false">WEEKDAY(A494,2)</f>
        <v>6</v>
      </c>
      <c r="E494" s="33" t="n">
        <f aca="false">HOUR(A494)+MINUTE(A494)/60</f>
        <v>12</v>
      </c>
      <c r="F494" s="33" t="n">
        <f aca="false">IF(OR(D494&gt;5,E494&lt;8,E494&gt;=18,COUNTIF($K$2:$K$10,INT(A494))&gt;0),1,0)</f>
        <v>1</v>
      </c>
      <c r="G494" s="34" t="n">
        <f aca="false">B494/1</f>
        <v>168.143</v>
      </c>
      <c r="H494" s="34" t="n">
        <f aca="false">IF(F494=1,G494,"")</f>
        <v>168.143</v>
      </c>
    </row>
    <row r="495" customFormat="false" ht="15" hidden="false" customHeight="false" outlineLevel="0" collapsed="false">
      <c r="A495" s="31" t="n">
        <v>42756.5416666667</v>
      </c>
      <c r="B495" s="32" t="n">
        <v>173.201</v>
      </c>
      <c r="D495" s="33" t="n">
        <f aca="false">WEEKDAY(A495,2)</f>
        <v>6</v>
      </c>
      <c r="E495" s="33" t="n">
        <f aca="false">HOUR(A495)+MINUTE(A495)/60</f>
        <v>13</v>
      </c>
      <c r="F495" s="33" t="n">
        <f aca="false">IF(OR(D495&gt;5,E495&lt;8,E495&gt;=18,COUNTIF($K$2:$K$10,INT(A495))&gt;0),1,0)</f>
        <v>1</v>
      </c>
      <c r="G495" s="34" t="n">
        <f aca="false">B495/1</f>
        <v>173.201</v>
      </c>
      <c r="H495" s="34" t="n">
        <f aca="false">IF(F495=1,G495,"")</f>
        <v>173.201</v>
      </c>
    </row>
    <row r="496" customFormat="false" ht="15" hidden="false" customHeight="false" outlineLevel="0" collapsed="false">
      <c r="A496" s="31" t="n">
        <v>42756.5833333333</v>
      </c>
      <c r="B496" s="32" t="n">
        <v>178.838</v>
      </c>
      <c r="D496" s="33" t="n">
        <f aca="false">WEEKDAY(A496,2)</f>
        <v>6</v>
      </c>
      <c r="E496" s="33" t="n">
        <f aca="false">HOUR(A496)+MINUTE(A496)/60</f>
        <v>14</v>
      </c>
      <c r="F496" s="33" t="n">
        <f aca="false">IF(OR(D496&gt;5,E496&lt;8,E496&gt;=18,COUNTIF($K$2:$K$10,INT(A496))&gt;0),1,0)</f>
        <v>1</v>
      </c>
      <c r="G496" s="34" t="n">
        <f aca="false">B496/1</f>
        <v>178.838</v>
      </c>
      <c r="H496" s="34" t="n">
        <f aca="false">IF(F496=1,G496,"")</f>
        <v>178.838</v>
      </c>
    </row>
    <row r="497" customFormat="false" ht="15" hidden="false" customHeight="false" outlineLevel="0" collapsed="false">
      <c r="A497" s="31" t="n">
        <v>42756.625</v>
      </c>
      <c r="B497" s="32" t="n">
        <v>174.712</v>
      </c>
      <c r="D497" s="33" t="n">
        <f aca="false">WEEKDAY(A497,2)</f>
        <v>6</v>
      </c>
      <c r="E497" s="33" t="n">
        <f aca="false">HOUR(A497)+MINUTE(A497)/60</f>
        <v>15</v>
      </c>
      <c r="F497" s="33" t="n">
        <f aca="false">IF(OR(D497&gt;5,E497&lt;8,E497&gt;=18,COUNTIF($K$2:$K$10,INT(A497))&gt;0),1,0)</f>
        <v>1</v>
      </c>
      <c r="G497" s="34" t="n">
        <f aca="false">B497/1</f>
        <v>174.712</v>
      </c>
      <c r="H497" s="34" t="n">
        <f aca="false">IF(F497=1,G497,"")</f>
        <v>174.712</v>
      </c>
    </row>
    <row r="498" customFormat="false" ht="15" hidden="false" customHeight="false" outlineLevel="0" collapsed="false">
      <c r="A498" s="31" t="n">
        <v>42756.6666666667</v>
      </c>
      <c r="B498" s="32" t="n">
        <v>176.592</v>
      </c>
      <c r="D498" s="33" t="n">
        <f aca="false">WEEKDAY(A498,2)</f>
        <v>6</v>
      </c>
      <c r="E498" s="33" t="n">
        <f aca="false">HOUR(A498)+MINUTE(A498)/60</f>
        <v>16</v>
      </c>
      <c r="F498" s="33" t="n">
        <f aca="false">IF(OR(D498&gt;5,E498&lt;8,E498&gt;=18,COUNTIF($K$2:$K$10,INT(A498))&gt;0),1,0)</f>
        <v>1</v>
      </c>
      <c r="G498" s="34" t="n">
        <f aca="false">B498/1</f>
        <v>176.592</v>
      </c>
      <c r="H498" s="34" t="n">
        <f aca="false">IF(F498=1,G498,"")</f>
        <v>176.592</v>
      </c>
    </row>
    <row r="499" customFormat="false" ht="15" hidden="false" customHeight="false" outlineLevel="0" collapsed="false">
      <c r="A499" s="31" t="n">
        <v>42756.7083333333</v>
      </c>
      <c r="B499" s="32" t="n">
        <v>142.955</v>
      </c>
      <c r="D499" s="33" t="n">
        <f aca="false">WEEKDAY(A499,2)</f>
        <v>6</v>
      </c>
      <c r="E499" s="33" t="n">
        <f aca="false">HOUR(A499)+MINUTE(A499)/60</f>
        <v>17</v>
      </c>
      <c r="F499" s="33" t="n">
        <f aca="false">IF(OR(D499&gt;5,E499&lt;8,E499&gt;=18,COUNTIF($K$2:$K$10,INT(A499))&gt;0),1,0)</f>
        <v>1</v>
      </c>
      <c r="G499" s="34" t="n">
        <f aca="false">B499/1</f>
        <v>142.955</v>
      </c>
      <c r="H499" s="34" t="n">
        <f aca="false">IF(F499=1,G499,"")</f>
        <v>142.955</v>
      </c>
    </row>
    <row r="500" customFormat="false" ht="15" hidden="false" customHeight="false" outlineLevel="0" collapsed="false">
      <c r="A500" s="31" t="n">
        <v>42756.75</v>
      </c>
      <c r="B500" s="32" t="n">
        <v>77.712</v>
      </c>
      <c r="D500" s="33" t="n">
        <f aca="false">WEEKDAY(A500,2)</f>
        <v>6</v>
      </c>
      <c r="E500" s="33" t="n">
        <f aca="false">HOUR(A500)+MINUTE(A500)/60</f>
        <v>18</v>
      </c>
      <c r="F500" s="33" t="n">
        <f aca="false">IF(OR(D500&gt;5,E500&lt;8,E500&gt;=18,COUNTIF($K$2:$K$10,INT(A500))&gt;0),1,0)</f>
        <v>1</v>
      </c>
      <c r="G500" s="34" t="n">
        <f aca="false">B500/1</f>
        <v>77.712</v>
      </c>
      <c r="H500" s="34" t="n">
        <f aca="false">IF(F500=1,G500,"")</f>
        <v>77.712</v>
      </c>
    </row>
    <row r="501" customFormat="false" ht="15" hidden="false" customHeight="false" outlineLevel="0" collapsed="false">
      <c r="A501" s="31" t="n">
        <v>42756.7916666667</v>
      </c>
      <c r="B501" s="32" t="n">
        <v>61.27</v>
      </c>
      <c r="D501" s="33" t="n">
        <f aca="false">WEEKDAY(A501,2)</f>
        <v>6</v>
      </c>
      <c r="E501" s="33" t="n">
        <f aca="false">HOUR(A501)+MINUTE(A501)/60</f>
        <v>19</v>
      </c>
      <c r="F501" s="33" t="n">
        <f aca="false">IF(OR(D501&gt;5,E501&lt;8,E501&gt;=18,COUNTIF($K$2:$K$10,INT(A501))&gt;0),1,0)</f>
        <v>1</v>
      </c>
      <c r="G501" s="34" t="n">
        <f aca="false">B501/1</f>
        <v>61.27</v>
      </c>
      <c r="H501" s="34" t="n">
        <f aca="false">IF(F501=1,G501,"")</f>
        <v>61.27</v>
      </c>
    </row>
    <row r="502" customFormat="false" ht="15" hidden="false" customHeight="false" outlineLevel="0" collapsed="false">
      <c r="A502" s="31" t="n">
        <v>42756.8333333333</v>
      </c>
      <c r="B502" s="32" t="n">
        <v>57.276</v>
      </c>
      <c r="D502" s="33" t="n">
        <f aca="false">WEEKDAY(A502,2)</f>
        <v>6</v>
      </c>
      <c r="E502" s="33" t="n">
        <f aca="false">HOUR(A502)+MINUTE(A502)/60</f>
        <v>20</v>
      </c>
      <c r="F502" s="33" t="n">
        <f aca="false">IF(OR(D502&gt;5,E502&lt;8,E502&gt;=18,COUNTIF($K$2:$K$10,INT(A502))&gt;0),1,0)</f>
        <v>1</v>
      </c>
      <c r="G502" s="34" t="n">
        <f aca="false">B502/1</f>
        <v>57.276</v>
      </c>
      <c r="H502" s="34" t="n">
        <f aca="false">IF(F502=1,G502,"")</f>
        <v>57.276</v>
      </c>
    </row>
    <row r="503" customFormat="false" ht="15" hidden="false" customHeight="false" outlineLevel="0" collapsed="false">
      <c r="A503" s="31" t="n">
        <v>42756.875</v>
      </c>
      <c r="B503" s="32" t="n">
        <v>62.14</v>
      </c>
      <c r="D503" s="33" t="n">
        <f aca="false">WEEKDAY(A503,2)</f>
        <v>6</v>
      </c>
      <c r="E503" s="33" t="n">
        <f aca="false">HOUR(A503)+MINUTE(A503)/60</f>
        <v>21</v>
      </c>
      <c r="F503" s="33" t="n">
        <f aca="false">IF(OR(D503&gt;5,E503&lt;8,E503&gt;=18,COUNTIF($K$2:$K$10,INT(A503))&gt;0),1,0)</f>
        <v>1</v>
      </c>
      <c r="G503" s="34" t="n">
        <f aca="false">B503/1</f>
        <v>62.14</v>
      </c>
      <c r="H503" s="34" t="n">
        <f aca="false">IF(F503=1,G503,"")</f>
        <v>62.14</v>
      </c>
    </row>
    <row r="504" customFormat="false" ht="15" hidden="false" customHeight="false" outlineLevel="0" collapsed="false">
      <c r="A504" s="31" t="n">
        <v>42756.9166666667</v>
      </c>
      <c r="B504" s="32" t="n">
        <v>61.976</v>
      </c>
      <c r="D504" s="33" t="n">
        <f aca="false">WEEKDAY(A504,2)</f>
        <v>6</v>
      </c>
      <c r="E504" s="33" t="n">
        <f aca="false">HOUR(A504)+MINUTE(A504)/60</f>
        <v>22</v>
      </c>
      <c r="F504" s="33" t="n">
        <f aca="false">IF(OR(D504&gt;5,E504&lt;8,E504&gt;=18,COUNTIF($K$2:$K$10,INT(A504))&gt;0),1,0)</f>
        <v>1</v>
      </c>
      <c r="G504" s="34" t="n">
        <f aca="false">B504/1</f>
        <v>61.976</v>
      </c>
      <c r="H504" s="34" t="n">
        <f aca="false">IF(F504=1,G504,"")</f>
        <v>61.976</v>
      </c>
    </row>
    <row r="505" customFormat="false" ht="15" hidden="false" customHeight="false" outlineLevel="0" collapsed="false">
      <c r="A505" s="31" t="n">
        <v>42756.9583333333</v>
      </c>
      <c r="B505" s="32" t="n">
        <v>60.628</v>
      </c>
      <c r="D505" s="33" t="n">
        <f aca="false">WEEKDAY(A505,2)</f>
        <v>6</v>
      </c>
      <c r="E505" s="33" t="n">
        <f aca="false">HOUR(A505)+MINUTE(A505)/60</f>
        <v>23</v>
      </c>
      <c r="F505" s="33" t="n">
        <f aca="false">IF(OR(D505&gt;5,E505&lt;8,E505&gt;=18,COUNTIF($K$2:$K$10,INT(A505))&gt;0),1,0)</f>
        <v>1</v>
      </c>
      <c r="G505" s="34" t="n">
        <f aca="false">B505/1</f>
        <v>60.628</v>
      </c>
      <c r="H505" s="34" t="n">
        <f aca="false">IF(F505=1,G505,"")</f>
        <v>60.628</v>
      </c>
    </row>
    <row r="506" customFormat="false" ht="15" hidden="false" customHeight="false" outlineLevel="0" collapsed="false">
      <c r="A506" s="31" t="n">
        <v>42757</v>
      </c>
      <c r="B506" s="32" t="n">
        <v>56.333</v>
      </c>
      <c r="D506" s="33" t="n">
        <f aca="false">WEEKDAY(A506,2)</f>
        <v>7</v>
      </c>
      <c r="E506" s="33" t="n">
        <f aca="false">HOUR(A506)+MINUTE(A506)/60</f>
        <v>0</v>
      </c>
      <c r="F506" s="33" t="n">
        <f aca="false">IF(OR(D506&gt;5,E506&lt;8,E506&gt;=18,COUNTIF($K$2:$K$10,INT(A506))&gt;0),1,0)</f>
        <v>1</v>
      </c>
      <c r="G506" s="34" t="n">
        <f aca="false">B506/1</f>
        <v>56.333</v>
      </c>
      <c r="H506" s="34" t="n">
        <f aca="false">IF(F506=1,G506,"")</f>
        <v>56.333</v>
      </c>
    </row>
    <row r="507" customFormat="false" ht="15" hidden="false" customHeight="false" outlineLevel="0" collapsed="false">
      <c r="A507" s="31" t="n">
        <v>42757.0416666667</v>
      </c>
      <c r="B507" s="32" t="n">
        <v>60.732</v>
      </c>
      <c r="D507" s="33" t="n">
        <f aca="false">WEEKDAY(A507,2)</f>
        <v>7</v>
      </c>
      <c r="E507" s="33" t="n">
        <f aca="false">HOUR(A507)+MINUTE(A507)/60</f>
        <v>1</v>
      </c>
      <c r="F507" s="33" t="n">
        <f aca="false">IF(OR(D507&gt;5,E507&lt;8,E507&gt;=18,COUNTIF($K$2:$K$10,INT(A507))&gt;0),1,0)</f>
        <v>1</v>
      </c>
      <c r="G507" s="34" t="n">
        <f aca="false">B507/1</f>
        <v>60.732</v>
      </c>
      <c r="H507" s="34" t="n">
        <f aca="false">IF(F507=1,G507,"")</f>
        <v>60.732</v>
      </c>
    </row>
    <row r="508" customFormat="false" ht="15" hidden="false" customHeight="false" outlineLevel="0" collapsed="false">
      <c r="A508" s="31" t="n">
        <v>42757.0833333333</v>
      </c>
      <c r="B508" s="32" t="n">
        <v>61.376</v>
      </c>
      <c r="D508" s="33" t="n">
        <f aca="false">WEEKDAY(A508,2)</f>
        <v>7</v>
      </c>
      <c r="E508" s="33" t="n">
        <f aca="false">HOUR(A508)+MINUTE(A508)/60</f>
        <v>2</v>
      </c>
      <c r="F508" s="33" t="n">
        <f aca="false">IF(OR(D508&gt;5,E508&lt;8,E508&gt;=18,COUNTIF($K$2:$K$10,INT(A508))&gt;0),1,0)</f>
        <v>1</v>
      </c>
      <c r="G508" s="34" t="n">
        <f aca="false">B508/1</f>
        <v>61.376</v>
      </c>
      <c r="H508" s="34" t="n">
        <f aca="false">IF(F508=1,G508,"")</f>
        <v>61.376</v>
      </c>
    </row>
    <row r="509" customFormat="false" ht="15" hidden="false" customHeight="false" outlineLevel="0" collapsed="false">
      <c r="A509" s="31" t="n">
        <v>42757.125</v>
      </c>
      <c r="B509" s="32" t="n">
        <v>57.556</v>
      </c>
      <c r="D509" s="33" t="n">
        <f aca="false">WEEKDAY(A509,2)</f>
        <v>7</v>
      </c>
      <c r="E509" s="33" t="n">
        <f aca="false">HOUR(A509)+MINUTE(A509)/60</f>
        <v>3</v>
      </c>
      <c r="F509" s="33" t="n">
        <f aca="false">IF(OR(D509&gt;5,E509&lt;8,E509&gt;=18,COUNTIF($K$2:$K$10,INT(A509))&gt;0),1,0)</f>
        <v>1</v>
      </c>
      <c r="G509" s="34" t="n">
        <f aca="false">B509/1</f>
        <v>57.556</v>
      </c>
      <c r="H509" s="34" t="n">
        <f aca="false">IF(F509=1,G509,"")</f>
        <v>57.556</v>
      </c>
    </row>
    <row r="510" customFormat="false" ht="15" hidden="false" customHeight="false" outlineLevel="0" collapsed="false">
      <c r="A510" s="31" t="n">
        <v>42757.1666666667</v>
      </c>
      <c r="B510" s="32" t="n">
        <v>60.323</v>
      </c>
      <c r="D510" s="33" t="n">
        <f aca="false">WEEKDAY(A510,2)</f>
        <v>7</v>
      </c>
      <c r="E510" s="33" t="n">
        <f aca="false">HOUR(A510)+MINUTE(A510)/60</f>
        <v>4</v>
      </c>
      <c r="F510" s="33" t="n">
        <f aca="false">IF(OR(D510&gt;5,E510&lt;8,E510&gt;=18,COUNTIF($K$2:$K$10,INT(A510))&gt;0),1,0)</f>
        <v>1</v>
      </c>
      <c r="G510" s="34" t="n">
        <f aca="false">B510/1</f>
        <v>60.323</v>
      </c>
      <c r="H510" s="34" t="n">
        <f aca="false">IF(F510=1,G510,"")</f>
        <v>60.323</v>
      </c>
    </row>
    <row r="511" customFormat="false" ht="15" hidden="false" customHeight="false" outlineLevel="0" collapsed="false">
      <c r="A511" s="31" t="n">
        <v>42757.2083333333</v>
      </c>
      <c r="B511" s="32" t="n">
        <v>61.763</v>
      </c>
      <c r="D511" s="33" t="n">
        <f aca="false">WEEKDAY(A511,2)</f>
        <v>7</v>
      </c>
      <c r="E511" s="33" t="n">
        <f aca="false">HOUR(A511)+MINUTE(A511)/60</f>
        <v>5</v>
      </c>
      <c r="F511" s="33" t="n">
        <f aca="false">IF(OR(D511&gt;5,E511&lt;8,E511&gt;=18,COUNTIF($K$2:$K$10,INT(A511))&gt;0),1,0)</f>
        <v>1</v>
      </c>
      <c r="G511" s="34" t="n">
        <f aca="false">B511/1</f>
        <v>61.763</v>
      </c>
      <c r="H511" s="34" t="n">
        <f aca="false">IF(F511=1,G511,"")</f>
        <v>61.763</v>
      </c>
    </row>
    <row r="512" customFormat="false" ht="15" hidden="false" customHeight="false" outlineLevel="0" collapsed="false">
      <c r="A512" s="31" t="n">
        <v>42757.25</v>
      </c>
      <c r="B512" s="32" t="n">
        <v>58.488</v>
      </c>
      <c r="D512" s="33" t="n">
        <f aca="false">WEEKDAY(A512,2)</f>
        <v>7</v>
      </c>
      <c r="E512" s="33" t="n">
        <f aca="false">HOUR(A512)+MINUTE(A512)/60</f>
        <v>6</v>
      </c>
      <c r="F512" s="33" t="n">
        <f aca="false">IF(OR(D512&gt;5,E512&lt;8,E512&gt;=18,COUNTIF($K$2:$K$10,INT(A512))&gt;0),1,0)</f>
        <v>1</v>
      </c>
      <c r="G512" s="34" t="n">
        <f aca="false">B512/1</f>
        <v>58.488</v>
      </c>
      <c r="H512" s="34" t="n">
        <f aca="false">IF(F512=1,G512,"")</f>
        <v>58.488</v>
      </c>
    </row>
    <row r="513" customFormat="false" ht="15" hidden="false" customHeight="false" outlineLevel="0" collapsed="false">
      <c r="A513" s="31" t="n">
        <v>42757.2916666667</v>
      </c>
      <c r="B513" s="32" t="n">
        <v>60.576</v>
      </c>
      <c r="D513" s="33" t="n">
        <f aca="false">WEEKDAY(A513,2)</f>
        <v>7</v>
      </c>
      <c r="E513" s="33" t="n">
        <f aca="false">HOUR(A513)+MINUTE(A513)/60</f>
        <v>7</v>
      </c>
      <c r="F513" s="33" t="n">
        <f aca="false">IF(OR(D513&gt;5,E513&lt;8,E513&gt;=18,COUNTIF($K$2:$K$10,INT(A513))&gt;0),1,0)</f>
        <v>1</v>
      </c>
      <c r="G513" s="34" t="n">
        <f aca="false">B513/1</f>
        <v>60.576</v>
      </c>
      <c r="H513" s="34" t="n">
        <f aca="false">IF(F513=1,G513,"")</f>
        <v>60.576</v>
      </c>
    </row>
    <row r="514" customFormat="false" ht="15" hidden="false" customHeight="false" outlineLevel="0" collapsed="false">
      <c r="A514" s="31" t="n">
        <v>42757.3333333333</v>
      </c>
      <c r="B514" s="32" t="n">
        <v>62.111</v>
      </c>
      <c r="D514" s="33" t="n">
        <f aca="false">WEEKDAY(A514,2)</f>
        <v>7</v>
      </c>
      <c r="E514" s="33" t="n">
        <f aca="false">HOUR(A514)+MINUTE(A514)/60</f>
        <v>8</v>
      </c>
      <c r="F514" s="33" t="n">
        <f aca="false">IF(OR(D514&gt;5,E514&lt;8,E514&gt;=18,COUNTIF($K$2:$K$10,INT(A514))&gt;0),1,0)</f>
        <v>1</v>
      </c>
      <c r="G514" s="34" t="n">
        <f aca="false">B514/1</f>
        <v>62.111</v>
      </c>
      <c r="H514" s="34" t="n">
        <f aca="false">IF(F514=1,G514,"")</f>
        <v>62.111</v>
      </c>
    </row>
    <row r="515" customFormat="false" ht="15" hidden="false" customHeight="false" outlineLevel="0" collapsed="false">
      <c r="A515" s="31" t="n">
        <v>42757.375</v>
      </c>
      <c r="B515" s="32" t="n">
        <v>61.932</v>
      </c>
      <c r="D515" s="33" t="n">
        <f aca="false">WEEKDAY(A515,2)</f>
        <v>7</v>
      </c>
      <c r="E515" s="33" t="n">
        <f aca="false">HOUR(A515)+MINUTE(A515)/60</f>
        <v>9</v>
      </c>
      <c r="F515" s="33" t="n">
        <f aca="false">IF(OR(D515&gt;5,E515&lt;8,E515&gt;=18,COUNTIF($K$2:$K$10,INT(A515))&gt;0),1,0)</f>
        <v>1</v>
      </c>
      <c r="G515" s="34" t="n">
        <f aca="false">B515/1</f>
        <v>61.932</v>
      </c>
      <c r="H515" s="34" t="n">
        <f aca="false">IF(F515=1,G515,"")</f>
        <v>61.932</v>
      </c>
    </row>
    <row r="516" customFormat="false" ht="15" hidden="false" customHeight="false" outlineLevel="0" collapsed="false">
      <c r="A516" s="31" t="n">
        <v>42757.4166666667</v>
      </c>
      <c r="B516" s="32" t="n">
        <v>53.906</v>
      </c>
      <c r="D516" s="33" t="n">
        <f aca="false">WEEKDAY(A516,2)</f>
        <v>7</v>
      </c>
      <c r="E516" s="33" t="n">
        <f aca="false">HOUR(A516)+MINUTE(A516)/60</f>
        <v>10</v>
      </c>
      <c r="F516" s="33" t="n">
        <f aca="false">IF(OR(D516&gt;5,E516&lt;8,E516&gt;=18,COUNTIF($K$2:$K$10,INT(A516))&gt;0),1,0)</f>
        <v>1</v>
      </c>
      <c r="G516" s="34" t="n">
        <f aca="false">B516/1</f>
        <v>53.906</v>
      </c>
      <c r="H516" s="34" t="n">
        <f aca="false">IF(F516=1,G516,"")</f>
        <v>53.906</v>
      </c>
    </row>
    <row r="517" customFormat="false" ht="15" hidden="false" customHeight="false" outlineLevel="0" collapsed="false">
      <c r="A517" s="31" t="n">
        <v>42757.4583333333</v>
      </c>
      <c r="B517" s="32" t="n">
        <v>61.261</v>
      </c>
      <c r="D517" s="33" t="n">
        <f aca="false">WEEKDAY(A517,2)</f>
        <v>7</v>
      </c>
      <c r="E517" s="33" t="n">
        <f aca="false">HOUR(A517)+MINUTE(A517)/60</f>
        <v>11</v>
      </c>
      <c r="F517" s="33" t="n">
        <f aca="false">IF(OR(D517&gt;5,E517&lt;8,E517&gt;=18,COUNTIF($K$2:$K$10,INT(A517))&gt;0),1,0)</f>
        <v>1</v>
      </c>
      <c r="G517" s="34" t="n">
        <f aca="false">B517/1</f>
        <v>61.261</v>
      </c>
      <c r="H517" s="34" t="n">
        <f aca="false">IF(F517=1,G517,"")</f>
        <v>61.261</v>
      </c>
    </row>
    <row r="518" customFormat="false" ht="15" hidden="false" customHeight="false" outlineLevel="0" collapsed="false">
      <c r="A518" s="31" t="n">
        <v>42757.5</v>
      </c>
      <c r="B518" s="32" t="n">
        <v>64.366</v>
      </c>
      <c r="D518" s="33" t="n">
        <f aca="false">WEEKDAY(A518,2)</f>
        <v>7</v>
      </c>
      <c r="E518" s="33" t="n">
        <f aca="false">HOUR(A518)+MINUTE(A518)/60</f>
        <v>12</v>
      </c>
      <c r="F518" s="33" t="n">
        <f aca="false">IF(OR(D518&gt;5,E518&lt;8,E518&gt;=18,COUNTIF($K$2:$K$10,INT(A518))&gt;0),1,0)</f>
        <v>1</v>
      </c>
      <c r="G518" s="34" t="n">
        <f aca="false">B518/1</f>
        <v>64.366</v>
      </c>
      <c r="H518" s="34" t="n">
        <f aca="false">IF(F518=1,G518,"")</f>
        <v>64.366</v>
      </c>
    </row>
    <row r="519" customFormat="false" ht="15" hidden="false" customHeight="false" outlineLevel="0" collapsed="false">
      <c r="A519" s="31" t="n">
        <v>42757.5416666667</v>
      </c>
      <c r="B519" s="32" t="n">
        <v>106.639</v>
      </c>
      <c r="D519" s="33" t="n">
        <f aca="false">WEEKDAY(A519,2)</f>
        <v>7</v>
      </c>
      <c r="E519" s="33" t="n">
        <f aca="false">HOUR(A519)+MINUTE(A519)/60</f>
        <v>13</v>
      </c>
      <c r="F519" s="33" t="n">
        <f aca="false">IF(OR(D519&gt;5,E519&lt;8,E519&gt;=18,COUNTIF($K$2:$K$10,INT(A519))&gt;0),1,0)</f>
        <v>1</v>
      </c>
      <c r="G519" s="34" t="n">
        <f aca="false">B519/1</f>
        <v>106.639</v>
      </c>
      <c r="H519" s="34" t="n">
        <f aca="false">IF(F519=1,G519,"")</f>
        <v>106.639</v>
      </c>
    </row>
    <row r="520" customFormat="false" ht="15" hidden="false" customHeight="false" outlineLevel="0" collapsed="false">
      <c r="A520" s="31" t="n">
        <v>42757.5833333333</v>
      </c>
      <c r="B520" s="32" t="n">
        <v>140.613</v>
      </c>
      <c r="D520" s="33" t="n">
        <f aca="false">WEEKDAY(A520,2)</f>
        <v>7</v>
      </c>
      <c r="E520" s="33" t="n">
        <f aca="false">HOUR(A520)+MINUTE(A520)/60</f>
        <v>14</v>
      </c>
      <c r="F520" s="33" t="n">
        <f aca="false">IF(OR(D520&gt;5,E520&lt;8,E520&gt;=18,COUNTIF($K$2:$K$10,INT(A520))&gt;0),1,0)</f>
        <v>1</v>
      </c>
      <c r="G520" s="34" t="n">
        <f aca="false">B520/1</f>
        <v>140.613</v>
      </c>
      <c r="H520" s="34" t="n">
        <f aca="false">IF(F520=1,G520,"")</f>
        <v>140.613</v>
      </c>
    </row>
    <row r="521" customFormat="false" ht="15" hidden="false" customHeight="false" outlineLevel="0" collapsed="false">
      <c r="A521" s="31" t="n">
        <v>42757.625</v>
      </c>
      <c r="B521" s="32" t="n">
        <v>135.138</v>
      </c>
      <c r="D521" s="33" t="n">
        <f aca="false">WEEKDAY(A521,2)</f>
        <v>7</v>
      </c>
      <c r="E521" s="33" t="n">
        <f aca="false">HOUR(A521)+MINUTE(A521)/60</f>
        <v>15</v>
      </c>
      <c r="F521" s="33" t="n">
        <f aca="false">IF(OR(D521&gt;5,E521&lt;8,E521&gt;=18,COUNTIF($K$2:$K$10,INT(A521))&gt;0),1,0)</f>
        <v>1</v>
      </c>
      <c r="G521" s="34" t="n">
        <f aca="false">B521/1</f>
        <v>135.138</v>
      </c>
      <c r="H521" s="34" t="n">
        <f aca="false">IF(F521=1,G521,"")</f>
        <v>135.138</v>
      </c>
    </row>
    <row r="522" customFormat="false" ht="15" hidden="false" customHeight="false" outlineLevel="0" collapsed="false">
      <c r="A522" s="31" t="n">
        <v>42757.6666666667</v>
      </c>
      <c r="B522" s="32" t="n">
        <v>136.132</v>
      </c>
      <c r="D522" s="33" t="n">
        <f aca="false">WEEKDAY(A522,2)</f>
        <v>7</v>
      </c>
      <c r="E522" s="33" t="n">
        <f aca="false">HOUR(A522)+MINUTE(A522)/60</f>
        <v>16</v>
      </c>
      <c r="F522" s="33" t="n">
        <f aca="false">IF(OR(D522&gt;5,E522&lt;8,E522&gt;=18,COUNTIF($K$2:$K$10,INT(A522))&gt;0),1,0)</f>
        <v>1</v>
      </c>
      <c r="G522" s="34" t="n">
        <f aca="false">B522/1</f>
        <v>136.132</v>
      </c>
      <c r="H522" s="34" t="n">
        <f aca="false">IF(F522=1,G522,"")</f>
        <v>136.132</v>
      </c>
    </row>
    <row r="523" customFormat="false" ht="15" hidden="false" customHeight="false" outlineLevel="0" collapsed="false">
      <c r="A523" s="31" t="n">
        <v>42757.7083333333</v>
      </c>
      <c r="B523" s="32" t="n">
        <v>138.561</v>
      </c>
      <c r="D523" s="33" t="n">
        <f aca="false">WEEKDAY(A523,2)</f>
        <v>7</v>
      </c>
      <c r="E523" s="33" t="n">
        <f aca="false">HOUR(A523)+MINUTE(A523)/60</f>
        <v>17</v>
      </c>
      <c r="F523" s="33" t="n">
        <f aca="false">IF(OR(D523&gt;5,E523&lt;8,E523&gt;=18,COUNTIF($K$2:$K$10,INT(A523))&gt;0),1,0)</f>
        <v>1</v>
      </c>
      <c r="G523" s="34" t="n">
        <f aca="false">B523/1</f>
        <v>138.561</v>
      </c>
      <c r="H523" s="34" t="n">
        <f aca="false">IF(F523=1,G523,"")</f>
        <v>138.561</v>
      </c>
    </row>
    <row r="524" customFormat="false" ht="15" hidden="false" customHeight="false" outlineLevel="0" collapsed="false">
      <c r="A524" s="31" t="n">
        <v>42757.75</v>
      </c>
      <c r="B524" s="32" t="n">
        <v>68.631</v>
      </c>
      <c r="D524" s="33" t="n">
        <f aca="false">WEEKDAY(A524,2)</f>
        <v>7</v>
      </c>
      <c r="E524" s="33" t="n">
        <f aca="false">HOUR(A524)+MINUTE(A524)/60</f>
        <v>18</v>
      </c>
      <c r="F524" s="33" t="n">
        <f aca="false">IF(OR(D524&gt;5,E524&lt;8,E524&gt;=18,COUNTIF($K$2:$K$10,INT(A524))&gt;0),1,0)</f>
        <v>1</v>
      </c>
      <c r="G524" s="34" t="n">
        <f aca="false">B524/1</f>
        <v>68.631</v>
      </c>
      <c r="H524" s="34" t="n">
        <f aca="false">IF(F524=1,G524,"")</f>
        <v>68.631</v>
      </c>
    </row>
    <row r="525" customFormat="false" ht="15" hidden="false" customHeight="false" outlineLevel="0" collapsed="false">
      <c r="A525" s="31" t="n">
        <v>42757.7916666667</v>
      </c>
      <c r="B525" s="32" t="n">
        <v>64.756</v>
      </c>
      <c r="D525" s="33" t="n">
        <f aca="false">WEEKDAY(A525,2)</f>
        <v>7</v>
      </c>
      <c r="E525" s="33" t="n">
        <f aca="false">HOUR(A525)+MINUTE(A525)/60</f>
        <v>19</v>
      </c>
      <c r="F525" s="33" t="n">
        <f aca="false">IF(OR(D525&gt;5,E525&lt;8,E525&gt;=18,COUNTIF($K$2:$K$10,INT(A525))&gt;0),1,0)</f>
        <v>1</v>
      </c>
      <c r="G525" s="34" t="n">
        <f aca="false">B525/1</f>
        <v>64.756</v>
      </c>
      <c r="H525" s="34" t="n">
        <f aca="false">IF(F525=1,G525,"")</f>
        <v>64.756</v>
      </c>
    </row>
    <row r="526" customFormat="false" ht="15" hidden="false" customHeight="false" outlineLevel="0" collapsed="false">
      <c r="A526" s="31" t="n">
        <v>42757.8333333333</v>
      </c>
      <c r="B526" s="32" t="n">
        <v>62.539</v>
      </c>
      <c r="D526" s="33" t="n">
        <f aca="false">WEEKDAY(A526,2)</f>
        <v>7</v>
      </c>
      <c r="E526" s="33" t="n">
        <f aca="false">HOUR(A526)+MINUTE(A526)/60</f>
        <v>20</v>
      </c>
      <c r="F526" s="33" t="n">
        <f aca="false">IF(OR(D526&gt;5,E526&lt;8,E526&gt;=18,COUNTIF($K$2:$K$10,INT(A526))&gt;0),1,0)</f>
        <v>1</v>
      </c>
      <c r="G526" s="34" t="n">
        <f aca="false">B526/1</f>
        <v>62.539</v>
      </c>
      <c r="H526" s="34" t="n">
        <f aca="false">IF(F526=1,G526,"")</f>
        <v>62.539</v>
      </c>
    </row>
    <row r="527" customFormat="false" ht="15" hidden="false" customHeight="false" outlineLevel="0" collapsed="false">
      <c r="A527" s="31" t="n">
        <v>42757.875</v>
      </c>
      <c r="B527" s="32" t="n">
        <v>62.144</v>
      </c>
      <c r="D527" s="33" t="n">
        <f aca="false">WEEKDAY(A527,2)</f>
        <v>7</v>
      </c>
      <c r="E527" s="33" t="n">
        <f aca="false">HOUR(A527)+MINUTE(A527)/60</f>
        <v>21</v>
      </c>
      <c r="F527" s="33" t="n">
        <f aca="false">IF(OR(D527&gt;5,E527&lt;8,E527&gt;=18,COUNTIF($K$2:$K$10,INT(A527))&gt;0),1,0)</f>
        <v>1</v>
      </c>
      <c r="G527" s="34" t="n">
        <f aca="false">B527/1</f>
        <v>62.144</v>
      </c>
      <c r="H527" s="34" t="n">
        <f aca="false">IF(F527=1,G527,"")</f>
        <v>62.144</v>
      </c>
    </row>
    <row r="528" customFormat="false" ht="15" hidden="false" customHeight="false" outlineLevel="0" collapsed="false">
      <c r="A528" s="31" t="n">
        <v>42757.9166666667</v>
      </c>
      <c r="B528" s="32" t="n">
        <v>59.247</v>
      </c>
      <c r="D528" s="33" t="n">
        <f aca="false">WEEKDAY(A528,2)</f>
        <v>7</v>
      </c>
      <c r="E528" s="33" t="n">
        <f aca="false">HOUR(A528)+MINUTE(A528)/60</f>
        <v>22</v>
      </c>
      <c r="F528" s="33" t="n">
        <f aca="false">IF(OR(D528&gt;5,E528&lt;8,E528&gt;=18,COUNTIF($K$2:$K$10,INT(A528))&gt;0),1,0)</f>
        <v>1</v>
      </c>
      <c r="G528" s="34" t="n">
        <f aca="false">B528/1</f>
        <v>59.247</v>
      </c>
      <c r="H528" s="34" t="n">
        <f aca="false">IF(F528=1,G528,"")</f>
        <v>59.247</v>
      </c>
    </row>
    <row r="529" customFormat="false" ht="15" hidden="false" customHeight="false" outlineLevel="0" collapsed="false">
      <c r="A529" s="31" t="n">
        <v>42757.9583333333</v>
      </c>
      <c r="B529" s="32" t="n">
        <v>61.956</v>
      </c>
      <c r="D529" s="33" t="n">
        <f aca="false">WEEKDAY(A529,2)</f>
        <v>7</v>
      </c>
      <c r="E529" s="33" t="n">
        <f aca="false">HOUR(A529)+MINUTE(A529)/60</f>
        <v>23</v>
      </c>
      <c r="F529" s="33" t="n">
        <f aca="false">IF(OR(D529&gt;5,E529&lt;8,E529&gt;=18,COUNTIF($K$2:$K$10,INT(A529))&gt;0),1,0)</f>
        <v>1</v>
      </c>
      <c r="G529" s="34" t="n">
        <f aca="false">B529/1</f>
        <v>61.956</v>
      </c>
      <c r="H529" s="34" t="n">
        <f aca="false">IF(F529=1,G529,"")</f>
        <v>61.956</v>
      </c>
    </row>
    <row r="530" customFormat="false" ht="15" hidden="false" customHeight="false" outlineLevel="0" collapsed="false">
      <c r="A530" s="31" t="n">
        <v>42758</v>
      </c>
      <c r="B530" s="32" t="n">
        <v>62.556</v>
      </c>
      <c r="D530" s="33" t="n">
        <f aca="false">WEEKDAY(A530,2)</f>
        <v>1</v>
      </c>
      <c r="E530" s="33" t="n">
        <f aca="false">HOUR(A530)+MINUTE(A530)/60</f>
        <v>0</v>
      </c>
      <c r="F530" s="33" t="n">
        <f aca="false">IF(OR(D530&gt;5,E530&lt;8,E530&gt;=18,COUNTIF($K$2:$K$10,INT(A530))&gt;0),1,0)</f>
        <v>1</v>
      </c>
      <c r="G530" s="34" t="n">
        <f aca="false">B530/1</f>
        <v>62.556</v>
      </c>
      <c r="H530" s="34" t="n">
        <f aca="false">IF(F530=1,G530,"")</f>
        <v>62.556</v>
      </c>
    </row>
    <row r="531" customFormat="false" ht="15" hidden="false" customHeight="false" outlineLevel="0" collapsed="false">
      <c r="A531" s="31" t="n">
        <v>42758.0416666667</v>
      </c>
      <c r="B531" s="32" t="n">
        <v>57.112</v>
      </c>
      <c r="D531" s="33" t="n">
        <f aca="false">WEEKDAY(A531,2)</f>
        <v>1</v>
      </c>
      <c r="E531" s="33" t="n">
        <f aca="false">HOUR(A531)+MINUTE(A531)/60</f>
        <v>1</v>
      </c>
      <c r="F531" s="33" t="n">
        <f aca="false">IF(OR(D531&gt;5,E531&lt;8,E531&gt;=18,COUNTIF($K$2:$K$10,INT(A531))&gt;0),1,0)</f>
        <v>1</v>
      </c>
      <c r="G531" s="34" t="n">
        <f aca="false">B531/1</f>
        <v>57.112</v>
      </c>
      <c r="H531" s="34" t="n">
        <f aca="false">IF(F531=1,G531,"")</f>
        <v>57.112</v>
      </c>
    </row>
    <row r="532" customFormat="false" ht="15" hidden="false" customHeight="false" outlineLevel="0" collapsed="false">
      <c r="A532" s="31" t="n">
        <v>42758.0833333333</v>
      </c>
      <c r="B532" s="32" t="n">
        <v>61.167</v>
      </c>
      <c r="D532" s="33" t="n">
        <f aca="false">WEEKDAY(A532,2)</f>
        <v>1</v>
      </c>
      <c r="E532" s="33" t="n">
        <f aca="false">HOUR(A532)+MINUTE(A532)/60</f>
        <v>2</v>
      </c>
      <c r="F532" s="33" t="n">
        <f aca="false">IF(OR(D532&gt;5,E532&lt;8,E532&gt;=18,COUNTIF($K$2:$K$10,INT(A532))&gt;0),1,0)</f>
        <v>1</v>
      </c>
      <c r="G532" s="34" t="n">
        <f aca="false">B532/1</f>
        <v>61.167</v>
      </c>
      <c r="H532" s="34" t="n">
        <f aca="false">IF(F532=1,G532,"")</f>
        <v>61.167</v>
      </c>
    </row>
    <row r="533" customFormat="false" ht="15" hidden="false" customHeight="false" outlineLevel="0" collapsed="false">
      <c r="A533" s="31" t="n">
        <v>42758.125</v>
      </c>
      <c r="B533" s="32" t="n">
        <v>61.489</v>
      </c>
      <c r="D533" s="33" t="n">
        <f aca="false">WEEKDAY(A533,2)</f>
        <v>1</v>
      </c>
      <c r="E533" s="33" t="n">
        <f aca="false">HOUR(A533)+MINUTE(A533)/60</f>
        <v>3</v>
      </c>
      <c r="F533" s="33" t="n">
        <f aca="false">IF(OR(D533&gt;5,E533&lt;8,E533&gt;=18,COUNTIF($K$2:$K$10,INT(A533))&gt;0),1,0)</f>
        <v>1</v>
      </c>
      <c r="G533" s="34" t="n">
        <f aca="false">B533/1</f>
        <v>61.489</v>
      </c>
      <c r="H533" s="34" t="n">
        <f aca="false">IF(F533=1,G533,"")</f>
        <v>61.489</v>
      </c>
    </row>
    <row r="534" customFormat="false" ht="15" hidden="false" customHeight="false" outlineLevel="0" collapsed="false">
      <c r="A534" s="31" t="n">
        <v>42758.1666666667</v>
      </c>
      <c r="B534" s="32" t="n">
        <v>59.219</v>
      </c>
      <c r="D534" s="33" t="n">
        <f aca="false">WEEKDAY(A534,2)</f>
        <v>1</v>
      </c>
      <c r="E534" s="33" t="n">
        <f aca="false">HOUR(A534)+MINUTE(A534)/60</f>
        <v>4</v>
      </c>
      <c r="F534" s="33" t="n">
        <f aca="false">IF(OR(D534&gt;5,E534&lt;8,E534&gt;=18,COUNTIF($K$2:$K$10,INT(A534))&gt;0),1,0)</f>
        <v>1</v>
      </c>
      <c r="G534" s="34" t="n">
        <f aca="false">B534/1</f>
        <v>59.219</v>
      </c>
      <c r="H534" s="34" t="n">
        <f aca="false">IF(F534=1,G534,"")</f>
        <v>59.219</v>
      </c>
    </row>
    <row r="535" customFormat="false" ht="15" hidden="false" customHeight="false" outlineLevel="0" collapsed="false">
      <c r="A535" s="31" t="n">
        <v>42758.2083333333</v>
      </c>
      <c r="B535" s="32" t="n">
        <v>61.19</v>
      </c>
      <c r="D535" s="33" t="n">
        <f aca="false">WEEKDAY(A535,2)</f>
        <v>1</v>
      </c>
      <c r="E535" s="33" t="n">
        <f aca="false">HOUR(A535)+MINUTE(A535)/60</f>
        <v>5</v>
      </c>
      <c r="F535" s="33" t="n">
        <f aca="false">IF(OR(D535&gt;5,E535&lt;8,E535&gt;=18,COUNTIF($K$2:$K$10,INT(A535))&gt;0),1,0)</f>
        <v>1</v>
      </c>
      <c r="G535" s="34" t="n">
        <f aca="false">B535/1</f>
        <v>61.19</v>
      </c>
      <c r="H535" s="34" t="n">
        <f aca="false">IF(F535=1,G535,"")</f>
        <v>61.19</v>
      </c>
    </row>
    <row r="536" customFormat="false" ht="15" hidden="false" customHeight="false" outlineLevel="0" collapsed="false">
      <c r="A536" s="31" t="n">
        <v>42758.25</v>
      </c>
      <c r="B536" s="32" t="n">
        <v>60.833</v>
      </c>
      <c r="D536" s="33" t="n">
        <f aca="false">WEEKDAY(A536,2)</f>
        <v>1</v>
      </c>
      <c r="E536" s="33" t="n">
        <f aca="false">HOUR(A536)+MINUTE(A536)/60</f>
        <v>6</v>
      </c>
      <c r="F536" s="33" t="n">
        <f aca="false">IF(OR(D536&gt;5,E536&lt;8,E536&gt;=18,COUNTIF($K$2:$K$10,INT(A536))&gt;0),1,0)</f>
        <v>1</v>
      </c>
      <c r="G536" s="34" t="n">
        <f aca="false">B536/1</f>
        <v>60.833</v>
      </c>
      <c r="H536" s="34" t="n">
        <f aca="false">IF(F536=1,G536,"")</f>
        <v>60.833</v>
      </c>
    </row>
    <row r="537" customFormat="false" ht="15" hidden="false" customHeight="false" outlineLevel="0" collapsed="false">
      <c r="A537" s="31" t="n">
        <v>42758.2916666667</v>
      </c>
      <c r="B537" s="32" t="n">
        <v>82.194</v>
      </c>
      <c r="D537" s="33" t="n">
        <f aca="false">WEEKDAY(A537,2)</f>
        <v>1</v>
      </c>
      <c r="E537" s="33" t="n">
        <f aca="false">HOUR(A537)+MINUTE(A537)/60</f>
        <v>7</v>
      </c>
      <c r="F537" s="33" t="n">
        <f aca="false">IF(OR(D537&gt;5,E537&lt;8,E537&gt;=18,COUNTIF($K$2:$K$10,INT(A537))&gt;0),1,0)</f>
        <v>1</v>
      </c>
      <c r="G537" s="34" t="n">
        <f aca="false">B537/1</f>
        <v>82.194</v>
      </c>
      <c r="H537" s="34" t="n">
        <f aca="false">IF(F537=1,G537,"")</f>
        <v>82.194</v>
      </c>
    </row>
    <row r="538" customFormat="false" ht="15" hidden="false" customHeight="false" outlineLevel="0" collapsed="false">
      <c r="A538" s="31" t="n">
        <v>42758.3333333333</v>
      </c>
      <c r="B538" s="32" t="n">
        <v>177.239</v>
      </c>
      <c r="D538" s="33" t="n">
        <f aca="false">WEEKDAY(A538,2)</f>
        <v>1</v>
      </c>
      <c r="E538" s="33" t="n">
        <f aca="false">HOUR(A538)+MINUTE(A538)/60</f>
        <v>8</v>
      </c>
      <c r="F538" s="33" t="n">
        <f aca="false">IF(OR(D538&gt;5,E538&lt;8,E538&gt;=18,COUNTIF($K$2:$K$10,INT(A538))&gt;0),1,0)</f>
        <v>0</v>
      </c>
      <c r="G538" s="34" t="n">
        <f aca="false">B538/1</f>
        <v>177.239</v>
      </c>
      <c r="H538" s="34" t="str">
        <f aca="false">IF(F538=1,G538,"")</f>
        <v/>
      </c>
    </row>
    <row r="539" customFormat="false" ht="15" hidden="false" customHeight="false" outlineLevel="0" collapsed="false">
      <c r="A539" s="31" t="n">
        <v>42758.375</v>
      </c>
      <c r="B539" s="32" t="n">
        <v>216.821</v>
      </c>
      <c r="D539" s="33" t="n">
        <f aca="false">WEEKDAY(A539,2)</f>
        <v>1</v>
      </c>
      <c r="E539" s="33" t="n">
        <f aca="false">HOUR(A539)+MINUTE(A539)/60</f>
        <v>9</v>
      </c>
      <c r="F539" s="33" t="n">
        <f aca="false">IF(OR(D539&gt;5,E539&lt;8,E539&gt;=18,COUNTIF($K$2:$K$10,INT(A539))&gt;0),1,0)</f>
        <v>0</v>
      </c>
      <c r="G539" s="34" t="n">
        <f aca="false">B539/1</f>
        <v>216.821</v>
      </c>
      <c r="H539" s="34" t="str">
        <f aca="false">IF(F539=1,G539,"")</f>
        <v/>
      </c>
    </row>
    <row r="540" customFormat="false" ht="15" hidden="false" customHeight="false" outlineLevel="0" collapsed="false">
      <c r="A540" s="31" t="n">
        <v>42758.4166666667</v>
      </c>
      <c r="B540" s="32" t="n">
        <v>238.093</v>
      </c>
      <c r="D540" s="33" t="n">
        <f aca="false">WEEKDAY(A540,2)</f>
        <v>1</v>
      </c>
      <c r="E540" s="33" t="n">
        <f aca="false">HOUR(A540)+MINUTE(A540)/60</f>
        <v>10</v>
      </c>
      <c r="F540" s="33" t="n">
        <f aca="false">IF(OR(D540&gt;5,E540&lt;8,E540&gt;=18,COUNTIF($K$2:$K$10,INT(A540))&gt;0),1,0)</f>
        <v>0</v>
      </c>
      <c r="G540" s="34" t="n">
        <f aca="false">B540/1</f>
        <v>238.093</v>
      </c>
      <c r="H540" s="34" t="str">
        <f aca="false">IF(F540=1,G540,"")</f>
        <v/>
      </c>
    </row>
    <row r="541" customFormat="false" ht="15" hidden="false" customHeight="false" outlineLevel="0" collapsed="false">
      <c r="A541" s="31" t="n">
        <v>42758.4583333333</v>
      </c>
      <c r="B541" s="32" t="n">
        <v>251.414</v>
      </c>
      <c r="D541" s="33" t="n">
        <f aca="false">WEEKDAY(A541,2)</f>
        <v>1</v>
      </c>
      <c r="E541" s="33" t="n">
        <f aca="false">HOUR(A541)+MINUTE(A541)/60</f>
        <v>11</v>
      </c>
      <c r="F541" s="33" t="n">
        <f aca="false">IF(OR(D541&gt;5,E541&lt;8,E541&gt;=18,COUNTIF($K$2:$K$10,INT(A541))&gt;0),1,0)</f>
        <v>0</v>
      </c>
      <c r="G541" s="34" t="n">
        <f aca="false">B541/1</f>
        <v>251.414</v>
      </c>
      <c r="H541" s="34" t="str">
        <f aca="false">IF(F541=1,G541,"")</f>
        <v/>
      </c>
    </row>
    <row r="542" customFormat="false" ht="15" hidden="false" customHeight="false" outlineLevel="0" collapsed="false">
      <c r="A542" s="31" t="n">
        <v>42758.5</v>
      </c>
      <c r="B542" s="32" t="n">
        <v>261.266</v>
      </c>
      <c r="D542" s="33" t="n">
        <f aca="false">WEEKDAY(A542,2)</f>
        <v>1</v>
      </c>
      <c r="E542" s="33" t="n">
        <f aca="false">HOUR(A542)+MINUTE(A542)/60</f>
        <v>12</v>
      </c>
      <c r="F542" s="33" t="n">
        <f aca="false">IF(OR(D542&gt;5,E542&lt;8,E542&gt;=18,COUNTIF($K$2:$K$10,INT(A542))&gt;0),1,0)</f>
        <v>0</v>
      </c>
      <c r="G542" s="34" t="n">
        <f aca="false">B542/1</f>
        <v>261.266</v>
      </c>
      <c r="H542" s="34" t="str">
        <f aca="false">IF(F542=1,G542,"")</f>
        <v/>
      </c>
    </row>
    <row r="543" customFormat="false" ht="15" hidden="false" customHeight="false" outlineLevel="0" collapsed="false">
      <c r="A543" s="31" t="n">
        <v>42758.5416666667</v>
      </c>
      <c r="B543" s="32" t="n">
        <v>252.414</v>
      </c>
      <c r="D543" s="33" t="n">
        <f aca="false">WEEKDAY(A543,2)</f>
        <v>1</v>
      </c>
      <c r="E543" s="33" t="n">
        <f aca="false">HOUR(A543)+MINUTE(A543)/60</f>
        <v>13</v>
      </c>
      <c r="F543" s="33" t="n">
        <f aca="false">IF(OR(D543&gt;5,E543&lt;8,E543&gt;=18,COUNTIF($K$2:$K$10,INT(A543))&gt;0),1,0)</f>
        <v>0</v>
      </c>
      <c r="G543" s="34" t="n">
        <f aca="false">B543/1</f>
        <v>252.414</v>
      </c>
      <c r="H543" s="34" t="str">
        <f aca="false">IF(F543=1,G543,"")</f>
        <v/>
      </c>
    </row>
    <row r="544" customFormat="false" ht="15" hidden="false" customHeight="false" outlineLevel="0" collapsed="false">
      <c r="A544" s="31" t="n">
        <v>42758.5833333333</v>
      </c>
      <c r="B544" s="32" t="n">
        <v>259.787</v>
      </c>
      <c r="D544" s="33" t="n">
        <f aca="false">WEEKDAY(A544,2)</f>
        <v>1</v>
      </c>
      <c r="E544" s="33" t="n">
        <f aca="false">HOUR(A544)+MINUTE(A544)/60</f>
        <v>14</v>
      </c>
      <c r="F544" s="33" t="n">
        <f aca="false">IF(OR(D544&gt;5,E544&lt;8,E544&gt;=18,COUNTIF($K$2:$K$10,INT(A544))&gt;0),1,0)</f>
        <v>0</v>
      </c>
      <c r="G544" s="34" t="n">
        <f aca="false">B544/1</f>
        <v>259.787</v>
      </c>
      <c r="H544" s="34" t="str">
        <f aca="false">IF(F544=1,G544,"")</f>
        <v/>
      </c>
    </row>
    <row r="545" customFormat="false" ht="15" hidden="false" customHeight="false" outlineLevel="0" collapsed="false">
      <c r="A545" s="31" t="n">
        <v>42758.625</v>
      </c>
      <c r="B545" s="32" t="n">
        <v>256.694</v>
      </c>
      <c r="D545" s="33" t="n">
        <f aca="false">WEEKDAY(A545,2)</f>
        <v>1</v>
      </c>
      <c r="E545" s="33" t="n">
        <f aca="false">HOUR(A545)+MINUTE(A545)/60</f>
        <v>15</v>
      </c>
      <c r="F545" s="33" t="n">
        <f aca="false">IF(OR(D545&gt;5,E545&lt;8,E545&gt;=18,COUNTIF($K$2:$K$10,INT(A545))&gt;0),1,0)</f>
        <v>0</v>
      </c>
      <c r="G545" s="34" t="n">
        <f aca="false">B545/1</f>
        <v>256.694</v>
      </c>
      <c r="H545" s="34" t="str">
        <f aca="false">IF(F545=1,G545,"")</f>
        <v/>
      </c>
    </row>
    <row r="546" customFormat="false" ht="15" hidden="false" customHeight="false" outlineLevel="0" collapsed="false">
      <c r="A546" s="31" t="n">
        <v>42758.6666666667</v>
      </c>
      <c r="B546" s="32" t="n">
        <v>245.296</v>
      </c>
      <c r="D546" s="33" t="n">
        <f aca="false">WEEKDAY(A546,2)</f>
        <v>1</v>
      </c>
      <c r="E546" s="33" t="n">
        <f aca="false">HOUR(A546)+MINUTE(A546)/60</f>
        <v>16</v>
      </c>
      <c r="F546" s="33" t="n">
        <f aca="false">IF(OR(D546&gt;5,E546&lt;8,E546&gt;=18,COUNTIF($K$2:$K$10,INT(A546))&gt;0),1,0)</f>
        <v>0</v>
      </c>
      <c r="G546" s="34" t="n">
        <f aca="false">B546/1</f>
        <v>245.296</v>
      </c>
      <c r="H546" s="34" t="str">
        <f aca="false">IF(F546=1,G546,"")</f>
        <v/>
      </c>
    </row>
    <row r="547" customFormat="false" ht="15" hidden="false" customHeight="false" outlineLevel="0" collapsed="false">
      <c r="A547" s="31" t="n">
        <v>42758.7083333333</v>
      </c>
      <c r="B547" s="32" t="n">
        <v>236.831</v>
      </c>
      <c r="D547" s="33" t="n">
        <f aca="false">WEEKDAY(A547,2)</f>
        <v>1</v>
      </c>
      <c r="E547" s="33" t="n">
        <f aca="false">HOUR(A547)+MINUTE(A547)/60</f>
        <v>17</v>
      </c>
      <c r="F547" s="33" t="n">
        <f aca="false">IF(OR(D547&gt;5,E547&lt;8,E547&gt;=18,COUNTIF($K$2:$K$10,INT(A547))&gt;0),1,0)</f>
        <v>0</v>
      </c>
      <c r="G547" s="34" t="n">
        <f aca="false">B547/1</f>
        <v>236.831</v>
      </c>
      <c r="H547" s="34" t="str">
        <f aca="false">IF(F547=1,G547,"")</f>
        <v/>
      </c>
    </row>
    <row r="548" customFormat="false" ht="15" hidden="false" customHeight="false" outlineLevel="0" collapsed="false">
      <c r="A548" s="31" t="n">
        <v>42758.75</v>
      </c>
      <c r="B548" s="32" t="n">
        <v>219.012</v>
      </c>
      <c r="D548" s="33" t="n">
        <f aca="false">WEEKDAY(A548,2)</f>
        <v>1</v>
      </c>
      <c r="E548" s="33" t="n">
        <f aca="false">HOUR(A548)+MINUTE(A548)/60</f>
        <v>18</v>
      </c>
      <c r="F548" s="33" t="n">
        <f aca="false">IF(OR(D548&gt;5,E548&lt;8,E548&gt;=18,COUNTIF($K$2:$K$10,INT(A548))&gt;0),1,0)</f>
        <v>1</v>
      </c>
      <c r="G548" s="34" t="n">
        <f aca="false">B548/1</f>
        <v>219.012</v>
      </c>
      <c r="H548" s="34" t="n">
        <f aca="false">IF(F548=1,G548,"")</f>
        <v>219.012</v>
      </c>
    </row>
    <row r="549" customFormat="false" ht="15" hidden="false" customHeight="false" outlineLevel="0" collapsed="false">
      <c r="A549" s="31" t="n">
        <v>42758.7916666667</v>
      </c>
      <c r="B549" s="32" t="n">
        <v>199.722</v>
      </c>
      <c r="D549" s="33" t="n">
        <f aca="false">WEEKDAY(A549,2)</f>
        <v>1</v>
      </c>
      <c r="E549" s="33" t="n">
        <f aca="false">HOUR(A549)+MINUTE(A549)/60</f>
        <v>19</v>
      </c>
      <c r="F549" s="33" t="n">
        <f aca="false">IF(OR(D549&gt;5,E549&lt;8,E549&gt;=18,COUNTIF($K$2:$K$10,INT(A549))&gt;0),1,0)</f>
        <v>1</v>
      </c>
      <c r="G549" s="34" t="n">
        <f aca="false">B549/1</f>
        <v>199.722</v>
      </c>
      <c r="H549" s="34" t="n">
        <f aca="false">IF(F549=1,G549,"")</f>
        <v>199.722</v>
      </c>
    </row>
    <row r="550" customFormat="false" ht="15" hidden="false" customHeight="false" outlineLevel="0" collapsed="false">
      <c r="A550" s="31" t="n">
        <v>42758.8333333333</v>
      </c>
      <c r="B550" s="32" t="n">
        <v>198.62</v>
      </c>
      <c r="D550" s="33" t="n">
        <f aca="false">WEEKDAY(A550,2)</f>
        <v>1</v>
      </c>
      <c r="E550" s="33" t="n">
        <f aca="false">HOUR(A550)+MINUTE(A550)/60</f>
        <v>20</v>
      </c>
      <c r="F550" s="33" t="n">
        <f aca="false">IF(OR(D550&gt;5,E550&lt;8,E550&gt;=18,COUNTIF($K$2:$K$10,INT(A550))&gt;0),1,0)</f>
        <v>1</v>
      </c>
      <c r="G550" s="34" t="n">
        <f aca="false">B550/1</f>
        <v>198.62</v>
      </c>
      <c r="H550" s="34" t="n">
        <f aca="false">IF(F550=1,G550,"")</f>
        <v>198.62</v>
      </c>
    </row>
    <row r="551" customFormat="false" ht="15" hidden="false" customHeight="false" outlineLevel="0" collapsed="false">
      <c r="A551" s="31" t="n">
        <v>42758.875</v>
      </c>
      <c r="B551" s="32" t="n">
        <v>190.789</v>
      </c>
      <c r="D551" s="33" t="n">
        <f aca="false">WEEKDAY(A551,2)</f>
        <v>1</v>
      </c>
      <c r="E551" s="33" t="n">
        <f aca="false">HOUR(A551)+MINUTE(A551)/60</f>
        <v>21</v>
      </c>
      <c r="F551" s="33" t="n">
        <f aca="false">IF(OR(D551&gt;5,E551&lt;8,E551&gt;=18,COUNTIF($K$2:$K$10,INT(A551))&gt;0),1,0)</f>
        <v>1</v>
      </c>
      <c r="G551" s="34" t="n">
        <f aca="false">B551/1</f>
        <v>190.789</v>
      </c>
      <c r="H551" s="34" t="n">
        <f aca="false">IF(F551=1,G551,"")</f>
        <v>190.789</v>
      </c>
    </row>
    <row r="552" customFormat="false" ht="15" hidden="false" customHeight="false" outlineLevel="0" collapsed="false">
      <c r="A552" s="31" t="n">
        <v>42758.9166666667</v>
      </c>
      <c r="B552" s="32" t="n">
        <v>136.064</v>
      </c>
      <c r="D552" s="33" t="n">
        <f aca="false">WEEKDAY(A552,2)</f>
        <v>1</v>
      </c>
      <c r="E552" s="33" t="n">
        <f aca="false">HOUR(A552)+MINUTE(A552)/60</f>
        <v>22</v>
      </c>
      <c r="F552" s="33" t="n">
        <f aca="false">IF(OR(D552&gt;5,E552&lt;8,E552&gt;=18,COUNTIF($K$2:$K$10,INT(A552))&gt;0),1,0)</f>
        <v>1</v>
      </c>
      <c r="G552" s="34" t="n">
        <f aca="false">B552/1</f>
        <v>136.064</v>
      </c>
      <c r="H552" s="34" t="n">
        <f aca="false">IF(F552=1,G552,"")</f>
        <v>136.064</v>
      </c>
    </row>
    <row r="553" customFormat="false" ht="15" hidden="false" customHeight="false" outlineLevel="0" collapsed="false">
      <c r="A553" s="31" t="n">
        <v>42758.9583333333</v>
      </c>
      <c r="B553" s="32" t="n">
        <v>73.85</v>
      </c>
      <c r="D553" s="33" t="n">
        <f aca="false">WEEKDAY(A553,2)</f>
        <v>1</v>
      </c>
      <c r="E553" s="33" t="n">
        <f aca="false">HOUR(A553)+MINUTE(A553)/60</f>
        <v>23</v>
      </c>
      <c r="F553" s="33" t="n">
        <f aca="false">IF(OR(D553&gt;5,E553&lt;8,E553&gt;=18,COUNTIF($K$2:$K$10,INT(A553))&gt;0),1,0)</f>
        <v>1</v>
      </c>
      <c r="G553" s="34" t="n">
        <f aca="false">B553/1</f>
        <v>73.85</v>
      </c>
      <c r="H553" s="34" t="n">
        <f aca="false">IF(F553=1,G553,"")</f>
        <v>73.85</v>
      </c>
    </row>
    <row r="554" customFormat="false" ht="15" hidden="false" customHeight="false" outlineLevel="0" collapsed="false">
      <c r="A554" s="31" t="n">
        <v>42759</v>
      </c>
      <c r="B554" s="32" t="n">
        <v>73.293</v>
      </c>
      <c r="D554" s="33" t="n">
        <f aca="false">WEEKDAY(A554,2)</f>
        <v>2</v>
      </c>
      <c r="E554" s="33" t="n">
        <f aca="false">HOUR(A554)+MINUTE(A554)/60</f>
        <v>0</v>
      </c>
      <c r="F554" s="33" t="n">
        <f aca="false">IF(OR(D554&gt;5,E554&lt;8,E554&gt;=18,COUNTIF($K$2:$K$10,INT(A554))&gt;0),1,0)</f>
        <v>1</v>
      </c>
      <c r="G554" s="34" t="n">
        <f aca="false">B554/1</f>
        <v>73.293</v>
      </c>
      <c r="H554" s="34" t="n">
        <f aca="false">IF(F554=1,G554,"")</f>
        <v>73.293</v>
      </c>
    </row>
    <row r="555" customFormat="false" ht="15" hidden="false" customHeight="false" outlineLevel="0" collapsed="false">
      <c r="A555" s="31" t="n">
        <v>42759.0416666667</v>
      </c>
      <c r="B555" s="32" t="n">
        <v>64.519</v>
      </c>
      <c r="D555" s="33" t="n">
        <f aca="false">WEEKDAY(A555,2)</f>
        <v>2</v>
      </c>
      <c r="E555" s="33" t="n">
        <f aca="false">HOUR(A555)+MINUTE(A555)/60</f>
        <v>1</v>
      </c>
      <c r="F555" s="33" t="n">
        <f aca="false">IF(OR(D555&gt;5,E555&lt;8,E555&gt;=18,COUNTIF($K$2:$K$10,INT(A555))&gt;0),1,0)</f>
        <v>1</v>
      </c>
      <c r="G555" s="34" t="n">
        <f aca="false">B555/1</f>
        <v>64.519</v>
      </c>
      <c r="H555" s="34" t="n">
        <f aca="false">IF(F555=1,G555,"")</f>
        <v>64.519</v>
      </c>
    </row>
    <row r="556" customFormat="false" ht="15" hidden="false" customHeight="false" outlineLevel="0" collapsed="false">
      <c r="A556" s="31" t="n">
        <v>42759.0833333333</v>
      </c>
      <c r="B556" s="32" t="n">
        <v>60.636</v>
      </c>
      <c r="D556" s="33" t="n">
        <f aca="false">WEEKDAY(A556,2)</f>
        <v>2</v>
      </c>
      <c r="E556" s="33" t="n">
        <f aca="false">HOUR(A556)+MINUTE(A556)/60</f>
        <v>2</v>
      </c>
      <c r="F556" s="33" t="n">
        <f aca="false">IF(OR(D556&gt;5,E556&lt;8,E556&gt;=18,COUNTIF($K$2:$K$10,INT(A556))&gt;0),1,0)</f>
        <v>1</v>
      </c>
      <c r="G556" s="34" t="n">
        <f aca="false">B556/1</f>
        <v>60.636</v>
      </c>
      <c r="H556" s="34" t="n">
        <f aca="false">IF(F556=1,G556,"")</f>
        <v>60.636</v>
      </c>
    </row>
    <row r="557" customFormat="false" ht="15" hidden="false" customHeight="false" outlineLevel="0" collapsed="false">
      <c r="A557" s="31" t="n">
        <v>42759.125</v>
      </c>
      <c r="B557" s="32" t="n">
        <v>63.587</v>
      </c>
      <c r="D557" s="33" t="n">
        <f aca="false">WEEKDAY(A557,2)</f>
        <v>2</v>
      </c>
      <c r="E557" s="33" t="n">
        <f aca="false">HOUR(A557)+MINUTE(A557)/60</f>
        <v>3</v>
      </c>
      <c r="F557" s="33" t="n">
        <f aca="false">IF(OR(D557&gt;5,E557&lt;8,E557&gt;=18,COUNTIF($K$2:$K$10,INT(A557))&gt;0),1,0)</f>
        <v>1</v>
      </c>
      <c r="G557" s="34" t="n">
        <f aca="false">B557/1</f>
        <v>63.587</v>
      </c>
      <c r="H557" s="34" t="n">
        <f aca="false">IF(F557=1,G557,"")</f>
        <v>63.587</v>
      </c>
    </row>
    <row r="558" customFormat="false" ht="15" hidden="false" customHeight="false" outlineLevel="0" collapsed="false">
      <c r="A558" s="31" t="n">
        <v>42759.1666666667</v>
      </c>
      <c r="B558" s="32" t="n">
        <v>66.72</v>
      </c>
      <c r="D558" s="33" t="n">
        <f aca="false">WEEKDAY(A558,2)</f>
        <v>2</v>
      </c>
      <c r="E558" s="33" t="n">
        <f aca="false">HOUR(A558)+MINUTE(A558)/60</f>
        <v>4</v>
      </c>
      <c r="F558" s="33" t="n">
        <f aca="false">IF(OR(D558&gt;5,E558&lt;8,E558&gt;=18,COUNTIF($K$2:$K$10,INT(A558))&gt;0),1,0)</f>
        <v>1</v>
      </c>
      <c r="G558" s="34" t="n">
        <f aca="false">B558/1</f>
        <v>66.72</v>
      </c>
      <c r="H558" s="34" t="n">
        <f aca="false">IF(F558=1,G558,"")</f>
        <v>66.72</v>
      </c>
    </row>
    <row r="559" customFormat="false" ht="15" hidden="false" customHeight="false" outlineLevel="0" collapsed="false">
      <c r="A559" s="31" t="n">
        <v>42759.2083333333</v>
      </c>
      <c r="B559" s="32" t="n">
        <v>63.654</v>
      </c>
      <c r="D559" s="33" t="n">
        <f aca="false">WEEKDAY(A559,2)</f>
        <v>2</v>
      </c>
      <c r="E559" s="33" t="n">
        <f aca="false">HOUR(A559)+MINUTE(A559)/60</f>
        <v>5</v>
      </c>
      <c r="F559" s="33" t="n">
        <f aca="false">IF(OR(D559&gt;5,E559&lt;8,E559&gt;=18,COUNTIF($K$2:$K$10,INT(A559))&gt;0),1,0)</f>
        <v>1</v>
      </c>
      <c r="G559" s="34" t="n">
        <f aca="false">B559/1</f>
        <v>63.654</v>
      </c>
      <c r="H559" s="34" t="n">
        <f aca="false">IF(F559=1,G559,"")</f>
        <v>63.654</v>
      </c>
    </row>
    <row r="560" customFormat="false" ht="15" hidden="false" customHeight="false" outlineLevel="0" collapsed="false">
      <c r="A560" s="31" t="n">
        <v>42759.25</v>
      </c>
      <c r="B560" s="32" t="n">
        <v>61.266</v>
      </c>
      <c r="D560" s="33" t="n">
        <f aca="false">WEEKDAY(A560,2)</f>
        <v>2</v>
      </c>
      <c r="E560" s="33" t="n">
        <f aca="false">HOUR(A560)+MINUTE(A560)/60</f>
        <v>6</v>
      </c>
      <c r="F560" s="33" t="n">
        <f aca="false">IF(OR(D560&gt;5,E560&lt;8,E560&gt;=18,COUNTIF($K$2:$K$10,INT(A560))&gt;0),1,0)</f>
        <v>1</v>
      </c>
      <c r="G560" s="34" t="n">
        <f aca="false">B560/1</f>
        <v>61.266</v>
      </c>
      <c r="H560" s="34" t="n">
        <f aca="false">IF(F560=1,G560,"")</f>
        <v>61.266</v>
      </c>
    </row>
    <row r="561" customFormat="false" ht="15" hidden="false" customHeight="false" outlineLevel="0" collapsed="false">
      <c r="A561" s="31" t="n">
        <v>42759.2916666667</v>
      </c>
      <c r="B561" s="32" t="n">
        <v>68.731</v>
      </c>
      <c r="D561" s="33" t="n">
        <f aca="false">WEEKDAY(A561,2)</f>
        <v>2</v>
      </c>
      <c r="E561" s="33" t="n">
        <f aca="false">HOUR(A561)+MINUTE(A561)/60</f>
        <v>7</v>
      </c>
      <c r="F561" s="33" t="n">
        <f aca="false">IF(OR(D561&gt;5,E561&lt;8,E561&gt;=18,COUNTIF($K$2:$K$10,INT(A561))&gt;0),1,0)</f>
        <v>1</v>
      </c>
      <c r="G561" s="34" t="n">
        <f aca="false">B561/1</f>
        <v>68.731</v>
      </c>
      <c r="H561" s="34" t="n">
        <f aca="false">IF(F561=1,G561,"")</f>
        <v>68.731</v>
      </c>
    </row>
    <row r="562" customFormat="false" ht="15" hidden="false" customHeight="false" outlineLevel="0" collapsed="false">
      <c r="A562" s="31" t="n">
        <v>42759.3333333333</v>
      </c>
      <c r="B562" s="32" t="n">
        <v>176.881</v>
      </c>
      <c r="D562" s="33" t="n">
        <f aca="false">WEEKDAY(A562,2)</f>
        <v>2</v>
      </c>
      <c r="E562" s="33" t="n">
        <f aca="false">HOUR(A562)+MINUTE(A562)/60</f>
        <v>8</v>
      </c>
      <c r="F562" s="33" t="n">
        <f aca="false">IF(OR(D562&gt;5,E562&lt;8,E562&gt;=18,COUNTIF($K$2:$K$10,INT(A562))&gt;0),1,0)</f>
        <v>0</v>
      </c>
      <c r="G562" s="34" t="n">
        <f aca="false">B562/1</f>
        <v>176.881</v>
      </c>
      <c r="H562" s="34" t="str">
        <f aca="false">IF(F562=1,G562,"")</f>
        <v/>
      </c>
    </row>
    <row r="563" customFormat="false" ht="15" hidden="false" customHeight="false" outlineLevel="0" collapsed="false">
      <c r="A563" s="31" t="n">
        <v>42759.375</v>
      </c>
      <c r="B563" s="32" t="n">
        <v>227.78</v>
      </c>
      <c r="D563" s="33" t="n">
        <f aca="false">WEEKDAY(A563,2)</f>
        <v>2</v>
      </c>
      <c r="E563" s="33" t="n">
        <f aca="false">HOUR(A563)+MINUTE(A563)/60</f>
        <v>9</v>
      </c>
      <c r="F563" s="33" t="n">
        <f aca="false">IF(OR(D563&gt;5,E563&lt;8,E563&gt;=18,COUNTIF($K$2:$K$10,INT(A563))&gt;0),1,0)</f>
        <v>0</v>
      </c>
      <c r="G563" s="34" t="n">
        <f aca="false">B563/1</f>
        <v>227.78</v>
      </c>
      <c r="H563" s="34" t="str">
        <f aca="false">IF(F563=1,G563,"")</f>
        <v/>
      </c>
    </row>
    <row r="564" customFormat="false" ht="15" hidden="false" customHeight="false" outlineLevel="0" collapsed="false">
      <c r="A564" s="31" t="n">
        <v>42759.4166666667</v>
      </c>
      <c r="B564" s="32" t="n">
        <v>247.481</v>
      </c>
      <c r="D564" s="33" t="n">
        <f aca="false">WEEKDAY(A564,2)</f>
        <v>2</v>
      </c>
      <c r="E564" s="33" t="n">
        <f aca="false">HOUR(A564)+MINUTE(A564)/60</f>
        <v>10</v>
      </c>
      <c r="F564" s="33" t="n">
        <f aca="false">IF(OR(D564&gt;5,E564&lt;8,E564&gt;=18,COUNTIF($K$2:$K$10,INT(A564))&gt;0),1,0)</f>
        <v>0</v>
      </c>
      <c r="G564" s="34" t="n">
        <f aca="false">B564/1</f>
        <v>247.481</v>
      </c>
      <c r="H564" s="34" t="str">
        <f aca="false">IF(F564=1,G564,"")</f>
        <v/>
      </c>
    </row>
    <row r="565" customFormat="false" ht="15" hidden="false" customHeight="false" outlineLevel="0" collapsed="false">
      <c r="A565" s="31" t="n">
        <v>42759.4583333333</v>
      </c>
      <c r="B565" s="32" t="n">
        <v>264.541</v>
      </c>
      <c r="D565" s="33" t="n">
        <f aca="false">WEEKDAY(A565,2)</f>
        <v>2</v>
      </c>
      <c r="E565" s="33" t="n">
        <f aca="false">HOUR(A565)+MINUTE(A565)/60</f>
        <v>11</v>
      </c>
      <c r="F565" s="33" t="n">
        <f aca="false">IF(OR(D565&gt;5,E565&lt;8,E565&gt;=18,COUNTIF($K$2:$K$10,INT(A565))&gt;0),1,0)</f>
        <v>0</v>
      </c>
      <c r="G565" s="34" t="n">
        <f aca="false">B565/1</f>
        <v>264.541</v>
      </c>
      <c r="H565" s="34" t="str">
        <f aca="false">IF(F565=1,G565,"")</f>
        <v/>
      </c>
    </row>
    <row r="566" customFormat="false" ht="15" hidden="false" customHeight="false" outlineLevel="0" collapsed="false">
      <c r="A566" s="31" t="n">
        <v>42759.5</v>
      </c>
      <c r="B566" s="32" t="n">
        <v>269.669</v>
      </c>
      <c r="D566" s="33" t="n">
        <f aca="false">WEEKDAY(A566,2)</f>
        <v>2</v>
      </c>
      <c r="E566" s="33" t="n">
        <f aca="false">HOUR(A566)+MINUTE(A566)/60</f>
        <v>12</v>
      </c>
      <c r="F566" s="33" t="n">
        <f aca="false">IF(OR(D566&gt;5,E566&lt;8,E566&gt;=18,COUNTIF($K$2:$K$10,INT(A566))&gt;0),1,0)</f>
        <v>0</v>
      </c>
      <c r="G566" s="34" t="n">
        <f aca="false">B566/1</f>
        <v>269.669</v>
      </c>
      <c r="H566" s="34" t="str">
        <f aca="false">IF(F566=1,G566,"")</f>
        <v/>
      </c>
    </row>
    <row r="567" customFormat="false" ht="15" hidden="false" customHeight="false" outlineLevel="0" collapsed="false">
      <c r="A567" s="31" t="n">
        <v>42759.5416666667</v>
      </c>
      <c r="B567" s="32" t="n">
        <v>264.672</v>
      </c>
      <c r="D567" s="33" t="n">
        <f aca="false">WEEKDAY(A567,2)</f>
        <v>2</v>
      </c>
      <c r="E567" s="33" t="n">
        <f aca="false">HOUR(A567)+MINUTE(A567)/60</f>
        <v>13</v>
      </c>
      <c r="F567" s="33" t="n">
        <f aca="false">IF(OR(D567&gt;5,E567&lt;8,E567&gt;=18,COUNTIF($K$2:$K$10,INT(A567))&gt;0),1,0)</f>
        <v>0</v>
      </c>
      <c r="G567" s="34" t="n">
        <f aca="false">B567/1</f>
        <v>264.672</v>
      </c>
      <c r="H567" s="34" t="str">
        <f aca="false">IF(F567=1,G567,"")</f>
        <v/>
      </c>
    </row>
    <row r="568" customFormat="false" ht="15" hidden="false" customHeight="false" outlineLevel="0" collapsed="false">
      <c r="A568" s="31" t="n">
        <v>42759.5833333333</v>
      </c>
      <c r="B568" s="32" t="n">
        <v>258.513</v>
      </c>
      <c r="D568" s="33" t="n">
        <f aca="false">WEEKDAY(A568,2)</f>
        <v>2</v>
      </c>
      <c r="E568" s="33" t="n">
        <f aca="false">HOUR(A568)+MINUTE(A568)/60</f>
        <v>14</v>
      </c>
      <c r="F568" s="33" t="n">
        <f aca="false">IF(OR(D568&gt;5,E568&lt;8,E568&gt;=18,COUNTIF($K$2:$K$10,INT(A568))&gt;0),1,0)</f>
        <v>0</v>
      </c>
      <c r="G568" s="34" t="n">
        <f aca="false">B568/1</f>
        <v>258.513</v>
      </c>
      <c r="H568" s="34" t="str">
        <f aca="false">IF(F568=1,G568,"")</f>
        <v/>
      </c>
    </row>
    <row r="569" customFormat="false" ht="15" hidden="false" customHeight="false" outlineLevel="0" collapsed="false">
      <c r="A569" s="31" t="n">
        <v>42759.625</v>
      </c>
      <c r="B569" s="32" t="n">
        <v>266.599</v>
      </c>
      <c r="D569" s="33" t="n">
        <f aca="false">WEEKDAY(A569,2)</f>
        <v>2</v>
      </c>
      <c r="E569" s="33" t="n">
        <f aca="false">HOUR(A569)+MINUTE(A569)/60</f>
        <v>15</v>
      </c>
      <c r="F569" s="33" t="n">
        <f aca="false">IF(OR(D569&gt;5,E569&lt;8,E569&gt;=18,COUNTIF($K$2:$K$10,INT(A569))&gt;0),1,0)</f>
        <v>0</v>
      </c>
      <c r="G569" s="34" t="n">
        <f aca="false">B569/1</f>
        <v>266.599</v>
      </c>
      <c r="H569" s="34" t="str">
        <f aca="false">IF(F569=1,G569,"")</f>
        <v/>
      </c>
    </row>
    <row r="570" customFormat="false" ht="15" hidden="false" customHeight="false" outlineLevel="0" collapsed="false">
      <c r="A570" s="31" t="n">
        <v>42759.6666666667</v>
      </c>
      <c r="B570" s="32" t="n">
        <v>249.077</v>
      </c>
      <c r="D570" s="33" t="n">
        <f aca="false">WEEKDAY(A570,2)</f>
        <v>2</v>
      </c>
      <c r="E570" s="33" t="n">
        <f aca="false">HOUR(A570)+MINUTE(A570)/60</f>
        <v>16</v>
      </c>
      <c r="F570" s="33" t="n">
        <f aca="false">IF(OR(D570&gt;5,E570&lt;8,E570&gt;=18,COUNTIF($K$2:$K$10,INT(A570))&gt;0),1,0)</f>
        <v>0</v>
      </c>
      <c r="G570" s="34" t="n">
        <f aca="false">B570/1</f>
        <v>249.077</v>
      </c>
      <c r="H570" s="34" t="str">
        <f aca="false">IF(F570=1,G570,"")</f>
        <v/>
      </c>
    </row>
    <row r="571" customFormat="false" ht="15" hidden="false" customHeight="false" outlineLevel="0" collapsed="false">
      <c r="A571" s="31" t="n">
        <v>42759.7083333333</v>
      </c>
      <c r="B571" s="32" t="n">
        <v>233.892</v>
      </c>
      <c r="D571" s="33" t="n">
        <f aca="false">WEEKDAY(A571,2)</f>
        <v>2</v>
      </c>
      <c r="E571" s="33" t="n">
        <f aca="false">HOUR(A571)+MINUTE(A571)/60</f>
        <v>17</v>
      </c>
      <c r="F571" s="33" t="n">
        <f aca="false">IF(OR(D571&gt;5,E571&lt;8,E571&gt;=18,COUNTIF($K$2:$K$10,INT(A571))&gt;0),1,0)</f>
        <v>0</v>
      </c>
      <c r="G571" s="34" t="n">
        <f aca="false">B571/1</f>
        <v>233.892</v>
      </c>
      <c r="H571" s="34" t="str">
        <f aca="false">IF(F571=1,G571,"")</f>
        <v/>
      </c>
    </row>
    <row r="572" customFormat="false" ht="15" hidden="false" customHeight="false" outlineLevel="0" collapsed="false">
      <c r="A572" s="31" t="n">
        <v>42759.75</v>
      </c>
      <c r="B572" s="32" t="n">
        <v>222.423</v>
      </c>
      <c r="D572" s="33" t="n">
        <f aca="false">WEEKDAY(A572,2)</f>
        <v>2</v>
      </c>
      <c r="E572" s="33" t="n">
        <f aca="false">HOUR(A572)+MINUTE(A572)/60</f>
        <v>18</v>
      </c>
      <c r="F572" s="33" t="n">
        <f aca="false">IF(OR(D572&gt;5,E572&lt;8,E572&gt;=18,COUNTIF($K$2:$K$10,INT(A572))&gt;0),1,0)</f>
        <v>1</v>
      </c>
      <c r="G572" s="34" t="n">
        <f aca="false">B572/1</f>
        <v>222.423</v>
      </c>
      <c r="H572" s="34" t="n">
        <f aca="false">IF(F572=1,G572,"")</f>
        <v>222.423</v>
      </c>
    </row>
    <row r="573" customFormat="false" ht="15" hidden="false" customHeight="false" outlineLevel="0" collapsed="false">
      <c r="A573" s="31" t="n">
        <v>42759.7916666667</v>
      </c>
      <c r="B573" s="32" t="n">
        <v>215.098</v>
      </c>
      <c r="D573" s="33" t="n">
        <f aca="false">WEEKDAY(A573,2)</f>
        <v>2</v>
      </c>
      <c r="E573" s="33" t="n">
        <f aca="false">HOUR(A573)+MINUTE(A573)/60</f>
        <v>19</v>
      </c>
      <c r="F573" s="33" t="n">
        <f aca="false">IF(OR(D573&gt;5,E573&lt;8,E573&gt;=18,COUNTIF($K$2:$K$10,INT(A573))&gt;0),1,0)</f>
        <v>1</v>
      </c>
      <c r="G573" s="34" t="n">
        <f aca="false">B573/1</f>
        <v>215.098</v>
      </c>
      <c r="H573" s="34" t="n">
        <f aca="false">IF(F573=1,G573,"")</f>
        <v>215.098</v>
      </c>
    </row>
    <row r="574" customFormat="false" ht="15" hidden="false" customHeight="false" outlineLevel="0" collapsed="false">
      <c r="A574" s="31" t="n">
        <v>42759.8333333333</v>
      </c>
      <c r="B574" s="32" t="n">
        <v>202.776</v>
      </c>
      <c r="D574" s="33" t="n">
        <f aca="false">WEEKDAY(A574,2)</f>
        <v>2</v>
      </c>
      <c r="E574" s="33" t="n">
        <f aca="false">HOUR(A574)+MINUTE(A574)/60</f>
        <v>20</v>
      </c>
      <c r="F574" s="33" t="n">
        <f aca="false">IF(OR(D574&gt;5,E574&lt;8,E574&gt;=18,COUNTIF($K$2:$K$10,INT(A574))&gt;0),1,0)</f>
        <v>1</v>
      </c>
      <c r="G574" s="34" t="n">
        <f aca="false">B574/1</f>
        <v>202.776</v>
      </c>
      <c r="H574" s="34" t="n">
        <f aca="false">IF(F574=1,G574,"")</f>
        <v>202.776</v>
      </c>
    </row>
    <row r="575" customFormat="false" ht="15" hidden="false" customHeight="false" outlineLevel="0" collapsed="false">
      <c r="A575" s="31" t="n">
        <v>42759.875</v>
      </c>
      <c r="B575" s="32" t="n">
        <v>196.918</v>
      </c>
      <c r="D575" s="33" t="n">
        <f aca="false">WEEKDAY(A575,2)</f>
        <v>2</v>
      </c>
      <c r="E575" s="33" t="n">
        <f aca="false">HOUR(A575)+MINUTE(A575)/60</f>
        <v>21</v>
      </c>
      <c r="F575" s="33" t="n">
        <f aca="false">IF(OR(D575&gt;5,E575&lt;8,E575&gt;=18,COUNTIF($K$2:$K$10,INT(A575))&gt;0),1,0)</f>
        <v>1</v>
      </c>
      <c r="G575" s="34" t="n">
        <f aca="false">B575/1</f>
        <v>196.918</v>
      </c>
      <c r="H575" s="34" t="n">
        <f aca="false">IF(F575=1,G575,"")</f>
        <v>196.918</v>
      </c>
    </row>
    <row r="576" customFormat="false" ht="15" hidden="false" customHeight="false" outlineLevel="0" collapsed="false">
      <c r="A576" s="31" t="n">
        <v>42759.9166666667</v>
      </c>
      <c r="B576" s="32" t="n">
        <v>131.068</v>
      </c>
      <c r="D576" s="33" t="n">
        <f aca="false">WEEKDAY(A576,2)</f>
        <v>2</v>
      </c>
      <c r="E576" s="33" t="n">
        <f aca="false">HOUR(A576)+MINUTE(A576)/60</f>
        <v>22</v>
      </c>
      <c r="F576" s="33" t="n">
        <f aca="false">IF(OR(D576&gt;5,E576&lt;8,E576&gt;=18,COUNTIF($K$2:$K$10,INT(A576))&gt;0),1,0)</f>
        <v>1</v>
      </c>
      <c r="G576" s="34" t="n">
        <f aca="false">B576/1</f>
        <v>131.068</v>
      </c>
      <c r="H576" s="34" t="n">
        <f aca="false">IF(F576=1,G576,"")</f>
        <v>131.068</v>
      </c>
    </row>
    <row r="577" customFormat="false" ht="15" hidden="false" customHeight="false" outlineLevel="0" collapsed="false">
      <c r="A577" s="31" t="n">
        <v>42759.9583333333</v>
      </c>
      <c r="B577" s="32" t="n">
        <v>73.155</v>
      </c>
      <c r="D577" s="33" t="n">
        <f aca="false">WEEKDAY(A577,2)</f>
        <v>2</v>
      </c>
      <c r="E577" s="33" t="n">
        <f aca="false">HOUR(A577)+MINUTE(A577)/60</f>
        <v>23</v>
      </c>
      <c r="F577" s="33" t="n">
        <f aca="false">IF(OR(D577&gt;5,E577&lt;8,E577&gt;=18,COUNTIF($K$2:$K$10,INT(A577))&gt;0),1,0)</f>
        <v>1</v>
      </c>
      <c r="G577" s="34" t="n">
        <f aca="false">B577/1</f>
        <v>73.155</v>
      </c>
      <c r="H577" s="34" t="n">
        <f aca="false">IF(F577=1,G577,"")</f>
        <v>73.155</v>
      </c>
    </row>
    <row r="578" customFormat="false" ht="15" hidden="false" customHeight="false" outlineLevel="0" collapsed="false">
      <c r="A578" s="31" t="n">
        <v>42760</v>
      </c>
      <c r="B578" s="32" t="n">
        <v>71.127</v>
      </c>
      <c r="D578" s="33" t="n">
        <f aca="false">WEEKDAY(A578,2)</f>
        <v>3</v>
      </c>
      <c r="E578" s="33" t="n">
        <f aca="false">HOUR(A578)+MINUTE(A578)/60</f>
        <v>0</v>
      </c>
      <c r="F578" s="33" t="n">
        <f aca="false">IF(OR(D578&gt;5,E578&lt;8,E578&gt;=18,COUNTIF($K$2:$K$10,INT(A578))&gt;0),1,0)</f>
        <v>1</v>
      </c>
      <c r="G578" s="34" t="n">
        <f aca="false">B578/1</f>
        <v>71.127</v>
      </c>
      <c r="H578" s="34" t="n">
        <f aca="false">IF(F578=1,G578,"")</f>
        <v>71.127</v>
      </c>
    </row>
    <row r="579" customFormat="false" ht="15" hidden="false" customHeight="false" outlineLevel="0" collapsed="false">
      <c r="A579" s="31" t="n">
        <v>42760.0416666667</v>
      </c>
      <c r="B579" s="32" t="n">
        <v>62.262</v>
      </c>
      <c r="D579" s="33" t="n">
        <f aca="false">WEEKDAY(A579,2)</f>
        <v>3</v>
      </c>
      <c r="E579" s="33" t="n">
        <f aca="false">HOUR(A579)+MINUTE(A579)/60</f>
        <v>1</v>
      </c>
      <c r="F579" s="33" t="n">
        <f aca="false">IF(OR(D579&gt;5,E579&lt;8,E579&gt;=18,COUNTIF($K$2:$K$10,INT(A579))&gt;0),1,0)</f>
        <v>1</v>
      </c>
      <c r="G579" s="34" t="n">
        <f aca="false">B579/1</f>
        <v>62.262</v>
      </c>
      <c r="H579" s="34" t="n">
        <f aca="false">IF(F579=1,G579,"")</f>
        <v>62.262</v>
      </c>
    </row>
    <row r="580" customFormat="false" ht="15" hidden="false" customHeight="false" outlineLevel="0" collapsed="false">
      <c r="A580" s="31" t="n">
        <v>42760.0833333333</v>
      </c>
      <c r="B580" s="32" t="n">
        <v>61.602</v>
      </c>
      <c r="D580" s="33" t="n">
        <f aca="false">WEEKDAY(A580,2)</f>
        <v>3</v>
      </c>
      <c r="E580" s="33" t="n">
        <f aca="false">HOUR(A580)+MINUTE(A580)/60</f>
        <v>2</v>
      </c>
      <c r="F580" s="33" t="n">
        <f aca="false">IF(OR(D580&gt;5,E580&lt;8,E580&gt;=18,COUNTIF($K$2:$K$10,INT(A580))&gt;0),1,0)</f>
        <v>1</v>
      </c>
      <c r="G580" s="34" t="n">
        <f aca="false">B580/1</f>
        <v>61.602</v>
      </c>
      <c r="H580" s="34" t="n">
        <f aca="false">IF(F580=1,G580,"")</f>
        <v>61.602</v>
      </c>
    </row>
    <row r="581" customFormat="false" ht="15" hidden="false" customHeight="false" outlineLevel="0" collapsed="false">
      <c r="A581" s="31" t="n">
        <v>42760.125</v>
      </c>
      <c r="B581" s="32" t="n">
        <v>65.451</v>
      </c>
      <c r="D581" s="33" t="n">
        <f aca="false">WEEKDAY(A581,2)</f>
        <v>3</v>
      </c>
      <c r="E581" s="33" t="n">
        <f aca="false">HOUR(A581)+MINUTE(A581)/60</f>
        <v>3</v>
      </c>
      <c r="F581" s="33" t="n">
        <f aca="false">IF(OR(D581&gt;5,E581&lt;8,E581&gt;=18,COUNTIF($K$2:$K$10,INT(A581))&gt;0),1,0)</f>
        <v>1</v>
      </c>
      <c r="G581" s="34" t="n">
        <f aca="false">B581/1</f>
        <v>65.451</v>
      </c>
      <c r="H581" s="34" t="n">
        <f aca="false">IF(F581=1,G581,"")</f>
        <v>65.451</v>
      </c>
    </row>
    <row r="582" customFormat="false" ht="15" hidden="false" customHeight="false" outlineLevel="0" collapsed="false">
      <c r="A582" s="31" t="n">
        <v>42760.1666666667</v>
      </c>
      <c r="B582" s="32" t="n">
        <v>64.594</v>
      </c>
      <c r="D582" s="33" t="n">
        <f aca="false">WEEKDAY(A582,2)</f>
        <v>3</v>
      </c>
      <c r="E582" s="33" t="n">
        <f aca="false">HOUR(A582)+MINUTE(A582)/60</f>
        <v>4</v>
      </c>
      <c r="F582" s="33" t="n">
        <f aca="false">IF(OR(D582&gt;5,E582&lt;8,E582&gt;=18,COUNTIF($K$2:$K$10,INT(A582))&gt;0),1,0)</f>
        <v>1</v>
      </c>
      <c r="G582" s="34" t="n">
        <f aca="false">B582/1</f>
        <v>64.594</v>
      </c>
      <c r="H582" s="34" t="n">
        <f aca="false">IF(F582=1,G582,"")</f>
        <v>64.594</v>
      </c>
    </row>
    <row r="583" customFormat="false" ht="15" hidden="false" customHeight="false" outlineLevel="0" collapsed="false">
      <c r="A583" s="31" t="n">
        <v>42760.2083333333</v>
      </c>
      <c r="B583" s="32" t="n">
        <v>61.362</v>
      </c>
      <c r="D583" s="33" t="n">
        <f aca="false">WEEKDAY(A583,2)</f>
        <v>3</v>
      </c>
      <c r="E583" s="33" t="n">
        <f aca="false">HOUR(A583)+MINUTE(A583)/60</f>
        <v>5</v>
      </c>
      <c r="F583" s="33" t="n">
        <f aca="false">IF(OR(D583&gt;5,E583&lt;8,E583&gt;=18,COUNTIF($K$2:$K$10,INT(A583))&gt;0),1,0)</f>
        <v>1</v>
      </c>
      <c r="G583" s="34" t="n">
        <f aca="false">B583/1</f>
        <v>61.362</v>
      </c>
      <c r="H583" s="34" t="n">
        <f aca="false">IF(F583=1,G583,"")</f>
        <v>61.362</v>
      </c>
    </row>
    <row r="584" customFormat="false" ht="15" hidden="false" customHeight="false" outlineLevel="0" collapsed="false">
      <c r="A584" s="31" t="n">
        <v>42760.25</v>
      </c>
      <c r="B584" s="32" t="n">
        <v>66.629</v>
      </c>
      <c r="D584" s="33" t="n">
        <f aca="false">WEEKDAY(A584,2)</f>
        <v>3</v>
      </c>
      <c r="E584" s="33" t="n">
        <f aca="false">HOUR(A584)+MINUTE(A584)/60</f>
        <v>6</v>
      </c>
      <c r="F584" s="33" t="n">
        <f aca="false">IF(OR(D584&gt;5,E584&lt;8,E584&gt;=18,COUNTIF($K$2:$K$10,INT(A584))&gt;0),1,0)</f>
        <v>1</v>
      </c>
      <c r="G584" s="34" t="n">
        <f aca="false">B584/1</f>
        <v>66.629</v>
      </c>
      <c r="H584" s="34" t="n">
        <f aca="false">IF(F584=1,G584,"")</f>
        <v>66.629</v>
      </c>
    </row>
    <row r="585" customFormat="false" ht="15" hidden="false" customHeight="false" outlineLevel="0" collapsed="false">
      <c r="A585" s="31" t="n">
        <v>42760.2916666667</v>
      </c>
      <c r="B585" s="32" t="n">
        <v>68.471</v>
      </c>
      <c r="D585" s="33" t="n">
        <f aca="false">WEEKDAY(A585,2)</f>
        <v>3</v>
      </c>
      <c r="E585" s="33" t="n">
        <f aca="false">HOUR(A585)+MINUTE(A585)/60</f>
        <v>7</v>
      </c>
      <c r="F585" s="33" t="n">
        <f aca="false">IF(OR(D585&gt;5,E585&lt;8,E585&gt;=18,COUNTIF($K$2:$K$10,INT(A585))&gt;0),1,0)</f>
        <v>1</v>
      </c>
      <c r="G585" s="34" t="n">
        <f aca="false">B585/1</f>
        <v>68.471</v>
      </c>
      <c r="H585" s="34" t="n">
        <f aca="false">IF(F585=1,G585,"")</f>
        <v>68.471</v>
      </c>
    </row>
    <row r="586" customFormat="false" ht="15" hidden="false" customHeight="false" outlineLevel="0" collapsed="false">
      <c r="A586" s="31" t="n">
        <v>42760.3333333333</v>
      </c>
      <c r="B586" s="32" t="n">
        <v>169.913</v>
      </c>
      <c r="D586" s="33" t="n">
        <f aca="false">WEEKDAY(A586,2)</f>
        <v>3</v>
      </c>
      <c r="E586" s="33" t="n">
        <f aca="false">HOUR(A586)+MINUTE(A586)/60</f>
        <v>8</v>
      </c>
      <c r="F586" s="33" t="n">
        <f aca="false">IF(OR(D586&gt;5,E586&lt;8,E586&gt;=18,COUNTIF($K$2:$K$10,INT(A586))&gt;0),1,0)</f>
        <v>0</v>
      </c>
      <c r="G586" s="34" t="n">
        <f aca="false">B586/1</f>
        <v>169.913</v>
      </c>
      <c r="H586" s="34" t="str">
        <f aca="false">IF(F586=1,G586,"")</f>
        <v/>
      </c>
    </row>
    <row r="587" customFormat="false" ht="15" hidden="false" customHeight="false" outlineLevel="0" collapsed="false">
      <c r="A587" s="31" t="n">
        <v>42760.375</v>
      </c>
      <c r="B587" s="32" t="n">
        <v>215.627</v>
      </c>
      <c r="D587" s="33" t="n">
        <f aca="false">WEEKDAY(A587,2)</f>
        <v>3</v>
      </c>
      <c r="E587" s="33" t="n">
        <f aca="false">HOUR(A587)+MINUTE(A587)/60</f>
        <v>9</v>
      </c>
      <c r="F587" s="33" t="n">
        <f aca="false">IF(OR(D587&gt;5,E587&lt;8,E587&gt;=18,COUNTIF($K$2:$K$10,INT(A587))&gt;0),1,0)</f>
        <v>0</v>
      </c>
      <c r="G587" s="34" t="n">
        <f aca="false">B587/1</f>
        <v>215.627</v>
      </c>
      <c r="H587" s="34" t="str">
        <f aca="false">IF(F587=1,G587,"")</f>
        <v/>
      </c>
    </row>
    <row r="588" customFormat="false" ht="15" hidden="false" customHeight="false" outlineLevel="0" collapsed="false">
      <c r="A588" s="31" t="n">
        <v>42760.4166666667</v>
      </c>
      <c r="B588" s="32" t="n">
        <v>236.373</v>
      </c>
      <c r="D588" s="33" t="n">
        <f aca="false">WEEKDAY(A588,2)</f>
        <v>3</v>
      </c>
      <c r="E588" s="33" t="n">
        <f aca="false">HOUR(A588)+MINUTE(A588)/60</f>
        <v>10</v>
      </c>
      <c r="F588" s="33" t="n">
        <f aca="false">IF(OR(D588&gt;5,E588&lt;8,E588&gt;=18,COUNTIF($K$2:$K$10,INT(A588))&gt;0),1,0)</f>
        <v>0</v>
      </c>
      <c r="G588" s="34" t="n">
        <f aca="false">B588/1</f>
        <v>236.373</v>
      </c>
      <c r="H588" s="34" t="str">
        <f aca="false">IF(F588=1,G588,"")</f>
        <v/>
      </c>
    </row>
    <row r="589" customFormat="false" ht="15" hidden="false" customHeight="false" outlineLevel="0" collapsed="false">
      <c r="A589" s="31" t="n">
        <v>42760.4583333333</v>
      </c>
      <c r="B589" s="32" t="n">
        <v>253.498</v>
      </c>
      <c r="D589" s="33" t="n">
        <f aca="false">WEEKDAY(A589,2)</f>
        <v>3</v>
      </c>
      <c r="E589" s="33" t="n">
        <f aca="false">HOUR(A589)+MINUTE(A589)/60</f>
        <v>11</v>
      </c>
      <c r="F589" s="33" t="n">
        <f aca="false">IF(OR(D589&gt;5,E589&lt;8,E589&gt;=18,COUNTIF($K$2:$K$10,INT(A589))&gt;0),1,0)</f>
        <v>0</v>
      </c>
      <c r="G589" s="34" t="n">
        <f aca="false">B589/1</f>
        <v>253.498</v>
      </c>
      <c r="H589" s="34" t="str">
        <f aca="false">IF(F589=1,G589,"")</f>
        <v/>
      </c>
    </row>
    <row r="590" customFormat="false" ht="15" hidden="false" customHeight="false" outlineLevel="0" collapsed="false">
      <c r="A590" s="31" t="n">
        <v>42760.5</v>
      </c>
      <c r="B590" s="32" t="n">
        <v>260.418</v>
      </c>
      <c r="D590" s="33" t="n">
        <f aca="false">WEEKDAY(A590,2)</f>
        <v>3</v>
      </c>
      <c r="E590" s="33" t="n">
        <f aca="false">HOUR(A590)+MINUTE(A590)/60</f>
        <v>12</v>
      </c>
      <c r="F590" s="33" t="n">
        <f aca="false">IF(OR(D590&gt;5,E590&lt;8,E590&gt;=18,COUNTIF($K$2:$K$10,INT(A590))&gt;0),1,0)</f>
        <v>0</v>
      </c>
      <c r="G590" s="34" t="n">
        <f aca="false">B590/1</f>
        <v>260.418</v>
      </c>
      <c r="H590" s="34" t="str">
        <f aca="false">IF(F590=1,G590,"")</f>
        <v/>
      </c>
    </row>
    <row r="591" customFormat="false" ht="15" hidden="false" customHeight="false" outlineLevel="0" collapsed="false">
      <c r="A591" s="31" t="n">
        <v>42760.5416666667</v>
      </c>
      <c r="B591" s="32" t="n">
        <v>282.486</v>
      </c>
      <c r="D591" s="33" t="n">
        <f aca="false">WEEKDAY(A591,2)</f>
        <v>3</v>
      </c>
      <c r="E591" s="33" t="n">
        <f aca="false">HOUR(A591)+MINUTE(A591)/60</f>
        <v>13</v>
      </c>
      <c r="F591" s="33" t="n">
        <f aca="false">IF(OR(D591&gt;5,E591&lt;8,E591&gt;=18,COUNTIF($K$2:$K$10,INT(A591))&gt;0),1,0)</f>
        <v>0</v>
      </c>
      <c r="G591" s="34" t="n">
        <f aca="false">B591/1</f>
        <v>282.486</v>
      </c>
      <c r="H591" s="34" t="str">
        <f aca="false">IF(F591=1,G591,"")</f>
        <v/>
      </c>
    </row>
    <row r="592" customFormat="false" ht="15" hidden="false" customHeight="false" outlineLevel="0" collapsed="false">
      <c r="A592" s="31" t="n">
        <v>42760.5833333333</v>
      </c>
      <c r="B592" s="32" t="n">
        <v>239.468</v>
      </c>
      <c r="D592" s="33" t="n">
        <f aca="false">WEEKDAY(A592,2)</f>
        <v>3</v>
      </c>
      <c r="E592" s="33" t="n">
        <f aca="false">HOUR(A592)+MINUTE(A592)/60</f>
        <v>14</v>
      </c>
      <c r="F592" s="33" t="n">
        <f aca="false">IF(OR(D592&gt;5,E592&lt;8,E592&gt;=18,COUNTIF($K$2:$K$10,INT(A592))&gt;0),1,0)</f>
        <v>0</v>
      </c>
      <c r="G592" s="34" t="n">
        <f aca="false">B592/1</f>
        <v>239.468</v>
      </c>
      <c r="H592" s="34" t="str">
        <f aca="false">IF(F592=1,G592,"")</f>
        <v/>
      </c>
    </row>
    <row r="593" customFormat="false" ht="15" hidden="false" customHeight="false" outlineLevel="0" collapsed="false">
      <c r="A593" s="31" t="n">
        <v>42760.625</v>
      </c>
      <c r="B593" s="32" t="n">
        <v>261.424</v>
      </c>
      <c r="D593" s="33" t="n">
        <f aca="false">WEEKDAY(A593,2)</f>
        <v>3</v>
      </c>
      <c r="E593" s="33" t="n">
        <f aca="false">HOUR(A593)+MINUTE(A593)/60</f>
        <v>15</v>
      </c>
      <c r="F593" s="33" t="n">
        <f aca="false">IF(OR(D593&gt;5,E593&lt;8,E593&gt;=18,COUNTIF($K$2:$K$10,INT(A593))&gt;0),1,0)</f>
        <v>0</v>
      </c>
      <c r="G593" s="34" t="n">
        <f aca="false">B593/1</f>
        <v>261.424</v>
      </c>
      <c r="H593" s="34" t="str">
        <f aca="false">IF(F593=1,G593,"")</f>
        <v/>
      </c>
    </row>
    <row r="594" customFormat="false" ht="15" hidden="false" customHeight="false" outlineLevel="0" collapsed="false">
      <c r="A594" s="31" t="n">
        <v>42760.6666666667</v>
      </c>
      <c r="B594" s="32" t="n">
        <v>254.898</v>
      </c>
      <c r="D594" s="33" t="n">
        <f aca="false">WEEKDAY(A594,2)</f>
        <v>3</v>
      </c>
      <c r="E594" s="33" t="n">
        <f aca="false">HOUR(A594)+MINUTE(A594)/60</f>
        <v>16</v>
      </c>
      <c r="F594" s="33" t="n">
        <f aca="false">IF(OR(D594&gt;5,E594&lt;8,E594&gt;=18,COUNTIF($K$2:$K$10,INT(A594))&gt;0),1,0)</f>
        <v>0</v>
      </c>
      <c r="G594" s="34" t="n">
        <f aca="false">B594/1</f>
        <v>254.898</v>
      </c>
      <c r="H594" s="34" t="str">
        <f aca="false">IF(F594=1,G594,"")</f>
        <v/>
      </c>
    </row>
    <row r="595" customFormat="false" ht="15" hidden="false" customHeight="false" outlineLevel="0" collapsed="false">
      <c r="A595" s="31" t="n">
        <v>42760.7083333333</v>
      </c>
      <c r="B595" s="32" t="n">
        <v>245.265</v>
      </c>
      <c r="D595" s="33" t="n">
        <f aca="false">WEEKDAY(A595,2)</f>
        <v>3</v>
      </c>
      <c r="E595" s="33" t="n">
        <f aca="false">HOUR(A595)+MINUTE(A595)/60</f>
        <v>17</v>
      </c>
      <c r="F595" s="33" t="n">
        <f aca="false">IF(OR(D595&gt;5,E595&lt;8,E595&gt;=18,COUNTIF($K$2:$K$10,INT(A595))&gt;0),1,0)</f>
        <v>0</v>
      </c>
      <c r="G595" s="34" t="n">
        <f aca="false">B595/1</f>
        <v>245.265</v>
      </c>
      <c r="H595" s="34" t="str">
        <f aca="false">IF(F595=1,G595,"")</f>
        <v/>
      </c>
    </row>
    <row r="596" customFormat="false" ht="15" hidden="false" customHeight="false" outlineLevel="0" collapsed="false">
      <c r="A596" s="31" t="n">
        <v>42760.75</v>
      </c>
      <c r="B596" s="32" t="n">
        <v>246.009</v>
      </c>
      <c r="D596" s="33" t="n">
        <f aca="false">WEEKDAY(A596,2)</f>
        <v>3</v>
      </c>
      <c r="E596" s="33" t="n">
        <f aca="false">HOUR(A596)+MINUTE(A596)/60</f>
        <v>18</v>
      </c>
      <c r="F596" s="33" t="n">
        <f aca="false">IF(OR(D596&gt;5,E596&lt;8,E596&gt;=18,COUNTIF($K$2:$K$10,INT(A596))&gt;0),1,0)</f>
        <v>1</v>
      </c>
      <c r="G596" s="34" t="n">
        <f aca="false">B596/1</f>
        <v>246.009</v>
      </c>
      <c r="H596" s="34" t="n">
        <f aca="false">IF(F596=1,G596,"")</f>
        <v>246.009</v>
      </c>
    </row>
    <row r="597" customFormat="false" ht="15" hidden="false" customHeight="false" outlineLevel="0" collapsed="false">
      <c r="A597" s="31" t="n">
        <v>42760.7916666667</v>
      </c>
      <c r="B597" s="32" t="n">
        <v>243.32</v>
      </c>
      <c r="D597" s="33" t="n">
        <f aca="false">WEEKDAY(A597,2)</f>
        <v>3</v>
      </c>
      <c r="E597" s="33" t="n">
        <f aca="false">HOUR(A597)+MINUTE(A597)/60</f>
        <v>19</v>
      </c>
      <c r="F597" s="33" t="n">
        <f aca="false">IF(OR(D597&gt;5,E597&lt;8,E597&gt;=18,COUNTIF($K$2:$K$10,INT(A597))&gt;0),1,0)</f>
        <v>1</v>
      </c>
      <c r="G597" s="34" t="n">
        <f aca="false">B597/1</f>
        <v>243.32</v>
      </c>
      <c r="H597" s="34" t="n">
        <f aca="false">IF(F597=1,G597,"")</f>
        <v>243.32</v>
      </c>
    </row>
    <row r="598" customFormat="false" ht="15" hidden="false" customHeight="false" outlineLevel="0" collapsed="false">
      <c r="A598" s="31" t="n">
        <v>42760.8333333333</v>
      </c>
      <c r="B598" s="32" t="n">
        <v>209.494</v>
      </c>
      <c r="D598" s="33" t="n">
        <f aca="false">WEEKDAY(A598,2)</f>
        <v>3</v>
      </c>
      <c r="E598" s="33" t="n">
        <f aca="false">HOUR(A598)+MINUTE(A598)/60</f>
        <v>20</v>
      </c>
      <c r="F598" s="33" t="n">
        <f aca="false">IF(OR(D598&gt;5,E598&lt;8,E598&gt;=18,COUNTIF($K$2:$K$10,INT(A598))&gt;0),1,0)</f>
        <v>1</v>
      </c>
      <c r="G598" s="34" t="n">
        <f aca="false">B598/1</f>
        <v>209.494</v>
      </c>
      <c r="H598" s="34" t="n">
        <f aca="false">IF(F598=1,G598,"")</f>
        <v>209.494</v>
      </c>
    </row>
    <row r="599" customFormat="false" ht="15" hidden="false" customHeight="false" outlineLevel="0" collapsed="false">
      <c r="A599" s="31" t="n">
        <v>42760.875</v>
      </c>
      <c r="B599" s="32" t="n">
        <v>191.294</v>
      </c>
      <c r="D599" s="33" t="n">
        <f aca="false">WEEKDAY(A599,2)</f>
        <v>3</v>
      </c>
      <c r="E599" s="33" t="n">
        <f aca="false">HOUR(A599)+MINUTE(A599)/60</f>
        <v>21</v>
      </c>
      <c r="F599" s="33" t="n">
        <f aca="false">IF(OR(D599&gt;5,E599&lt;8,E599&gt;=18,COUNTIF($K$2:$K$10,INT(A599))&gt;0),1,0)</f>
        <v>1</v>
      </c>
      <c r="G599" s="34" t="n">
        <f aca="false">B599/1</f>
        <v>191.294</v>
      </c>
      <c r="H599" s="34" t="n">
        <f aca="false">IF(F599=1,G599,"")</f>
        <v>191.294</v>
      </c>
    </row>
    <row r="600" customFormat="false" ht="15" hidden="false" customHeight="false" outlineLevel="0" collapsed="false">
      <c r="A600" s="31" t="n">
        <v>42760.9166666667</v>
      </c>
      <c r="B600" s="32" t="n">
        <v>131.851</v>
      </c>
      <c r="D600" s="33" t="n">
        <f aca="false">WEEKDAY(A600,2)</f>
        <v>3</v>
      </c>
      <c r="E600" s="33" t="n">
        <f aca="false">HOUR(A600)+MINUTE(A600)/60</f>
        <v>22</v>
      </c>
      <c r="F600" s="33" t="n">
        <f aca="false">IF(OR(D600&gt;5,E600&lt;8,E600&gt;=18,COUNTIF($K$2:$K$10,INT(A600))&gt;0),1,0)</f>
        <v>1</v>
      </c>
      <c r="G600" s="34" t="n">
        <f aca="false">B600/1</f>
        <v>131.851</v>
      </c>
      <c r="H600" s="34" t="n">
        <f aca="false">IF(F600=1,G600,"")</f>
        <v>131.851</v>
      </c>
    </row>
    <row r="601" customFormat="false" ht="15" hidden="false" customHeight="false" outlineLevel="0" collapsed="false">
      <c r="A601" s="31" t="n">
        <v>42760.9583333333</v>
      </c>
      <c r="B601" s="32" t="n">
        <v>72.823</v>
      </c>
      <c r="D601" s="33" t="n">
        <f aca="false">WEEKDAY(A601,2)</f>
        <v>3</v>
      </c>
      <c r="E601" s="33" t="n">
        <f aca="false">HOUR(A601)+MINUTE(A601)/60</f>
        <v>23</v>
      </c>
      <c r="F601" s="33" t="n">
        <f aca="false">IF(OR(D601&gt;5,E601&lt;8,E601&gt;=18,COUNTIF($K$2:$K$10,INT(A601))&gt;0),1,0)</f>
        <v>1</v>
      </c>
      <c r="G601" s="34" t="n">
        <f aca="false">B601/1</f>
        <v>72.823</v>
      </c>
      <c r="H601" s="34" t="n">
        <f aca="false">IF(F601=1,G601,"")</f>
        <v>72.823</v>
      </c>
    </row>
    <row r="602" customFormat="false" ht="15" hidden="false" customHeight="false" outlineLevel="0" collapsed="false">
      <c r="A602" s="31" t="n">
        <v>42761</v>
      </c>
      <c r="B602" s="32" t="n">
        <v>70.776</v>
      </c>
      <c r="D602" s="33" t="n">
        <f aca="false">WEEKDAY(A602,2)</f>
        <v>4</v>
      </c>
      <c r="E602" s="33" t="n">
        <f aca="false">HOUR(A602)+MINUTE(A602)/60</f>
        <v>0</v>
      </c>
      <c r="F602" s="33" t="n">
        <f aca="false">IF(OR(D602&gt;5,E602&lt;8,E602&gt;=18,COUNTIF($K$2:$K$10,INT(A602))&gt;0),1,0)</f>
        <v>1</v>
      </c>
      <c r="G602" s="34" t="n">
        <f aca="false">B602/1</f>
        <v>70.776</v>
      </c>
      <c r="H602" s="34" t="n">
        <f aca="false">IF(F602=1,G602,"")</f>
        <v>70.776</v>
      </c>
    </row>
    <row r="603" customFormat="false" ht="15" hidden="false" customHeight="false" outlineLevel="0" collapsed="false">
      <c r="A603" s="31" t="n">
        <v>42761.0416666667</v>
      </c>
      <c r="B603" s="32" t="n">
        <v>64.599</v>
      </c>
      <c r="D603" s="33" t="n">
        <f aca="false">WEEKDAY(A603,2)</f>
        <v>4</v>
      </c>
      <c r="E603" s="33" t="n">
        <f aca="false">HOUR(A603)+MINUTE(A603)/60</f>
        <v>1</v>
      </c>
      <c r="F603" s="33" t="n">
        <f aca="false">IF(OR(D603&gt;5,E603&lt;8,E603&gt;=18,COUNTIF($K$2:$K$10,INT(A603))&gt;0),1,0)</f>
        <v>1</v>
      </c>
      <c r="G603" s="34" t="n">
        <f aca="false">B603/1</f>
        <v>64.599</v>
      </c>
      <c r="H603" s="34" t="n">
        <f aca="false">IF(F603=1,G603,"")</f>
        <v>64.599</v>
      </c>
    </row>
    <row r="604" customFormat="false" ht="15" hidden="false" customHeight="false" outlineLevel="0" collapsed="false">
      <c r="A604" s="31" t="n">
        <v>42761.0833333333</v>
      </c>
      <c r="B604" s="32" t="n">
        <v>62.704</v>
      </c>
      <c r="D604" s="33" t="n">
        <f aca="false">WEEKDAY(A604,2)</f>
        <v>4</v>
      </c>
      <c r="E604" s="33" t="n">
        <f aca="false">HOUR(A604)+MINUTE(A604)/60</f>
        <v>2</v>
      </c>
      <c r="F604" s="33" t="n">
        <f aca="false">IF(OR(D604&gt;5,E604&lt;8,E604&gt;=18,COUNTIF($K$2:$K$10,INT(A604))&gt;0),1,0)</f>
        <v>1</v>
      </c>
      <c r="G604" s="34" t="n">
        <f aca="false">B604/1</f>
        <v>62.704</v>
      </c>
      <c r="H604" s="34" t="n">
        <f aca="false">IF(F604=1,G604,"")</f>
        <v>62.704</v>
      </c>
    </row>
    <row r="605" customFormat="false" ht="15" hidden="false" customHeight="false" outlineLevel="0" collapsed="false">
      <c r="A605" s="31" t="n">
        <v>42761.125</v>
      </c>
      <c r="B605" s="32" t="n">
        <v>66.009</v>
      </c>
      <c r="D605" s="33" t="n">
        <f aca="false">WEEKDAY(A605,2)</f>
        <v>4</v>
      </c>
      <c r="E605" s="33" t="n">
        <f aca="false">HOUR(A605)+MINUTE(A605)/60</f>
        <v>3</v>
      </c>
      <c r="F605" s="33" t="n">
        <f aca="false">IF(OR(D605&gt;5,E605&lt;8,E605&gt;=18,COUNTIF($K$2:$K$10,INT(A605))&gt;0),1,0)</f>
        <v>1</v>
      </c>
      <c r="G605" s="34" t="n">
        <f aca="false">B605/1</f>
        <v>66.009</v>
      </c>
      <c r="H605" s="34" t="n">
        <f aca="false">IF(F605=1,G605,"")</f>
        <v>66.009</v>
      </c>
    </row>
    <row r="606" customFormat="false" ht="15" hidden="false" customHeight="false" outlineLevel="0" collapsed="false">
      <c r="A606" s="31" t="n">
        <v>42761.1666666667</v>
      </c>
      <c r="B606" s="32" t="n">
        <v>65.212</v>
      </c>
      <c r="D606" s="33" t="n">
        <f aca="false">WEEKDAY(A606,2)</f>
        <v>4</v>
      </c>
      <c r="E606" s="33" t="n">
        <f aca="false">HOUR(A606)+MINUTE(A606)/60</f>
        <v>4</v>
      </c>
      <c r="F606" s="33" t="n">
        <f aca="false">IF(OR(D606&gt;5,E606&lt;8,E606&gt;=18,COUNTIF($K$2:$K$10,INT(A606))&gt;0),1,0)</f>
        <v>1</v>
      </c>
      <c r="G606" s="34" t="n">
        <f aca="false">B606/1</f>
        <v>65.212</v>
      </c>
      <c r="H606" s="34" t="n">
        <f aca="false">IF(F606=1,G606,"")</f>
        <v>65.212</v>
      </c>
    </row>
    <row r="607" customFormat="false" ht="15" hidden="false" customHeight="false" outlineLevel="0" collapsed="false">
      <c r="A607" s="31" t="n">
        <v>42761.2083333333</v>
      </c>
      <c r="B607" s="32" t="n">
        <v>64.488</v>
      </c>
      <c r="D607" s="33" t="n">
        <f aca="false">WEEKDAY(A607,2)</f>
        <v>4</v>
      </c>
      <c r="E607" s="33" t="n">
        <f aca="false">HOUR(A607)+MINUTE(A607)/60</f>
        <v>5</v>
      </c>
      <c r="F607" s="33" t="n">
        <f aca="false">IF(OR(D607&gt;5,E607&lt;8,E607&gt;=18,COUNTIF($K$2:$K$10,INT(A607))&gt;0),1,0)</f>
        <v>1</v>
      </c>
      <c r="G607" s="34" t="n">
        <f aca="false">B607/1</f>
        <v>64.488</v>
      </c>
      <c r="H607" s="34" t="n">
        <f aca="false">IF(F607=1,G607,"")</f>
        <v>64.488</v>
      </c>
    </row>
    <row r="608" customFormat="false" ht="15" hidden="false" customHeight="false" outlineLevel="0" collapsed="false">
      <c r="A608" s="31" t="n">
        <v>42761.25</v>
      </c>
      <c r="B608" s="32" t="n">
        <v>63.167</v>
      </c>
      <c r="D608" s="33" t="n">
        <f aca="false">WEEKDAY(A608,2)</f>
        <v>4</v>
      </c>
      <c r="E608" s="33" t="n">
        <f aca="false">HOUR(A608)+MINUTE(A608)/60</f>
        <v>6</v>
      </c>
      <c r="F608" s="33" t="n">
        <f aca="false">IF(OR(D608&gt;5,E608&lt;8,E608&gt;=18,COUNTIF($K$2:$K$10,INT(A608))&gt;0),1,0)</f>
        <v>1</v>
      </c>
      <c r="G608" s="34" t="n">
        <f aca="false">B608/1</f>
        <v>63.167</v>
      </c>
      <c r="H608" s="34" t="n">
        <f aca="false">IF(F608=1,G608,"")</f>
        <v>63.167</v>
      </c>
    </row>
    <row r="609" customFormat="false" ht="15" hidden="false" customHeight="false" outlineLevel="0" collapsed="false">
      <c r="A609" s="31" t="n">
        <v>42761.2916666667</v>
      </c>
      <c r="B609" s="32" t="n">
        <v>66.615</v>
      </c>
      <c r="D609" s="33" t="n">
        <f aca="false">WEEKDAY(A609,2)</f>
        <v>4</v>
      </c>
      <c r="E609" s="33" t="n">
        <f aca="false">HOUR(A609)+MINUTE(A609)/60</f>
        <v>7</v>
      </c>
      <c r="F609" s="33" t="n">
        <f aca="false">IF(OR(D609&gt;5,E609&lt;8,E609&gt;=18,COUNTIF($K$2:$K$10,INT(A609))&gt;0),1,0)</f>
        <v>1</v>
      </c>
      <c r="G609" s="34" t="n">
        <f aca="false">B609/1</f>
        <v>66.615</v>
      </c>
      <c r="H609" s="34" t="n">
        <f aca="false">IF(F609=1,G609,"")</f>
        <v>66.615</v>
      </c>
    </row>
    <row r="610" customFormat="false" ht="15" hidden="false" customHeight="false" outlineLevel="0" collapsed="false">
      <c r="A610" s="31" t="n">
        <v>42761.3333333333</v>
      </c>
      <c r="B610" s="32" t="n">
        <v>176.543</v>
      </c>
      <c r="D610" s="33" t="n">
        <f aca="false">WEEKDAY(A610,2)</f>
        <v>4</v>
      </c>
      <c r="E610" s="33" t="n">
        <f aca="false">HOUR(A610)+MINUTE(A610)/60</f>
        <v>8</v>
      </c>
      <c r="F610" s="33" t="n">
        <f aca="false">IF(OR(D610&gt;5,E610&lt;8,E610&gt;=18,COUNTIF($K$2:$K$10,INT(A610))&gt;0),1,0)</f>
        <v>0</v>
      </c>
      <c r="G610" s="34" t="n">
        <f aca="false">B610/1</f>
        <v>176.543</v>
      </c>
      <c r="H610" s="34" t="str">
        <f aca="false">IF(F610=1,G610,"")</f>
        <v/>
      </c>
    </row>
    <row r="611" customFormat="false" ht="15" hidden="false" customHeight="false" outlineLevel="0" collapsed="false">
      <c r="A611" s="31" t="n">
        <v>42761.375</v>
      </c>
      <c r="B611" s="32" t="n">
        <v>225.751</v>
      </c>
      <c r="D611" s="33" t="n">
        <f aca="false">WEEKDAY(A611,2)</f>
        <v>4</v>
      </c>
      <c r="E611" s="33" t="n">
        <f aca="false">HOUR(A611)+MINUTE(A611)/60</f>
        <v>9</v>
      </c>
      <c r="F611" s="33" t="n">
        <f aca="false">IF(OR(D611&gt;5,E611&lt;8,E611&gt;=18,COUNTIF($K$2:$K$10,INT(A611))&gt;0),1,0)</f>
        <v>0</v>
      </c>
      <c r="G611" s="34" t="n">
        <f aca="false">B611/1</f>
        <v>225.751</v>
      </c>
      <c r="H611" s="34" t="str">
        <f aca="false">IF(F611=1,G611,"")</f>
        <v/>
      </c>
    </row>
    <row r="612" customFormat="false" ht="15" hidden="false" customHeight="false" outlineLevel="0" collapsed="false">
      <c r="A612" s="31" t="n">
        <v>42761.4166666667</v>
      </c>
      <c r="B612" s="32" t="n">
        <v>258.145</v>
      </c>
      <c r="D612" s="33" t="n">
        <f aca="false">WEEKDAY(A612,2)</f>
        <v>4</v>
      </c>
      <c r="E612" s="33" t="n">
        <f aca="false">HOUR(A612)+MINUTE(A612)/60</f>
        <v>10</v>
      </c>
      <c r="F612" s="33" t="n">
        <f aca="false">IF(OR(D612&gt;5,E612&lt;8,E612&gt;=18,COUNTIF($K$2:$K$10,INT(A612))&gt;0),1,0)</f>
        <v>0</v>
      </c>
      <c r="G612" s="34" t="n">
        <f aca="false">B612/1</f>
        <v>258.145</v>
      </c>
      <c r="H612" s="34" t="str">
        <f aca="false">IF(F612=1,G612,"")</f>
        <v/>
      </c>
    </row>
    <row r="613" customFormat="false" ht="15" hidden="false" customHeight="false" outlineLevel="0" collapsed="false">
      <c r="A613" s="31" t="n">
        <v>42761.4583333333</v>
      </c>
      <c r="B613" s="32" t="n">
        <v>266.353</v>
      </c>
      <c r="D613" s="33" t="n">
        <f aca="false">WEEKDAY(A613,2)</f>
        <v>4</v>
      </c>
      <c r="E613" s="33" t="n">
        <f aca="false">HOUR(A613)+MINUTE(A613)/60</f>
        <v>11</v>
      </c>
      <c r="F613" s="33" t="n">
        <f aca="false">IF(OR(D613&gt;5,E613&lt;8,E613&gt;=18,COUNTIF($K$2:$K$10,INT(A613))&gt;0),1,0)</f>
        <v>0</v>
      </c>
      <c r="G613" s="34" t="n">
        <f aca="false">B613/1</f>
        <v>266.353</v>
      </c>
      <c r="H613" s="34" t="str">
        <f aca="false">IF(F613=1,G613,"")</f>
        <v/>
      </c>
    </row>
    <row r="614" customFormat="false" ht="15" hidden="false" customHeight="false" outlineLevel="0" collapsed="false">
      <c r="A614" s="31" t="n">
        <v>42761.5</v>
      </c>
      <c r="B614" s="32" t="n">
        <v>263.707</v>
      </c>
      <c r="D614" s="33" t="n">
        <f aca="false">WEEKDAY(A614,2)</f>
        <v>4</v>
      </c>
      <c r="E614" s="33" t="n">
        <f aca="false">HOUR(A614)+MINUTE(A614)/60</f>
        <v>12</v>
      </c>
      <c r="F614" s="33" t="n">
        <f aca="false">IF(OR(D614&gt;5,E614&lt;8,E614&gt;=18,COUNTIF($K$2:$K$10,INT(A614))&gt;0),1,0)</f>
        <v>0</v>
      </c>
      <c r="G614" s="34" t="n">
        <f aca="false">B614/1</f>
        <v>263.707</v>
      </c>
      <c r="H614" s="34" t="str">
        <f aca="false">IF(F614=1,G614,"")</f>
        <v/>
      </c>
    </row>
    <row r="615" customFormat="false" ht="15" hidden="false" customHeight="false" outlineLevel="0" collapsed="false">
      <c r="A615" s="31" t="n">
        <v>42761.5416666667</v>
      </c>
      <c r="B615" s="32" t="n">
        <v>261.229</v>
      </c>
      <c r="D615" s="33" t="n">
        <f aca="false">WEEKDAY(A615,2)</f>
        <v>4</v>
      </c>
      <c r="E615" s="33" t="n">
        <f aca="false">HOUR(A615)+MINUTE(A615)/60</f>
        <v>13</v>
      </c>
      <c r="F615" s="33" t="n">
        <f aca="false">IF(OR(D615&gt;5,E615&lt;8,E615&gt;=18,COUNTIF($K$2:$K$10,INT(A615))&gt;0),1,0)</f>
        <v>0</v>
      </c>
      <c r="G615" s="34" t="n">
        <f aca="false">B615/1</f>
        <v>261.229</v>
      </c>
      <c r="H615" s="34" t="str">
        <f aca="false">IF(F615=1,G615,"")</f>
        <v/>
      </c>
    </row>
    <row r="616" customFormat="false" ht="15" hidden="false" customHeight="false" outlineLevel="0" collapsed="false">
      <c r="A616" s="31" t="n">
        <v>42761.5833333333</v>
      </c>
      <c r="B616" s="32" t="n">
        <v>256.327</v>
      </c>
      <c r="D616" s="33" t="n">
        <f aca="false">WEEKDAY(A616,2)</f>
        <v>4</v>
      </c>
      <c r="E616" s="33" t="n">
        <f aca="false">HOUR(A616)+MINUTE(A616)/60</f>
        <v>14</v>
      </c>
      <c r="F616" s="33" t="n">
        <f aca="false">IF(OR(D616&gt;5,E616&lt;8,E616&gt;=18,COUNTIF($K$2:$K$10,INT(A616))&gt;0),1,0)</f>
        <v>0</v>
      </c>
      <c r="G616" s="34" t="n">
        <f aca="false">B616/1</f>
        <v>256.327</v>
      </c>
      <c r="H616" s="34" t="str">
        <f aca="false">IF(F616=1,G616,"")</f>
        <v/>
      </c>
    </row>
    <row r="617" customFormat="false" ht="15" hidden="false" customHeight="false" outlineLevel="0" collapsed="false">
      <c r="A617" s="31" t="n">
        <v>42761.625</v>
      </c>
      <c r="B617" s="32" t="n">
        <v>263.797</v>
      </c>
      <c r="D617" s="33" t="n">
        <f aca="false">WEEKDAY(A617,2)</f>
        <v>4</v>
      </c>
      <c r="E617" s="33" t="n">
        <f aca="false">HOUR(A617)+MINUTE(A617)/60</f>
        <v>15</v>
      </c>
      <c r="F617" s="33" t="n">
        <f aca="false">IF(OR(D617&gt;5,E617&lt;8,E617&gt;=18,COUNTIF($K$2:$K$10,INT(A617))&gt;0),1,0)</f>
        <v>0</v>
      </c>
      <c r="G617" s="34" t="n">
        <f aca="false">B617/1</f>
        <v>263.797</v>
      </c>
      <c r="H617" s="34" t="str">
        <f aca="false">IF(F617=1,G617,"")</f>
        <v/>
      </c>
    </row>
    <row r="618" customFormat="false" ht="15" hidden="false" customHeight="false" outlineLevel="0" collapsed="false">
      <c r="A618" s="31" t="n">
        <v>42761.6666666667</v>
      </c>
      <c r="B618" s="32" t="n">
        <v>244.663</v>
      </c>
      <c r="D618" s="33" t="n">
        <f aca="false">WEEKDAY(A618,2)</f>
        <v>4</v>
      </c>
      <c r="E618" s="33" t="n">
        <f aca="false">HOUR(A618)+MINUTE(A618)/60</f>
        <v>16</v>
      </c>
      <c r="F618" s="33" t="n">
        <f aca="false">IF(OR(D618&gt;5,E618&lt;8,E618&gt;=18,COUNTIF($K$2:$K$10,INT(A618))&gt;0),1,0)</f>
        <v>0</v>
      </c>
      <c r="G618" s="34" t="n">
        <f aca="false">B618/1</f>
        <v>244.663</v>
      </c>
      <c r="H618" s="34" t="str">
        <f aca="false">IF(F618=1,G618,"")</f>
        <v/>
      </c>
    </row>
    <row r="619" customFormat="false" ht="15" hidden="false" customHeight="false" outlineLevel="0" collapsed="false">
      <c r="A619" s="31" t="n">
        <v>42761.7083333333</v>
      </c>
      <c r="B619" s="32" t="n">
        <v>241.424</v>
      </c>
      <c r="D619" s="33" t="n">
        <f aca="false">WEEKDAY(A619,2)</f>
        <v>4</v>
      </c>
      <c r="E619" s="33" t="n">
        <f aca="false">HOUR(A619)+MINUTE(A619)/60</f>
        <v>17</v>
      </c>
      <c r="F619" s="33" t="n">
        <f aca="false">IF(OR(D619&gt;5,E619&lt;8,E619&gt;=18,COUNTIF($K$2:$K$10,INT(A619))&gt;0),1,0)</f>
        <v>0</v>
      </c>
      <c r="G619" s="34" t="n">
        <f aca="false">B619/1</f>
        <v>241.424</v>
      </c>
      <c r="H619" s="34" t="str">
        <f aca="false">IF(F619=1,G619,"")</f>
        <v/>
      </c>
    </row>
    <row r="620" customFormat="false" ht="15" hidden="false" customHeight="false" outlineLevel="0" collapsed="false">
      <c r="A620" s="31" t="n">
        <v>42761.75</v>
      </c>
      <c r="B620" s="32" t="n">
        <v>230.584</v>
      </c>
      <c r="D620" s="33" t="n">
        <f aca="false">WEEKDAY(A620,2)</f>
        <v>4</v>
      </c>
      <c r="E620" s="33" t="n">
        <f aca="false">HOUR(A620)+MINUTE(A620)/60</f>
        <v>18</v>
      </c>
      <c r="F620" s="33" t="n">
        <f aca="false">IF(OR(D620&gt;5,E620&lt;8,E620&gt;=18,COUNTIF($K$2:$K$10,INT(A620))&gt;0),1,0)</f>
        <v>1</v>
      </c>
      <c r="G620" s="34" t="n">
        <f aca="false">B620/1</f>
        <v>230.584</v>
      </c>
      <c r="H620" s="34" t="n">
        <f aca="false">IF(F620=1,G620,"")</f>
        <v>230.584</v>
      </c>
    </row>
    <row r="621" customFormat="false" ht="15" hidden="false" customHeight="false" outlineLevel="0" collapsed="false">
      <c r="A621" s="31" t="n">
        <v>42761.7916666667</v>
      </c>
      <c r="B621" s="32" t="n">
        <v>220.667</v>
      </c>
      <c r="D621" s="33" t="n">
        <f aca="false">WEEKDAY(A621,2)</f>
        <v>4</v>
      </c>
      <c r="E621" s="33" t="n">
        <f aca="false">HOUR(A621)+MINUTE(A621)/60</f>
        <v>19</v>
      </c>
      <c r="F621" s="33" t="n">
        <f aca="false">IF(OR(D621&gt;5,E621&lt;8,E621&gt;=18,COUNTIF($K$2:$K$10,INT(A621))&gt;0),1,0)</f>
        <v>1</v>
      </c>
      <c r="G621" s="34" t="n">
        <f aca="false">B621/1</f>
        <v>220.667</v>
      </c>
      <c r="H621" s="34" t="n">
        <f aca="false">IF(F621=1,G621,"")</f>
        <v>220.667</v>
      </c>
    </row>
    <row r="622" customFormat="false" ht="15" hidden="false" customHeight="false" outlineLevel="0" collapsed="false">
      <c r="A622" s="31" t="n">
        <v>42761.8333333333</v>
      </c>
      <c r="B622" s="32" t="n">
        <v>211.759</v>
      </c>
      <c r="D622" s="33" t="n">
        <f aca="false">WEEKDAY(A622,2)</f>
        <v>4</v>
      </c>
      <c r="E622" s="33" t="n">
        <f aca="false">HOUR(A622)+MINUTE(A622)/60</f>
        <v>20</v>
      </c>
      <c r="F622" s="33" t="n">
        <f aca="false">IF(OR(D622&gt;5,E622&lt;8,E622&gt;=18,COUNTIF($K$2:$K$10,INT(A622))&gt;0),1,0)</f>
        <v>1</v>
      </c>
      <c r="G622" s="34" t="n">
        <f aca="false">B622/1</f>
        <v>211.759</v>
      </c>
      <c r="H622" s="34" t="n">
        <f aca="false">IF(F622=1,G622,"")</f>
        <v>211.759</v>
      </c>
    </row>
    <row r="623" customFormat="false" ht="15" hidden="false" customHeight="false" outlineLevel="0" collapsed="false">
      <c r="A623" s="31" t="n">
        <v>42761.875</v>
      </c>
      <c r="B623" s="32" t="n">
        <v>200.863</v>
      </c>
      <c r="D623" s="33" t="n">
        <f aca="false">WEEKDAY(A623,2)</f>
        <v>4</v>
      </c>
      <c r="E623" s="33" t="n">
        <f aca="false">HOUR(A623)+MINUTE(A623)/60</f>
        <v>21</v>
      </c>
      <c r="F623" s="33" t="n">
        <f aca="false">IF(OR(D623&gt;5,E623&lt;8,E623&gt;=18,COUNTIF($K$2:$K$10,INT(A623))&gt;0),1,0)</f>
        <v>1</v>
      </c>
      <c r="G623" s="34" t="n">
        <f aca="false">B623/1</f>
        <v>200.863</v>
      </c>
      <c r="H623" s="34" t="n">
        <f aca="false">IF(F623=1,G623,"")</f>
        <v>200.863</v>
      </c>
    </row>
    <row r="624" customFormat="false" ht="15" hidden="false" customHeight="false" outlineLevel="0" collapsed="false">
      <c r="A624" s="31" t="n">
        <v>42761.9166666667</v>
      </c>
      <c r="B624" s="32" t="n">
        <v>140.641</v>
      </c>
      <c r="D624" s="33" t="n">
        <f aca="false">WEEKDAY(A624,2)</f>
        <v>4</v>
      </c>
      <c r="E624" s="33" t="n">
        <f aca="false">HOUR(A624)+MINUTE(A624)/60</f>
        <v>22</v>
      </c>
      <c r="F624" s="33" t="n">
        <f aca="false">IF(OR(D624&gt;5,E624&lt;8,E624&gt;=18,COUNTIF($K$2:$K$10,INT(A624))&gt;0),1,0)</f>
        <v>1</v>
      </c>
      <c r="G624" s="34" t="n">
        <f aca="false">B624/1</f>
        <v>140.641</v>
      </c>
      <c r="H624" s="34" t="n">
        <f aca="false">IF(F624=1,G624,"")</f>
        <v>140.641</v>
      </c>
    </row>
    <row r="625" customFormat="false" ht="15" hidden="false" customHeight="false" outlineLevel="0" collapsed="false">
      <c r="A625" s="31" t="n">
        <v>42761.9583333333</v>
      </c>
      <c r="B625" s="32" t="n">
        <v>76.926</v>
      </c>
      <c r="D625" s="33" t="n">
        <f aca="false">WEEKDAY(A625,2)</f>
        <v>4</v>
      </c>
      <c r="E625" s="33" t="n">
        <f aca="false">HOUR(A625)+MINUTE(A625)/60</f>
        <v>23</v>
      </c>
      <c r="F625" s="33" t="n">
        <f aca="false">IF(OR(D625&gt;5,E625&lt;8,E625&gt;=18,COUNTIF($K$2:$K$10,INT(A625))&gt;0),1,0)</f>
        <v>1</v>
      </c>
      <c r="G625" s="34" t="n">
        <f aca="false">B625/1</f>
        <v>76.926</v>
      </c>
      <c r="H625" s="34" t="n">
        <f aca="false">IF(F625=1,G625,"")</f>
        <v>76.926</v>
      </c>
    </row>
    <row r="626" customFormat="false" ht="15" hidden="false" customHeight="false" outlineLevel="0" collapsed="false">
      <c r="A626" s="31" t="n">
        <v>42762</v>
      </c>
      <c r="B626" s="32" t="n">
        <v>71.842</v>
      </c>
      <c r="D626" s="33" t="n">
        <f aca="false">WEEKDAY(A626,2)</f>
        <v>5</v>
      </c>
      <c r="E626" s="33" t="n">
        <f aca="false">HOUR(A626)+MINUTE(A626)/60</f>
        <v>0</v>
      </c>
      <c r="F626" s="33" t="n">
        <f aca="false">IF(OR(D626&gt;5,E626&lt;8,E626&gt;=18,COUNTIF($K$2:$K$10,INT(A626))&gt;0),1,0)</f>
        <v>1</v>
      </c>
      <c r="G626" s="34" t="n">
        <f aca="false">B626/1</f>
        <v>71.842</v>
      </c>
      <c r="H626" s="34" t="n">
        <f aca="false">IF(F626=1,G626,"")</f>
        <v>71.842</v>
      </c>
    </row>
    <row r="627" customFormat="false" ht="15" hidden="false" customHeight="false" outlineLevel="0" collapsed="false">
      <c r="A627" s="31" t="n">
        <v>42762.0416666667</v>
      </c>
      <c r="B627" s="32" t="n">
        <v>66.934</v>
      </c>
      <c r="D627" s="33" t="n">
        <f aca="false">WEEKDAY(A627,2)</f>
        <v>5</v>
      </c>
      <c r="E627" s="33" t="n">
        <f aca="false">HOUR(A627)+MINUTE(A627)/60</f>
        <v>1</v>
      </c>
      <c r="F627" s="33" t="n">
        <f aca="false">IF(OR(D627&gt;5,E627&lt;8,E627&gt;=18,COUNTIF($K$2:$K$10,INT(A627))&gt;0),1,0)</f>
        <v>1</v>
      </c>
      <c r="G627" s="34" t="n">
        <f aca="false">B627/1</f>
        <v>66.934</v>
      </c>
      <c r="H627" s="34" t="n">
        <f aca="false">IF(F627=1,G627,"")</f>
        <v>66.934</v>
      </c>
    </row>
    <row r="628" customFormat="false" ht="15" hidden="false" customHeight="false" outlineLevel="0" collapsed="false">
      <c r="A628" s="31" t="n">
        <v>42762.0833333333</v>
      </c>
      <c r="B628" s="32" t="n">
        <v>63.632</v>
      </c>
      <c r="D628" s="33" t="n">
        <f aca="false">WEEKDAY(A628,2)</f>
        <v>5</v>
      </c>
      <c r="E628" s="33" t="n">
        <f aca="false">HOUR(A628)+MINUTE(A628)/60</f>
        <v>2</v>
      </c>
      <c r="F628" s="33" t="n">
        <f aca="false">IF(OR(D628&gt;5,E628&lt;8,E628&gt;=18,COUNTIF($K$2:$K$10,INT(A628))&gt;0),1,0)</f>
        <v>1</v>
      </c>
      <c r="G628" s="34" t="n">
        <f aca="false">B628/1</f>
        <v>63.632</v>
      </c>
      <c r="H628" s="34" t="n">
        <f aca="false">IF(F628=1,G628,"")</f>
        <v>63.632</v>
      </c>
    </row>
    <row r="629" customFormat="false" ht="15" hidden="false" customHeight="false" outlineLevel="0" collapsed="false">
      <c r="A629" s="31" t="n">
        <v>42762.125</v>
      </c>
      <c r="B629" s="32" t="n">
        <v>64.526</v>
      </c>
      <c r="D629" s="33" t="n">
        <f aca="false">WEEKDAY(A629,2)</f>
        <v>5</v>
      </c>
      <c r="E629" s="33" t="n">
        <f aca="false">HOUR(A629)+MINUTE(A629)/60</f>
        <v>3</v>
      </c>
      <c r="F629" s="33" t="n">
        <f aca="false">IF(OR(D629&gt;5,E629&lt;8,E629&gt;=18,COUNTIF($K$2:$K$10,INT(A629))&gt;0),1,0)</f>
        <v>1</v>
      </c>
      <c r="G629" s="34" t="n">
        <f aca="false">B629/1</f>
        <v>64.526</v>
      </c>
      <c r="H629" s="34" t="n">
        <f aca="false">IF(F629=1,G629,"")</f>
        <v>64.526</v>
      </c>
    </row>
    <row r="630" customFormat="false" ht="15" hidden="false" customHeight="false" outlineLevel="0" collapsed="false">
      <c r="A630" s="31" t="n">
        <v>42762.1666666667</v>
      </c>
      <c r="B630" s="32" t="n">
        <v>66.936</v>
      </c>
      <c r="D630" s="33" t="n">
        <f aca="false">WEEKDAY(A630,2)</f>
        <v>5</v>
      </c>
      <c r="E630" s="33" t="n">
        <f aca="false">HOUR(A630)+MINUTE(A630)/60</f>
        <v>4</v>
      </c>
      <c r="F630" s="33" t="n">
        <f aca="false">IF(OR(D630&gt;5,E630&lt;8,E630&gt;=18,COUNTIF($K$2:$K$10,INT(A630))&gt;0),1,0)</f>
        <v>1</v>
      </c>
      <c r="G630" s="34" t="n">
        <f aca="false">B630/1</f>
        <v>66.936</v>
      </c>
      <c r="H630" s="34" t="n">
        <f aca="false">IF(F630=1,G630,"")</f>
        <v>66.936</v>
      </c>
    </row>
    <row r="631" customFormat="false" ht="15" hidden="false" customHeight="false" outlineLevel="0" collapsed="false">
      <c r="A631" s="31" t="n">
        <v>42762.2083333333</v>
      </c>
      <c r="B631" s="32" t="n">
        <v>66.589</v>
      </c>
      <c r="D631" s="33" t="n">
        <f aca="false">WEEKDAY(A631,2)</f>
        <v>5</v>
      </c>
      <c r="E631" s="33" t="n">
        <f aca="false">HOUR(A631)+MINUTE(A631)/60</f>
        <v>5</v>
      </c>
      <c r="F631" s="33" t="n">
        <f aca="false">IF(OR(D631&gt;5,E631&lt;8,E631&gt;=18,COUNTIF($K$2:$K$10,INT(A631))&gt;0),1,0)</f>
        <v>1</v>
      </c>
      <c r="G631" s="34" t="n">
        <f aca="false">B631/1</f>
        <v>66.589</v>
      </c>
      <c r="H631" s="34" t="n">
        <f aca="false">IF(F631=1,G631,"")</f>
        <v>66.589</v>
      </c>
    </row>
    <row r="632" customFormat="false" ht="15" hidden="false" customHeight="false" outlineLevel="0" collapsed="false">
      <c r="A632" s="31" t="n">
        <v>42762.25</v>
      </c>
      <c r="B632" s="32" t="n">
        <v>67.518</v>
      </c>
      <c r="D632" s="33" t="n">
        <f aca="false">WEEKDAY(A632,2)</f>
        <v>5</v>
      </c>
      <c r="E632" s="33" t="n">
        <f aca="false">HOUR(A632)+MINUTE(A632)/60</f>
        <v>6</v>
      </c>
      <c r="F632" s="33" t="n">
        <f aca="false">IF(OR(D632&gt;5,E632&lt;8,E632&gt;=18,COUNTIF($K$2:$K$10,INT(A632))&gt;0),1,0)</f>
        <v>1</v>
      </c>
      <c r="G632" s="34" t="n">
        <f aca="false">B632/1</f>
        <v>67.518</v>
      </c>
      <c r="H632" s="34" t="n">
        <f aca="false">IF(F632=1,G632,"")</f>
        <v>67.518</v>
      </c>
    </row>
    <row r="633" customFormat="false" ht="15" hidden="false" customHeight="false" outlineLevel="0" collapsed="false">
      <c r="A633" s="31" t="n">
        <v>42762.2916666667</v>
      </c>
      <c r="B633" s="32" t="n">
        <v>70.133</v>
      </c>
      <c r="D633" s="33" t="n">
        <f aca="false">WEEKDAY(A633,2)</f>
        <v>5</v>
      </c>
      <c r="E633" s="33" t="n">
        <f aca="false">HOUR(A633)+MINUTE(A633)/60</f>
        <v>7</v>
      </c>
      <c r="F633" s="33" t="n">
        <f aca="false">IF(OR(D633&gt;5,E633&lt;8,E633&gt;=18,COUNTIF($K$2:$K$10,INT(A633))&gt;0),1,0)</f>
        <v>1</v>
      </c>
      <c r="G633" s="34" t="n">
        <f aca="false">B633/1</f>
        <v>70.133</v>
      </c>
      <c r="H633" s="34" t="n">
        <f aca="false">IF(F633=1,G633,"")</f>
        <v>70.133</v>
      </c>
    </row>
    <row r="634" customFormat="false" ht="15" hidden="false" customHeight="false" outlineLevel="0" collapsed="false">
      <c r="A634" s="31" t="n">
        <v>42762.3333333333</v>
      </c>
      <c r="B634" s="32" t="n">
        <v>174.683</v>
      </c>
      <c r="D634" s="33" t="n">
        <f aca="false">WEEKDAY(A634,2)</f>
        <v>5</v>
      </c>
      <c r="E634" s="33" t="n">
        <f aca="false">HOUR(A634)+MINUTE(A634)/60</f>
        <v>8</v>
      </c>
      <c r="F634" s="33" t="n">
        <f aca="false">IF(OR(D634&gt;5,E634&lt;8,E634&gt;=18,COUNTIF($K$2:$K$10,INT(A634))&gt;0),1,0)</f>
        <v>0</v>
      </c>
      <c r="G634" s="34" t="n">
        <f aca="false">B634/1</f>
        <v>174.683</v>
      </c>
      <c r="H634" s="34" t="str">
        <f aca="false">IF(F634=1,G634,"")</f>
        <v/>
      </c>
    </row>
    <row r="635" customFormat="false" ht="15" hidden="false" customHeight="false" outlineLevel="0" collapsed="false">
      <c r="A635" s="31" t="n">
        <v>42762.375</v>
      </c>
      <c r="B635" s="32" t="n">
        <v>202.658</v>
      </c>
      <c r="D635" s="33" t="n">
        <f aca="false">WEEKDAY(A635,2)</f>
        <v>5</v>
      </c>
      <c r="E635" s="33" t="n">
        <f aca="false">HOUR(A635)+MINUTE(A635)/60</f>
        <v>9</v>
      </c>
      <c r="F635" s="33" t="n">
        <f aca="false">IF(OR(D635&gt;5,E635&lt;8,E635&gt;=18,COUNTIF($K$2:$K$10,INT(A635))&gt;0),1,0)</f>
        <v>0</v>
      </c>
      <c r="G635" s="34" t="n">
        <f aca="false">B635/1</f>
        <v>202.658</v>
      </c>
      <c r="H635" s="34" t="str">
        <f aca="false">IF(F635=1,G635,"")</f>
        <v/>
      </c>
    </row>
    <row r="636" customFormat="false" ht="15" hidden="false" customHeight="false" outlineLevel="0" collapsed="false">
      <c r="A636" s="31" t="n">
        <v>42762.4166666667</v>
      </c>
      <c r="B636" s="32" t="n">
        <v>227.466</v>
      </c>
      <c r="D636" s="33" t="n">
        <f aca="false">WEEKDAY(A636,2)</f>
        <v>5</v>
      </c>
      <c r="E636" s="33" t="n">
        <f aca="false">HOUR(A636)+MINUTE(A636)/60</f>
        <v>10</v>
      </c>
      <c r="F636" s="33" t="n">
        <f aca="false">IF(OR(D636&gt;5,E636&lt;8,E636&gt;=18,COUNTIF($K$2:$K$10,INT(A636))&gt;0),1,0)</f>
        <v>0</v>
      </c>
      <c r="G636" s="34" t="n">
        <f aca="false">B636/1</f>
        <v>227.466</v>
      </c>
      <c r="H636" s="34" t="str">
        <f aca="false">IF(F636=1,G636,"")</f>
        <v/>
      </c>
    </row>
    <row r="637" customFormat="false" ht="15" hidden="false" customHeight="false" outlineLevel="0" collapsed="false">
      <c r="A637" s="31" t="n">
        <v>42762.4583333333</v>
      </c>
      <c r="B637" s="32" t="n">
        <v>237.688</v>
      </c>
      <c r="D637" s="33" t="n">
        <f aca="false">WEEKDAY(A637,2)</f>
        <v>5</v>
      </c>
      <c r="E637" s="33" t="n">
        <f aca="false">HOUR(A637)+MINUTE(A637)/60</f>
        <v>11</v>
      </c>
      <c r="F637" s="33" t="n">
        <f aca="false">IF(OR(D637&gt;5,E637&lt;8,E637&gt;=18,COUNTIF($K$2:$K$10,INT(A637))&gt;0),1,0)</f>
        <v>0</v>
      </c>
      <c r="G637" s="34" t="n">
        <f aca="false">B637/1</f>
        <v>237.688</v>
      </c>
      <c r="H637" s="34" t="str">
        <f aca="false">IF(F637=1,G637,"")</f>
        <v/>
      </c>
    </row>
    <row r="638" customFormat="false" ht="15" hidden="false" customHeight="false" outlineLevel="0" collapsed="false">
      <c r="A638" s="31" t="n">
        <v>42762.5</v>
      </c>
      <c r="B638" s="32" t="n">
        <v>241.113</v>
      </c>
      <c r="D638" s="33" t="n">
        <f aca="false">WEEKDAY(A638,2)</f>
        <v>5</v>
      </c>
      <c r="E638" s="33" t="n">
        <f aca="false">HOUR(A638)+MINUTE(A638)/60</f>
        <v>12</v>
      </c>
      <c r="F638" s="33" t="n">
        <f aca="false">IF(OR(D638&gt;5,E638&lt;8,E638&gt;=18,COUNTIF($K$2:$K$10,INT(A638))&gt;0),1,0)</f>
        <v>0</v>
      </c>
      <c r="G638" s="34" t="n">
        <f aca="false">B638/1</f>
        <v>241.113</v>
      </c>
      <c r="H638" s="34" t="str">
        <f aca="false">IF(F638=1,G638,"")</f>
        <v/>
      </c>
    </row>
    <row r="639" customFormat="false" ht="15" hidden="false" customHeight="false" outlineLevel="0" collapsed="false">
      <c r="A639" s="31" t="n">
        <v>42762.5416666667</v>
      </c>
      <c r="B639" s="32" t="n">
        <v>238.185</v>
      </c>
      <c r="D639" s="33" t="n">
        <f aca="false">WEEKDAY(A639,2)</f>
        <v>5</v>
      </c>
      <c r="E639" s="33" t="n">
        <f aca="false">HOUR(A639)+MINUTE(A639)/60</f>
        <v>13</v>
      </c>
      <c r="F639" s="33" t="n">
        <f aca="false">IF(OR(D639&gt;5,E639&lt;8,E639&gt;=18,COUNTIF($K$2:$K$10,INT(A639))&gt;0),1,0)</f>
        <v>0</v>
      </c>
      <c r="G639" s="34" t="n">
        <f aca="false">B639/1</f>
        <v>238.185</v>
      </c>
      <c r="H639" s="34" t="str">
        <f aca="false">IF(F639=1,G639,"")</f>
        <v/>
      </c>
    </row>
    <row r="640" customFormat="false" ht="15" hidden="false" customHeight="false" outlineLevel="0" collapsed="false">
      <c r="A640" s="31" t="n">
        <v>42762.5833333333</v>
      </c>
      <c r="B640" s="32" t="n">
        <v>234.995</v>
      </c>
      <c r="D640" s="33" t="n">
        <f aca="false">WEEKDAY(A640,2)</f>
        <v>5</v>
      </c>
      <c r="E640" s="33" t="n">
        <f aca="false">HOUR(A640)+MINUTE(A640)/60</f>
        <v>14</v>
      </c>
      <c r="F640" s="33" t="n">
        <f aca="false">IF(OR(D640&gt;5,E640&lt;8,E640&gt;=18,COUNTIF($K$2:$K$10,INT(A640))&gt;0),1,0)</f>
        <v>0</v>
      </c>
      <c r="G640" s="34" t="n">
        <f aca="false">B640/1</f>
        <v>234.995</v>
      </c>
      <c r="H640" s="34" t="str">
        <f aca="false">IF(F640=1,G640,"")</f>
        <v/>
      </c>
    </row>
    <row r="641" customFormat="false" ht="15" hidden="false" customHeight="false" outlineLevel="0" collapsed="false">
      <c r="A641" s="31" t="n">
        <v>42762.625</v>
      </c>
      <c r="B641" s="32" t="n">
        <v>232.721</v>
      </c>
      <c r="D641" s="33" t="n">
        <f aca="false">WEEKDAY(A641,2)</f>
        <v>5</v>
      </c>
      <c r="E641" s="33" t="n">
        <f aca="false">HOUR(A641)+MINUTE(A641)/60</f>
        <v>15</v>
      </c>
      <c r="F641" s="33" t="n">
        <f aca="false">IF(OR(D641&gt;5,E641&lt;8,E641&gt;=18,COUNTIF($K$2:$K$10,INT(A641))&gt;0),1,0)</f>
        <v>0</v>
      </c>
      <c r="G641" s="34" t="n">
        <f aca="false">B641/1</f>
        <v>232.721</v>
      </c>
      <c r="H641" s="34" t="str">
        <f aca="false">IF(F641=1,G641,"")</f>
        <v/>
      </c>
    </row>
    <row r="642" customFormat="false" ht="15" hidden="false" customHeight="false" outlineLevel="0" collapsed="false">
      <c r="A642" s="31" t="n">
        <v>42762.6666666667</v>
      </c>
      <c r="B642" s="32" t="n">
        <v>227.611</v>
      </c>
      <c r="D642" s="33" t="n">
        <f aca="false">WEEKDAY(A642,2)</f>
        <v>5</v>
      </c>
      <c r="E642" s="33" t="n">
        <f aca="false">HOUR(A642)+MINUTE(A642)/60</f>
        <v>16</v>
      </c>
      <c r="F642" s="33" t="n">
        <f aca="false">IF(OR(D642&gt;5,E642&lt;8,E642&gt;=18,COUNTIF($K$2:$K$10,INT(A642))&gt;0),1,0)</f>
        <v>0</v>
      </c>
      <c r="G642" s="34" t="n">
        <f aca="false">B642/1</f>
        <v>227.611</v>
      </c>
      <c r="H642" s="34" t="str">
        <f aca="false">IF(F642=1,G642,"")</f>
        <v/>
      </c>
    </row>
    <row r="643" customFormat="false" ht="15" hidden="false" customHeight="false" outlineLevel="0" collapsed="false">
      <c r="A643" s="31" t="n">
        <v>42762.7083333333</v>
      </c>
      <c r="B643" s="32" t="n">
        <v>214.161</v>
      </c>
      <c r="D643" s="33" t="n">
        <f aca="false">WEEKDAY(A643,2)</f>
        <v>5</v>
      </c>
      <c r="E643" s="33" t="n">
        <f aca="false">HOUR(A643)+MINUTE(A643)/60</f>
        <v>17</v>
      </c>
      <c r="F643" s="33" t="n">
        <f aca="false">IF(OR(D643&gt;5,E643&lt;8,E643&gt;=18,COUNTIF($K$2:$K$10,INT(A643))&gt;0),1,0)</f>
        <v>0</v>
      </c>
      <c r="G643" s="34" t="n">
        <f aca="false">B643/1</f>
        <v>214.161</v>
      </c>
      <c r="H643" s="34" t="str">
        <f aca="false">IF(F643=1,G643,"")</f>
        <v/>
      </c>
    </row>
    <row r="644" customFormat="false" ht="15" hidden="false" customHeight="false" outlineLevel="0" collapsed="false">
      <c r="A644" s="31" t="n">
        <v>42762.75</v>
      </c>
      <c r="B644" s="32" t="n">
        <v>204.333</v>
      </c>
      <c r="D644" s="33" t="n">
        <f aca="false">WEEKDAY(A644,2)</f>
        <v>5</v>
      </c>
      <c r="E644" s="33" t="n">
        <f aca="false">HOUR(A644)+MINUTE(A644)/60</f>
        <v>18</v>
      </c>
      <c r="F644" s="33" t="n">
        <f aca="false">IF(OR(D644&gt;5,E644&lt;8,E644&gt;=18,COUNTIF($K$2:$K$10,INT(A644))&gt;0),1,0)</f>
        <v>1</v>
      </c>
      <c r="G644" s="34" t="n">
        <f aca="false">B644/1</f>
        <v>204.333</v>
      </c>
      <c r="H644" s="34" t="n">
        <f aca="false">IF(F644=1,G644,"")</f>
        <v>204.333</v>
      </c>
    </row>
    <row r="645" customFormat="false" ht="15" hidden="false" customHeight="false" outlineLevel="0" collapsed="false">
      <c r="A645" s="31" t="n">
        <v>42762.7916666667</v>
      </c>
      <c r="B645" s="32" t="n">
        <v>200.849</v>
      </c>
      <c r="D645" s="33" t="n">
        <f aca="false">WEEKDAY(A645,2)</f>
        <v>5</v>
      </c>
      <c r="E645" s="33" t="n">
        <f aca="false">HOUR(A645)+MINUTE(A645)/60</f>
        <v>19</v>
      </c>
      <c r="F645" s="33" t="n">
        <f aca="false">IF(OR(D645&gt;5,E645&lt;8,E645&gt;=18,COUNTIF($K$2:$K$10,INT(A645))&gt;0),1,0)</f>
        <v>1</v>
      </c>
      <c r="G645" s="34" t="n">
        <f aca="false">B645/1</f>
        <v>200.849</v>
      </c>
      <c r="H645" s="34" t="n">
        <f aca="false">IF(F645=1,G645,"")</f>
        <v>200.849</v>
      </c>
    </row>
    <row r="646" customFormat="false" ht="15" hidden="false" customHeight="false" outlineLevel="0" collapsed="false">
      <c r="A646" s="31" t="n">
        <v>42762.8333333333</v>
      </c>
      <c r="B646" s="32" t="n">
        <v>198.988</v>
      </c>
      <c r="D646" s="33" t="n">
        <f aca="false">WEEKDAY(A646,2)</f>
        <v>5</v>
      </c>
      <c r="E646" s="33" t="n">
        <f aca="false">HOUR(A646)+MINUTE(A646)/60</f>
        <v>20</v>
      </c>
      <c r="F646" s="33" t="n">
        <f aca="false">IF(OR(D646&gt;5,E646&lt;8,E646&gt;=18,COUNTIF($K$2:$K$10,INT(A646))&gt;0),1,0)</f>
        <v>1</v>
      </c>
      <c r="G646" s="34" t="n">
        <f aca="false">B646/1</f>
        <v>198.988</v>
      </c>
      <c r="H646" s="34" t="n">
        <f aca="false">IF(F646=1,G646,"")</f>
        <v>198.988</v>
      </c>
    </row>
    <row r="647" customFormat="false" ht="15" hidden="false" customHeight="false" outlineLevel="0" collapsed="false">
      <c r="A647" s="31" t="n">
        <v>42762.875</v>
      </c>
      <c r="B647" s="32" t="n">
        <v>193.407</v>
      </c>
      <c r="D647" s="33" t="n">
        <f aca="false">WEEKDAY(A647,2)</f>
        <v>5</v>
      </c>
      <c r="E647" s="33" t="n">
        <f aca="false">HOUR(A647)+MINUTE(A647)/60</f>
        <v>21</v>
      </c>
      <c r="F647" s="33" t="n">
        <f aca="false">IF(OR(D647&gt;5,E647&lt;8,E647&gt;=18,COUNTIF($K$2:$K$10,INT(A647))&gt;0),1,0)</f>
        <v>1</v>
      </c>
      <c r="G647" s="34" t="n">
        <f aca="false">B647/1</f>
        <v>193.407</v>
      </c>
      <c r="H647" s="34" t="n">
        <f aca="false">IF(F647=1,G647,"")</f>
        <v>193.407</v>
      </c>
    </row>
    <row r="648" customFormat="false" ht="15" hidden="false" customHeight="false" outlineLevel="0" collapsed="false">
      <c r="A648" s="31" t="n">
        <v>42762.9166666667</v>
      </c>
      <c r="B648" s="32" t="n">
        <v>135.003</v>
      </c>
      <c r="D648" s="33" t="n">
        <f aca="false">WEEKDAY(A648,2)</f>
        <v>5</v>
      </c>
      <c r="E648" s="33" t="n">
        <f aca="false">HOUR(A648)+MINUTE(A648)/60</f>
        <v>22</v>
      </c>
      <c r="F648" s="33" t="n">
        <f aca="false">IF(OR(D648&gt;5,E648&lt;8,E648&gt;=18,COUNTIF($K$2:$K$10,INT(A648))&gt;0),1,0)</f>
        <v>1</v>
      </c>
      <c r="G648" s="34" t="n">
        <f aca="false">B648/1</f>
        <v>135.003</v>
      </c>
      <c r="H648" s="34" t="n">
        <f aca="false">IF(F648=1,G648,"")</f>
        <v>135.003</v>
      </c>
    </row>
    <row r="649" customFormat="false" ht="15" hidden="false" customHeight="false" outlineLevel="0" collapsed="false">
      <c r="A649" s="31" t="n">
        <v>42762.9583333333</v>
      </c>
      <c r="B649" s="32" t="n">
        <v>69.487</v>
      </c>
      <c r="D649" s="33" t="n">
        <f aca="false">WEEKDAY(A649,2)</f>
        <v>5</v>
      </c>
      <c r="E649" s="33" t="n">
        <f aca="false">HOUR(A649)+MINUTE(A649)/60</f>
        <v>23</v>
      </c>
      <c r="F649" s="33" t="n">
        <f aca="false">IF(OR(D649&gt;5,E649&lt;8,E649&gt;=18,COUNTIF($K$2:$K$10,INT(A649))&gt;0),1,0)</f>
        <v>1</v>
      </c>
      <c r="G649" s="34" t="n">
        <f aca="false">B649/1</f>
        <v>69.487</v>
      </c>
      <c r="H649" s="34" t="n">
        <f aca="false">IF(F649=1,G649,"")</f>
        <v>69.487</v>
      </c>
    </row>
    <row r="650" customFormat="false" ht="15" hidden="false" customHeight="false" outlineLevel="0" collapsed="false">
      <c r="A650" s="31" t="n">
        <v>42763</v>
      </c>
      <c r="B650" s="32" t="n">
        <v>66.945</v>
      </c>
      <c r="D650" s="33" t="n">
        <f aca="false">WEEKDAY(A650,2)</f>
        <v>6</v>
      </c>
      <c r="E650" s="33" t="n">
        <f aca="false">HOUR(A650)+MINUTE(A650)/60</f>
        <v>0</v>
      </c>
      <c r="F650" s="33" t="n">
        <f aca="false">IF(OR(D650&gt;5,E650&lt;8,E650&gt;=18,COUNTIF($K$2:$K$10,INT(A650))&gt;0),1,0)</f>
        <v>1</v>
      </c>
      <c r="G650" s="34" t="n">
        <f aca="false">B650/1</f>
        <v>66.945</v>
      </c>
      <c r="H650" s="34" t="n">
        <f aca="false">IF(F650=1,G650,"")</f>
        <v>66.945</v>
      </c>
    </row>
    <row r="651" customFormat="false" ht="15" hidden="false" customHeight="false" outlineLevel="0" collapsed="false">
      <c r="A651" s="31" t="n">
        <v>42763.0416666667</v>
      </c>
      <c r="B651" s="32" t="n">
        <v>61.636</v>
      </c>
      <c r="D651" s="33" t="n">
        <f aca="false">WEEKDAY(A651,2)</f>
        <v>6</v>
      </c>
      <c r="E651" s="33" t="n">
        <f aca="false">HOUR(A651)+MINUTE(A651)/60</f>
        <v>1</v>
      </c>
      <c r="F651" s="33" t="n">
        <f aca="false">IF(OR(D651&gt;5,E651&lt;8,E651&gt;=18,COUNTIF($K$2:$K$10,INT(A651))&gt;0),1,0)</f>
        <v>1</v>
      </c>
      <c r="G651" s="34" t="n">
        <f aca="false">B651/1</f>
        <v>61.636</v>
      </c>
      <c r="H651" s="34" t="n">
        <f aca="false">IF(F651=1,G651,"")</f>
        <v>61.636</v>
      </c>
    </row>
    <row r="652" customFormat="false" ht="15" hidden="false" customHeight="false" outlineLevel="0" collapsed="false">
      <c r="A652" s="31" t="n">
        <v>42763.0833333333</v>
      </c>
      <c r="B652" s="32" t="n">
        <v>59.883</v>
      </c>
      <c r="D652" s="33" t="n">
        <f aca="false">WEEKDAY(A652,2)</f>
        <v>6</v>
      </c>
      <c r="E652" s="33" t="n">
        <f aca="false">HOUR(A652)+MINUTE(A652)/60</f>
        <v>2</v>
      </c>
      <c r="F652" s="33" t="n">
        <f aca="false">IF(OR(D652&gt;5,E652&lt;8,E652&gt;=18,COUNTIF($K$2:$K$10,INT(A652))&gt;0),1,0)</f>
        <v>1</v>
      </c>
      <c r="G652" s="34" t="n">
        <f aca="false">B652/1</f>
        <v>59.883</v>
      </c>
      <c r="H652" s="34" t="n">
        <f aca="false">IF(F652=1,G652,"")</f>
        <v>59.883</v>
      </c>
    </row>
    <row r="653" customFormat="false" ht="15" hidden="false" customHeight="false" outlineLevel="0" collapsed="false">
      <c r="A653" s="31" t="n">
        <v>42763.125</v>
      </c>
      <c r="B653" s="32" t="n">
        <v>60.933</v>
      </c>
      <c r="D653" s="33" t="n">
        <f aca="false">WEEKDAY(A653,2)</f>
        <v>6</v>
      </c>
      <c r="E653" s="33" t="n">
        <f aca="false">HOUR(A653)+MINUTE(A653)/60</f>
        <v>3</v>
      </c>
      <c r="F653" s="33" t="n">
        <f aca="false">IF(OR(D653&gt;5,E653&lt;8,E653&gt;=18,COUNTIF($K$2:$K$10,INT(A653))&gt;0),1,0)</f>
        <v>1</v>
      </c>
      <c r="G653" s="34" t="n">
        <f aca="false">B653/1</f>
        <v>60.933</v>
      </c>
      <c r="H653" s="34" t="n">
        <f aca="false">IF(F653=1,G653,"")</f>
        <v>60.933</v>
      </c>
    </row>
    <row r="654" customFormat="false" ht="15" hidden="false" customHeight="false" outlineLevel="0" collapsed="false">
      <c r="A654" s="31" t="n">
        <v>42763.1666666667</v>
      </c>
      <c r="B654" s="32" t="n">
        <v>61.074</v>
      </c>
      <c r="D654" s="33" t="n">
        <f aca="false">WEEKDAY(A654,2)</f>
        <v>6</v>
      </c>
      <c r="E654" s="33" t="n">
        <f aca="false">HOUR(A654)+MINUTE(A654)/60</f>
        <v>4</v>
      </c>
      <c r="F654" s="33" t="n">
        <f aca="false">IF(OR(D654&gt;5,E654&lt;8,E654&gt;=18,COUNTIF($K$2:$K$10,INT(A654))&gt;0),1,0)</f>
        <v>1</v>
      </c>
      <c r="G654" s="34" t="n">
        <f aca="false">B654/1</f>
        <v>61.074</v>
      </c>
      <c r="H654" s="34" t="n">
        <f aca="false">IF(F654=1,G654,"")</f>
        <v>61.074</v>
      </c>
    </row>
    <row r="655" customFormat="false" ht="15" hidden="false" customHeight="false" outlineLevel="0" collapsed="false">
      <c r="A655" s="31" t="n">
        <v>42763.2083333333</v>
      </c>
      <c r="B655" s="32" t="n">
        <v>59.63</v>
      </c>
      <c r="D655" s="33" t="n">
        <f aca="false">WEEKDAY(A655,2)</f>
        <v>6</v>
      </c>
      <c r="E655" s="33" t="n">
        <f aca="false">HOUR(A655)+MINUTE(A655)/60</f>
        <v>5</v>
      </c>
      <c r="F655" s="33" t="n">
        <f aca="false">IF(OR(D655&gt;5,E655&lt;8,E655&gt;=18,COUNTIF($K$2:$K$10,INT(A655))&gt;0),1,0)</f>
        <v>1</v>
      </c>
      <c r="G655" s="34" t="n">
        <f aca="false">B655/1</f>
        <v>59.63</v>
      </c>
      <c r="H655" s="34" t="n">
        <f aca="false">IF(F655=1,G655,"")</f>
        <v>59.63</v>
      </c>
    </row>
    <row r="656" customFormat="false" ht="15" hidden="false" customHeight="false" outlineLevel="0" collapsed="false">
      <c r="A656" s="31" t="n">
        <v>42763.25</v>
      </c>
      <c r="B656" s="32" t="n">
        <v>59.825</v>
      </c>
      <c r="D656" s="33" t="n">
        <f aca="false">WEEKDAY(A656,2)</f>
        <v>6</v>
      </c>
      <c r="E656" s="33" t="n">
        <f aca="false">HOUR(A656)+MINUTE(A656)/60</f>
        <v>6</v>
      </c>
      <c r="F656" s="33" t="n">
        <f aca="false">IF(OR(D656&gt;5,E656&lt;8,E656&gt;=18,COUNTIF($K$2:$K$10,INT(A656))&gt;0),1,0)</f>
        <v>1</v>
      </c>
      <c r="G656" s="34" t="n">
        <f aca="false">B656/1</f>
        <v>59.825</v>
      </c>
      <c r="H656" s="34" t="n">
        <f aca="false">IF(F656=1,G656,"")</f>
        <v>59.825</v>
      </c>
    </row>
    <row r="657" customFormat="false" ht="15" hidden="false" customHeight="false" outlineLevel="0" collapsed="false">
      <c r="A657" s="31" t="n">
        <v>42763.2916666667</v>
      </c>
      <c r="B657" s="32" t="n">
        <v>59.302</v>
      </c>
      <c r="D657" s="33" t="n">
        <f aca="false">WEEKDAY(A657,2)</f>
        <v>6</v>
      </c>
      <c r="E657" s="33" t="n">
        <f aca="false">HOUR(A657)+MINUTE(A657)/60</f>
        <v>7</v>
      </c>
      <c r="F657" s="33" t="n">
        <f aca="false">IF(OR(D657&gt;5,E657&lt;8,E657&gt;=18,COUNTIF($K$2:$K$10,INT(A657))&gt;0),1,0)</f>
        <v>1</v>
      </c>
      <c r="G657" s="34" t="n">
        <f aca="false">B657/1</f>
        <v>59.302</v>
      </c>
      <c r="H657" s="34" t="n">
        <f aca="false">IF(F657=1,G657,"")</f>
        <v>59.302</v>
      </c>
    </row>
    <row r="658" customFormat="false" ht="15" hidden="false" customHeight="false" outlineLevel="0" collapsed="false">
      <c r="A658" s="31" t="n">
        <v>42763.3333333333</v>
      </c>
      <c r="B658" s="32" t="n">
        <v>129.314</v>
      </c>
      <c r="D658" s="33" t="n">
        <f aca="false">WEEKDAY(A658,2)</f>
        <v>6</v>
      </c>
      <c r="E658" s="33" t="n">
        <f aca="false">HOUR(A658)+MINUTE(A658)/60</f>
        <v>8</v>
      </c>
      <c r="F658" s="33" t="n">
        <f aca="false">IF(OR(D658&gt;5,E658&lt;8,E658&gt;=18,COUNTIF($K$2:$K$10,INT(A658))&gt;0),1,0)</f>
        <v>1</v>
      </c>
      <c r="G658" s="34" t="n">
        <f aca="false">B658/1</f>
        <v>129.314</v>
      </c>
      <c r="H658" s="34" t="n">
        <f aca="false">IF(F658=1,G658,"")</f>
        <v>129.314</v>
      </c>
    </row>
    <row r="659" customFormat="false" ht="15" hidden="false" customHeight="false" outlineLevel="0" collapsed="false">
      <c r="A659" s="31" t="n">
        <v>42763.375</v>
      </c>
      <c r="B659" s="32" t="n">
        <v>171.645</v>
      </c>
      <c r="D659" s="33" t="n">
        <f aca="false">WEEKDAY(A659,2)</f>
        <v>6</v>
      </c>
      <c r="E659" s="33" t="n">
        <f aca="false">HOUR(A659)+MINUTE(A659)/60</f>
        <v>9</v>
      </c>
      <c r="F659" s="33" t="n">
        <f aca="false">IF(OR(D659&gt;5,E659&lt;8,E659&gt;=18,COUNTIF($K$2:$K$10,INT(A659))&gt;0),1,0)</f>
        <v>1</v>
      </c>
      <c r="G659" s="34" t="n">
        <f aca="false">B659/1</f>
        <v>171.645</v>
      </c>
      <c r="H659" s="34" t="n">
        <f aca="false">IF(F659=1,G659,"")</f>
        <v>171.645</v>
      </c>
    </row>
    <row r="660" customFormat="false" ht="15" hidden="false" customHeight="false" outlineLevel="0" collapsed="false">
      <c r="A660" s="31" t="n">
        <v>42763.4166666667</v>
      </c>
      <c r="B660" s="32" t="n">
        <v>177.1</v>
      </c>
      <c r="D660" s="33" t="n">
        <f aca="false">WEEKDAY(A660,2)</f>
        <v>6</v>
      </c>
      <c r="E660" s="33" t="n">
        <f aca="false">HOUR(A660)+MINUTE(A660)/60</f>
        <v>10</v>
      </c>
      <c r="F660" s="33" t="n">
        <f aca="false">IF(OR(D660&gt;5,E660&lt;8,E660&gt;=18,COUNTIF($K$2:$K$10,INT(A660))&gt;0),1,0)</f>
        <v>1</v>
      </c>
      <c r="G660" s="34" t="n">
        <f aca="false">B660/1</f>
        <v>177.1</v>
      </c>
      <c r="H660" s="34" t="n">
        <f aca="false">IF(F660=1,G660,"")</f>
        <v>177.1</v>
      </c>
    </row>
    <row r="661" customFormat="false" ht="15" hidden="false" customHeight="false" outlineLevel="0" collapsed="false">
      <c r="A661" s="31" t="n">
        <v>42763.4583333333</v>
      </c>
      <c r="B661" s="32" t="n">
        <v>179.418</v>
      </c>
      <c r="D661" s="33" t="n">
        <f aca="false">WEEKDAY(A661,2)</f>
        <v>6</v>
      </c>
      <c r="E661" s="33" t="n">
        <f aca="false">HOUR(A661)+MINUTE(A661)/60</f>
        <v>11</v>
      </c>
      <c r="F661" s="33" t="n">
        <f aca="false">IF(OR(D661&gt;5,E661&lt;8,E661&gt;=18,COUNTIF($K$2:$K$10,INT(A661))&gt;0),1,0)</f>
        <v>1</v>
      </c>
      <c r="G661" s="34" t="n">
        <f aca="false">B661/1</f>
        <v>179.418</v>
      </c>
      <c r="H661" s="34" t="n">
        <f aca="false">IF(F661=1,G661,"")</f>
        <v>179.418</v>
      </c>
    </row>
    <row r="662" customFormat="false" ht="15" hidden="false" customHeight="false" outlineLevel="0" collapsed="false">
      <c r="A662" s="31" t="n">
        <v>42763.5</v>
      </c>
      <c r="B662" s="32" t="n">
        <v>181.842</v>
      </c>
      <c r="D662" s="33" t="n">
        <f aca="false">WEEKDAY(A662,2)</f>
        <v>6</v>
      </c>
      <c r="E662" s="33" t="n">
        <f aca="false">HOUR(A662)+MINUTE(A662)/60</f>
        <v>12</v>
      </c>
      <c r="F662" s="33" t="n">
        <f aca="false">IF(OR(D662&gt;5,E662&lt;8,E662&gt;=18,COUNTIF($K$2:$K$10,INT(A662))&gt;0),1,0)</f>
        <v>1</v>
      </c>
      <c r="G662" s="34" t="n">
        <f aca="false">B662/1</f>
        <v>181.842</v>
      </c>
      <c r="H662" s="34" t="n">
        <f aca="false">IF(F662=1,G662,"")</f>
        <v>181.842</v>
      </c>
    </row>
    <row r="663" customFormat="false" ht="15" hidden="false" customHeight="false" outlineLevel="0" collapsed="false">
      <c r="A663" s="31" t="n">
        <v>42763.5416666667</v>
      </c>
      <c r="B663" s="32" t="n">
        <v>183.467</v>
      </c>
      <c r="D663" s="33" t="n">
        <f aca="false">WEEKDAY(A663,2)</f>
        <v>6</v>
      </c>
      <c r="E663" s="33" t="n">
        <f aca="false">HOUR(A663)+MINUTE(A663)/60</f>
        <v>13</v>
      </c>
      <c r="F663" s="33" t="n">
        <f aca="false">IF(OR(D663&gt;5,E663&lt;8,E663&gt;=18,COUNTIF($K$2:$K$10,INT(A663))&gt;0),1,0)</f>
        <v>1</v>
      </c>
      <c r="G663" s="34" t="n">
        <f aca="false">B663/1</f>
        <v>183.467</v>
      </c>
      <c r="H663" s="34" t="n">
        <f aca="false">IF(F663=1,G663,"")</f>
        <v>183.467</v>
      </c>
    </row>
    <row r="664" customFormat="false" ht="15" hidden="false" customHeight="false" outlineLevel="0" collapsed="false">
      <c r="A664" s="31" t="n">
        <v>42763.5833333333</v>
      </c>
      <c r="B664" s="32" t="n">
        <v>184.81</v>
      </c>
      <c r="D664" s="33" t="n">
        <f aca="false">WEEKDAY(A664,2)</f>
        <v>6</v>
      </c>
      <c r="E664" s="33" t="n">
        <f aca="false">HOUR(A664)+MINUTE(A664)/60</f>
        <v>14</v>
      </c>
      <c r="F664" s="33" t="n">
        <f aca="false">IF(OR(D664&gt;5,E664&lt;8,E664&gt;=18,COUNTIF($K$2:$K$10,INT(A664))&gt;0),1,0)</f>
        <v>1</v>
      </c>
      <c r="G664" s="34" t="n">
        <f aca="false">B664/1</f>
        <v>184.81</v>
      </c>
      <c r="H664" s="34" t="n">
        <f aca="false">IF(F664=1,G664,"")</f>
        <v>184.81</v>
      </c>
    </row>
    <row r="665" customFormat="false" ht="15" hidden="false" customHeight="false" outlineLevel="0" collapsed="false">
      <c r="A665" s="31" t="n">
        <v>42763.625</v>
      </c>
      <c r="B665" s="32" t="n">
        <v>185.932</v>
      </c>
      <c r="D665" s="33" t="n">
        <f aca="false">WEEKDAY(A665,2)</f>
        <v>6</v>
      </c>
      <c r="E665" s="33" t="n">
        <f aca="false">HOUR(A665)+MINUTE(A665)/60</f>
        <v>15</v>
      </c>
      <c r="F665" s="33" t="n">
        <f aca="false">IF(OR(D665&gt;5,E665&lt;8,E665&gt;=18,COUNTIF($K$2:$K$10,INT(A665))&gt;0),1,0)</f>
        <v>1</v>
      </c>
      <c r="G665" s="34" t="n">
        <f aca="false">B665/1</f>
        <v>185.932</v>
      </c>
      <c r="H665" s="34" t="n">
        <f aca="false">IF(F665=1,G665,"")</f>
        <v>185.932</v>
      </c>
    </row>
    <row r="666" customFormat="false" ht="15" hidden="false" customHeight="false" outlineLevel="0" collapsed="false">
      <c r="A666" s="31" t="n">
        <v>42763.6666666667</v>
      </c>
      <c r="B666" s="32" t="n">
        <v>182.911</v>
      </c>
      <c r="D666" s="33" t="n">
        <f aca="false">WEEKDAY(A666,2)</f>
        <v>6</v>
      </c>
      <c r="E666" s="33" t="n">
        <f aca="false">HOUR(A666)+MINUTE(A666)/60</f>
        <v>16</v>
      </c>
      <c r="F666" s="33" t="n">
        <f aca="false">IF(OR(D666&gt;5,E666&lt;8,E666&gt;=18,COUNTIF($K$2:$K$10,INT(A666))&gt;0),1,0)</f>
        <v>1</v>
      </c>
      <c r="G666" s="34" t="n">
        <f aca="false">B666/1</f>
        <v>182.911</v>
      </c>
      <c r="H666" s="34" t="n">
        <f aca="false">IF(F666=1,G666,"")</f>
        <v>182.911</v>
      </c>
    </row>
    <row r="667" customFormat="false" ht="15" hidden="false" customHeight="false" outlineLevel="0" collapsed="false">
      <c r="A667" s="31" t="n">
        <v>42763.7083333333</v>
      </c>
      <c r="B667" s="32" t="n">
        <v>154.223</v>
      </c>
      <c r="D667" s="33" t="n">
        <f aca="false">WEEKDAY(A667,2)</f>
        <v>6</v>
      </c>
      <c r="E667" s="33" t="n">
        <f aca="false">HOUR(A667)+MINUTE(A667)/60</f>
        <v>17</v>
      </c>
      <c r="F667" s="33" t="n">
        <f aca="false">IF(OR(D667&gt;5,E667&lt;8,E667&gt;=18,COUNTIF($K$2:$K$10,INT(A667))&gt;0),1,0)</f>
        <v>1</v>
      </c>
      <c r="G667" s="34" t="n">
        <f aca="false">B667/1</f>
        <v>154.223</v>
      </c>
      <c r="H667" s="34" t="n">
        <f aca="false">IF(F667=1,G667,"")</f>
        <v>154.223</v>
      </c>
    </row>
    <row r="668" customFormat="false" ht="15" hidden="false" customHeight="false" outlineLevel="0" collapsed="false">
      <c r="A668" s="31" t="n">
        <v>42763.75</v>
      </c>
      <c r="B668" s="32" t="n">
        <v>87.354</v>
      </c>
      <c r="D668" s="33" t="n">
        <f aca="false">WEEKDAY(A668,2)</f>
        <v>6</v>
      </c>
      <c r="E668" s="33" t="n">
        <f aca="false">HOUR(A668)+MINUTE(A668)/60</f>
        <v>18</v>
      </c>
      <c r="F668" s="33" t="n">
        <f aca="false">IF(OR(D668&gt;5,E668&lt;8,E668&gt;=18,COUNTIF($K$2:$K$10,INT(A668))&gt;0),1,0)</f>
        <v>1</v>
      </c>
      <c r="G668" s="34" t="n">
        <f aca="false">B668/1</f>
        <v>87.354</v>
      </c>
      <c r="H668" s="34" t="n">
        <f aca="false">IF(F668=1,G668,"")</f>
        <v>87.354</v>
      </c>
    </row>
    <row r="669" customFormat="false" ht="15" hidden="false" customHeight="false" outlineLevel="0" collapsed="false">
      <c r="A669" s="31" t="n">
        <v>42763.7916666667</v>
      </c>
      <c r="B669" s="32" t="n">
        <v>68.591</v>
      </c>
      <c r="D669" s="33" t="n">
        <f aca="false">WEEKDAY(A669,2)</f>
        <v>6</v>
      </c>
      <c r="E669" s="33" t="n">
        <f aca="false">HOUR(A669)+MINUTE(A669)/60</f>
        <v>19</v>
      </c>
      <c r="F669" s="33" t="n">
        <f aca="false">IF(OR(D669&gt;5,E669&lt;8,E669&gt;=18,COUNTIF($K$2:$K$10,INT(A669))&gt;0),1,0)</f>
        <v>1</v>
      </c>
      <c r="G669" s="34" t="n">
        <f aca="false">B669/1</f>
        <v>68.591</v>
      </c>
      <c r="H669" s="34" t="n">
        <f aca="false">IF(F669=1,G669,"")</f>
        <v>68.591</v>
      </c>
    </row>
    <row r="670" customFormat="false" ht="15" hidden="false" customHeight="false" outlineLevel="0" collapsed="false">
      <c r="A670" s="31" t="n">
        <v>42763.8333333333</v>
      </c>
      <c r="B670" s="32" t="n">
        <v>67.422</v>
      </c>
      <c r="D670" s="33" t="n">
        <f aca="false">WEEKDAY(A670,2)</f>
        <v>6</v>
      </c>
      <c r="E670" s="33" t="n">
        <f aca="false">HOUR(A670)+MINUTE(A670)/60</f>
        <v>20</v>
      </c>
      <c r="F670" s="33" t="n">
        <f aca="false">IF(OR(D670&gt;5,E670&lt;8,E670&gt;=18,COUNTIF($K$2:$K$10,INT(A670))&gt;0),1,0)</f>
        <v>1</v>
      </c>
      <c r="G670" s="34" t="n">
        <f aca="false">B670/1</f>
        <v>67.422</v>
      </c>
      <c r="H670" s="34" t="n">
        <f aca="false">IF(F670=1,G670,"")</f>
        <v>67.422</v>
      </c>
    </row>
    <row r="671" customFormat="false" ht="15" hidden="false" customHeight="false" outlineLevel="0" collapsed="false">
      <c r="A671" s="31" t="n">
        <v>42763.875</v>
      </c>
      <c r="B671" s="32" t="n">
        <v>66.376</v>
      </c>
      <c r="D671" s="33" t="n">
        <f aca="false">WEEKDAY(A671,2)</f>
        <v>6</v>
      </c>
      <c r="E671" s="33" t="n">
        <f aca="false">HOUR(A671)+MINUTE(A671)/60</f>
        <v>21</v>
      </c>
      <c r="F671" s="33" t="n">
        <f aca="false">IF(OR(D671&gt;5,E671&lt;8,E671&gt;=18,COUNTIF($K$2:$K$10,INT(A671))&gt;0),1,0)</f>
        <v>1</v>
      </c>
      <c r="G671" s="34" t="n">
        <f aca="false">B671/1</f>
        <v>66.376</v>
      </c>
      <c r="H671" s="34" t="n">
        <f aca="false">IF(F671=1,G671,"")</f>
        <v>66.376</v>
      </c>
    </row>
    <row r="672" customFormat="false" ht="15" hidden="false" customHeight="false" outlineLevel="0" collapsed="false">
      <c r="A672" s="31" t="n">
        <v>42763.9166666667</v>
      </c>
      <c r="B672" s="32" t="n">
        <v>66.289</v>
      </c>
      <c r="D672" s="33" t="n">
        <f aca="false">WEEKDAY(A672,2)</f>
        <v>6</v>
      </c>
      <c r="E672" s="33" t="n">
        <f aca="false">HOUR(A672)+MINUTE(A672)/60</f>
        <v>22</v>
      </c>
      <c r="F672" s="33" t="n">
        <f aca="false">IF(OR(D672&gt;5,E672&lt;8,E672&gt;=18,COUNTIF($K$2:$K$10,INT(A672))&gt;0),1,0)</f>
        <v>1</v>
      </c>
      <c r="G672" s="34" t="n">
        <f aca="false">B672/1</f>
        <v>66.289</v>
      </c>
      <c r="H672" s="34" t="n">
        <f aca="false">IF(F672=1,G672,"")</f>
        <v>66.289</v>
      </c>
    </row>
    <row r="673" customFormat="false" ht="15" hidden="false" customHeight="false" outlineLevel="0" collapsed="false">
      <c r="A673" s="31" t="n">
        <v>42763.9583333333</v>
      </c>
      <c r="B673" s="32" t="n">
        <v>67.658</v>
      </c>
      <c r="D673" s="33" t="n">
        <f aca="false">WEEKDAY(A673,2)</f>
        <v>6</v>
      </c>
      <c r="E673" s="33" t="n">
        <f aca="false">HOUR(A673)+MINUTE(A673)/60</f>
        <v>23</v>
      </c>
      <c r="F673" s="33" t="n">
        <f aca="false">IF(OR(D673&gt;5,E673&lt;8,E673&gt;=18,COUNTIF($K$2:$K$10,INT(A673))&gt;0),1,0)</f>
        <v>1</v>
      </c>
      <c r="G673" s="34" t="n">
        <f aca="false">B673/1</f>
        <v>67.658</v>
      </c>
      <c r="H673" s="34" t="n">
        <f aca="false">IF(F673=1,G673,"")</f>
        <v>67.658</v>
      </c>
    </row>
    <row r="674" customFormat="false" ht="15" hidden="false" customHeight="false" outlineLevel="0" collapsed="false">
      <c r="A674" s="31" t="n">
        <v>42764</v>
      </c>
      <c r="B674" s="32" t="n">
        <v>66.051</v>
      </c>
      <c r="D674" s="33" t="n">
        <f aca="false">WEEKDAY(A674,2)</f>
        <v>7</v>
      </c>
      <c r="E674" s="33" t="n">
        <f aca="false">HOUR(A674)+MINUTE(A674)/60</f>
        <v>0</v>
      </c>
      <c r="F674" s="33" t="n">
        <f aca="false">IF(OR(D674&gt;5,E674&lt;8,E674&gt;=18,COUNTIF($K$2:$K$10,INT(A674))&gt;0),1,0)</f>
        <v>1</v>
      </c>
      <c r="G674" s="34" t="n">
        <f aca="false">B674/1</f>
        <v>66.051</v>
      </c>
      <c r="H674" s="34" t="n">
        <f aca="false">IF(F674=1,G674,"")</f>
        <v>66.051</v>
      </c>
    </row>
    <row r="675" customFormat="false" ht="15" hidden="false" customHeight="false" outlineLevel="0" collapsed="false">
      <c r="A675" s="31" t="n">
        <v>42764.0416666667</v>
      </c>
      <c r="B675" s="32" t="n">
        <v>66.108</v>
      </c>
      <c r="D675" s="33" t="n">
        <f aca="false">WEEKDAY(A675,2)</f>
        <v>7</v>
      </c>
      <c r="E675" s="33" t="n">
        <f aca="false">HOUR(A675)+MINUTE(A675)/60</f>
        <v>1</v>
      </c>
      <c r="F675" s="33" t="n">
        <f aca="false">IF(OR(D675&gt;5,E675&lt;8,E675&gt;=18,COUNTIF($K$2:$K$10,INT(A675))&gt;0),1,0)</f>
        <v>1</v>
      </c>
      <c r="G675" s="34" t="n">
        <f aca="false">B675/1</f>
        <v>66.108</v>
      </c>
      <c r="H675" s="34" t="n">
        <f aca="false">IF(F675=1,G675,"")</f>
        <v>66.108</v>
      </c>
    </row>
    <row r="676" customFormat="false" ht="15" hidden="false" customHeight="false" outlineLevel="0" collapsed="false">
      <c r="A676" s="31" t="n">
        <v>42764.0833333333</v>
      </c>
      <c r="B676" s="32" t="n">
        <v>64.869</v>
      </c>
      <c r="D676" s="33" t="n">
        <f aca="false">WEEKDAY(A676,2)</f>
        <v>7</v>
      </c>
      <c r="E676" s="33" t="n">
        <f aca="false">HOUR(A676)+MINUTE(A676)/60</f>
        <v>2</v>
      </c>
      <c r="F676" s="33" t="n">
        <f aca="false">IF(OR(D676&gt;5,E676&lt;8,E676&gt;=18,COUNTIF($K$2:$K$10,INT(A676))&gt;0),1,0)</f>
        <v>1</v>
      </c>
      <c r="G676" s="34" t="n">
        <f aca="false">B676/1</f>
        <v>64.869</v>
      </c>
      <c r="H676" s="34" t="n">
        <f aca="false">IF(F676=1,G676,"")</f>
        <v>64.869</v>
      </c>
    </row>
    <row r="677" customFormat="false" ht="15" hidden="false" customHeight="false" outlineLevel="0" collapsed="false">
      <c r="A677" s="31" t="n">
        <v>42764.125</v>
      </c>
      <c r="B677" s="32" t="n">
        <v>64.93</v>
      </c>
      <c r="D677" s="33" t="n">
        <f aca="false">WEEKDAY(A677,2)</f>
        <v>7</v>
      </c>
      <c r="E677" s="33" t="n">
        <f aca="false">HOUR(A677)+MINUTE(A677)/60</f>
        <v>3</v>
      </c>
      <c r="F677" s="33" t="n">
        <f aca="false">IF(OR(D677&gt;5,E677&lt;8,E677&gt;=18,COUNTIF($K$2:$K$10,INT(A677))&gt;0),1,0)</f>
        <v>1</v>
      </c>
      <c r="G677" s="34" t="n">
        <f aca="false">B677/1</f>
        <v>64.93</v>
      </c>
      <c r="H677" s="34" t="n">
        <f aca="false">IF(F677=1,G677,"")</f>
        <v>64.93</v>
      </c>
    </row>
    <row r="678" customFormat="false" ht="15" hidden="false" customHeight="false" outlineLevel="0" collapsed="false">
      <c r="A678" s="31" t="n">
        <v>42764.1666666667</v>
      </c>
      <c r="B678" s="32" t="n">
        <v>66.893</v>
      </c>
      <c r="D678" s="33" t="n">
        <f aca="false">WEEKDAY(A678,2)</f>
        <v>7</v>
      </c>
      <c r="E678" s="33" t="n">
        <f aca="false">HOUR(A678)+MINUTE(A678)/60</f>
        <v>4</v>
      </c>
      <c r="F678" s="33" t="n">
        <f aca="false">IF(OR(D678&gt;5,E678&lt;8,E678&gt;=18,COUNTIF($K$2:$K$10,INT(A678))&gt;0),1,0)</f>
        <v>1</v>
      </c>
      <c r="G678" s="34" t="n">
        <f aca="false">B678/1</f>
        <v>66.893</v>
      </c>
      <c r="H678" s="34" t="n">
        <f aca="false">IF(F678=1,G678,"")</f>
        <v>66.893</v>
      </c>
    </row>
    <row r="679" customFormat="false" ht="15" hidden="false" customHeight="false" outlineLevel="0" collapsed="false">
      <c r="A679" s="31" t="n">
        <v>42764.2083333333</v>
      </c>
      <c r="B679" s="32" t="n">
        <v>64.352</v>
      </c>
      <c r="D679" s="33" t="n">
        <f aca="false">WEEKDAY(A679,2)</f>
        <v>7</v>
      </c>
      <c r="E679" s="33" t="n">
        <f aca="false">HOUR(A679)+MINUTE(A679)/60</f>
        <v>5</v>
      </c>
      <c r="F679" s="33" t="n">
        <f aca="false">IF(OR(D679&gt;5,E679&lt;8,E679&gt;=18,COUNTIF($K$2:$K$10,INT(A679))&gt;0),1,0)</f>
        <v>1</v>
      </c>
      <c r="G679" s="34" t="n">
        <f aca="false">B679/1</f>
        <v>64.352</v>
      </c>
      <c r="H679" s="34" t="n">
        <f aca="false">IF(F679=1,G679,"")</f>
        <v>64.352</v>
      </c>
    </row>
    <row r="680" customFormat="false" ht="15" hidden="false" customHeight="false" outlineLevel="0" collapsed="false">
      <c r="A680" s="31" t="n">
        <v>42764.25</v>
      </c>
      <c r="B680" s="32" t="n">
        <v>64.695</v>
      </c>
      <c r="D680" s="33" t="n">
        <f aca="false">WEEKDAY(A680,2)</f>
        <v>7</v>
      </c>
      <c r="E680" s="33" t="n">
        <f aca="false">HOUR(A680)+MINUTE(A680)/60</f>
        <v>6</v>
      </c>
      <c r="F680" s="33" t="n">
        <f aca="false">IF(OR(D680&gt;5,E680&lt;8,E680&gt;=18,COUNTIF($K$2:$K$10,INT(A680))&gt;0),1,0)</f>
        <v>1</v>
      </c>
      <c r="G680" s="34" t="n">
        <f aca="false">B680/1</f>
        <v>64.695</v>
      </c>
      <c r="H680" s="34" t="n">
        <f aca="false">IF(F680=1,G680,"")</f>
        <v>64.695</v>
      </c>
    </row>
    <row r="681" customFormat="false" ht="15" hidden="false" customHeight="false" outlineLevel="0" collapsed="false">
      <c r="A681" s="31" t="n">
        <v>42764.2916666667</v>
      </c>
      <c r="B681" s="32" t="n">
        <v>66.456</v>
      </c>
      <c r="D681" s="33" t="n">
        <f aca="false">WEEKDAY(A681,2)</f>
        <v>7</v>
      </c>
      <c r="E681" s="33" t="n">
        <f aca="false">HOUR(A681)+MINUTE(A681)/60</f>
        <v>7</v>
      </c>
      <c r="F681" s="33" t="n">
        <f aca="false">IF(OR(D681&gt;5,E681&lt;8,E681&gt;=18,COUNTIF($K$2:$K$10,INT(A681))&gt;0),1,0)</f>
        <v>1</v>
      </c>
      <c r="G681" s="34" t="n">
        <f aca="false">B681/1</f>
        <v>66.456</v>
      </c>
      <c r="H681" s="34" t="n">
        <f aca="false">IF(F681=1,G681,"")</f>
        <v>66.456</v>
      </c>
    </row>
    <row r="682" customFormat="false" ht="15" hidden="false" customHeight="false" outlineLevel="0" collapsed="false">
      <c r="A682" s="31" t="n">
        <v>42764.3333333333</v>
      </c>
      <c r="B682" s="32" t="n">
        <v>69.263</v>
      </c>
      <c r="D682" s="33" t="n">
        <f aca="false">WEEKDAY(A682,2)</f>
        <v>7</v>
      </c>
      <c r="E682" s="33" t="n">
        <f aca="false">HOUR(A682)+MINUTE(A682)/60</f>
        <v>8</v>
      </c>
      <c r="F682" s="33" t="n">
        <f aca="false">IF(OR(D682&gt;5,E682&lt;8,E682&gt;=18,COUNTIF($K$2:$K$10,INT(A682))&gt;0),1,0)</f>
        <v>1</v>
      </c>
      <c r="G682" s="34" t="n">
        <f aca="false">B682/1</f>
        <v>69.263</v>
      </c>
      <c r="H682" s="34" t="n">
        <f aca="false">IF(F682=1,G682,"")</f>
        <v>69.263</v>
      </c>
    </row>
    <row r="683" customFormat="false" ht="15" hidden="false" customHeight="false" outlineLevel="0" collapsed="false">
      <c r="A683" s="31" t="n">
        <v>42764.375</v>
      </c>
      <c r="B683" s="32" t="n">
        <v>64.105</v>
      </c>
      <c r="D683" s="33" t="n">
        <f aca="false">WEEKDAY(A683,2)</f>
        <v>7</v>
      </c>
      <c r="E683" s="33" t="n">
        <f aca="false">HOUR(A683)+MINUTE(A683)/60</f>
        <v>9</v>
      </c>
      <c r="F683" s="33" t="n">
        <f aca="false">IF(OR(D683&gt;5,E683&lt;8,E683&gt;=18,COUNTIF($K$2:$K$10,INT(A683))&gt;0),1,0)</f>
        <v>1</v>
      </c>
      <c r="G683" s="34" t="n">
        <f aca="false">B683/1</f>
        <v>64.105</v>
      </c>
      <c r="H683" s="34" t="n">
        <f aca="false">IF(F683=1,G683,"")</f>
        <v>64.105</v>
      </c>
    </row>
    <row r="684" customFormat="false" ht="15" hidden="false" customHeight="false" outlineLevel="0" collapsed="false">
      <c r="A684" s="31" t="n">
        <v>42764.4166666667</v>
      </c>
      <c r="B684" s="32" t="n">
        <v>62.684</v>
      </c>
      <c r="D684" s="33" t="n">
        <f aca="false">WEEKDAY(A684,2)</f>
        <v>7</v>
      </c>
      <c r="E684" s="33" t="n">
        <f aca="false">HOUR(A684)+MINUTE(A684)/60</f>
        <v>10</v>
      </c>
      <c r="F684" s="33" t="n">
        <f aca="false">IF(OR(D684&gt;5,E684&lt;8,E684&gt;=18,COUNTIF($K$2:$K$10,INT(A684))&gt;0),1,0)</f>
        <v>1</v>
      </c>
      <c r="G684" s="34" t="n">
        <f aca="false">B684/1</f>
        <v>62.684</v>
      </c>
      <c r="H684" s="34" t="n">
        <f aca="false">IF(F684=1,G684,"")</f>
        <v>62.684</v>
      </c>
    </row>
    <row r="685" customFormat="false" ht="15" hidden="false" customHeight="false" outlineLevel="0" collapsed="false">
      <c r="A685" s="31" t="n">
        <v>42764.4583333333</v>
      </c>
      <c r="B685" s="32" t="n">
        <v>63.892</v>
      </c>
      <c r="D685" s="33" t="n">
        <f aca="false">WEEKDAY(A685,2)</f>
        <v>7</v>
      </c>
      <c r="E685" s="33" t="n">
        <f aca="false">HOUR(A685)+MINUTE(A685)/60</f>
        <v>11</v>
      </c>
      <c r="F685" s="33" t="n">
        <f aca="false">IF(OR(D685&gt;5,E685&lt;8,E685&gt;=18,COUNTIF($K$2:$K$10,INT(A685))&gt;0),1,0)</f>
        <v>1</v>
      </c>
      <c r="G685" s="34" t="n">
        <f aca="false">B685/1</f>
        <v>63.892</v>
      </c>
      <c r="H685" s="34" t="n">
        <f aca="false">IF(F685=1,G685,"")</f>
        <v>63.892</v>
      </c>
    </row>
    <row r="686" customFormat="false" ht="15" hidden="false" customHeight="false" outlineLevel="0" collapsed="false">
      <c r="A686" s="31" t="n">
        <v>42764.5</v>
      </c>
      <c r="B686" s="32" t="n">
        <v>67.116</v>
      </c>
      <c r="D686" s="33" t="n">
        <f aca="false">WEEKDAY(A686,2)</f>
        <v>7</v>
      </c>
      <c r="E686" s="33" t="n">
        <f aca="false">HOUR(A686)+MINUTE(A686)/60</f>
        <v>12</v>
      </c>
      <c r="F686" s="33" t="n">
        <f aca="false">IF(OR(D686&gt;5,E686&lt;8,E686&gt;=18,COUNTIF($K$2:$K$10,INT(A686))&gt;0),1,0)</f>
        <v>1</v>
      </c>
      <c r="G686" s="34" t="n">
        <f aca="false">B686/1</f>
        <v>67.116</v>
      </c>
      <c r="H686" s="34" t="n">
        <f aca="false">IF(F686=1,G686,"")</f>
        <v>67.116</v>
      </c>
    </row>
    <row r="687" customFormat="false" ht="15" hidden="false" customHeight="false" outlineLevel="0" collapsed="false">
      <c r="A687" s="31" t="n">
        <v>42764.5416666667</v>
      </c>
      <c r="B687" s="32" t="n">
        <v>111.916</v>
      </c>
      <c r="D687" s="33" t="n">
        <f aca="false">WEEKDAY(A687,2)</f>
        <v>7</v>
      </c>
      <c r="E687" s="33" t="n">
        <f aca="false">HOUR(A687)+MINUTE(A687)/60</f>
        <v>13</v>
      </c>
      <c r="F687" s="33" t="n">
        <f aca="false">IF(OR(D687&gt;5,E687&lt;8,E687&gt;=18,COUNTIF($K$2:$K$10,INT(A687))&gt;0),1,0)</f>
        <v>1</v>
      </c>
      <c r="G687" s="34" t="n">
        <f aca="false">B687/1</f>
        <v>111.916</v>
      </c>
      <c r="H687" s="34" t="n">
        <f aca="false">IF(F687=1,G687,"")</f>
        <v>111.916</v>
      </c>
    </row>
    <row r="688" customFormat="false" ht="15" hidden="false" customHeight="false" outlineLevel="0" collapsed="false">
      <c r="A688" s="31" t="n">
        <v>42764.5833333333</v>
      </c>
      <c r="B688" s="32" t="n">
        <v>142.061</v>
      </c>
      <c r="D688" s="33" t="n">
        <f aca="false">WEEKDAY(A688,2)</f>
        <v>7</v>
      </c>
      <c r="E688" s="33" t="n">
        <f aca="false">HOUR(A688)+MINUTE(A688)/60</f>
        <v>14</v>
      </c>
      <c r="F688" s="33" t="n">
        <f aca="false">IF(OR(D688&gt;5,E688&lt;8,E688&gt;=18,COUNTIF($K$2:$K$10,INT(A688))&gt;0),1,0)</f>
        <v>1</v>
      </c>
      <c r="G688" s="34" t="n">
        <f aca="false">B688/1</f>
        <v>142.061</v>
      </c>
      <c r="H688" s="34" t="n">
        <f aca="false">IF(F688=1,G688,"")</f>
        <v>142.061</v>
      </c>
    </row>
    <row r="689" customFormat="false" ht="15" hidden="false" customHeight="false" outlineLevel="0" collapsed="false">
      <c r="A689" s="31" t="n">
        <v>42764.625</v>
      </c>
      <c r="B689" s="32" t="n">
        <v>144.128</v>
      </c>
      <c r="D689" s="33" t="n">
        <f aca="false">WEEKDAY(A689,2)</f>
        <v>7</v>
      </c>
      <c r="E689" s="33" t="n">
        <f aca="false">HOUR(A689)+MINUTE(A689)/60</f>
        <v>15</v>
      </c>
      <c r="F689" s="33" t="n">
        <f aca="false">IF(OR(D689&gt;5,E689&lt;8,E689&gt;=18,COUNTIF($K$2:$K$10,INT(A689))&gt;0),1,0)</f>
        <v>1</v>
      </c>
      <c r="G689" s="34" t="n">
        <f aca="false">B689/1</f>
        <v>144.128</v>
      </c>
      <c r="H689" s="34" t="n">
        <f aca="false">IF(F689=1,G689,"")</f>
        <v>144.128</v>
      </c>
    </row>
    <row r="690" customFormat="false" ht="15" hidden="false" customHeight="false" outlineLevel="0" collapsed="false">
      <c r="A690" s="31" t="n">
        <v>42764.6666666667</v>
      </c>
      <c r="B690" s="32" t="n">
        <v>143.189</v>
      </c>
      <c r="D690" s="33" t="n">
        <f aca="false">WEEKDAY(A690,2)</f>
        <v>7</v>
      </c>
      <c r="E690" s="33" t="n">
        <f aca="false">HOUR(A690)+MINUTE(A690)/60</f>
        <v>16</v>
      </c>
      <c r="F690" s="33" t="n">
        <f aca="false">IF(OR(D690&gt;5,E690&lt;8,E690&gt;=18,COUNTIF($K$2:$K$10,INT(A690))&gt;0),1,0)</f>
        <v>1</v>
      </c>
      <c r="G690" s="34" t="n">
        <f aca="false">B690/1</f>
        <v>143.189</v>
      </c>
      <c r="H690" s="34" t="n">
        <f aca="false">IF(F690=1,G690,"")</f>
        <v>143.189</v>
      </c>
    </row>
    <row r="691" customFormat="false" ht="15" hidden="false" customHeight="false" outlineLevel="0" collapsed="false">
      <c r="A691" s="31" t="n">
        <v>42764.7083333333</v>
      </c>
      <c r="B691" s="32" t="n">
        <v>142.047</v>
      </c>
      <c r="D691" s="33" t="n">
        <f aca="false">WEEKDAY(A691,2)</f>
        <v>7</v>
      </c>
      <c r="E691" s="33" t="n">
        <f aca="false">HOUR(A691)+MINUTE(A691)/60</f>
        <v>17</v>
      </c>
      <c r="F691" s="33" t="n">
        <f aca="false">IF(OR(D691&gt;5,E691&lt;8,E691&gt;=18,COUNTIF($K$2:$K$10,INT(A691))&gt;0),1,0)</f>
        <v>1</v>
      </c>
      <c r="G691" s="34" t="n">
        <f aca="false">B691/1</f>
        <v>142.047</v>
      </c>
      <c r="H691" s="34" t="n">
        <f aca="false">IF(F691=1,G691,"")</f>
        <v>142.047</v>
      </c>
    </row>
    <row r="692" customFormat="false" ht="15" hidden="false" customHeight="false" outlineLevel="0" collapsed="false">
      <c r="A692" s="31" t="n">
        <v>42764.75</v>
      </c>
      <c r="B692" s="32" t="n">
        <v>77.092</v>
      </c>
      <c r="D692" s="33" t="n">
        <f aca="false">WEEKDAY(A692,2)</f>
        <v>7</v>
      </c>
      <c r="E692" s="33" t="n">
        <f aca="false">HOUR(A692)+MINUTE(A692)/60</f>
        <v>18</v>
      </c>
      <c r="F692" s="33" t="n">
        <f aca="false">IF(OR(D692&gt;5,E692&lt;8,E692&gt;=18,COUNTIF($K$2:$K$10,INT(A692))&gt;0),1,0)</f>
        <v>1</v>
      </c>
      <c r="G692" s="34" t="n">
        <f aca="false">B692/1</f>
        <v>77.092</v>
      </c>
      <c r="H692" s="34" t="n">
        <f aca="false">IF(F692=1,G692,"")</f>
        <v>77.092</v>
      </c>
    </row>
    <row r="693" customFormat="false" ht="15" hidden="false" customHeight="false" outlineLevel="0" collapsed="false">
      <c r="A693" s="31" t="n">
        <v>42764.7916666667</v>
      </c>
      <c r="B693" s="32" t="n">
        <v>67.831</v>
      </c>
      <c r="D693" s="33" t="n">
        <f aca="false">WEEKDAY(A693,2)</f>
        <v>7</v>
      </c>
      <c r="E693" s="33" t="n">
        <f aca="false">HOUR(A693)+MINUTE(A693)/60</f>
        <v>19</v>
      </c>
      <c r="F693" s="33" t="n">
        <f aca="false">IF(OR(D693&gt;5,E693&lt;8,E693&gt;=18,COUNTIF($K$2:$K$10,INT(A693))&gt;0),1,0)</f>
        <v>1</v>
      </c>
      <c r="G693" s="34" t="n">
        <f aca="false">B693/1</f>
        <v>67.831</v>
      </c>
      <c r="H693" s="34" t="n">
        <f aca="false">IF(F693=1,G693,"")</f>
        <v>67.831</v>
      </c>
    </row>
    <row r="694" customFormat="false" ht="15" hidden="false" customHeight="false" outlineLevel="0" collapsed="false">
      <c r="A694" s="31" t="n">
        <v>42764.8333333333</v>
      </c>
      <c r="B694" s="32" t="n">
        <v>67.504</v>
      </c>
      <c r="D694" s="33" t="n">
        <f aca="false">WEEKDAY(A694,2)</f>
        <v>7</v>
      </c>
      <c r="E694" s="33" t="n">
        <f aca="false">HOUR(A694)+MINUTE(A694)/60</f>
        <v>20</v>
      </c>
      <c r="F694" s="33" t="n">
        <f aca="false">IF(OR(D694&gt;5,E694&lt;8,E694&gt;=18,COUNTIF($K$2:$K$10,INT(A694))&gt;0),1,0)</f>
        <v>1</v>
      </c>
      <c r="G694" s="34" t="n">
        <f aca="false">B694/1</f>
        <v>67.504</v>
      </c>
      <c r="H694" s="34" t="n">
        <f aca="false">IF(F694=1,G694,"")</f>
        <v>67.504</v>
      </c>
    </row>
    <row r="695" customFormat="false" ht="15" hidden="false" customHeight="false" outlineLevel="0" collapsed="false">
      <c r="A695" s="31" t="n">
        <v>42764.875</v>
      </c>
      <c r="B695" s="32" t="n">
        <v>68.328</v>
      </c>
      <c r="D695" s="33" t="n">
        <f aca="false">WEEKDAY(A695,2)</f>
        <v>7</v>
      </c>
      <c r="E695" s="33" t="n">
        <f aca="false">HOUR(A695)+MINUTE(A695)/60</f>
        <v>21</v>
      </c>
      <c r="F695" s="33" t="n">
        <f aca="false">IF(OR(D695&gt;5,E695&lt;8,E695&gt;=18,COUNTIF($K$2:$K$10,INT(A695))&gt;0),1,0)</f>
        <v>1</v>
      </c>
      <c r="G695" s="34" t="n">
        <f aca="false">B695/1</f>
        <v>68.328</v>
      </c>
      <c r="H695" s="34" t="n">
        <f aca="false">IF(F695=1,G695,"")</f>
        <v>68.328</v>
      </c>
    </row>
    <row r="696" customFormat="false" ht="15" hidden="false" customHeight="false" outlineLevel="0" collapsed="false">
      <c r="A696" s="31" t="n">
        <v>42764.9166666667</v>
      </c>
      <c r="B696" s="32" t="n">
        <v>66.833</v>
      </c>
      <c r="D696" s="33" t="n">
        <f aca="false">WEEKDAY(A696,2)</f>
        <v>7</v>
      </c>
      <c r="E696" s="33" t="n">
        <f aca="false">HOUR(A696)+MINUTE(A696)/60</f>
        <v>22</v>
      </c>
      <c r="F696" s="33" t="n">
        <f aca="false">IF(OR(D696&gt;5,E696&lt;8,E696&gt;=18,COUNTIF($K$2:$K$10,INT(A696))&gt;0),1,0)</f>
        <v>1</v>
      </c>
      <c r="G696" s="34" t="n">
        <f aca="false">B696/1</f>
        <v>66.833</v>
      </c>
      <c r="H696" s="34" t="n">
        <f aca="false">IF(F696=1,G696,"")</f>
        <v>66.833</v>
      </c>
    </row>
    <row r="697" customFormat="false" ht="15" hidden="false" customHeight="false" outlineLevel="0" collapsed="false">
      <c r="A697" s="31" t="n">
        <v>42764.9583333333</v>
      </c>
      <c r="B697" s="32" t="n">
        <v>66.008</v>
      </c>
      <c r="D697" s="33" t="n">
        <f aca="false">WEEKDAY(A697,2)</f>
        <v>7</v>
      </c>
      <c r="E697" s="33" t="n">
        <f aca="false">HOUR(A697)+MINUTE(A697)/60</f>
        <v>23</v>
      </c>
      <c r="F697" s="33" t="n">
        <f aca="false">IF(OR(D697&gt;5,E697&lt;8,E697&gt;=18,COUNTIF($K$2:$K$10,INT(A697))&gt;0),1,0)</f>
        <v>1</v>
      </c>
      <c r="G697" s="34" t="n">
        <f aca="false">B697/1</f>
        <v>66.008</v>
      </c>
      <c r="H697" s="34" t="n">
        <f aca="false">IF(F697=1,G697,"")</f>
        <v>66.008</v>
      </c>
    </row>
    <row r="698" customFormat="false" ht="15" hidden="false" customHeight="false" outlineLevel="0" collapsed="false">
      <c r="A698" s="31" t="n">
        <v>42765</v>
      </c>
      <c r="B698" s="32" t="n">
        <v>67.017</v>
      </c>
      <c r="D698" s="33" t="n">
        <f aca="false">WEEKDAY(A698,2)</f>
        <v>1</v>
      </c>
      <c r="E698" s="33" t="n">
        <f aca="false">HOUR(A698)+MINUTE(A698)/60</f>
        <v>0</v>
      </c>
      <c r="F698" s="33" t="n">
        <f aca="false">IF(OR(D698&gt;5,E698&lt;8,E698&gt;=18,COUNTIF($K$2:$K$10,INT(A698))&gt;0),1,0)</f>
        <v>1</v>
      </c>
      <c r="G698" s="34" t="n">
        <f aca="false">B698/1</f>
        <v>67.017</v>
      </c>
      <c r="H698" s="34" t="n">
        <f aca="false">IF(F698=1,G698,"")</f>
        <v>67.017</v>
      </c>
    </row>
    <row r="699" customFormat="false" ht="15" hidden="false" customHeight="false" outlineLevel="0" collapsed="false">
      <c r="A699" s="31" t="n">
        <v>42765.0416666667</v>
      </c>
      <c r="B699" s="32" t="n">
        <v>67.021</v>
      </c>
      <c r="D699" s="33" t="n">
        <f aca="false">WEEKDAY(A699,2)</f>
        <v>1</v>
      </c>
      <c r="E699" s="33" t="n">
        <f aca="false">HOUR(A699)+MINUTE(A699)/60</f>
        <v>1</v>
      </c>
      <c r="F699" s="33" t="n">
        <f aca="false">IF(OR(D699&gt;5,E699&lt;8,E699&gt;=18,COUNTIF($K$2:$K$10,INT(A699))&gt;0),1,0)</f>
        <v>1</v>
      </c>
      <c r="G699" s="34" t="n">
        <f aca="false">B699/1</f>
        <v>67.021</v>
      </c>
      <c r="H699" s="34" t="n">
        <f aca="false">IF(F699=1,G699,"")</f>
        <v>67.021</v>
      </c>
    </row>
    <row r="700" customFormat="false" ht="15" hidden="false" customHeight="false" outlineLevel="0" collapsed="false">
      <c r="A700" s="31" t="n">
        <v>42765.0833333333</v>
      </c>
      <c r="B700" s="32" t="n">
        <v>68.032</v>
      </c>
      <c r="D700" s="33" t="n">
        <f aca="false">WEEKDAY(A700,2)</f>
        <v>1</v>
      </c>
      <c r="E700" s="33" t="n">
        <f aca="false">HOUR(A700)+MINUTE(A700)/60</f>
        <v>2</v>
      </c>
      <c r="F700" s="33" t="n">
        <f aca="false">IF(OR(D700&gt;5,E700&lt;8,E700&gt;=18,COUNTIF($K$2:$K$10,INT(A700))&gt;0),1,0)</f>
        <v>1</v>
      </c>
      <c r="G700" s="34" t="n">
        <f aca="false">B700/1</f>
        <v>68.032</v>
      </c>
      <c r="H700" s="34" t="n">
        <f aca="false">IF(F700=1,G700,"")</f>
        <v>68.032</v>
      </c>
    </row>
    <row r="701" customFormat="false" ht="15" hidden="false" customHeight="false" outlineLevel="0" collapsed="false">
      <c r="A701" s="31" t="n">
        <v>42765.125</v>
      </c>
      <c r="B701" s="32" t="n">
        <v>68.575</v>
      </c>
      <c r="D701" s="33" t="n">
        <f aca="false">WEEKDAY(A701,2)</f>
        <v>1</v>
      </c>
      <c r="E701" s="33" t="n">
        <f aca="false">HOUR(A701)+MINUTE(A701)/60</f>
        <v>3</v>
      </c>
      <c r="F701" s="33" t="n">
        <f aca="false">IF(OR(D701&gt;5,E701&lt;8,E701&gt;=18,COUNTIF($K$2:$K$10,INT(A701))&gt;0),1,0)</f>
        <v>1</v>
      </c>
      <c r="G701" s="34" t="n">
        <f aca="false">B701/1</f>
        <v>68.575</v>
      </c>
      <c r="H701" s="34" t="n">
        <f aca="false">IF(F701=1,G701,"")</f>
        <v>68.575</v>
      </c>
    </row>
    <row r="702" customFormat="false" ht="15" hidden="false" customHeight="false" outlineLevel="0" collapsed="false">
      <c r="A702" s="31" t="n">
        <v>42765.1666666667</v>
      </c>
      <c r="B702" s="32" t="n">
        <v>68.913</v>
      </c>
      <c r="D702" s="33" t="n">
        <f aca="false">WEEKDAY(A702,2)</f>
        <v>1</v>
      </c>
      <c r="E702" s="33" t="n">
        <f aca="false">HOUR(A702)+MINUTE(A702)/60</f>
        <v>4</v>
      </c>
      <c r="F702" s="33" t="n">
        <f aca="false">IF(OR(D702&gt;5,E702&lt;8,E702&gt;=18,COUNTIF($K$2:$K$10,INT(A702))&gt;0),1,0)</f>
        <v>1</v>
      </c>
      <c r="G702" s="34" t="n">
        <f aca="false">B702/1</f>
        <v>68.913</v>
      </c>
      <c r="H702" s="34" t="n">
        <f aca="false">IF(F702=1,G702,"")</f>
        <v>68.913</v>
      </c>
    </row>
    <row r="703" customFormat="false" ht="15" hidden="false" customHeight="false" outlineLevel="0" collapsed="false">
      <c r="A703" s="31" t="n">
        <v>42765.2083333333</v>
      </c>
      <c r="B703" s="32" t="n">
        <v>68.099</v>
      </c>
      <c r="D703" s="33" t="n">
        <f aca="false">WEEKDAY(A703,2)</f>
        <v>1</v>
      </c>
      <c r="E703" s="33" t="n">
        <f aca="false">HOUR(A703)+MINUTE(A703)/60</f>
        <v>5</v>
      </c>
      <c r="F703" s="33" t="n">
        <f aca="false">IF(OR(D703&gt;5,E703&lt;8,E703&gt;=18,COUNTIF($K$2:$K$10,INT(A703))&gt;0),1,0)</f>
        <v>1</v>
      </c>
      <c r="G703" s="34" t="n">
        <f aca="false">B703/1</f>
        <v>68.099</v>
      </c>
      <c r="H703" s="34" t="n">
        <f aca="false">IF(F703=1,G703,"")</f>
        <v>68.099</v>
      </c>
    </row>
    <row r="704" customFormat="false" ht="15" hidden="false" customHeight="false" outlineLevel="0" collapsed="false">
      <c r="A704" s="31" t="n">
        <v>42765.25</v>
      </c>
      <c r="B704" s="32" t="n">
        <v>69.186</v>
      </c>
      <c r="D704" s="33" t="n">
        <f aca="false">WEEKDAY(A704,2)</f>
        <v>1</v>
      </c>
      <c r="E704" s="33" t="n">
        <f aca="false">HOUR(A704)+MINUTE(A704)/60</f>
        <v>6</v>
      </c>
      <c r="F704" s="33" t="n">
        <f aca="false">IF(OR(D704&gt;5,E704&lt;8,E704&gt;=18,COUNTIF($K$2:$K$10,INT(A704))&gt;0),1,0)</f>
        <v>1</v>
      </c>
      <c r="G704" s="34" t="n">
        <f aca="false">B704/1</f>
        <v>69.186</v>
      </c>
      <c r="H704" s="34" t="n">
        <f aca="false">IF(F704=1,G704,"")</f>
        <v>69.186</v>
      </c>
    </row>
    <row r="705" customFormat="false" ht="15" hidden="false" customHeight="false" outlineLevel="0" collapsed="false">
      <c r="A705" s="31" t="n">
        <v>42765.2916666667</v>
      </c>
      <c r="B705" s="32" t="n">
        <v>87.148</v>
      </c>
      <c r="D705" s="33" t="n">
        <f aca="false">WEEKDAY(A705,2)</f>
        <v>1</v>
      </c>
      <c r="E705" s="33" t="n">
        <f aca="false">HOUR(A705)+MINUTE(A705)/60</f>
        <v>7</v>
      </c>
      <c r="F705" s="33" t="n">
        <f aca="false">IF(OR(D705&gt;5,E705&lt;8,E705&gt;=18,COUNTIF($K$2:$K$10,INT(A705))&gt;0),1,0)</f>
        <v>1</v>
      </c>
      <c r="G705" s="34" t="n">
        <f aca="false">B705/1</f>
        <v>87.148</v>
      </c>
      <c r="H705" s="34" t="n">
        <f aca="false">IF(F705=1,G705,"")</f>
        <v>87.148</v>
      </c>
    </row>
    <row r="706" customFormat="false" ht="15" hidden="false" customHeight="false" outlineLevel="0" collapsed="false">
      <c r="A706" s="31" t="n">
        <v>42765.3333333333</v>
      </c>
      <c r="B706" s="32" t="n">
        <v>178.826</v>
      </c>
      <c r="D706" s="33" t="n">
        <f aca="false">WEEKDAY(A706,2)</f>
        <v>1</v>
      </c>
      <c r="E706" s="33" t="n">
        <f aca="false">HOUR(A706)+MINUTE(A706)/60</f>
        <v>8</v>
      </c>
      <c r="F706" s="33" t="n">
        <f aca="false">IF(OR(D706&gt;5,E706&lt;8,E706&gt;=18,COUNTIF($K$2:$K$10,INT(A706))&gt;0),1,0)</f>
        <v>0</v>
      </c>
      <c r="G706" s="34" t="n">
        <f aca="false">B706/1</f>
        <v>178.826</v>
      </c>
      <c r="H706" s="34" t="str">
        <f aca="false">IF(F706=1,G706,"")</f>
        <v/>
      </c>
    </row>
    <row r="707" customFormat="false" ht="15" hidden="false" customHeight="false" outlineLevel="0" collapsed="false">
      <c r="A707" s="31" t="n">
        <v>42765.375</v>
      </c>
      <c r="B707" s="32" t="n">
        <v>225.759</v>
      </c>
      <c r="D707" s="33" t="n">
        <f aca="false">WEEKDAY(A707,2)</f>
        <v>1</v>
      </c>
      <c r="E707" s="33" t="n">
        <f aca="false">HOUR(A707)+MINUTE(A707)/60</f>
        <v>9</v>
      </c>
      <c r="F707" s="33" t="n">
        <f aca="false">IF(OR(D707&gt;5,E707&lt;8,E707&gt;=18,COUNTIF($K$2:$K$10,INT(A707))&gt;0),1,0)</f>
        <v>0</v>
      </c>
      <c r="G707" s="34" t="n">
        <f aca="false">B707/1</f>
        <v>225.759</v>
      </c>
      <c r="H707" s="34" t="str">
        <f aca="false">IF(F707=1,G707,"")</f>
        <v/>
      </c>
    </row>
    <row r="708" customFormat="false" ht="15" hidden="false" customHeight="false" outlineLevel="0" collapsed="false">
      <c r="A708" s="31" t="n">
        <v>42765.4166666667</v>
      </c>
      <c r="B708" s="32" t="n">
        <v>245.666</v>
      </c>
      <c r="D708" s="33" t="n">
        <f aca="false">WEEKDAY(A708,2)</f>
        <v>1</v>
      </c>
      <c r="E708" s="33" t="n">
        <f aca="false">HOUR(A708)+MINUTE(A708)/60</f>
        <v>10</v>
      </c>
      <c r="F708" s="33" t="n">
        <f aca="false">IF(OR(D708&gt;5,E708&lt;8,E708&gt;=18,COUNTIF($K$2:$K$10,INT(A708))&gt;0),1,0)</f>
        <v>0</v>
      </c>
      <c r="G708" s="34" t="n">
        <f aca="false">B708/1</f>
        <v>245.666</v>
      </c>
      <c r="H708" s="34" t="str">
        <f aca="false">IF(F708=1,G708,"")</f>
        <v/>
      </c>
    </row>
    <row r="709" customFormat="false" ht="15" hidden="false" customHeight="false" outlineLevel="0" collapsed="false">
      <c r="A709" s="31" t="n">
        <v>42765.4583333333</v>
      </c>
      <c r="B709" s="32" t="n">
        <v>260.944</v>
      </c>
      <c r="D709" s="33" t="n">
        <f aca="false">WEEKDAY(A709,2)</f>
        <v>1</v>
      </c>
      <c r="E709" s="33" t="n">
        <f aca="false">HOUR(A709)+MINUTE(A709)/60</f>
        <v>11</v>
      </c>
      <c r="F709" s="33" t="n">
        <f aca="false">IF(OR(D709&gt;5,E709&lt;8,E709&gt;=18,COUNTIF($K$2:$K$10,INT(A709))&gt;0),1,0)</f>
        <v>0</v>
      </c>
      <c r="G709" s="34" t="n">
        <f aca="false">B709/1</f>
        <v>260.944</v>
      </c>
      <c r="H709" s="34" t="str">
        <f aca="false">IF(F709=1,G709,"")</f>
        <v/>
      </c>
    </row>
    <row r="710" customFormat="false" ht="15" hidden="false" customHeight="false" outlineLevel="0" collapsed="false">
      <c r="A710" s="31" t="n">
        <v>42765.5</v>
      </c>
      <c r="B710" s="32" t="n">
        <v>268.693</v>
      </c>
      <c r="D710" s="33" t="n">
        <f aca="false">WEEKDAY(A710,2)</f>
        <v>1</v>
      </c>
      <c r="E710" s="33" t="n">
        <f aca="false">HOUR(A710)+MINUTE(A710)/60</f>
        <v>12</v>
      </c>
      <c r="F710" s="33" t="n">
        <f aca="false">IF(OR(D710&gt;5,E710&lt;8,E710&gt;=18,COUNTIF($K$2:$K$10,INT(A710))&gt;0),1,0)</f>
        <v>0</v>
      </c>
      <c r="G710" s="34" t="n">
        <f aca="false">B710/1</f>
        <v>268.693</v>
      </c>
      <c r="H710" s="34" t="str">
        <f aca="false">IF(F710=1,G710,"")</f>
        <v/>
      </c>
    </row>
    <row r="711" customFormat="false" ht="15" hidden="false" customHeight="false" outlineLevel="0" collapsed="false">
      <c r="A711" s="31" t="n">
        <v>42765.5416666667</v>
      </c>
      <c r="B711" s="32" t="n">
        <v>264.995</v>
      </c>
      <c r="D711" s="33" t="n">
        <f aca="false">WEEKDAY(A711,2)</f>
        <v>1</v>
      </c>
      <c r="E711" s="33" t="n">
        <f aca="false">HOUR(A711)+MINUTE(A711)/60</f>
        <v>13</v>
      </c>
      <c r="F711" s="33" t="n">
        <f aca="false">IF(OR(D711&gt;5,E711&lt;8,E711&gt;=18,COUNTIF($K$2:$K$10,INT(A711))&gt;0),1,0)</f>
        <v>0</v>
      </c>
      <c r="G711" s="34" t="n">
        <f aca="false">B711/1</f>
        <v>264.995</v>
      </c>
      <c r="H711" s="34" t="str">
        <f aca="false">IF(F711=1,G711,"")</f>
        <v/>
      </c>
    </row>
    <row r="712" customFormat="false" ht="15" hidden="false" customHeight="false" outlineLevel="0" collapsed="false">
      <c r="A712" s="31" t="n">
        <v>42765.5833333333</v>
      </c>
      <c r="B712" s="32" t="n">
        <v>262.569</v>
      </c>
      <c r="D712" s="33" t="n">
        <f aca="false">WEEKDAY(A712,2)</f>
        <v>1</v>
      </c>
      <c r="E712" s="33" t="n">
        <f aca="false">HOUR(A712)+MINUTE(A712)/60</f>
        <v>14</v>
      </c>
      <c r="F712" s="33" t="n">
        <f aca="false">IF(OR(D712&gt;5,E712&lt;8,E712&gt;=18,COUNTIF($K$2:$K$10,INT(A712))&gt;0),1,0)</f>
        <v>0</v>
      </c>
      <c r="G712" s="34" t="n">
        <f aca="false">B712/1</f>
        <v>262.569</v>
      </c>
      <c r="H712" s="34" t="str">
        <f aca="false">IF(F712=1,G712,"")</f>
        <v/>
      </c>
    </row>
    <row r="713" customFormat="false" ht="15" hidden="false" customHeight="false" outlineLevel="0" collapsed="false">
      <c r="A713" s="31" t="n">
        <v>42765.625</v>
      </c>
      <c r="B713" s="32" t="n">
        <v>261.59</v>
      </c>
      <c r="D713" s="33" t="n">
        <f aca="false">WEEKDAY(A713,2)</f>
        <v>1</v>
      </c>
      <c r="E713" s="33" t="n">
        <f aca="false">HOUR(A713)+MINUTE(A713)/60</f>
        <v>15</v>
      </c>
      <c r="F713" s="33" t="n">
        <f aca="false">IF(OR(D713&gt;5,E713&lt;8,E713&gt;=18,COUNTIF($K$2:$K$10,INT(A713))&gt;0),1,0)</f>
        <v>0</v>
      </c>
      <c r="G713" s="34" t="n">
        <f aca="false">B713/1</f>
        <v>261.59</v>
      </c>
      <c r="H713" s="34" t="str">
        <f aca="false">IF(F713=1,G713,"")</f>
        <v/>
      </c>
    </row>
    <row r="714" customFormat="false" ht="15" hidden="false" customHeight="false" outlineLevel="0" collapsed="false">
      <c r="A714" s="31" t="n">
        <v>42765.6666666667</v>
      </c>
      <c r="B714" s="32" t="n">
        <v>251.785</v>
      </c>
      <c r="D714" s="33" t="n">
        <f aca="false">WEEKDAY(A714,2)</f>
        <v>1</v>
      </c>
      <c r="E714" s="33" t="n">
        <f aca="false">HOUR(A714)+MINUTE(A714)/60</f>
        <v>16</v>
      </c>
      <c r="F714" s="33" t="n">
        <f aca="false">IF(OR(D714&gt;5,E714&lt;8,E714&gt;=18,COUNTIF($K$2:$K$10,INT(A714))&gt;0),1,0)</f>
        <v>0</v>
      </c>
      <c r="G714" s="34" t="n">
        <f aca="false">B714/1</f>
        <v>251.785</v>
      </c>
      <c r="H714" s="34" t="str">
        <f aca="false">IF(F714=1,G714,"")</f>
        <v/>
      </c>
    </row>
    <row r="715" customFormat="false" ht="15" hidden="false" customHeight="false" outlineLevel="0" collapsed="false">
      <c r="A715" s="31" t="n">
        <v>42765.7083333333</v>
      </c>
      <c r="B715" s="32" t="n">
        <v>251.62</v>
      </c>
      <c r="D715" s="33" t="n">
        <f aca="false">WEEKDAY(A715,2)</f>
        <v>1</v>
      </c>
      <c r="E715" s="33" t="n">
        <f aca="false">HOUR(A715)+MINUTE(A715)/60</f>
        <v>17</v>
      </c>
      <c r="F715" s="33" t="n">
        <f aca="false">IF(OR(D715&gt;5,E715&lt;8,E715&gt;=18,COUNTIF($K$2:$K$10,INT(A715))&gt;0),1,0)</f>
        <v>0</v>
      </c>
      <c r="G715" s="34" t="n">
        <f aca="false">B715/1</f>
        <v>251.62</v>
      </c>
      <c r="H715" s="34" t="str">
        <f aca="false">IF(F715=1,G715,"")</f>
        <v/>
      </c>
    </row>
    <row r="716" customFormat="false" ht="15" hidden="false" customHeight="false" outlineLevel="0" collapsed="false">
      <c r="A716" s="31" t="n">
        <v>42765.75</v>
      </c>
      <c r="B716" s="32" t="n">
        <v>230.838</v>
      </c>
      <c r="D716" s="33" t="n">
        <f aca="false">WEEKDAY(A716,2)</f>
        <v>1</v>
      </c>
      <c r="E716" s="33" t="n">
        <f aca="false">HOUR(A716)+MINUTE(A716)/60</f>
        <v>18</v>
      </c>
      <c r="F716" s="33" t="n">
        <f aca="false">IF(OR(D716&gt;5,E716&lt;8,E716&gt;=18,COUNTIF($K$2:$K$10,INT(A716))&gt;0),1,0)</f>
        <v>1</v>
      </c>
      <c r="G716" s="34" t="n">
        <f aca="false">B716/1</f>
        <v>230.838</v>
      </c>
      <c r="H716" s="34" t="n">
        <f aca="false">IF(F716=1,G716,"")</f>
        <v>230.838</v>
      </c>
    </row>
    <row r="717" customFormat="false" ht="15" hidden="false" customHeight="false" outlineLevel="0" collapsed="false">
      <c r="A717" s="31" t="n">
        <v>42765.7916666667</v>
      </c>
      <c r="B717" s="32" t="n">
        <v>218.368</v>
      </c>
      <c r="D717" s="33" t="n">
        <f aca="false">WEEKDAY(A717,2)</f>
        <v>1</v>
      </c>
      <c r="E717" s="33" t="n">
        <f aca="false">HOUR(A717)+MINUTE(A717)/60</f>
        <v>19</v>
      </c>
      <c r="F717" s="33" t="n">
        <f aca="false">IF(OR(D717&gt;5,E717&lt;8,E717&gt;=18,COUNTIF($K$2:$K$10,INT(A717))&gt;0),1,0)</f>
        <v>1</v>
      </c>
      <c r="G717" s="34" t="n">
        <f aca="false">B717/1</f>
        <v>218.368</v>
      </c>
      <c r="H717" s="34" t="n">
        <f aca="false">IF(F717=1,G717,"")</f>
        <v>218.368</v>
      </c>
    </row>
    <row r="718" customFormat="false" ht="15" hidden="false" customHeight="false" outlineLevel="0" collapsed="false">
      <c r="A718" s="31" t="n">
        <v>42765.8333333333</v>
      </c>
      <c r="B718" s="32" t="n">
        <v>207.261</v>
      </c>
      <c r="D718" s="33" t="n">
        <f aca="false">WEEKDAY(A718,2)</f>
        <v>1</v>
      </c>
      <c r="E718" s="33" t="n">
        <f aca="false">HOUR(A718)+MINUTE(A718)/60</f>
        <v>20</v>
      </c>
      <c r="F718" s="33" t="n">
        <f aca="false">IF(OR(D718&gt;5,E718&lt;8,E718&gt;=18,COUNTIF($K$2:$K$10,INT(A718))&gt;0),1,0)</f>
        <v>1</v>
      </c>
      <c r="G718" s="34" t="n">
        <f aca="false">B718/1</f>
        <v>207.261</v>
      </c>
      <c r="H718" s="34" t="n">
        <f aca="false">IF(F718=1,G718,"")</f>
        <v>207.261</v>
      </c>
    </row>
    <row r="719" customFormat="false" ht="15" hidden="false" customHeight="false" outlineLevel="0" collapsed="false">
      <c r="A719" s="31" t="n">
        <v>42765.875</v>
      </c>
      <c r="B719" s="32" t="n">
        <v>196.01</v>
      </c>
      <c r="D719" s="33" t="n">
        <f aca="false">WEEKDAY(A719,2)</f>
        <v>1</v>
      </c>
      <c r="E719" s="33" t="n">
        <f aca="false">HOUR(A719)+MINUTE(A719)/60</f>
        <v>21</v>
      </c>
      <c r="F719" s="33" t="n">
        <f aca="false">IF(OR(D719&gt;5,E719&lt;8,E719&gt;=18,COUNTIF($K$2:$K$10,INT(A719))&gt;0),1,0)</f>
        <v>1</v>
      </c>
      <c r="G719" s="34" t="n">
        <f aca="false">B719/1</f>
        <v>196.01</v>
      </c>
      <c r="H719" s="34" t="n">
        <f aca="false">IF(F719=1,G719,"")</f>
        <v>196.01</v>
      </c>
    </row>
    <row r="720" customFormat="false" ht="15" hidden="false" customHeight="false" outlineLevel="0" collapsed="false">
      <c r="A720" s="31" t="n">
        <v>42765.9166666667</v>
      </c>
      <c r="B720" s="32" t="n">
        <v>138.622</v>
      </c>
      <c r="D720" s="33" t="n">
        <f aca="false">WEEKDAY(A720,2)</f>
        <v>1</v>
      </c>
      <c r="E720" s="33" t="n">
        <f aca="false">HOUR(A720)+MINUTE(A720)/60</f>
        <v>22</v>
      </c>
      <c r="F720" s="33" t="n">
        <f aca="false">IF(OR(D720&gt;5,E720&lt;8,E720&gt;=18,COUNTIF($K$2:$K$10,INT(A720))&gt;0),1,0)</f>
        <v>1</v>
      </c>
      <c r="G720" s="34" t="n">
        <f aca="false">B720/1</f>
        <v>138.622</v>
      </c>
      <c r="H720" s="34" t="n">
        <f aca="false">IF(F720=1,G720,"")</f>
        <v>138.622</v>
      </c>
    </row>
    <row r="721" customFormat="false" ht="15" hidden="false" customHeight="false" outlineLevel="0" collapsed="false">
      <c r="A721" s="31" t="n">
        <v>42765.9583333333</v>
      </c>
      <c r="B721" s="32" t="n">
        <v>79.937</v>
      </c>
      <c r="D721" s="33" t="n">
        <f aca="false">WEEKDAY(A721,2)</f>
        <v>1</v>
      </c>
      <c r="E721" s="33" t="n">
        <f aca="false">HOUR(A721)+MINUTE(A721)/60</f>
        <v>23</v>
      </c>
      <c r="F721" s="33" t="n">
        <f aca="false">IF(OR(D721&gt;5,E721&lt;8,E721&gt;=18,COUNTIF($K$2:$K$10,INT(A721))&gt;0),1,0)</f>
        <v>1</v>
      </c>
      <c r="G721" s="34" t="n">
        <f aca="false">B721/1</f>
        <v>79.937</v>
      </c>
      <c r="H721" s="34" t="n">
        <f aca="false">IF(F721=1,G721,"")</f>
        <v>79.937</v>
      </c>
    </row>
    <row r="722" customFormat="false" ht="15" hidden="false" customHeight="false" outlineLevel="0" collapsed="false">
      <c r="A722" s="31" t="n">
        <v>42766</v>
      </c>
      <c r="B722" s="32" t="n">
        <v>72.345</v>
      </c>
      <c r="D722" s="33" t="n">
        <f aca="false">WEEKDAY(A722,2)</f>
        <v>2</v>
      </c>
      <c r="E722" s="33" t="n">
        <f aca="false">HOUR(A722)+MINUTE(A722)/60</f>
        <v>0</v>
      </c>
      <c r="F722" s="33" t="n">
        <f aca="false">IF(OR(D722&gt;5,E722&lt;8,E722&gt;=18,COUNTIF($K$2:$K$10,INT(A722))&gt;0),1,0)</f>
        <v>1</v>
      </c>
      <c r="G722" s="34" t="n">
        <f aca="false">B722/1</f>
        <v>72.345</v>
      </c>
      <c r="H722" s="34" t="n">
        <f aca="false">IF(F722=1,G722,"")</f>
        <v>72.345</v>
      </c>
    </row>
    <row r="723" customFormat="false" ht="15" hidden="false" customHeight="false" outlineLevel="0" collapsed="false">
      <c r="A723" s="31" t="n">
        <v>42766.0416666667</v>
      </c>
      <c r="B723" s="32" t="n">
        <v>64.636</v>
      </c>
      <c r="D723" s="33" t="n">
        <f aca="false">WEEKDAY(A723,2)</f>
        <v>2</v>
      </c>
      <c r="E723" s="33" t="n">
        <f aca="false">HOUR(A723)+MINUTE(A723)/60</f>
        <v>1</v>
      </c>
      <c r="F723" s="33" t="n">
        <f aca="false">IF(OR(D723&gt;5,E723&lt;8,E723&gt;=18,COUNTIF($K$2:$K$10,INT(A723))&gt;0),1,0)</f>
        <v>1</v>
      </c>
      <c r="G723" s="34" t="n">
        <f aca="false">B723/1</f>
        <v>64.636</v>
      </c>
      <c r="H723" s="34" t="n">
        <f aca="false">IF(F723=1,G723,"")</f>
        <v>64.636</v>
      </c>
    </row>
    <row r="724" customFormat="false" ht="15" hidden="false" customHeight="false" outlineLevel="0" collapsed="false">
      <c r="A724" s="31" t="n">
        <v>42766.0833333333</v>
      </c>
      <c r="B724" s="32" t="n">
        <v>64.54</v>
      </c>
      <c r="D724" s="33" t="n">
        <f aca="false">WEEKDAY(A724,2)</f>
        <v>2</v>
      </c>
      <c r="E724" s="33" t="n">
        <f aca="false">HOUR(A724)+MINUTE(A724)/60</f>
        <v>2</v>
      </c>
      <c r="F724" s="33" t="n">
        <f aca="false">IF(OR(D724&gt;5,E724&lt;8,E724&gt;=18,COUNTIF($K$2:$K$10,INT(A724))&gt;0),1,0)</f>
        <v>1</v>
      </c>
      <c r="G724" s="34" t="n">
        <f aca="false">B724/1</f>
        <v>64.54</v>
      </c>
      <c r="H724" s="34" t="n">
        <f aca="false">IF(F724=1,G724,"")</f>
        <v>64.54</v>
      </c>
    </row>
    <row r="725" customFormat="false" ht="15" hidden="false" customHeight="false" outlineLevel="0" collapsed="false">
      <c r="A725" s="31" t="n">
        <v>42766.125</v>
      </c>
      <c r="B725" s="32" t="n">
        <v>66.352</v>
      </c>
      <c r="D725" s="33" t="n">
        <f aca="false">WEEKDAY(A725,2)</f>
        <v>2</v>
      </c>
      <c r="E725" s="33" t="n">
        <f aca="false">HOUR(A725)+MINUTE(A725)/60</f>
        <v>3</v>
      </c>
      <c r="F725" s="33" t="n">
        <f aca="false">IF(OR(D725&gt;5,E725&lt;8,E725&gt;=18,COUNTIF($K$2:$K$10,INT(A725))&gt;0),1,0)</f>
        <v>1</v>
      </c>
      <c r="G725" s="34" t="n">
        <f aca="false">B725/1</f>
        <v>66.352</v>
      </c>
      <c r="H725" s="34" t="n">
        <f aca="false">IF(F725=1,G725,"")</f>
        <v>66.352</v>
      </c>
    </row>
    <row r="726" customFormat="false" ht="15" hidden="false" customHeight="false" outlineLevel="0" collapsed="false">
      <c r="A726" s="31" t="n">
        <v>42766.1666666667</v>
      </c>
      <c r="B726" s="32" t="n">
        <v>67.575</v>
      </c>
      <c r="D726" s="33" t="n">
        <f aca="false">WEEKDAY(A726,2)</f>
        <v>2</v>
      </c>
      <c r="E726" s="33" t="n">
        <f aca="false">HOUR(A726)+MINUTE(A726)/60</f>
        <v>4</v>
      </c>
      <c r="F726" s="33" t="n">
        <f aca="false">IF(OR(D726&gt;5,E726&lt;8,E726&gt;=18,COUNTIF($K$2:$K$10,INT(A726))&gt;0),1,0)</f>
        <v>1</v>
      </c>
      <c r="G726" s="34" t="n">
        <f aca="false">B726/1</f>
        <v>67.575</v>
      </c>
      <c r="H726" s="34" t="n">
        <f aca="false">IF(F726=1,G726,"")</f>
        <v>67.575</v>
      </c>
    </row>
    <row r="727" customFormat="false" ht="15" hidden="false" customHeight="false" outlineLevel="0" collapsed="false">
      <c r="A727" s="31" t="n">
        <v>42766.2083333333</v>
      </c>
      <c r="B727" s="32" t="n">
        <v>73.43</v>
      </c>
      <c r="D727" s="33" t="n">
        <f aca="false">WEEKDAY(A727,2)</f>
        <v>2</v>
      </c>
      <c r="E727" s="33" t="n">
        <f aca="false">HOUR(A727)+MINUTE(A727)/60</f>
        <v>5</v>
      </c>
      <c r="F727" s="33" t="n">
        <f aca="false">IF(OR(D727&gt;5,E727&lt;8,E727&gt;=18,COUNTIF($K$2:$K$10,INT(A727))&gt;0),1,0)</f>
        <v>1</v>
      </c>
      <c r="G727" s="34" t="n">
        <f aca="false">B727/1</f>
        <v>73.43</v>
      </c>
      <c r="H727" s="34" t="n">
        <f aca="false">IF(F727=1,G727,"")</f>
        <v>73.43</v>
      </c>
    </row>
    <row r="728" customFormat="false" ht="15" hidden="false" customHeight="false" outlineLevel="0" collapsed="false">
      <c r="A728" s="31" t="n">
        <v>42766.25</v>
      </c>
      <c r="B728" s="32" t="n">
        <v>89.738</v>
      </c>
      <c r="D728" s="33" t="n">
        <f aca="false">WEEKDAY(A728,2)</f>
        <v>2</v>
      </c>
      <c r="E728" s="33" t="n">
        <f aca="false">HOUR(A728)+MINUTE(A728)/60</f>
        <v>6</v>
      </c>
      <c r="F728" s="33" t="n">
        <f aca="false">IF(OR(D728&gt;5,E728&lt;8,E728&gt;=18,COUNTIF($K$2:$K$10,INT(A728))&gt;0),1,0)</f>
        <v>1</v>
      </c>
      <c r="G728" s="34" t="n">
        <f aca="false">B728/1</f>
        <v>89.738</v>
      </c>
      <c r="H728" s="34" t="n">
        <f aca="false">IF(F728=1,G728,"")</f>
        <v>89.738</v>
      </c>
    </row>
    <row r="729" customFormat="false" ht="15" hidden="false" customHeight="false" outlineLevel="0" collapsed="false">
      <c r="A729" s="31" t="n">
        <v>42766.2916666667</v>
      </c>
      <c r="B729" s="32" t="n">
        <v>68.894</v>
      </c>
      <c r="D729" s="33" t="n">
        <f aca="false">WEEKDAY(A729,2)</f>
        <v>2</v>
      </c>
      <c r="E729" s="33" t="n">
        <f aca="false">HOUR(A729)+MINUTE(A729)/60</f>
        <v>7</v>
      </c>
      <c r="F729" s="33" t="n">
        <f aca="false">IF(OR(D729&gt;5,E729&lt;8,E729&gt;=18,COUNTIF($K$2:$K$10,INT(A729))&gt;0),1,0)</f>
        <v>1</v>
      </c>
      <c r="G729" s="34" t="n">
        <f aca="false">B729/1</f>
        <v>68.894</v>
      </c>
      <c r="H729" s="34" t="n">
        <f aca="false">IF(F729=1,G729,"")</f>
        <v>68.894</v>
      </c>
    </row>
    <row r="730" customFormat="false" ht="15" hidden="false" customHeight="false" outlineLevel="0" collapsed="false">
      <c r="A730" s="31" t="n">
        <v>42766.3333333333</v>
      </c>
      <c r="B730" s="32" t="n">
        <v>177.966</v>
      </c>
      <c r="D730" s="33" t="n">
        <f aca="false">WEEKDAY(A730,2)</f>
        <v>2</v>
      </c>
      <c r="E730" s="33" t="n">
        <f aca="false">HOUR(A730)+MINUTE(A730)/60</f>
        <v>8</v>
      </c>
      <c r="F730" s="33" t="n">
        <f aca="false">IF(OR(D730&gt;5,E730&lt;8,E730&gt;=18,COUNTIF($K$2:$K$10,INT(A730))&gt;0),1,0)</f>
        <v>0</v>
      </c>
      <c r="G730" s="34" t="n">
        <f aca="false">B730/1</f>
        <v>177.966</v>
      </c>
      <c r="H730" s="34" t="str">
        <f aca="false">IF(F730=1,G730,"")</f>
        <v/>
      </c>
    </row>
    <row r="731" customFormat="false" ht="15" hidden="false" customHeight="false" outlineLevel="0" collapsed="false">
      <c r="A731" s="31" t="n">
        <v>42766.375</v>
      </c>
      <c r="B731" s="32" t="n">
        <v>224.449</v>
      </c>
      <c r="D731" s="33" t="n">
        <f aca="false">WEEKDAY(A731,2)</f>
        <v>2</v>
      </c>
      <c r="E731" s="33" t="n">
        <f aca="false">HOUR(A731)+MINUTE(A731)/60</f>
        <v>9</v>
      </c>
      <c r="F731" s="33" t="n">
        <f aca="false">IF(OR(D731&gt;5,E731&lt;8,E731&gt;=18,COUNTIF($K$2:$K$10,INT(A731))&gt;0),1,0)</f>
        <v>0</v>
      </c>
      <c r="G731" s="34" t="n">
        <f aca="false">B731/1</f>
        <v>224.449</v>
      </c>
      <c r="H731" s="34" t="str">
        <f aca="false">IF(F731=1,G731,"")</f>
        <v/>
      </c>
    </row>
    <row r="732" customFormat="false" ht="15" hidden="false" customHeight="false" outlineLevel="0" collapsed="false">
      <c r="A732" s="31" t="n">
        <v>42766.4166666667</v>
      </c>
      <c r="B732" s="32" t="n">
        <v>246.617</v>
      </c>
      <c r="D732" s="33" t="n">
        <f aca="false">WEEKDAY(A732,2)</f>
        <v>2</v>
      </c>
      <c r="E732" s="33" t="n">
        <f aca="false">HOUR(A732)+MINUTE(A732)/60</f>
        <v>10</v>
      </c>
      <c r="F732" s="33" t="n">
        <f aca="false">IF(OR(D732&gt;5,E732&lt;8,E732&gt;=18,COUNTIF($K$2:$K$10,INT(A732))&gt;0),1,0)</f>
        <v>0</v>
      </c>
      <c r="G732" s="34" t="n">
        <f aca="false">B732/1</f>
        <v>246.617</v>
      </c>
      <c r="H732" s="34" t="str">
        <f aca="false">IF(F732=1,G732,"")</f>
        <v/>
      </c>
    </row>
    <row r="733" customFormat="false" ht="15" hidden="false" customHeight="false" outlineLevel="0" collapsed="false">
      <c r="A733" s="31" t="n">
        <v>42766.4583333333</v>
      </c>
      <c r="B733" s="32" t="n">
        <v>287.277</v>
      </c>
      <c r="D733" s="33" t="n">
        <f aca="false">WEEKDAY(A733,2)</f>
        <v>2</v>
      </c>
      <c r="E733" s="33" t="n">
        <f aca="false">HOUR(A733)+MINUTE(A733)/60</f>
        <v>11</v>
      </c>
      <c r="F733" s="33" t="n">
        <f aca="false">IF(OR(D733&gt;5,E733&lt;8,E733&gt;=18,COUNTIF($K$2:$K$10,INT(A733))&gt;0),1,0)</f>
        <v>0</v>
      </c>
      <c r="G733" s="34" t="n">
        <f aca="false">B733/1</f>
        <v>287.277</v>
      </c>
      <c r="H733" s="34" t="str">
        <f aca="false">IF(F733=1,G733,"")</f>
        <v/>
      </c>
    </row>
    <row r="734" customFormat="false" ht="15" hidden="false" customHeight="false" outlineLevel="0" collapsed="false">
      <c r="A734" s="31" t="n">
        <v>42766.5</v>
      </c>
      <c r="B734" s="32" t="n">
        <v>265.985</v>
      </c>
      <c r="D734" s="33" t="n">
        <f aca="false">WEEKDAY(A734,2)</f>
        <v>2</v>
      </c>
      <c r="E734" s="33" t="n">
        <f aca="false">HOUR(A734)+MINUTE(A734)/60</f>
        <v>12</v>
      </c>
      <c r="F734" s="33" t="n">
        <f aca="false">IF(OR(D734&gt;5,E734&lt;8,E734&gt;=18,COUNTIF($K$2:$K$10,INT(A734))&gt;0),1,0)</f>
        <v>0</v>
      </c>
      <c r="G734" s="34" t="n">
        <f aca="false">B734/1</f>
        <v>265.985</v>
      </c>
      <c r="H734" s="34" t="str">
        <f aca="false">IF(F734=1,G734,"")</f>
        <v/>
      </c>
    </row>
    <row r="735" customFormat="false" ht="15" hidden="false" customHeight="false" outlineLevel="0" collapsed="false">
      <c r="A735" s="31" t="n">
        <v>42766.5416666667</v>
      </c>
      <c r="B735" s="32" t="n">
        <v>269.195</v>
      </c>
      <c r="D735" s="33" t="n">
        <f aca="false">WEEKDAY(A735,2)</f>
        <v>2</v>
      </c>
      <c r="E735" s="33" t="n">
        <f aca="false">HOUR(A735)+MINUTE(A735)/60</f>
        <v>13</v>
      </c>
      <c r="F735" s="33" t="n">
        <f aca="false">IF(OR(D735&gt;5,E735&lt;8,E735&gt;=18,COUNTIF($K$2:$K$10,INT(A735))&gt;0),1,0)</f>
        <v>0</v>
      </c>
      <c r="G735" s="34" t="n">
        <f aca="false">B735/1</f>
        <v>269.195</v>
      </c>
      <c r="H735" s="34" t="str">
        <f aca="false">IF(F735=1,G735,"")</f>
        <v/>
      </c>
    </row>
    <row r="736" customFormat="false" ht="15" hidden="false" customHeight="false" outlineLevel="0" collapsed="false">
      <c r="A736" s="31" t="n">
        <v>42766.5833333333</v>
      </c>
      <c r="B736" s="32" t="n">
        <v>274.459</v>
      </c>
      <c r="D736" s="33" t="n">
        <f aca="false">WEEKDAY(A736,2)</f>
        <v>2</v>
      </c>
      <c r="E736" s="33" t="n">
        <f aca="false">HOUR(A736)+MINUTE(A736)/60</f>
        <v>14</v>
      </c>
      <c r="F736" s="33" t="n">
        <f aca="false">IF(OR(D736&gt;5,E736&lt;8,E736&gt;=18,COUNTIF($K$2:$K$10,INT(A736))&gt;0),1,0)</f>
        <v>0</v>
      </c>
      <c r="G736" s="34" t="n">
        <f aca="false">B736/1</f>
        <v>274.459</v>
      </c>
      <c r="H736" s="34" t="str">
        <f aca="false">IF(F736=1,G736,"")</f>
        <v/>
      </c>
    </row>
    <row r="737" customFormat="false" ht="15" hidden="false" customHeight="false" outlineLevel="0" collapsed="false">
      <c r="A737" s="31" t="n">
        <v>42766.625</v>
      </c>
      <c r="B737" s="32" t="n">
        <v>281.75</v>
      </c>
      <c r="D737" s="33" t="n">
        <f aca="false">WEEKDAY(A737,2)</f>
        <v>2</v>
      </c>
      <c r="E737" s="33" t="n">
        <f aca="false">HOUR(A737)+MINUTE(A737)/60</f>
        <v>15</v>
      </c>
      <c r="F737" s="33" t="n">
        <f aca="false">IF(OR(D737&gt;5,E737&lt;8,E737&gt;=18,COUNTIF($K$2:$K$10,INT(A737))&gt;0),1,0)</f>
        <v>0</v>
      </c>
      <c r="G737" s="34" t="n">
        <f aca="false">B737/1</f>
        <v>281.75</v>
      </c>
      <c r="H737" s="34" t="str">
        <f aca="false">IF(F737=1,G737,"")</f>
        <v/>
      </c>
    </row>
    <row r="738" customFormat="false" ht="15" hidden="false" customHeight="false" outlineLevel="0" collapsed="false">
      <c r="A738" s="31" t="n">
        <v>42766.6666666667</v>
      </c>
      <c r="B738" s="32" t="n">
        <v>261.018</v>
      </c>
      <c r="D738" s="33" t="n">
        <f aca="false">WEEKDAY(A738,2)</f>
        <v>2</v>
      </c>
      <c r="E738" s="33" t="n">
        <f aca="false">HOUR(A738)+MINUTE(A738)/60</f>
        <v>16</v>
      </c>
      <c r="F738" s="33" t="n">
        <f aca="false">IF(OR(D738&gt;5,E738&lt;8,E738&gt;=18,COUNTIF($K$2:$K$10,INT(A738))&gt;0),1,0)</f>
        <v>0</v>
      </c>
      <c r="G738" s="34" t="n">
        <f aca="false">B738/1</f>
        <v>261.018</v>
      </c>
      <c r="H738" s="34" t="str">
        <f aca="false">IF(F738=1,G738,"")</f>
        <v/>
      </c>
    </row>
    <row r="739" customFormat="false" ht="15" hidden="false" customHeight="false" outlineLevel="0" collapsed="false">
      <c r="A739" s="31" t="n">
        <v>42766.7083333333</v>
      </c>
      <c r="B739" s="32" t="n">
        <v>249.442</v>
      </c>
      <c r="D739" s="33" t="n">
        <f aca="false">WEEKDAY(A739,2)</f>
        <v>2</v>
      </c>
      <c r="E739" s="33" t="n">
        <f aca="false">HOUR(A739)+MINUTE(A739)/60</f>
        <v>17</v>
      </c>
      <c r="F739" s="33" t="n">
        <f aca="false">IF(OR(D739&gt;5,E739&lt;8,E739&gt;=18,COUNTIF($K$2:$K$10,INT(A739))&gt;0),1,0)</f>
        <v>0</v>
      </c>
      <c r="G739" s="34" t="n">
        <f aca="false">B739/1</f>
        <v>249.442</v>
      </c>
      <c r="H739" s="34" t="str">
        <f aca="false">IF(F739=1,G739,"")</f>
        <v/>
      </c>
    </row>
    <row r="740" customFormat="false" ht="15" hidden="false" customHeight="false" outlineLevel="0" collapsed="false">
      <c r="A740" s="31" t="n">
        <v>42766.75</v>
      </c>
      <c r="B740" s="32" t="n">
        <v>234.408</v>
      </c>
      <c r="D740" s="33" t="n">
        <f aca="false">WEEKDAY(A740,2)</f>
        <v>2</v>
      </c>
      <c r="E740" s="33" t="n">
        <f aca="false">HOUR(A740)+MINUTE(A740)/60</f>
        <v>18</v>
      </c>
      <c r="F740" s="33" t="n">
        <f aca="false">IF(OR(D740&gt;5,E740&lt;8,E740&gt;=18,COUNTIF($K$2:$K$10,INT(A740))&gt;0),1,0)</f>
        <v>1</v>
      </c>
      <c r="G740" s="34" t="n">
        <f aca="false">B740/1</f>
        <v>234.408</v>
      </c>
      <c r="H740" s="34" t="n">
        <f aca="false">IF(F740=1,G740,"")</f>
        <v>234.408</v>
      </c>
    </row>
    <row r="741" customFormat="false" ht="15" hidden="false" customHeight="false" outlineLevel="0" collapsed="false">
      <c r="A741" s="31" t="n">
        <v>42766.7916666667</v>
      </c>
      <c r="B741" s="32" t="n">
        <v>224.545</v>
      </c>
      <c r="D741" s="33" t="n">
        <f aca="false">WEEKDAY(A741,2)</f>
        <v>2</v>
      </c>
      <c r="E741" s="33" t="n">
        <f aca="false">HOUR(A741)+MINUTE(A741)/60</f>
        <v>19</v>
      </c>
      <c r="F741" s="33" t="n">
        <f aca="false">IF(OR(D741&gt;5,E741&lt;8,E741&gt;=18,COUNTIF($K$2:$K$10,INT(A741))&gt;0),1,0)</f>
        <v>1</v>
      </c>
      <c r="G741" s="34" t="n">
        <f aca="false">B741/1</f>
        <v>224.545</v>
      </c>
      <c r="H741" s="34" t="n">
        <f aca="false">IF(F741=1,G741,"")</f>
        <v>224.545</v>
      </c>
    </row>
    <row r="742" customFormat="false" ht="15" hidden="false" customHeight="false" outlineLevel="0" collapsed="false">
      <c r="A742" s="31" t="n">
        <v>42766.8333333333</v>
      </c>
      <c r="B742" s="32" t="n">
        <v>207.606</v>
      </c>
      <c r="D742" s="33" t="n">
        <f aca="false">WEEKDAY(A742,2)</f>
        <v>2</v>
      </c>
      <c r="E742" s="33" t="n">
        <f aca="false">HOUR(A742)+MINUTE(A742)/60</f>
        <v>20</v>
      </c>
      <c r="F742" s="33" t="n">
        <f aca="false">IF(OR(D742&gt;5,E742&lt;8,E742&gt;=18,COUNTIF($K$2:$K$10,INT(A742))&gt;0),1,0)</f>
        <v>1</v>
      </c>
      <c r="G742" s="34" t="n">
        <f aca="false">B742/1</f>
        <v>207.606</v>
      </c>
      <c r="H742" s="34" t="n">
        <f aca="false">IF(F742=1,G742,"")</f>
        <v>207.606</v>
      </c>
    </row>
    <row r="743" customFormat="false" ht="15" hidden="false" customHeight="false" outlineLevel="0" collapsed="false">
      <c r="A743" s="31" t="n">
        <v>42766.875</v>
      </c>
      <c r="B743" s="32" t="n">
        <v>202.541</v>
      </c>
      <c r="D743" s="33" t="n">
        <f aca="false">WEEKDAY(A743,2)</f>
        <v>2</v>
      </c>
      <c r="E743" s="33" t="n">
        <f aca="false">HOUR(A743)+MINUTE(A743)/60</f>
        <v>21</v>
      </c>
      <c r="F743" s="33" t="n">
        <f aca="false">IF(OR(D743&gt;5,E743&lt;8,E743&gt;=18,COUNTIF($K$2:$K$10,INT(A743))&gt;0),1,0)</f>
        <v>1</v>
      </c>
      <c r="G743" s="34" t="n">
        <f aca="false">B743/1</f>
        <v>202.541</v>
      </c>
      <c r="H743" s="34" t="n">
        <f aca="false">IF(F743=1,G743,"")</f>
        <v>202.541</v>
      </c>
    </row>
    <row r="744" customFormat="false" ht="15" hidden="false" customHeight="false" outlineLevel="0" collapsed="false">
      <c r="A744" s="31" t="n">
        <v>42766.9166666667</v>
      </c>
      <c r="B744" s="32" t="n">
        <v>140.507</v>
      </c>
      <c r="D744" s="33" t="n">
        <f aca="false">WEEKDAY(A744,2)</f>
        <v>2</v>
      </c>
      <c r="E744" s="33" t="n">
        <f aca="false">HOUR(A744)+MINUTE(A744)/60</f>
        <v>22</v>
      </c>
      <c r="F744" s="33" t="n">
        <f aca="false">IF(OR(D744&gt;5,E744&lt;8,E744&gt;=18,COUNTIF($K$2:$K$10,INT(A744))&gt;0),1,0)</f>
        <v>1</v>
      </c>
      <c r="G744" s="34" t="n">
        <f aca="false">B744/1</f>
        <v>140.507</v>
      </c>
      <c r="H744" s="34" t="n">
        <f aca="false">IF(F744=1,G744,"")</f>
        <v>140.507</v>
      </c>
    </row>
    <row r="745" customFormat="false" ht="15" hidden="false" customHeight="false" outlineLevel="0" collapsed="false">
      <c r="A745" s="31" t="n">
        <v>42766.9583333333</v>
      </c>
      <c r="B745" s="32" t="n">
        <v>82.886</v>
      </c>
      <c r="D745" s="33" t="n">
        <f aca="false">WEEKDAY(A745,2)</f>
        <v>2</v>
      </c>
      <c r="E745" s="33" t="n">
        <f aca="false">HOUR(A745)+MINUTE(A745)/60</f>
        <v>23</v>
      </c>
      <c r="F745" s="33" t="n">
        <f aca="false">IF(OR(D745&gt;5,E745&lt;8,E745&gt;=18,COUNTIF($K$2:$K$10,INT(A745))&gt;0),1,0)</f>
        <v>1</v>
      </c>
      <c r="G745" s="34" t="n">
        <f aca="false">B745/1</f>
        <v>82.886</v>
      </c>
      <c r="H745" s="34" t="n">
        <f aca="false">IF(F745=1,G745,"")</f>
        <v>82.886</v>
      </c>
    </row>
    <row r="746" customFormat="false" ht="15" hidden="false" customHeight="false" outlineLevel="0" collapsed="false">
      <c r="A746" s="31" t="n">
        <v>42767</v>
      </c>
      <c r="B746" s="32" t="n">
        <v>79.613</v>
      </c>
      <c r="D746" s="33" t="n">
        <f aca="false">WEEKDAY(A746,2)</f>
        <v>3</v>
      </c>
      <c r="E746" s="33" t="n">
        <f aca="false">HOUR(A746)+MINUTE(A746)/60</f>
        <v>0</v>
      </c>
      <c r="F746" s="33" t="n">
        <f aca="false">IF(OR(D746&gt;5,E746&lt;8,E746&gt;=18,COUNTIF($K$2:$K$10,INT(A746))&gt;0),1,0)</f>
        <v>1</v>
      </c>
      <c r="G746" s="34" t="n">
        <f aca="false">B746/1</f>
        <v>79.613</v>
      </c>
      <c r="H746" s="34" t="n">
        <f aca="false">IF(F746=1,G746,"")</f>
        <v>79.613</v>
      </c>
    </row>
    <row r="747" customFormat="false" ht="15" hidden="false" customHeight="false" outlineLevel="0" collapsed="false">
      <c r="A747" s="31" t="n">
        <v>42767.0416666667</v>
      </c>
      <c r="B747" s="32" t="n">
        <v>74.053</v>
      </c>
      <c r="D747" s="33" t="n">
        <f aca="false">WEEKDAY(A747,2)</f>
        <v>3</v>
      </c>
      <c r="E747" s="33" t="n">
        <f aca="false">HOUR(A747)+MINUTE(A747)/60</f>
        <v>1</v>
      </c>
      <c r="F747" s="33" t="n">
        <f aca="false">IF(OR(D747&gt;5,E747&lt;8,E747&gt;=18,COUNTIF($K$2:$K$10,INT(A747))&gt;0),1,0)</f>
        <v>1</v>
      </c>
      <c r="G747" s="34" t="n">
        <f aca="false">B747/1</f>
        <v>74.053</v>
      </c>
      <c r="H747" s="34" t="n">
        <f aca="false">IF(F747=1,G747,"")</f>
        <v>74.053</v>
      </c>
    </row>
    <row r="748" customFormat="false" ht="15" hidden="false" customHeight="false" outlineLevel="0" collapsed="false">
      <c r="A748" s="31" t="n">
        <v>42767.0833333333</v>
      </c>
      <c r="B748" s="32" t="n">
        <v>69.952</v>
      </c>
      <c r="D748" s="33" t="n">
        <f aca="false">WEEKDAY(A748,2)</f>
        <v>3</v>
      </c>
      <c r="E748" s="33" t="n">
        <f aca="false">HOUR(A748)+MINUTE(A748)/60</f>
        <v>2</v>
      </c>
      <c r="F748" s="33" t="n">
        <f aca="false">IF(OR(D748&gt;5,E748&lt;8,E748&gt;=18,COUNTIF($K$2:$K$10,INT(A748))&gt;0),1,0)</f>
        <v>1</v>
      </c>
      <c r="G748" s="34" t="n">
        <f aca="false">B748/1</f>
        <v>69.952</v>
      </c>
      <c r="H748" s="34" t="n">
        <f aca="false">IF(F748=1,G748,"")</f>
        <v>69.952</v>
      </c>
    </row>
    <row r="749" customFormat="false" ht="15" hidden="false" customHeight="false" outlineLevel="0" collapsed="false">
      <c r="A749" s="31" t="n">
        <v>42767.125</v>
      </c>
      <c r="B749" s="32" t="n">
        <v>73.349</v>
      </c>
      <c r="D749" s="33" t="n">
        <f aca="false">WEEKDAY(A749,2)</f>
        <v>3</v>
      </c>
      <c r="E749" s="33" t="n">
        <f aca="false">HOUR(A749)+MINUTE(A749)/60</f>
        <v>3</v>
      </c>
      <c r="F749" s="33" t="n">
        <f aca="false">IF(OR(D749&gt;5,E749&lt;8,E749&gt;=18,COUNTIF($K$2:$K$10,INT(A749))&gt;0),1,0)</f>
        <v>1</v>
      </c>
      <c r="G749" s="34" t="n">
        <f aca="false">B749/1</f>
        <v>73.349</v>
      </c>
      <c r="H749" s="34" t="n">
        <f aca="false">IF(F749=1,G749,"")</f>
        <v>73.349</v>
      </c>
    </row>
    <row r="750" customFormat="false" ht="15" hidden="false" customHeight="false" outlineLevel="0" collapsed="false">
      <c r="A750" s="31" t="n">
        <v>42767.1666666667</v>
      </c>
      <c r="B750" s="32" t="n">
        <v>100.903</v>
      </c>
      <c r="D750" s="33" t="n">
        <f aca="false">WEEKDAY(A750,2)</f>
        <v>3</v>
      </c>
      <c r="E750" s="33" t="n">
        <f aca="false">HOUR(A750)+MINUTE(A750)/60</f>
        <v>4</v>
      </c>
      <c r="F750" s="33" t="n">
        <f aca="false">IF(OR(D750&gt;5,E750&lt;8,E750&gt;=18,COUNTIF($K$2:$K$10,INT(A750))&gt;0),1,0)</f>
        <v>1</v>
      </c>
      <c r="G750" s="34" t="n">
        <f aca="false">B750/1</f>
        <v>100.903</v>
      </c>
      <c r="H750" s="34" t="n">
        <f aca="false">IF(F750=1,G750,"")</f>
        <v>100.903</v>
      </c>
    </row>
    <row r="751" customFormat="false" ht="15" hidden="false" customHeight="false" outlineLevel="0" collapsed="false">
      <c r="A751" s="31" t="n">
        <v>42767.2083333333</v>
      </c>
      <c r="B751" s="32" t="n">
        <v>116.715</v>
      </c>
      <c r="D751" s="33" t="n">
        <f aca="false">WEEKDAY(A751,2)</f>
        <v>3</v>
      </c>
      <c r="E751" s="33" t="n">
        <f aca="false">HOUR(A751)+MINUTE(A751)/60</f>
        <v>5</v>
      </c>
      <c r="F751" s="33" t="n">
        <f aca="false">IF(OR(D751&gt;5,E751&lt;8,E751&gt;=18,COUNTIF($K$2:$K$10,INT(A751))&gt;0),1,0)</f>
        <v>1</v>
      </c>
      <c r="G751" s="34" t="n">
        <f aca="false">B751/1</f>
        <v>116.715</v>
      </c>
      <c r="H751" s="34" t="n">
        <f aca="false">IF(F751=1,G751,"")</f>
        <v>116.715</v>
      </c>
    </row>
    <row r="752" customFormat="false" ht="15" hidden="false" customHeight="false" outlineLevel="0" collapsed="false">
      <c r="A752" s="31" t="n">
        <v>42767.25</v>
      </c>
      <c r="B752" s="32" t="n">
        <v>94.168</v>
      </c>
      <c r="D752" s="33" t="n">
        <f aca="false">WEEKDAY(A752,2)</f>
        <v>3</v>
      </c>
      <c r="E752" s="33" t="n">
        <f aca="false">HOUR(A752)+MINUTE(A752)/60</f>
        <v>6</v>
      </c>
      <c r="F752" s="33" t="n">
        <f aca="false">IF(OR(D752&gt;5,E752&lt;8,E752&gt;=18,COUNTIF($K$2:$K$10,INT(A752))&gt;0),1,0)</f>
        <v>1</v>
      </c>
      <c r="G752" s="34" t="n">
        <f aca="false">B752/1</f>
        <v>94.168</v>
      </c>
      <c r="H752" s="34" t="n">
        <f aca="false">IF(F752=1,G752,"")</f>
        <v>94.168</v>
      </c>
    </row>
    <row r="753" customFormat="false" ht="15" hidden="false" customHeight="false" outlineLevel="0" collapsed="false">
      <c r="A753" s="31" t="n">
        <v>42767.2916666667</v>
      </c>
      <c r="B753" s="32" t="n">
        <v>72.381</v>
      </c>
      <c r="D753" s="33" t="n">
        <f aca="false">WEEKDAY(A753,2)</f>
        <v>3</v>
      </c>
      <c r="E753" s="33" t="n">
        <f aca="false">HOUR(A753)+MINUTE(A753)/60</f>
        <v>7</v>
      </c>
      <c r="F753" s="33" t="n">
        <f aca="false">IF(OR(D753&gt;5,E753&lt;8,E753&gt;=18,COUNTIF($K$2:$K$10,INT(A753))&gt;0),1,0)</f>
        <v>1</v>
      </c>
      <c r="G753" s="34" t="n">
        <f aca="false">B753/1</f>
        <v>72.381</v>
      </c>
      <c r="H753" s="34" t="n">
        <f aca="false">IF(F753=1,G753,"")</f>
        <v>72.381</v>
      </c>
    </row>
    <row r="754" customFormat="false" ht="15" hidden="false" customHeight="false" outlineLevel="0" collapsed="false">
      <c r="A754" s="31" t="n">
        <v>42767.3333333333</v>
      </c>
      <c r="B754" s="32" t="n">
        <v>180.3</v>
      </c>
      <c r="D754" s="33" t="n">
        <f aca="false">WEEKDAY(A754,2)</f>
        <v>3</v>
      </c>
      <c r="E754" s="33" t="n">
        <f aca="false">HOUR(A754)+MINUTE(A754)/60</f>
        <v>8</v>
      </c>
      <c r="F754" s="33" t="n">
        <f aca="false">IF(OR(D754&gt;5,E754&lt;8,E754&gt;=18,COUNTIF($K$2:$K$10,INT(A754))&gt;0),1,0)</f>
        <v>0</v>
      </c>
      <c r="G754" s="34" t="n">
        <f aca="false">B754/1</f>
        <v>180.3</v>
      </c>
      <c r="H754" s="34" t="str">
        <f aca="false">IF(F754=1,G754,"")</f>
        <v/>
      </c>
    </row>
    <row r="755" customFormat="false" ht="15" hidden="false" customHeight="false" outlineLevel="0" collapsed="false">
      <c r="A755" s="31" t="n">
        <v>42767.375</v>
      </c>
      <c r="B755" s="32" t="n">
        <v>224.963</v>
      </c>
      <c r="D755" s="33" t="n">
        <f aca="false">WEEKDAY(A755,2)</f>
        <v>3</v>
      </c>
      <c r="E755" s="33" t="n">
        <f aca="false">HOUR(A755)+MINUTE(A755)/60</f>
        <v>9</v>
      </c>
      <c r="F755" s="33" t="n">
        <f aca="false">IF(OR(D755&gt;5,E755&lt;8,E755&gt;=18,COUNTIF($K$2:$K$10,INT(A755))&gt;0),1,0)</f>
        <v>0</v>
      </c>
      <c r="G755" s="34" t="n">
        <f aca="false">B755/1</f>
        <v>224.963</v>
      </c>
      <c r="H755" s="34" t="str">
        <f aca="false">IF(F755=1,G755,"")</f>
        <v/>
      </c>
    </row>
    <row r="756" customFormat="false" ht="15" hidden="false" customHeight="false" outlineLevel="0" collapsed="false">
      <c r="A756" s="31" t="n">
        <v>42767.4166666667</v>
      </c>
      <c r="B756" s="32" t="n">
        <v>253.915</v>
      </c>
      <c r="D756" s="33" t="n">
        <f aca="false">WEEKDAY(A756,2)</f>
        <v>3</v>
      </c>
      <c r="E756" s="33" t="n">
        <f aca="false">HOUR(A756)+MINUTE(A756)/60</f>
        <v>10</v>
      </c>
      <c r="F756" s="33" t="n">
        <f aca="false">IF(OR(D756&gt;5,E756&lt;8,E756&gt;=18,COUNTIF($K$2:$K$10,INT(A756))&gt;0),1,0)</f>
        <v>0</v>
      </c>
      <c r="G756" s="34" t="n">
        <f aca="false">B756/1</f>
        <v>253.915</v>
      </c>
      <c r="H756" s="34" t="str">
        <f aca="false">IF(F756=1,G756,"")</f>
        <v/>
      </c>
    </row>
    <row r="757" customFormat="false" ht="15" hidden="false" customHeight="false" outlineLevel="0" collapsed="false">
      <c r="A757" s="31" t="n">
        <v>42767.4583333333</v>
      </c>
      <c r="B757" s="32" t="n">
        <v>264.099</v>
      </c>
      <c r="D757" s="33" t="n">
        <f aca="false">WEEKDAY(A757,2)</f>
        <v>3</v>
      </c>
      <c r="E757" s="33" t="n">
        <f aca="false">HOUR(A757)+MINUTE(A757)/60</f>
        <v>11</v>
      </c>
      <c r="F757" s="33" t="n">
        <f aca="false">IF(OR(D757&gt;5,E757&lt;8,E757&gt;=18,COUNTIF($K$2:$K$10,INT(A757))&gt;0),1,0)</f>
        <v>0</v>
      </c>
      <c r="G757" s="34" t="n">
        <f aca="false">B757/1</f>
        <v>264.099</v>
      </c>
      <c r="H757" s="34" t="str">
        <f aca="false">IF(F757=1,G757,"")</f>
        <v/>
      </c>
    </row>
    <row r="758" customFormat="false" ht="15" hidden="false" customHeight="false" outlineLevel="0" collapsed="false">
      <c r="A758" s="31" t="n">
        <v>42767.5</v>
      </c>
      <c r="B758" s="32" t="n">
        <v>269.259</v>
      </c>
      <c r="D758" s="33" t="n">
        <f aca="false">WEEKDAY(A758,2)</f>
        <v>3</v>
      </c>
      <c r="E758" s="33" t="n">
        <f aca="false">HOUR(A758)+MINUTE(A758)/60</f>
        <v>12</v>
      </c>
      <c r="F758" s="33" t="n">
        <f aca="false">IF(OR(D758&gt;5,E758&lt;8,E758&gt;=18,COUNTIF($K$2:$K$10,INT(A758))&gt;0),1,0)</f>
        <v>0</v>
      </c>
      <c r="G758" s="34" t="n">
        <f aca="false">B758/1</f>
        <v>269.259</v>
      </c>
      <c r="H758" s="34" t="str">
        <f aca="false">IF(F758=1,G758,"")</f>
        <v/>
      </c>
    </row>
    <row r="759" customFormat="false" ht="15" hidden="false" customHeight="false" outlineLevel="0" collapsed="false">
      <c r="A759" s="31" t="n">
        <v>42767.5416666667</v>
      </c>
      <c r="B759" s="32" t="n">
        <v>273.926</v>
      </c>
      <c r="D759" s="33" t="n">
        <f aca="false">WEEKDAY(A759,2)</f>
        <v>3</v>
      </c>
      <c r="E759" s="33" t="n">
        <f aca="false">HOUR(A759)+MINUTE(A759)/60</f>
        <v>13</v>
      </c>
      <c r="F759" s="33" t="n">
        <f aca="false">IF(OR(D759&gt;5,E759&lt;8,E759&gt;=18,COUNTIF($K$2:$K$10,INT(A759))&gt;0),1,0)</f>
        <v>0</v>
      </c>
      <c r="G759" s="34" t="n">
        <f aca="false">B759/1</f>
        <v>273.926</v>
      </c>
      <c r="H759" s="34" t="str">
        <f aca="false">IF(F759=1,G759,"")</f>
        <v/>
      </c>
    </row>
    <row r="760" customFormat="false" ht="15" hidden="false" customHeight="false" outlineLevel="0" collapsed="false">
      <c r="A760" s="31" t="n">
        <v>42767.5833333333</v>
      </c>
      <c r="B760" s="32" t="n">
        <v>271.311</v>
      </c>
      <c r="D760" s="33" t="n">
        <f aca="false">WEEKDAY(A760,2)</f>
        <v>3</v>
      </c>
      <c r="E760" s="33" t="n">
        <f aca="false">HOUR(A760)+MINUTE(A760)/60</f>
        <v>14</v>
      </c>
      <c r="F760" s="33" t="n">
        <f aca="false">IF(OR(D760&gt;5,E760&lt;8,E760&gt;=18,COUNTIF($K$2:$K$10,INT(A760))&gt;0),1,0)</f>
        <v>0</v>
      </c>
      <c r="G760" s="34" t="n">
        <f aca="false">B760/1</f>
        <v>271.311</v>
      </c>
      <c r="H760" s="34" t="str">
        <f aca="false">IF(F760=1,G760,"")</f>
        <v/>
      </c>
    </row>
    <row r="761" customFormat="false" ht="15" hidden="false" customHeight="false" outlineLevel="0" collapsed="false">
      <c r="A761" s="31" t="n">
        <v>42767.625</v>
      </c>
      <c r="B761" s="32" t="n">
        <v>264.359</v>
      </c>
      <c r="D761" s="33" t="n">
        <f aca="false">WEEKDAY(A761,2)</f>
        <v>3</v>
      </c>
      <c r="E761" s="33" t="n">
        <f aca="false">HOUR(A761)+MINUTE(A761)/60</f>
        <v>15</v>
      </c>
      <c r="F761" s="33" t="n">
        <f aca="false">IF(OR(D761&gt;5,E761&lt;8,E761&gt;=18,COUNTIF($K$2:$K$10,INT(A761))&gt;0),1,0)</f>
        <v>0</v>
      </c>
      <c r="G761" s="34" t="n">
        <f aca="false">B761/1</f>
        <v>264.359</v>
      </c>
      <c r="H761" s="34" t="str">
        <f aca="false">IF(F761=1,G761,"")</f>
        <v/>
      </c>
    </row>
    <row r="762" customFormat="false" ht="15" hidden="false" customHeight="false" outlineLevel="0" collapsed="false">
      <c r="A762" s="31" t="n">
        <v>42767.6666666667</v>
      </c>
      <c r="B762" s="32" t="n">
        <v>267.425</v>
      </c>
      <c r="D762" s="33" t="n">
        <f aca="false">WEEKDAY(A762,2)</f>
        <v>3</v>
      </c>
      <c r="E762" s="33" t="n">
        <f aca="false">HOUR(A762)+MINUTE(A762)/60</f>
        <v>16</v>
      </c>
      <c r="F762" s="33" t="n">
        <f aca="false">IF(OR(D762&gt;5,E762&lt;8,E762&gt;=18,COUNTIF($K$2:$K$10,INT(A762))&gt;0),1,0)</f>
        <v>0</v>
      </c>
      <c r="G762" s="34" t="n">
        <f aca="false">B762/1</f>
        <v>267.425</v>
      </c>
      <c r="H762" s="34" t="str">
        <f aca="false">IF(F762=1,G762,"")</f>
        <v/>
      </c>
    </row>
    <row r="763" customFormat="false" ht="15" hidden="false" customHeight="false" outlineLevel="0" collapsed="false">
      <c r="A763" s="31" t="n">
        <v>42767.7083333333</v>
      </c>
      <c r="B763" s="32" t="n">
        <v>247.872</v>
      </c>
      <c r="D763" s="33" t="n">
        <f aca="false">WEEKDAY(A763,2)</f>
        <v>3</v>
      </c>
      <c r="E763" s="33" t="n">
        <f aca="false">HOUR(A763)+MINUTE(A763)/60</f>
        <v>17</v>
      </c>
      <c r="F763" s="33" t="n">
        <f aca="false">IF(OR(D763&gt;5,E763&lt;8,E763&gt;=18,COUNTIF($K$2:$K$10,INT(A763))&gt;0),1,0)</f>
        <v>0</v>
      </c>
      <c r="G763" s="34" t="n">
        <f aca="false">B763/1</f>
        <v>247.872</v>
      </c>
      <c r="H763" s="34" t="str">
        <f aca="false">IF(F763=1,G763,"")</f>
        <v/>
      </c>
    </row>
    <row r="764" customFormat="false" ht="15" hidden="false" customHeight="false" outlineLevel="0" collapsed="false">
      <c r="A764" s="31" t="n">
        <v>42767.75</v>
      </c>
      <c r="B764" s="32" t="n">
        <v>230.405</v>
      </c>
      <c r="D764" s="33" t="n">
        <f aca="false">WEEKDAY(A764,2)</f>
        <v>3</v>
      </c>
      <c r="E764" s="33" t="n">
        <f aca="false">HOUR(A764)+MINUTE(A764)/60</f>
        <v>18</v>
      </c>
      <c r="F764" s="33" t="n">
        <f aca="false">IF(OR(D764&gt;5,E764&lt;8,E764&gt;=18,COUNTIF($K$2:$K$10,INT(A764))&gt;0),1,0)</f>
        <v>1</v>
      </c>
      <c r="G764" s="34" t="n">
        <f aca="false">B764/1</f>
        <v>230.405</v>
      </c>
      <c r="H764" s="34" t="n">
        <f aca="false">IF(F764=1,G764,"")</f>
        <v>230.405</v>
      </c>
    </row>
    <row r="765" customFormat="false" ht="15" hidden="false" customHeight="false" outlineLevel="0" collapsed="false">
      <c r="A765" s="31" t="n">
        <v>42767.7916666667</v>
      </c>
      <c r="B765" s="32" t="n">
        <v>224.894</v>
      </c>
      <c r="D765" s="33" t="n">
        <f aca="false">WEEKDAY(A765,2)</f>
        <v>3</v>
      </c>
      <c r="E765" s="33" t="n">
        <f aca="false">HOUR(A765)+MINUTE(A765)/60</f>
        <v>19</v>
      </c>
      <c r="F765" s="33" t="n">
        <f aca="false">IF(OR(D765&gt;5,E765&lt;8,E765&gt;=18,COUNTIF($K$2:$K$10,INT(A765))&gt;0),1,0)</f>
        <v>1</v>
      </c>
      <c r="G765" s="34" t="n">
        <f aca="false">B765/1</f>
        <v>224.894</v>
      </c>
      <c r="H765" s="34" t="n">
        <f aca="false">IF(F765=1,G765,"")</f>
        <v>224.894</v>
      </c>
    </row>
    <row r="766" customFormat="false" ht="15" hidden="false" customHeight="false" outlineLevel="0" collapsed="false">
      <c r="A766" s="31" t="n">
        <v>42767.8333333333</v>
      </c>
      <c r="B766" s="32" t="n">
        <v>216.965</v>
      </c>
      <c r="D766" s="33" t="n">
        <f aca="false">WEEKDAY(A766,2)</f>
        <v>3</v>
      </c>
      <c r="E766" s="33" t="n">
        <f aca="false">HOUR(A766)+MINUTE(A766)/60</f>
        <v>20</v>
      </c>
      <c r="F766" s="33" t="n">
        <f aca="false">IF(OR(D766&gt;5,E766&lt;8,E766&gt;=18,COUNTIF($K$2:$K$10,INT(A766))&gt;0),1,0)</f>
        <v>1</v>
      </c>
      <c r="G766" s="34" t="n">
        <f aca="false">B766/1</f>
        <v>216.965</v>
      </c>
      <c r="H766" s="34" t="n">
        <f aca="false">IF(F766=1,G766,"")</f>
        <v>216.965</v>
      </c>
    </row>
    <row r="767" customFormat="false" ht="15" hidden="false" customHeight="false" outlineLevel="0" collapsed="false">
      <c r="A767" s="31" t="n">
        <v>42767.875</v>
      </c>
      <c r="B767" s="32" t="n">
        <v>198.254</v>
      </c>
      <c r="D767" s="33" t="n">
        <f aca="false">WEEKDAY(A767,2)</f>
        <v>3</v>
      </c>
      <c r="E767" s="33" t="n">
        <f aca="false">HOUR(A767)+MINUTE(A767)/60</f>
        <v>21</v>
      </c>
      <c r="F767" s="33" t="n">
        <f aca="false">IF(OR(D767&gt;5,E767&lt;8,E767&gt;=18,COUNTIF($K$2:$K$10,INT(A767))&gt;0),1,0)</f>
        <v>1</v>
      </c>
      <c r="G767" s="34" t="n">
        <f aca="false">B767/1</f>
        <v>198.254</v>
      </c>
      <c r="H767" s="34" t="n">
        <f aca="false">IF(F767=1,G767,"")</f>
        <v>198.254</v>
      </c>
    </row>
    <row r="768" customFormat="false" ht="15" hidden="false" customHeight="false" outlineLevel="0" collapsed="false">
      <c r="A768" s="31" t="n">
        <v>42767.9166666667</v>
      </c>
      <c r="B768" s="32" t="n">
        <v>142.093</v>
      </c>
      <c r="D768" s="33" t="n">
        <f aca="false">WEEKDAY(A768,2)</f>
        <v>3</v>
      </c>
      <c r="E768" s="33" t="n">
        <f aca="false">HOUR(A768)+MINUTE(A768)/60</f>
        <v>22</v>
      </c>
      <c r="F768" s="33" t="n">
        <f aca="false">IF(OR(D768&gt;5,E768&lt;8,E768&gt;=18,COUNTIF($K$2:$K$10,INT(A768))&gt;0),1,0)</f>
        <v>1</v>
      </c>
      <c r="G768" s="34" t="n">
        <f aca="false">B768/1</f>
        <v>142.093</v>
      </c>
      <c r="H768" s="34" t="n">
        <f aca="false">IF(F768=1,G768,"")</f>
        <v>142.093</v>
      </c>
    </row>
    <row r="769" customFormat="false" ht="15" hidden="false" customHeight="false" outlineLevel="0" collapsed="false">
      <c r="A769" s="31" t="n">
        <v>42767.9583333333</v>
      </c>
      <c r="B769" s="32" t="n">
        <v>82.195</v>
      </c>
      <c r="D769" s="33" t="n">
        <f aca="false">WEEKDAY(A769,2)</f>
        <v>3</v>
      </c>
      <c r="E769" s="33" t="n">
        <f aca="false">HOUR(A769)+MINUTE(A769)/60</f>
        <v>23</v>
      </c>
      <c r="F769" s="33" t="n">
        <f aca="false">IF(OR(D769&gt;5,E769&lt;8,E769&gt;=18,COUNTIF($K$2:$K$10,INT(A769))&gt;0),1,0)</f>
        <v>1</v>
      </c>
      <c r="G769" s="34" t="n">
        <f aca="false">B769/1</f>
        <v>82.195</v>
      </c>
      <c r="H769" s="34" t="n">
        <f aca="false">IF(F769=1,G769,"")</f>
        <v>82.195</v>
      </c>
    </row>
    <row r="770" customFormat="false" ht="15" hidden="false" customHeight="false" outlineLevel="0" collapsed="false">
      <c r="A770" s="31" t="n">
        <v>42768</v>
      </c>
      <c r="B770" s="32" t="n">
        <v>75.194</v>
      </c>
      <c r="D770" s="33" t="n">
        <f aca="false">WEEKDAY(A770,2)</f>
        <v>4</v>
      </c>
      <c r="E770" s="33" t="n">
        <f aca="false">HOUR(A770)+MINUTE(A770)/60</f>
        <v>0</v>
      </c>
      <c r="F770" s="33" t="n">
        <f aca="false">IF(OR(D770&gt;5,E770&lt;8,E770&gt;=18,COUNTIF($K$2:$K$10,INT(A770))&gt;0),1,0)</f>
        <v>1</v>
      </c>
      <c r="G770" s="34" t="n">
        <f aca="false">B770/1</f>
        <v>75.194</v>
      </c>
      <c r="H770" s="34" t="n">
        <f aca="false">IF(F770=1,G770,"")</f>
        <v>75.194</v>
      </c>
    </row>
    <row r="771" customFormat="false" ht="15" hidden="false" customHeight="false" outlineLevel="0" collapsed="false">
      <c r="A771" s="31" t="n">
        <v>42768.0416666667</v>
      </c>
      <c r="B771" s="32" t="n">
        <v>70.945</v>
      </c>
      <c r="D771" s="33" t="n">
        <f aca="false">WEEKDAY(A771,2)</f>
        <v>4</v>
      </c>
      <c r="E771" s="33" t="n">
        <f aca="false">HOUR(A771)+MINUTE(A771)/60</f>
        <v>1</v>
      </c>
      <c r="F771" s="33" t="n">
        <f aca="false">IF(OR(D771&gt;5,E771&lt;8,E771&gt;=18,COUNTIF($K$2:$K$10,INT(A771))&gt;0),1,0)</f>
        <v>1</v>
      </c>
      <c r="G771" s="34" t="n">
        <f aca="false">B771/1</f>
        <v>70.945</v>
      </c>
      <c r="H771" s="34" t="n">
        <f aca="false">IF(F771=1,G771,"")</f>
        <v>70.945</v>
      </c>
    </row>
    <row r="772" customFormat="false" ht="15" hidden="false" customHeight="false" outlineLevel="0" collapsed="false">
      <c r="A772" s="31" t="n">
        <v>42768.0833333333</v>
      </c>
      <c r="B772" s="32" t="n">
        <v>71.109</v>
      </c>
      <c r="D772" s="33" t="n">
        <f aca="false">WEEKDAY(A772,2)</f>
        <v>4</v>
      </c>
      <c r="E772" s="33" t="n">
        <f aca="false">HOUR(A772)+MINUTE(A772)/60</f>
        <v>2</v>
      </c>
      <c r="F772" s="33" t="n">
        <f aca="false">IF(OR(D772&gt;5,E772&lt;8,E772&gt;=18,COUNTIF($K$2:$K$10,INT(A772))&gt;0),1,0)</f>
        <v>1</v>
      </c>
      <c r="G772" s="34" t="n">
        <f aca="false">B772/1</f>
        <v>71.109</v>
      </c>
      <c r="H772" s="34" t="n">
        <f aca="false">IF(F772=1,G772,"")</f>
        <v>71.109</v>
      </c>
    </row>
    <row r="773" customFormat="false" ht="15" hidden="false" customHeight="false" outlineLevel="0" collapsed="false">
      <c r="A773" s="31" t="n">
        <v>42768.125</v>
      </c>
      <c r="B773" s="32" t="n">
        <v>73.074</v>
      </c>
      <c r="D773" s="33" t="n">
        <f aca="false">WEEKDAY(A773,2)</f>
        <v>4</v>
      </c>
      <c r="E773" s="33" t="n">
        <f aca="false">HOUR(A773)+MINUTE(A773)/60</f>
        <v>3</v>
      </c>
      <c r="F773" s="33" t="n">
        <f aca="false">IF(OR(D773&gt;5,E773&lt;8,E773&gt;=18,COUNTIF($K$2:$K$10,INT(A773))&gt;0),1,0)</f>
        <v>1</v>
      </c>
      <c r="G773" s="34" t="n">
        <f aca="false">B773/1</f>
        <v>73.074</v>
      </c>
      <c r="H773" s="34" t="n">
        <f aca="false">IF(F773=1,G773,"")</f>
        <v>73.074</v>
      </c>
    </row>
    <row r="774" customFormat="false" ht="15" hidden="false" customHeight="false" outlineLevel="0" collapsed="false">
      <c r="A774" s="31" t="n">
        <v>42768.1666666667</v>
      </c>
      <c r="B774" s="32" t="n">
        <v>71.369</v>
      </c>
      <c r="D774" s="33" t="n">
        <f aca="false">WEEKDAY(A774,2)</f>
        <v>4</v>
      </c>
      <c r="E774" s="33" t="n">
        <f aca="false">HOUR(A774)+MINUTE(A774)/60</f>
        <v>4</v>
      </c>
      <c r="F774" s="33" t="n">
        <f aca="false">IF(OR(D774&gt;5,E774&lt;8,E774&gt;=18,COUNTIF($K$2:$K$10,INT(A774))&gt;0),1,0)</f>
        <v>1</v>
      </c>
      <c r="G774" s="34" t="n">
        <f aca="false">B774/1</f>
        <v>71.369</v>
      </c>
      <c r="H774" s="34" t="n">
        <f aca="false">IF(F774=1,G774,"")</f>
        <v>71.369</v>
      </c>
    </row>
    <row r="775" customFormat="false" ht="15" hidden="false" customHeight="false" outlineLevel="0" collapsed="false">
      <c r="A775" s="31" t="n">
        <v>42768.2083333333</v>
      </c>
      <c r="B775" s="32" t="n">
        <v>69.488</v>
      </c>
      <c r="D775" s="33" t="n">
        <f aca="false">WEEKDAY(A775,2)</f>
        <v>4</v>
      </c>
      <c r="E775" s="33" t="n">
        <f aca="false">HOUR(A775)+MINUTE(A775)/60</f>
        <v>5</v>
      </c>
      <c r="F775" s="33" t="n">
        <f aca="false">IF(OR(D775&gt;5,E775&lt;8,E775&gt;=18,COUNTIF($K$2:$K$10,INT(A775))&gt;0),1,0)</f>
        <v>1</v>
      </c>
      <c r="G775" s="34" t="n">
        <f aca="false">B775/1</f>
        <v>69.488</v>
      </c>
      <c r="H775" s="34" t="n">
        <f aca="false">IF(F775=1,G775,"")</f>
        <v>69.488</v>
      </c>
    </row>
    <row r="776" customFormat="false" ht="15" hidden="false" customHeight="false" outlineLevel="0" collapsed="false">
      <c r="A776" s="31" t="n">
        <v>42768.25</v>
      </c>
      <c r="B776" s="32" t="n">
        <v>71.458</v>
      </c>
      <c r="D776" s="33" t="n">
        <f aca="false">WEEKDAY(A776,2)</f>
        <v>4</v>
      </c>
      <c r="E776" s="33" t="n">
        <f aca="false">HOUR(A776)+MINUTE(A776)/60</f>
        <v>6</v>
      </c>
      <c r="F776" s="33" t="n">
        <f aca="false">IF(OR(D776&gt;5,E776&lt;8,E776&gt;=18,COUNTIF($K$2:$K$10,INT(A776))&gt;0),1,0)</f>
        <v>1</v>
      </c>
      <c r="G776" s="34" t="n">
        <f aca="false">B776/1</f>
        <v>71.458</v>
      </c>
      <c r="H776" s="34" t="n">
        <f aca="false">IF(F776=1,G776,"")</f>
        <v>71.458</v>
      </c>
    </row>
    <row r="777" customFormat="false" ht="15" hidden="false" customHeight="false" outlineLevel="0" collapsed="false">
      <c r="A777" s="31" t="n">
        <v>42768.2916666667</v>
      </c>
      <c r="B777" s="32" t="n">
        <v>109.372</v>
      </c>
      <c r="D777" s="33" t="n">
        <f aca="false">WEEKDAY(A777,2)</f>
        <v>4</v>
      </c>
      <c r="E777" s="33" t="n">
        <f aca="false">HOUR(A777)+MINUTE(A777)/60</f>
        <v>7</v>
      </c>
      <c r="F777" s="33" t="n">
        <f aca="false">IF(OR(D777&gt;5,E777&lt;8,E777&gt;=18,COUNTIF($K$2:$K$10,INT(A777))&gt;0),1,0)</f>
        <v>1</v>
      </c>
      <c r="G777" s="34" t="n">
        <f aca="false">B777/1</f>
        <v>109.372</v>
      </c>
      <c r="H777" s="34" t="n">
        <f aca="false">IF(F777=1,G777,"")</f>
        <v>109.372</v>
      </c>
    </row>
    <row r="778" customFormat="false" ht="15" hidden="false" customHeight="false" outlineLevel="0" collapsed="false">
      <c r="A778" s="31" t="n">
        <v>42768.3333333333</v>
      </c>
      <c r="B778" s="32" t="n">
        <v>182.138</v>
      </c>
      <c r="D778" s="33" t="n">
        <f aca="false">WEEKDAY(A778,2)</f>
        <v>4</v>
      </c>
      <c r="E778" s="33" t="n">
        <f aca="false">HOUR(A778)+MINUTE(A778)/60</f>
        <v>8</v>
      </c>
      <c r="F778" s="33" t="n">
        <f aca="false">IF(OR(D778&gt;5,E778&lt;8,E778&gt;=18,COUNTIF($K$2:$K$10,INT(A778))&gt;0),1,0)</f>
        <v>0</v>
      </c>
      <c r="G778" s="34" t="n">
        <f aca="false">B778/1</f>
        <v>182.138</v>
      </c>
      <c r="H778" s="34" t="str">
        <f aca="false">IF(F778=1,G778,"")</f>
        <v/>
      </c>
    </row>
    <row r="779" customFormat="false" ht="15" hidden="false" customHeight="false" outlineLevel="0" collapsed="false">
      <c r="A779" s="31" t="n">
        <v>42768.375</v>
      </c>
      <c r="B779" s="32" t="n">
        <v>226.947</v>
      </c>
      <c r="D779" s="33" t="n">
        <f aca="false">WEEKDAY(A779,2)</f>
        <v>4</v>
      </c>
      <c r="E779" s="33" t="n">
        <f aca="false">HOUR(A779)+MINUTE(A779)/60</f>
        <v>9</v>
      </c>
      <c r="F779" s="33" t="n">
        <f aca="false">IF(OR(D779&gt;5,E779&lt;8,E779&gt;=18,COUNTIF($K$2:$K$10,INT(A779))&gt;0),1,0)</f>
        <v>0</v>
      </c>
      <c r="G779" s="34" t="n">
        <f aca="false">B779/1</f>
        <v>226.947</v>
      </c>
      <c r="H779" s="34" t="str">
        <f aca="false">IF(F779=1,G779,"")</f>
        <v/>
      </c>
    </row>
    <row r="780" customFormat="false" ht="15" hidden="false" customHeight="false" outlineLevel="0" collapsed="false">
      <c r="A780" s="31" t="n">
        <v>42768.4166666667</v>
      </c>
      <c r="B780" s="32" t="n">
        <v>256.368</v>
      </c>
      <c r="D780" s="33" t="n">
        <f aca="false">WEEKDAY(A780,2)</f>
        <v>4</v>
      </c>
      <c r="E780" s="33" t="n">
        <f aca="false">HOUR(A780)+MINUTE(A780)/60</f>
        <v>10</v>
      </c>
      <c r="F780" s="33" t="n">
        <f aca="false">IF(OR(D780&gt;5,E780&lt;8,E780&gt;=18,COUNTIF($K$2:$K$10,INT(A780))&gt;0),1,0)</f>
        <v>0</v>
      </c>
      <c r="G780" s="34" t="n">
        <f aca="false">B780/1</f>
        <v>256.368</v>
      </c>
      <c r="H780" s="34" t="str">
        <f aca="false">IF(F780=1,G780,"")</f>
        <v/>
      </c>
    </row>
    <row r="781" customFormat="false" ht="15" hidden="false" customHeight="false" outlineLevel="0" collapsed="false">
      <c r="A781" s="31" t="n">
        <v>42768.4583333333</v>
      </c>
      <c r="B781" s="32" t="n">
        <v>293.453</v>
      </c>
      <c r="D781" s="33" t="n">
        <f aca="false">WEEKDAY(A781,2)</f>
        <v>4</v>
      </c>
      <c r="E781" s="33" t="n">
        <f aca="false">HOUR(A781)+MINUTE(A781)/60</f>
        <v>11</v>
      </c>
      <c r="F781" s="33" t="n">
        <f aca="false">IF(OR(D781&gt;5,E781&lt;8,E781&gt;=18,COUNTIF($K$2:$K$10,INT(A781))&gt;0),1,0)</f>
        <v>0</v>
      </c>
      <c r="G781" s="34" t="n">
        <f aca="false">B781/1</f>
        <v>293.453</v>
      </c>
      <c r="H781" s="34" t="str">
        <f aca="false">IF(F781=1,G781,"")</f>
        <v/>
      </c>
    </row>
    <row r="782" customFormat="false" ht="15" hidden="false" customHeight="false" outlineLevel="0" collapsed="false">
      <c r="A782" s="31" t="n">
        <v>42768.5</v>
      </c>
      <c r="B782" s="32" t="n">
        <v>272.348</v>
      </c>
      <c r="D782" s="33" t="n">
        <f aca="false">WEEKDAY(A782,2)</f>
        <v>4</v>
      </c>
      <c r="E782" s="33" t="n">
        <f aca="false">HOUR(A782)+MINUTE(A782)/60</f>
        <v>12</v>
      </c>
      <c r="F782" s="33" t="n">
        <f aca="false">IF(OR(D782&gt;5,E782&lt;8,E782&gt;=18,COUNTIF($K$2:$K$10,INT(A782))&gt;0),1,0)</f>
        <v>0</v>
      </c>
      <c r="G782" s="34" t="n">
        <f aca="false">B782/1</f>
        <v>272.348</v>
      </c>
      <c r="H782" s="34" t="str">
        <f aca="false">IF(F782=1,G782,"")</f>
        <v/>
      </c>
    </row>
    <row r="783" customFormat="false" ht="15" hidden="false" customHeight="false" outlineLevel="0" collapsed="false">
      <c r="A783" s="31" t="n">
        <v>42768.5416666667</v>
      </c>
      <c r="B783" s="32" t="n">
        <v>263.345</v>
      </c>
      <c r="D783" s="33" t="n">
        <f aca="false">WEEKDAY(A783,2)</f>
        <v>4</v>
      </c>
      <c r="E783" s="33" t="n">
        <f aca="false">HOUR(A783)+MINUTE(A783)/60</f>
        <v>13</v>
      </c>
      <c r="F783" s="33" t="n">
        <f aca="false">IF(OR(D783&gt;5,E783&lt;8,E783&gt;=18,COUNTIF($K$2:$K$10,INT(A783))&gt;0),1,0)</f>
        <v>0</v>
      </c>
      <c r="G783" s="34" t="n">
        <f aca="false">B783/1</f>
        <v>263.345</v>
      </c>
      <c r="H783" s="34" t="str">
        <f aca="false">IF(F783=1,G783,"")</f>
        <v/>
      </c>
    </row>
    <row r="784" customFormat="false" ht="15" hidden="false" customHeight="false" outlineLevel="0" collapsed="false">
      <c r="A784" s="31" t="n">
        <v>42768.5833333333</v>
      </c>
      <c r="B784" s="32" t="n">
        <v>263.841</v>
      </c>
      <c r="D784" s="33" t="n">
        <f aca="false">WEEKDAY(A784,2)</f>
        <v>4</v>
      </c>
      <c r="E784" s="33" t="n">
        <f aca="false">HOUR(A784)+MINUTE(A784)/60</f>
        <v>14</v>
      </c>
      <c r="F784" s="33" t="n">
        <f aca="false">IF(OR(D784&gt;5,E784&lt;8,E784&gt;=18,COUNTIF($K$2:$K$10,INT(A784))&gt;0),1,0)</f>
        <v>0</v>
      </c>
      <c r="G784" s="34" t="n">
        <f aca="false">B784/1</f>
        <v>263.841</v>
      </c>
      <c r="H784" s="34" t="str">
        <f aca="false">IF(F784=1,G784,"")</f>
        <v/>
      </c>
    </row>
    <row r="785" customFormat="false" ht="15" hidden="false" customHeight="false" outlineLevel="0" collapsed="false">
      <c r="A785" s="31" t="n">
        <v>42768.625</v>
      </c>
      <c r="B785" s="32" t="n">
        <v>276.447</v>
      </c>
      <c r="D785" s="33" t="n">
        <f aca="false">WEEKDAY(A785,2)</f>
        <v>4</v>
      </c>
      <c r="E785" s="33" t="n">
        <f aca="false">HOUR(A785)+MINUTE(A785)/60</f>
        <v>15</v>
      </c>
      <c r="F785" s="33" t="n">
        <f aca="false">IF(OR(D785&gt;5,E785&lt;8,E785&gt;=18,COUNTIF($K$2:$K$10,INT(A785))&gt;0),1,0)</f>
        <v>0</v>
      </c>
      <c r="G785" s="34" t="n">
        <f aca="false">B785/1</f>
        <v>276.447</v>
      </c>
      <c r="H785" s="34" t="str">
        <f aca="false">IF(F785=1,G785,"")</f>
        <v/>
      </c>
    </row>
    <row r="786" customFormat="false" ht="15" hidden="false" customHeight="false" outlineLevel="0" collapsed="false">
      <c r="A786" s="31" t="n">
        <v>42768.6666666667</v>
      </c>
      <c r="B786" s="32" t="n">
        <v>252.292</v>
      </c>
      <c r="D786" s="33" t="n">
        <f aca="false">WEEKDAY(A786,2)</f>
        <v>4</v>
      </c>
      <c r="E786" s="33" t="n">
        <f aca="false">HOUR(A786)+MINUTE(A786)/60</f>
        <v>16</v>
      </c>
      <c r="F786" s="33" t="n">
        <f aca="false">IF(OR(D786&gt;5,E786&lt;8,E786&gt;=18,COUNTIF($K$2:$K$10,INT(A786))&gt;0),1,0)</f>
        <v>0</v>
      </c>
      <c r="G786" s="34" t="n">
        <f aca="false">B786/1</f>
        <v>252.292</v>
      </c>
      <c r="H786" s="34" t="str">
        <f aca="false">IF(F786=1,G786,"")</f>
        <v/>
      </c>
    </row>
    <row r="787" customFormat="false" ht="15" hidden="false" customHeight="false" outlineLevel="0" collapsed="false">
      <c r="A787" s="31" t="n">
        <v>42768.7083333333</v>
      </c>
      <c r="B787" s="32" t="n">
        <v>240.783</v>
      </c>
      <c r="D787" s="33" t="n">
        <f aca="false">WEEKDAY(A787,2)</f>
        <v>4</v>
      </c>
      <c r="E787" s="33" t="n">
        <f aca="false">HOUR(A787)+MINUTE(A787)/60</f>
        <v>17</v>
      </c>
      <c r="F787" s="33" t="n">
        <f aca="false">IF(OR(D787&gt;5,E787&lt;8,E787&gt;=18,COUNTIF($K$2:$K$10,INT(A787))&gt;0),1,0)</f>
        <v>0</v>
      </c>
      <c r="G787" s="34" t="n">
        <f aca="false">B787/1</f>
        <v>240.783</v>
      </c>
      <c r="H787" s="34" t="str">
        <f aca="false">IF(F787=1,G787,"")</f>
        <v/>
      </c>
    </row>
    <row r="788" customFormat="false" ht="15" hidden="false" customHeight="false" outlineLevel="0" collapsed="false">
      <c r="A788" s="31" t="n">
        <v>42768.75</v>
      </c>
      <c r="B788" s="32" t="n">
        <v>225.865</v>
      </c>
      <c r="D788" s="33" t="n">
        <f aca="false">WEEKDAY(A788,2)</f>
        <v>4</v>
      </c>
      <c r="E788" s="33" t="n">
        <f aca="false">HOUR(A788)+MINUTE(A788)/60</f>
        <v>18</v>
      </c>
      <c r="F788" s="33" t="n">
        <f aca="false">IF(OR(D788&gt;5,E788&lt;8,E788&gt;=18,COUNTIF($K$2:$K$10,INT(A788))&gt;0),1,0)</f>
        <v>1</v>
      </c>
      <c r="G788" s="34" t="n">
        <f aca="false">B788/1</f>
        <v>225.865</v>
      </c>
      <c r="H788" s="34" t="n">
        <f aca="false">IF(F788=1,G788,"")</f>
        <v>225.865</v>
      </c>
    </row>
    <row r="789" customFormat="false" ht="15" hidden="false" customHeight="false" outlineLevel="0" collapsed="false">
      <c r="A789" s="31" t="n">
        <v>42768.7916666667</v>
      </c>
      <c r="B789" s="32" t="n">
        <v>221.093</v>
      </c>
      <c r="D789" s="33" t="n">
        <f aca="false">WEEKDAY(A789,2)</f>
        <v>4</v>
      </c>
      <c r="E789" s="33" t="n">
        <f aca="false">HOUR(A789)+MINUTE(A789)/60</f>
        <v>19</v>
      </c>
      <c r="F789" s="33" t="n">
        <f aca="false">IF(OR(D789&gt;5,E789&lt;8,E789&gt;=18,COUNTIF($K$2:$K$10,INT(A789))&gt;0),1,0)</f>
        <v>1</v>
      </c>
      <c r="G789" s="34" t="n">
        <f aca="false">B789/1</f>
        <v>221.093</v>
      </c>
      <c r="H789" s="34" t="n">
        <f aca="false">IF(F789=1,G789,"")</f>
        <v>221.093</v>
      </c>
    </row>
    <row r="790" customFormat="false" ht="15" hidden="false" customHeight="false" outlineLevel="0" collapsed="false">
      <c r="A790" s="31" t="n">
        <v>42768.8333333333</v>
      </c>
      <c r="B790" s="32" t="n">
        <v>213.044</v>
      </c>
      <c r="D790" s="33" t="n">
        <f aca="false">WEEKDAY(A790,2)</f>
        <v>4</v>
      </c>
      <c r="E790" s="33" t="n">
        <f aca="false">HOUR(A790)+MINUTE(A790)/60</f>
        <v>20</v>
      </c>
      <c r="F790" s="33" t="n">
        <f aca="false">IF(OR(D790&gt;5,E790&lt;8,E790&gt;=18,COUNTIF($K$2:$K$10,INT(A790))&gt;0),1,0)</f>
        <v>1</v>
      </c>
      <c r="G790" s="34" t="n">
        <f aca="false">B790/1</f>
        <v>213.044</v>
      </c>
      <c r="H790" s="34" t="n">
        <f aca="false">IF(F790=1,G790,"")</f>
        <v>213.044</v>
      </c>
    </row>
    <row r="791" customFormat="false" ht="15" hidden="false" customHeight="false" outlineLevel="0" collapsed="false">
      <c r="A791" s="31" t="n">
        <v>42768.875</v>
      </c>
      <c r="B791" s="32" t="n">
        <v>203.892</v>
      </c>
      <c r="D791" s="33" t="n">
        <f aca="false">WEEKDAY(A791,2)</f>
        <v>4</v>
      </c>
      <c r="E791" s="33" t="n">
        <f aca="false">HOUR(A791)+MINUTE(A791)/60</f>
        <v>21</v>
      </c>
      <c r="F791" s="33" t="n">
        <f aca="false">IF(OR(D791&gt;5,E791&lt;8,E791&gt;=18,COUNTIF($K$2:$K$10,INT(A791))&gt;0),1,0)</f>
        <v>1</v>
      </c>
      <c r="G791" s="34" t="n">
        <f aca="false">B791/1</f>
        <v>203.892</v>
      </c>
      <c r="H791" s="34" t="n">
        <f aca="false">IF(F791=1,G791,"")</f>
        <v>203.892</v>
      </c>
    </row>
    <row r="792" customFormat="false" ht="15" hidden="false" customHeight="false" outlineLevel="0" collapsed="false">
      <c r="A792" s="31" t="n">
        <v>42768.9166666667</v>
      </c>
      <c r="B792" s="32" t="n">
        <v>147.027</v>
      </c>
      <c r="D792" s="33" t="n">
        <f aca="false">WEEKDAY(A792,2)</f>
        <v>4</v>
      </c>
      <c r="E792" s="33" t="n">
        <f aca="false">HOUR(A792)+MINUTE(A792)/60</f>
        <v>22</v>
      </c>
      <c r="F792" s="33" t="n">
        <f aca="false">IF(OR(D792&gt;5,E792&lt;8,E792&gt;=18,COUNTIF($K$2:$K$10,INT(A792))&gt;0),1,0)</f>
        <v>1</v>
      </c>
      <c r="G792" s="34" t="n">
        <f aca="false">B792/1</f>
        <v>147.027</v>
      </c>
      <c r="H792" s="34" t="n">
        <f aca="false">IF(F792=1,G792,"")</f>
        <v>147.027</v>
      </c>
    </row>
    <row r="793" customFormat="false" ht="15" hidden="false" customHeight="false" outlineLevel="0" collapsed="false">
      <c r="A793" s="31" t="n">
        <v>42768.9583333333</v>
      </c>
      <c r="B793" s="32" t="n">
        <v>79.78</v>
      </c>
      <c r="D793" s="33" t="n">
        <f aca="false">WEEKDAY(A793,2)</f>
        <v>4</v>
      </c>
      <c r="E793" s="33" t="n">
        <f aca="false">HOUR(A793)+MINUTE(A793)/60</f>
        <v>23</v>
      </c>
      <c r="F793" s="33" t="n">
        <f aca="false">IF(OR(D793&gt;5,E793&lt;8,E793&gt;=18,COUNTIF($K$2:$K$10,INT(A793))&gt;0),1,0)</f>
        <v>1</v>
      </c>
      <c r="G793" s="34" t="n">
        <f aca="false">B793/1</f>
        <v>79.78</v>
      </c>
      <c r="H793" s="34" t="n">
        <f aca="false">IF(F793=1,G793,"")</f>
        <v>79.78</v>
      </c>
    </row>
    <row r="794" customFormat="false" ht="15" hidden="false" customHeight="false" outlineLevel="0" collapsed="false">
      <c r="A794" s="31" t="n">
        <v>42769</v>
      </c>
      <c r="B794" s="32" t="n">
        <v>75.608</v>
      </c>
      <c r="D794" s="33" t="n">
        <f aca="false">WEEKDAY(A794,2)</f>
        <v>5</v>
      </c>
      <c r="E794" s="33" t="n">
        <f aca="false">HOUR(A794)+MINUTE(A794)/60</f>
        <v>0</v>
      </c>
      <c r="F794" s="33" t="n">
        <f aca="false">IF(OR(D794&gt;5,E794&lt;8,E794&gt;=18,COUNTIF($K$2:$K$10,INT(A794))&gt;0),1,0)</f>
        <v>1</v>
      </c>
      <c r="G794" s="34" t="n">
        <f aca="false">B794/1</f>
        <v>75.608</v>
      </c>
      <c r="H794" s="34" t="n">
        <f aca="false">IF(F794=1,G794,"")</f>
        <v>75.608</v>
      </c>
    </row>
    <row r="795" customFormat="false" ht="15" hidden="false" customHeight="false" outlineLevel="0" collapsed="false">
      <c r="A795" s="31" t="n">
        <v>42769.0416666667</v>
      </c>
      <c r="B795" s="32" t="n">
        <v>69.478</v>
      </c>
      <c r="D795" s="33" t="n">
        <f aca="false">WEEKDAY(A795,2)</f>
        <v>5</v>
      </c>
      <c r="E795" s="33" t="n">
        <f aca="false">HOUR(A795)+MINUTE(A795)/60</f>
        <v>1</v>
      </c>
      <c r="F795" s="33" t="n">
        <f aca="false">IF(OR(D795&gt;5,E795&lt;8,E795&gt;=18,COUNTIF($K$2:$K$10,INT(A795))&gt;0),1,0)</f>
        <v>1</v>
      </c>
      <c r="G795" s="34" t="n">
        <f aca="false">B795/1</f>
        <v>69.478</v>
      </c>
      <c r="H795" s="34" t="n">
        <f aca="false">IF(F795=1,G795,"")</f>
        <v>69.478</v>
      </c>
    </row>
    <row r="796" customFormat="false" ht="15" hidden="false" customHeight="false" outlineLevel="0" collapsed="false">
      <c r="A796" s="31" t="n">
        <v>42769.0833333333</v>
      </c>
      <c r="B796" s="32" t="n">
        <v>68.49</v>
      </c>
      <c r="D796" s="33" t="n">
        <f aca="false">WEEKDAY(A796,2)</f>
        <v>5</v>
      </c>
      <c r="E796" s="33" t="n">
        <f aca="false">HOUR(A796)+MINUTE(A796)/60</f>
        <v>2</v>
      </c>
      <c r="F796" s="33" t="n">
        <f aca="false">IF(OR(D796&gt;5,E796&lt;8,E796&gt;=18,COUNTIF($K$2:$K$10,INT(A796))&gt;0),1,0)</f>
        <v>1</v>
      </c>
      <c r="G796" s="34" t="n">
        <f aca="false">B796/1</f>
        <v>68.49</v>
      </c>
      <c r="H796" s="34" t="n">
        <f aca="false">IF(F796=1,G796,"")</f>
        <v>68.49</v>
      </c>
    </row>
    <row r="797" customFormat="false" ht="15" hidden="false" customHeight="false" outlineLevel="0" collapsed="false">
      <c r="A797" s="31" t="n">
        <v>42769.125</v>
      </c>
      <c r="B797" s="32" t="n">
        <v>69.195</v>
      </c>
      <c r="D797" s="33" t="n">
        <f aca="false">WEEKDAY(A797,2)</f>
        <v>5</v>
      </c>
      <c r="E797" s="33" t="n">
        <f aca="false">HOUR(A797)+MINUTE(A797)/60</f>
        <v>3</v>
      </c>
      <c r="F797" s="33" t="n">
        <f aca="false">IF(OR(D797&gt;5,E797&lt;8,E797&gt;=18,COUNTIF($K$2:$K$10,INT(A797))&gt;0),1,0)</f>
        <v>1</v>
      </c>
      <c r="G797" s="34" t="n">
        <f aca="false">B797/1</f>
        <v>69.195</v>
      </c>
      <c r="H797" s="34" t="n">
        <f aca="false">IF(F797=1,G797,"")</f>
        <v>69.195</v>
      </c>
    </row>
    <row r="798" customFormat="false" ht="15" hidden="false" customHeight="false" outlineLevel="0" collapsed="false">
      <c r="A798" s="31" t="n">
        <v>42769.1666666667</v>
      </c>
      <c r="B798" s="32" t="n">
        <v>69.831</v>
      </c>
      <c r="D798" s="33" t="n">
        <f aca="false">WEEKDAY(A798,2)</f>
        <v>5</v>
      </c>
      <c r="E798" s="33" t="n">
        <f aca="false">HOUR(A798)+MINUTE(A798)/60</f>
        <v>4</v>
      </c>
      <c r="F798" s="33" t="n">
        <f aca="false">IF(OR(D798&gt;5,E798&lt;8,E798&gt;=18,COUNTIF($K$2:$K$10,INT(A798))&gt;0),1,0)</f>
        <v>1</v>
      </c>
      <c r="G798" s="34" t="n">
        <f aca="false">B798/1</f>
        <v>69.831</v>
      </c>
      <c r="H798" s="34" t="n">
        <f aca="false">IF(F798=1,G798,"")</f>
        <v>69.831</v>
      </c>
    </row>
    <row r="799" customFormat="false" ht="15" hidden="false" customHeight="false" outlineLevel="0" collapsed="false">
      <c r="A799" s="31" t="n">
        <v>42769.2083333333</v>
      </c>
      <c r="B799" s="32" t="n">
        <v>67.406</v>
      </c>
      <c r="D799" s="33" t="n">
        <f aca="false">WEEKDAY(A799,2)</f>
        <v>5</v>
      </c>
      <c r="E799" s="33" t="n">
        <f aca="false">HOUR(A799)+MINUTE(A799)/60</f>
        <v>5</v>
      </c>
      <c r="F799" s="33" t="n">
        <f aca="false">IF(OR(D799&gt;5,E799&lt;8,E799&gt;=18,COUNTIF($K$2:$K$10,INT(A799))&gt;0),1,0)</f>
        <v>1</v>
      </c>
      <c r="G799" s="34" t="n">
        <f aca="false">B799/1</f>
        <v>67.406</v>
      </c>
      <c r="H799" s="34" t="n">
        <f aca="false">IF(F799=1,G799,"")</f>
        <v>67.406</v>
      </c>
    </row>
    <row r="800" customFormat="false" ht="15" hidden="false" customHeight="false" outlineLevel="0" collapsed="false">
      <c r="A800" s="31" t="n">
        <v>42769.25</v>
      </c>
      <c r="B800" s="32" t="n">
        <v>68.864</v>
      </c>
      <c r="D800" s="33" t="n">
        <f aca="false">WEEKDAY(A800,2)</f>
        <v>5</v>
      </c>
      <c r="E800" s="33" t="n">
        <f aca="false">HOUR(A800)+MINUTE(A800)/60</f>
        <v>6</v>
      </c>
      <c r="F800" s="33" t="n">
        <f aca="false">IF(OR(D800&gt;5,E800&lt;8,E800&gt;=18,COUNTIF($K$2:$K$10,INT(A800))&gt;0),1,0)</f>
        <v>1</v>
      </c>
      <c r="G800" s="34" t="n">
        <f aca="false">B800/1</f>
        <v>68.864</v>
      </c>
      <c r="H800" s="34" t="n">
        <f aca="false">IF(F800=1,G800,"")</f>
        <v>68.864</v>
      </c>
    </row>
    <row r="801" customFormat="false" ht="15" hidden="false" customHeight="false" outlineLevel="0" collapsed="false">
      <c r="A801" s="31" t="n">
        <v>42769.2916666667</v>
      </c>
      <c r="B801" s="32" t="n">
        <v>75.743</v>
      </c>
      <c r="D801" s="33" t="n">
        <f aca="false">WEEKDAY(A801,2)</f>
        <v>5</v>
      </c>
      <c r="E801" s="33" t="n">
        <f aca="false">HOUR(A801)+MINUTE(A801)/60</f>
        <v>7</v>
      </c>
      <c r="F801" s="33" t="n">
        <f aca="false">IF(OR(D801&gt;5,E801&lt;8,E801&gt;=18,COUNTIF($K$2:$K$10,INT(A801))&gt;0),1,0)</f>
        <v>1</v>
      </c>
      <c r="G801" s="34" t="n">
        <f aca="false">B801/1</f>
        <v>75.743</v>
      </c>
      <c r="H801" s="34" t="n">
        <f aca="false">IF(F801=1,G801,"")</f>
        <v>75.743</v>
      </c>
    </row>
    <row r="802" customFormat="false" ht="15" hidden="false" customHeight="false" outlineLevel="0" collapsed="false">
      <c r="A802" s="31" t="n">
        <v>42769.3333333333</v>
      </c>
      <c r="B802" s="32" t="n">
        <v>180.63</v>
      </c>
      <c r="D802" s="33" t="n">
        <f aca="false">WEEKDAY(A802,2)</f>
        <v>5</v>
      </c>
      <c r="E802" s="33" t="n">
        <f aca="false">HOUR(A802)+MINUTE(A802)/60</f>
        <v>8</v>
      </c>
      <c r="F802" s="33" t="n">
        <f aca="false">IF(OR(D802&gt;5,E802&lt;8,E802&gt;=18,COUNTIF($K$2:$K$10,INT(A802))&gt;0),1,0)</f>
        <v>0</v>
      </c>
      <c r="G802" s="34" t="n">
        <f aca="false">B802/1</f>
        <v>180.63</v>
      </c>
      <c r="H802" s="34" t="str">
        <f aca="false">IF(F802=1,G802,"")</f>
        <v/>
      </c>
    </row>
    <row r="803" customFormat="false" ht="15" hidden="false" customHeight="false" outlineLevel="0" collapsed="false">
      <c r="A803" s="31" t="n">
        <v>42769.375</v>
      </c>
      <c r="B803" s="32" t="n">
        <v>205.43</v>
      </c>
      <c r="D803" s="33" t="n">
        <f aca="false">WEEKDAY(A803,2)</f>
        <v>5</v>
      </c>
      <c r="E803" s="33" t="n">
        <f aca="false">HOUR(A803)+MINUTE(A803)/60</f>
        <v>9</v>
      </c>
      <c r="F803" s="33" t="n">
        <f aca="false">IF(OR(D803&gt;5,E803&lt;8,E803&gt;=18,COUNTIF($K$2:$K$10,INT(A803))&gt;0),1,0)</f>
        <v>0</v>
      </c>
      <c r="G803" s="34" t="n">
        <f aca="false">B803/1</f>
        <v>205.43</v>
      </c>
      <c r="H803" s="34" t="str">
        <f aca="false">IF(F803=1,G803,"")</f>
        <v/>
      </c>
    </row>
    <row r="804" customFormat="false" ht="15" hidden="false" customHeight="false" outlineLevel="0" collapsed="false">
      <c r="A804" s="31" t="n">
        <v>42769.4166666667</v>
      </c>
      <c r="B804" s="32" t="n">
        <v>228.588</v>
      </c>
      <c r="D804" s="33" t="n">
        <f aca="false">WEEKDAY(A804,2)</f>
        <v>5</v>
      </c>
      <c r="E804" s="33" t="n">
        <f aca="false">HOUR(A804)+MINUTE(A804)/60</f>
        <v>10</v>
      </c>
      <c r="F804" s="33" t="n">
        <f aca="false">IF(OR(D804&gt;5,E804&lt;8,E804&gt;=18,COUNTIF($K$2:$K$10,INT(A804))&gt;0),1,0)</f>
        <v>0</v>
      </c>
      <c r="G804" s="34" t="n">
        <f aca="false">B804/1</f>
        <v>228.588</v>
      </c>
      <c r="H804" s="34" t="str">
        <f aca="false">IF(F804=1,G804,"")</f>
        <v/>
      </c>
    </row>
    <row r="805" customFormat="false" ht="15" hidden="false" customHeight="false" outlineLevel="0" collapsed="false">
      <c r="A805" s="31" t="n">
        <v>42769.4583333333</v>
      </c>
      <c r="B805" s="32" t="n">
        <v>243.122</v>
      </c>
      <c r="D805" s="33" t="n">
        <f aca="false">WEEKDAY(A805,2)</f>
        <v>5</v>
      </c>
      <c r="E805" s="33" t="n">
        <f aca="false">HOUR(A805)+MINUTE(A805)/60</f>
        <v>11</v>
      </c>
      <c r="F805" s="33" t="n">
        <f aca="false">IF(OR(D805&gt;5,E805&lt;8,E805&gt;=18,COUNTIF($K$2:$K$10,INT(A805))&gt;0),1,0)</f>
        <v>0</v>
      </c>
      <c r="G805" s="34" t="n">
        <f aca="false">B805/1</f>
        <v>243.122</v>
      </c>
      <c r="H805" s="34" t="str">
        <f aca="false">IF(F805=1,G805,"")</f>
        <v/>
      </c>
    </row>
    <row r="806" customFormat="false" ht="15" hidden="false" customHeight="false" outlineLevel="0" collapsed="false">
      <c r="A806" s="31" t="n">
        <v>42769.5</v>
      </c>
      <c r="B806" s="32" t="n">
        <v>253.148</v>
      </c>
      <c r="D806" s="33" t="n">
        <f aca="false">WEEKDAY(A806,2)</f>
        <v>5</v>
      </c>
      <c r="E806" s="33" t="n">
        <f aca="false">HOUR(A806)+MINUTE(A806)/60</f>
        <v>12</v>
      </c>
      <c r="F806" s="33" t="n">
        <f aca="false">IF(OR(D806&gt;5,E806&lt;8,E806&gt;=18,COUNTIF($K$2:$K$10,INT(A806))&gt;0),1,0)</f>
        <v>0</v>
      </c>
      <c r="G806" s="34" t="n">
        <f aca="false">B806/1</f>
        <v>253.148</v>
      </c>
      <c r="H806" s="34" t="str">
        <f aca="false">IF(F806=1,G806,"")</f>
        <v/>
      </c>
    </row>
    <row r="807" customFormat="false" ht="15" hidden="false" customHeight="false" outlineLevel="0" collapsed="false">
      <c r="A807" s="31" t="n">
        <v>42769.5416666667</v>
      </c>
      <c r="B807" s="32" t="n">
        <v>244.184</v>
      </c>
      <c r="D807" s="33" t="n">
        <f aca="false">WEEKDAY(A807,2)</f>
        <v>5</v>
      </c>
      <c r="E807" s="33" t="n">
        <f aca="false">HOUR(A807)+MINUTE(A807)/60</f>
        <v>13</v>
      </c>
      <c r="F807" s="33" t="n">
        <f aca="false">IF(OR(D807&gt;5,E807&lt;8,E807&gt;=18,COUNTIF($K$2:$K$10,INT(A807))&gt;0),1,0)</f>
        <v>0</v>
      </c>
      <c r="G807" s="34" t="n">
        <f aca="false">B807/1</f>
        <v>244.184</v>
      </c>
      <c r="H807" s="34" t="str">
        <f aca="false">IF(F807=1,G807,"")</f>
        <v/>
      </c>
    </row>
    <row r="808" customFormat="false" ht="15" hidden="false" customHeight="false" outlineLevel="0" collapsed="false">
      <c r="A808" s="31" t="n">
        <v>42769.5833333333</v>
      </c>
      <c r="B808" s="32" t="n">
        <v>234.561</v>
      </c>
      <c r="D808" s="33" t="n">
        <f aca="false">WEEKDAY(A808,2)</f>
        <v>5</v>
      </c>
      <c r="E808" s="33" t="n">
        <f aca="false">HOUR(A808)+MINUTE(A808)/60</f>
        <v>14</v>
      </c>
      <c r="F808" s="33" t="n">
        <f aca="false">IF(OR(D808&gt;5,E808&lt;8,E808&gt;=18,COUNTIF($K$2:$K$10,INT(A808))&gt;0),1,0)</f>
        <v>0</v>
      </c>
      <c r="G808" s="34" t="n">
        <f aca="false">B808/1</f>
        <v>234.561</v>
      </c>
      <c r="H808" s="34" t="str">
        <f aca="false">IF(F808=1,G808,"")</f>
        <v/>
      </c>
    </row>
    <row r="809" customFormat="false" ht="15" hidden="false" customHeight="false" outlineLevel="0" collapsed="false">
      <c r="A809" s="31" t="n">
        <v>42769.625</v>
      </c>
      <c r="B809" s="32" t="n">
        <v>226.872</v>
      </c>
      <c r="D809" s="33" t="n">
        <f aca="false">WEEKDAY(A809,2)</f>
        <v>5</v>
      </c>
      <c r="E809" s="33" t="n">
        <f aca="false">HOUR(A809)+MINUTE(A809)/60</f>
        <v>15</v>
      </c>
      <c r="F809" s="33" t="n">
        <f aca="false">IF(OR(D809&gt;5,E809&lt;8,E809&gt;=18,COUNTIF($K$2:$K$10,INT(A809))&gt;0),1,0)</f>
        <v>0</v>
      </c>
      <c r="G809" s="34" t="n">
        <f aca="false">B809/1</f>
        <v>226.872</v>
      </c>
      <c r="H809" s="34" t="str">
        <f aca="false">IF(F809=1,G809,"")</f>
        <v/>
      </c>
    </row>
    <row r="810" customFormat="false" ht="15" hidden="false" customHeight="false" outlineLevel="0" collapsed="false">
      <c r="A810" s="31" t="n">
        <v>42769.6666666667</v>
      </c>
      <c r="B810" s="32" t="n">
        <v>222.085</v>
      </c>
      <c r="D810" s="33" t="n">
        <f aca="false">WEEKDAY(A810,2)</f>
        <v>5</v>
      </c>
      <c r="E810" s="33" t="n">
        <f aca="false">HOUR(A810)+MINUTE(A810)/60</f>
        <v>16</v>
      </c>
      <c r="F810" s="33" t="n">
        <f aca="false">IF(OR(D810&gt;5,E810&lt;8,E810&gt;=18,COUNTIF($K$2:$K$10,INT(A810))&gt;0),1,0)</f>
        <v>0</v>
      </c>
      <c r="G810" s="34" t="n">
        <f aca="false">B810/1</f>
        <v>222.085</v>
      </c>
      <c r="H810" s="34" t="str">
        <f aca="false">IF(F810=1,G810,"")</f>
        <v/>
      </c>
    </row>
    <row r="811" customFormat="false" ht="15" hidden="false" customHeight="false" outlineLevel="0" collapsed="false">
      <c r="A811" s="31" t="n">
        <v>42769.7083333333</v>
      </c>
      <c r="B811" s="32" t="n">
        <v>209.665</v>
      </c>
      <c r="D811" s="33" t="n">
        <f aca="false">WEEKDAY(A811,2)</f>
        <v>5</v>
      </c>
      <c r="E811" s="33" t="n">
        <f aca="false">HOUR(A811)+MINUTE(A811)/60</f>
        <v>17</v>
      </c>
      <c r="F811" s="33" t="n">
        <f aca="false">IF(OR(D811&gt;5,E811&lt;8,E811&gt;=18,COUNTIF($K$2:$K$10,INT(A811))&gt;0),1,0)</f>
        <v>0</v>
      </c>
      <c r="G811" s="34" t="n">
        <f aca="false">B811/1</f>
        <v>209.665</v>
      </c>
      <c r="H811" s="34" t="str">
        <f aca="false">IF(F811=1,G811,"")</f>
        <v/>
      </c>
    </row>
    <row r="812" customFormat="false" ht="15" hidden="false" customHeight="false" outlineLevel="0" collapsed="false">
      <c r="A812" s="31" t="n">
        <v>42769.75</v>
      </c>
      <c r="B812" s="32" t="n">
        <v>198.467</v>
      </c>
      <c r="D812" s="33" t="n">
        <f aca="false">WEEKDAY(A812,2)</f>
        <v>5</v>
      </c>
      <c r="E812" s="33" t="n">
        <f aca="false">HOUR(A812)+MINUTE(A812)/60</f>
        <v>18</v>
      </c>
      <c r="F812" s="33" t="n">
        <f aca="false">IF(OR(D812&gt;5,E812&lt;8,E812&gt;=18,COUNTIF($K$2:$K$10,INT(A812))&gt;0),1,0)</f>
        <v>1</v>
      </c>
      <c r="G812" s="34" t="n">
        <f aca="false">B812/1</f>
        <v>198.467</v>
      </c>
      <c r="H812" s="34" t="n">
        <f aca="false">IF(F812=1,G812,"")</f>
        <v>198.467</v>
      </c>
    </row>
    <row r="813" customFormat="false" ht="15" hidden="false" customHeight="false" outlineLevel="0" collapsed="false">
      <c r="A813" s="31" t="n">
        <v>42769.7916666667</v>
      </c>
      <c r="B813" s="32" t="n">
        <v>194.73</v>
      </c>
      <c r="D813" s="33" t="n">
        <f aca="false">WEEKDAY(A813,2)</f>
        <v>5</v>
      </c>
      <c r="E813" s="33" t="n">
        <f aca="false">HOUR(A813)+MINUTE(A813)/60</f>
        <v>19</v>
      </c>
      <c r="F813" s="33" t="n">
        <f aca="false">IF(OR(D813&gt;5,E813&lt;8,E813&gt;=18,COUNTIF($K$2:$K$10,INT(A813))&gt;0),1,0)</f>
        <v>1</v>
      </c>
      <c r="G813" s="34" t="n">
        <f aca="false">B813/1</f>
        <v>194.73</v>
      </c>
      <c r="H813" s="34" t="n">
        <f aca="false">IF(F813=1,G813,"")</f>
        <v>194.73</v>
      </c>
    </row>
    <row r="814" customFormat="false" ht="15" hidden="false" customHeight="false" outlineLevel="0" collapsed="false">
      <c r="A814" s="31" t="n">
        <v>42769.8333333333</v>
      </c>
      <c r="B814" s="32" t="n">
        <v>192.04</v>
      </c>
      <c r="D814" s="33" t="n">
        <f aca="false">WEEKDAY(A814,2)</f>
        <v>5</v>
      </c>
      <c r="E814" s="33" t="n">
        <f aca="false">HOUR(A814)+MINUTE(A814)/60</f>
        <v>20</v>
      </c>
      <c r="F814" s="33" t="n">
        <f aca="false">IF(OR(D814&gt;5,E814&lt;8,E814&gt;=18,COUNTIF($K$2:$K$10,INT(A814))&gt;0),1,0)</f>
        <v>1</v>
      </c>
      <c r="G814" s="34" t="n">
        <f aca="false">B814/1</f>
        <v>192.04</v>
      </c>
      <c r="H814" s="34" t="n">
        <f aca="false">IF(F814=1,G814,"")</f>
        <v>192.04</v>
      </c>
    </row>
    <row r="815" customFormat="false" ht="15" hidden="false" customHeight="false" outlineLevel="0" collapsed="false">
      <c r="A815" s="31" t="n">
        <v>42769.875</v>
      </c>
      <c r="B815" s="32" t="n">
        <v>185.956</v>
      </c>
      <c r="D815" s="33" t="n">
        <f aca="false">WEEKDAY(A815,2)</f>
        <v>5</v>
      </c>
      <c r="E815" s="33" t="n">
        <f aca="false">HOUR(A815)+MINUTE(A815)/60</f>
        <v>21</v>
      </c>
      <c r="F815" s="33" t="n">
        <f aca="false">IF(OR(D815&gt;5,E815&lt;8,E815&gt;=18,COUNTIF($K$2:$K$10,INT(A815))&gt;0),1,0)</f>
        <v>1</v>
      </c>
      <c r="G815" s="34" t="n">
        <f aca="false">B815/1</f>
        <v>185.956</v>
      </c>
      <c r="H815" s="34" t="n">
        <f aca="false">IF(F815=1,G815,"")</f>
        <v>185.956</v>
      </c>
    </row>
    <row r="816" customFormat="false" ht="15" hidden="false" customHeight="false" outlineLevel="0" collapsed="false">
      <c r="A816" s="31" t="n">
        <v>42769.9166666667</v>
      </c>
      <c r="B816" s="32" t="n">
        <v>134.051</v>
      </c>
      <c r="D816" s="33" t="n">
        <f aca="false">WEEKDAY(A816,2)</f>
        <v>5</v>
      </c>
      <c r="E816" s="33" t="n">
        <f aca="false">HOUR(A816)+MINUTE(A816)/60</f>
        <v>22</v>
      </c>
      <c r="F816" s="33" t="n">
        <f aca="false">IF(OR(D816&gt;5,E816&lt;8,E816&gt;=18,COUNTIF($K$2:$K$10,INT(A816))&gt;0),1,0)</f>
        <v>1</v>
      </c>
      <c r="G816" s="34" t="n">
        <f aca="false">B816/1</f>
        <v>134.051</v>
      </c>
      <c r="H816" s="34" t="n">
        <f aca="false">IF(F816=1,G816,"")</f>
        <v>134.051</v>
      </c>
    </row>
    <row r="817" customFormat="false" ht="15" hidden="false" customHeight="false" outlineLevel="0" collapsed="false">
      <c r="A817" s="31" t="n">
        <v>42769.9583333333</v>
      </c>
      <c r="B817" s="32" t="n">
        <v>75.15</v>
      </c>
      <c r="D817" s="33" t="n">
        <f aca="false">WEEKDAY(A817,2)</f>
        <v>5</v>
      </c>
      <c r="E817" s="33" t="n">
        <f aca="false">HOUR(A817)+MINUTE(A817)/60</f>
        <v>23</v>
      </c>
      <c r="F817" s="33" t="n">
        <f aca="false">IF(OR(D817&gt;5,E817&lt;8,E817&gt;=18,COUNTIF($K$2:$K$10,INT(A817))&gt;0),1,0)</f>
        <v>1</v>
      </c>
      <c r="G817" s="34" t="n">
        <f aca="false">B817/1</f>
        <v>75.15</v>
      </c>
      <c r="H817" s="34" t="n">
        <f aca="false">IF(F817=1,G817,"")</f>
        <v>75.15</v>
      </c>
    </row>
    <row r="818" customFormat="false" ht="15" hidden="false" customHeight="false" outlineLevel="0" collapsed="false">
      <c r="A818" s="31" t="n">
        <v>42770</v>
      </c>
      <c r="B818" s="32" t="n">
        <v>71.463</v>
      </c>
      <c r="D818" s="33" t="n">
        <f aca="false">WEEKDAY(A818,2)</f>
        <v>6</v>
      </c>
      <c r="E818" s="33" t="n">
        <f aca="false">HOUR(A818)+MINUTE(A818)/60</f>
        <v>0</v>
      </c>
      <c r="F818" s="33" t="n">
        <f aca="false">IF(OR(D818&gt;5,E818&lt;8,E818&gt;=18,COUNTIF($K$2:$K$10,INT(A818))&gt;0),1,0)</f>
        <v>1</v>
      </c>
      <c r="G818" s="34" t="n">
        <f aca="false">B818/1</f>
        <v>71.463</v>
      </c>
      <c r="H818" s="34" t="n">
        <f aca="false">IF(F818=1,G818,"")</f>
        <v>71.463</v>
      </c>
    </row>
    <row r="819" customFormat="false" ht="15" hidden="false" customHeight="false" outlineLevel="0" collapsed="false">
      <c r="A819" s="31" t="n">
        <v>42770.0416666667</v>
      </c>
      <c r="B819" s="32" t="n">
        <v>64.517</v>
      </c>
      <c r="D819" s="33" t="n">
        <f aca="false">WEEKDAY(A819,2)</f>
        <v>6</v>
      </c>
      <c r="E819" s="33" t="n">
        <f aca="false">HOUR(A819)+MINUTE(A819)/60</f>
        <v>1</v>
      </c>
      <c r="F819" s="33" t="n">
        <f aca="false">IF(OR(D819&gt;5,E819&lt;8,E819&gt;=18,COUNTIF($K$2:$K$10,INT(A819))&gt;0),1,0)</f>
        <v>1</v>
      </c>
      <c r="G819" s="34" t="n">
        <f aca="false">B819/1</f>
        <v>64.517</v>
      </c>
      <c r="H819" s="34" t="n">
        <f aca="false">IF(F819=1,G819,"")</f>
        <v>64.517</v>
      </c>
    </row>
    <row r="820" customFormat="false" ht="15" hidden="false" customHeight="false" outlineLevel="0" collapsed="false">
      <c r="A820" s="31" t="n">
        <v>42770.0833333333</v>
      </c>
      <c r="B820" s="32" t="n">
        <v>63.941</v>
      </c>
      <c r="D820" s="33" t="n">
        <f aca="false">WEEKDAY(A820,2)</f>
        <v>6</v>
      </c>
      <c r="E820" s="33" t="n">
        <f aca="false">HOUR(A820)+MINUTE(A820)/60</f>
        <v>2</v>
      </c>
      <c r="F820" s="33" t="n">
        <f aca="false">IF(OR(D820&gt;5,E820&lt;8,E820&gt;=18,COUNTIF($K$2:$K$10,INT(A820))&gt;0),1,0)</f>
        <v>1</v>
      </c>
      <c r="G820" s="34" t="n">
        <f aca="false">B820/1</f>
        <v>63.941</v>
      </c>
      <c r="H820" s="34" t="n">
        <f aca="false">IF(F820=1,G820,"")</f>
        <v>63.941</v>
      </c>
    </row>
    <row r="821" customFormat="false" ht="15" hidden="false" customHeight="false" outlineLevel="0" collapsed="false">
      <c r="A821" s="31" t="n">
        <v>42770.125</v>
      </c>
      <c r="B821" s="32" t="n">
        <v>65.191</v>
      </c>
      <c r="D821" s="33" t="n">
        <f aca="false">WEEKDAY(A821,2)</f>
        <v>6</v>
      </c>
      <c r="E821" s="33" t="n">
        <f aca="false">HOUR(A821)+MINUTE(A821)/60</f>
        <v>3</v>
      </c>
      <c r="F821" s="33" t="n">
        <f aca="false">IF(OR(D821&gt;5,E821&lt;8,E821&gt;=18,COUNTIF($K$2:$K$10,INT(A821))&gt;0),1,0)</f>
        <v>1</v>
      </c>
      <c r="G821" s="34" t="n">
        <f aca="false">B821/1</f>
        <v>65.191</v>
      </c>
      <c r="H821" s="34" t="n">
        <f aca="false">IF(F821=1,G821,"")</f>
        <v>65.191</v>
      </c>
    </row>
    <row r="822" customFormat="false" ht="15" hidden="false" customHeight="false" outlineLevel="0" collapsed="false">
      <c r="A822" s="31" t="n">
        <v>42770.1666666667</v>
      </c>
      <c r="B822" s="32" t="n">
        <v>66.354</v>
      </c>
      <c r="D822" s="33" t="n">
        <f aca="false">WEEKDAY(A822,2)</f>
        <v>6</v>
      </c>
      <c r="E822" s="33" t="n">
        <f aca="false">HOUR(A822)+MINUTE(A822)/60</f>
        <v>4</v>
      </c>
      <c r="F822" s="33" t="n">
        <f aca="false">IF(OR(D822&gt;5,E822&lt;8,E822&gt;=18,COUNTIF($K$2:$K$10,INT(A822))&gt;0),1,0)</f>
        <v>1</v>
      </c>
      <c r="G822" s="34" t="n">
        <f aca="false">B822/1</f>
        <v>66.354</v>
      </c>
      <c r="H822" s="34" t="n">
        <f aca="false">IF(F822=1,G822,"")</f>
        <v>66.354</v>
      </c>
    </row>
    <row r="823" customFormat="false" ht="15" hidden="false" customHeight="false" outlineLevel="0" collapsed="false">
      <c r="A823" s="31" t="n">
        <v>42770.2083333333</v>
      </c>
      <c r="B823" s="32" t="n">
        <v>63.029</v>
      </c>
      <c r="D823" s="33" t="n">
        <f aca="false">WEEKDAY(A823,2)</f>
        <v>6</v>
      </c>
      <c r="E823" s="33" t="n">
        <f aca="false">HOUR(A823)+MINUTE(A823)/60</f>
        <v>5</v>
      </c>
      <c r="F823" s="33" t="n">
        <f aca="false">IF(OR(D823&gt;5,E823&lt;8,E823&gt;=18,COUNTIF($K$2:$K$10,INT(A823))&gt;0),1,0)</f>
        <v>1</v>
      </c>
      <c r="G823" s="34" t="n">
        <f aca="false">B823/1</f>
        <v>63.029</v>
      </c>
      <c r="H823" s="34" t="n">
        <f aca="false">IF(F823=1,G823,"")</f>
        <v>63.029</v>
      </c>
    </row>
    <row r="824" customFormat="false" ht="15" hidden="false" customHeight="false" outlineLevel="0" collapsed="false">
      <c r="A824" s="31" t="n">
        <v>42770.25</v>
      </c>
      <c r="B824" s="32" t="n">
        <v>64.819</v>
      </c>
      <c r="D824" s="33" t="n">
        <f aca="false">WEEKDAY(A824,2)</f>
        <v>6</v>
      </c>
      <c r="E824" s="33" t="n">
        <f aca="false">HOUR(A824)+MINUTE(A824)/60</f>
        <v>6</v>
      </c>
      <c r="F824" s="33" t="n">
        <f aca="false">IF(OR(D824&gt;5,E824&lt;8,E824&gt;=18,COUNTIF($K$2:$K$10,INT(A824))&gt;0),1,0)</f>
        <v>1</v>
      </c>
      <c r="G824" s="34" t="n">
        <f aca="false">B824/1</f>
        <v>64.819</v>
      </c>
      <c r="H824" s="34" t="n">
        <f aca="false">IF(F824=1,G824,"")</f>
        <v>64.819</v>
      </c>
    </row>
    <row r="825" customFormat="false" ht="15" hidden="false" customHeight="false" outlineLevel="0" collapsed="false">
      <c r="A825" s="31" t="n">
        <v>42770.2916666667</v>
      </c>
      <c r="B825" s="32" t="n">
        <v>63.833</v>
      </c>
      <c r="D825" s="33" t="n">
        <f aca="false">WEEKDAY(A825,2)</f>
        <v>6</v>
      </c>
      <c r="E825" s="33" t="n">
        <f aca="false">HOUR(A825)+MINUTE(A825)/60</f>
        <v>7</v>
      </c>
      <c r="F825" s="33" t="n">
        <f aca="false">IF(OR(D825&gt;5,E825&lt;8,E825&gt;=18,COUNTIF($K$2:$K$10,INT(A825))&gt;0),1,0)</f>
        <v>1</v>
      </c>
      <c r="G825" s="34" t="n">
        <f aca="false">B825/1</f>
        <v>63.833</v>
      </c>
      <c r="H825" s="34" t="n">
        <f aca="false">IF(F825=1,G825,"")</f>
        <v>63.833</v>
      </c>
    </row>
    <row r="826" customFormat="false" ht="15" hidden="false" customHeight="false" outlineLevel="0" collapsed="false">
      <c r="A826" s="31" t="n">
        <v>42770.3333333333</v>
      </c>
      <c r="B826" s="32" t="n">
        <v>129.324</v>
      </c>
      <c r="D826" s="33" t="n">
        <f aca="false">WEEKDAY(A826,2)</f>
        <v>6</v>
      </c>
      <c r="E826" s="33" t="n">
        <f aca="false">HOUR(A826)+MINUTE(A826)/60</f>
        <v>8</v>
      </c>
      <c r="F826" s="33" t="n">
        <f aca="false">IF(OR(D826&gt;5,E826&lt;8,E826&gt;=18,COUNTIF($K$2:$K$10,INT(A826))&gt;0),1,0)</f>
        <v>1</v>
      </c>
      <c r="G826" s="34" t="n">
        <f aca="false">B826/1</f>
        <v>129.324</v>
      </c>
      <c r="H826" s="34" t="n">
        <f aca="false">IF(F826=1,G826,"")</f>
        <v>129.324</v>
      </c>
    </row>
    <row r="827" customFormat="false" ht="15" hidden="false" customHeight="false" outlineLevel="0" collapsed="false">
      <c r="A827" s="31" t="n">
        <v>42770.375</v>
      </c>
      <c r="B827" s="32" t="n">
        <v>167.68</v>
      </c>
      <c r="D827" s="33" t="n">
        <f aca="false">WEEKDAY(A827,2)</f>
        <v>6</v>
      </c>
      <c r="E827" s="33" t="n">
        <f aca="false">HOUR(A827)+MINUTE(A827)/60</f>
        <v>9</v>
      </c>
      <c r="F827" s="33" t="n">
        <f aca="false">IF(OR(D827&gt;5,E827&lt;8,E827&gt;=18,COUNTIF($K$2:$K$10,INT(A827))&gt;0),1,0)</f>
        <v>1</v>
      </c>
      <c r="G827" s="34" t="n">
        <f aca="false">B827/1</f>
        <v>167.68</v>
      </c>
      <c r="H827" s="34" t="n">
        <f aca="false">IF(F827=1,G827,"")</f>
        <v>167.68</v>
      </c>
    </row>
    <row r="828" customFormat="false" ht="15" hidden="false" customHeight="false" outlineLevel="0" collapsed="false">
      <c r="A828" s="31" t="n">
        <v>42770.4166666667</v>
      </c>
      <c r="B828" s="32" t="n">
        <v>172.992</v>
      </c>
      <c r="D828" s="33" t="n">
        <f aca="false">WEEKDAY(A828,2)</f>
        <v>6</v>
      </c>
      <c r="E828" s="33" t="n">
        <f aca="false">HOUR(A828)+MINUTE(A828)/60</f>
        <v>10</v>
      </c>
      <c r="F828" s="33" t="n">
        <f aca="false">IF(OR(D828&gt;5,E828&lt;8,E828&gt;=18,COUNTIF($K$2:$K$10,INT(A828))&gt;0),1,0)</f>
        <v>1</v>
      </c>
      <c r="G828" s="34" t="n">
        <f aca="false">B828/1</f>
        <v>172.992</v>
      </c>
      <c r="H828" s="34" t="n">
        <f aca="false">IF(F828=1,G828,"")</f>
        <v>172.992</v>
      </c>
    </row>
    <row r="829" customFormat="false" ht="15" hidden="false" customHeight="false" outlineLevel="0" collapsed="false">
      <c r="A829" s="31" t="n">
        <v>42770.4583333333</v>
      </c>
      <c r="B829" s="32" t="n">
        <v>175.559</v>
      </c>
      <c r="D829" s="33" t="n">
        <f aca="false">WEEKDAY(A829,2)</f>
        <v>6</v>
      </c>
      <c r="E829" s="33" t="n">
        <f aca="false">HOUR(A829)+MINUTE(A829)/60</f>
        <v>11</v>
      </c>
      <c r="F829" s="33" t="n">
        <f aca="false">IF(OR(D829&gt;5,E829&lt;8,E829&gt;=18,COUNTIF($K$2:$K$10,INT(A829))&gt;0),1,0)</f>
        <v>1</v>
      </c>
      <c r="G829" s="34" t="n">
        <f aca="false">B829/1</f>
        <v>175.559</v>
      </c>
      <c r="H829" s="34" t="n">
        <f aca="false">IF(F829=1,G829,"")</f>
        <v>175.559</v>
      </c>
    </row>
    <row r="830" customFormat="false" ht="15" hidden="false" customHeight="false" outlineLevel="0" collapsed="false">
      <c r="A830" s="31" t="n">
        <v>42770.5</v>
      </c>
      <c r="B830" s="32" t="n">
        <v>175.915</v>
      </c>
      <c r="D830" s="33" t="n">
        <f aca="false">WEEKDAY(A830,2)</f>
        <v>6</v>
      </c>
      <c r="E830" s="33" t="n">
        <f aca="false">HOUR(A830)+MINUTE(A830)/60</f>
        <v>12</v>
      </c>
      <c r="F830" s="33" t="n">
        <f aca="false">IF(OR(D830&gt;5,E830&lt;8,E830&gt;=18,COUNTIF($K$2:$K$10,INT(A830))&gt;0),1,0)</f>
        <v>1</v>
      </c>
      <c r="G830" s="34" t="n">
        <f aca="false">B830/1</f>
        <v>175.915</v>
      </c>
      <c r="H830" s="34" t="n">
        <f aca="false">IF(F830=1,G830,"")</f>
        <v>175.915</v>
      </c>
    </row>
    <row r="831" customFormat="false" ht="15" hidden="false" customHeight="false" outlineLevel="0" collapsed="false">
      <c r="A831" s="31" t="n">
        <v>42770.5416666667</v>
      </c>
      <c r="B831" s="32" t="n">
        <v>175.7</v>
      </c>
      <c r="D831" s="33" t="n">
        <f aca="false">WEEKDAY(A831,2)</f>
        <v>6</v>
      </c>
      <c r="E831" s="33" t="n">
        <f aca="false">HOUR(A831)+MINUTE(A831)/60</f>
        <v>13</v>
      </c>
      <c r="F831" s="33" t="n">
        <f aca="false">IF(OR(D831&gt;5,E831&lt;8,E831&gt;=18,COUNTIF($K$2:$K$10,INT(A831))&gt;0),1,0)</f>
        <v>1</v>
      </c>
      <c r="G831" s="34" t="n">
        <f aca="false">B831/1</f>
        <v>175.7</v>
      </c>
      <c r="H831" s="34" t="n">
        <f aca="false">IF(F831=1,G831,"")</f>
        <v>175.7</v>
      </c>
    </row>
    <row r="832" customFormat="false" ht="15" hidden="false" customHeight="false" outlineLevel="0" collapsed="false">
      <c r="A832" s="31" t="n">
        <v>42770.5833333333</v>
      </c>
      <c r="B832" s="32" t="n">
        <v>175.545</v>
      </c>
      <c r="D832" s="33" t="n">
        <f aca="false">WEEKDAY(A832,2)</f>
        <v>6</v>
      </c>
      <c r="E832" s="33" t="n">
        <f aca="false">HOUR(A832)+MINUTE(A832)/60</f>
        <v>14</v>
      </c>
      <c r="F832" s="33" t="n">
        <f aca="false">IF(OR(D832&gt;5,E832&lt;8,E832&gt;=18,COUNTIF($K$2:$K$10,INT(A832))&gt;0),1,0)</f>
        <v>1</v>
      </c>
      <c r="G832" s="34" t="n">
        <f aca="false">B832/1</f>
        <v>175.545</v>
      </c>
      <c r="H832" s="34" t="n">
        <f aca="false">IF(F832=1,G832,"")</f>
        <v>175.545</v>
      </c>
    </row>
    <row r="833" customFormat="false" ht="15" hidden="false" customHeight="false" outlineLevel="0" collapsed="false">
      <c r="A833" s="31" t="n">
        <v>42770.625</v>
      </c>
      <c r="B833" s="32" t="n">
        <v>179.878</v>
      </c>
      <c r="D833" s="33" t="n">
        <f aca="false">WEEKDAY(A833,2)</f>
        <v>6</v>
      </c>
      <c r="E833" s="33" t="n">
        <f aca="false">HOUR(A833)+MINUTE(A833)/60</f>
        <v>15</v>
      </c>
      <c r="F833" s="33" t="n">
        <f aca="false">IF(OR(D833&gt;5,E833&lt;8,E833&gt;=18,COUNTIF($K$2:$K$10,INT(A833))&gt;0),1,0)</f>
        <v>1</v>
      </c>
      <c r="G833" s="34" t="n">
        <f aca="false">B833/1</f>
        <v>179.878</v>
      </c>
      <c r="H833" s="34" t="n">
        <f aca="false">IF(F833=1,G833,"")</f>
        <v>179.878</v>
      </c>
    </row>
    <row r="834" customFormat="false" ht="15" hidden="false" customHeight="false" outlineLevel="0" collapsed="false">
      <c r="A834" s="31" t="n">
        <v>42770.6666666667</v>
      </c>
      <c r="B834" s="32" t="n">
        <v>180.283</v>
      </c>
      <c r="D834" s="33" t="n">
        <f aca="false">WEEKDAY(A834,2)</f>
        <v>6</v>
      </c>
      <c r="E834" s="33" t="n">
        <f aca="false">HOUR(A834)+MINUTE(A834)/60</f>
        <v>16</v>
      </c>
      <c r="F834" s="33" t="n">
        <f aca="false">IF(OR(D834&gt;5,E834&lt;8,E834&gt;=18,COUNTIF($K$2:$K$10,INT(A834))&gt;0),1,0)</f>
        <v>1</v>
      </c>
      <c r="G834" s="34" t="n">
        <f aca="false">B834/1</f>
        <v>180.283</v>
      </c>
      <c r="H834" s="34" t="n">
        <f aca="false">IF(F834=1,G834,"")</f>
        <v>180.283</v>
      </c>
    </row>
    <row r="835" customFormat="false" ht="15" hidden="false" customHeight="false" outlineLevel="0" collapsed="false">
      <c r="A835" s="31" t="n">
        <v>42770.7083333333</v>
      </c>
      <c r="B835" s="32" t="n">
        <v>152.17</v>
      </c>
      <c r="D835" s="33" t="n">
        <f aca="false">WEEKDAY(A835,2)</f>
        <v>6</v>
      </c>
      <c r="E835" s="33" t="n">
        <f aca="false">HOUR(A835)+MINUTE(A835)/60</f>
        <v>17</v>
      </c>
      <c r="F835" s="33" t="n">
        <f aca="false">IF(OR(D835&gt;5,E835&lt;8,E835&gt;=18,COUNTIF($K$2:$K$10,INT(A835))&gt;0),1,0)</f>
        <v>1</v>
      </c>
      <c r="G835" s="34" t="n">
        <f aca="false">B835/1</f>
        <v>152.17</v>
      </c>
      <c r="H835" s="34" t="n">
        <f aca="false">IF(F835=1,G835,"")</f>
        <v>152.17</v>
      </c>
    </row>
    <row r="836" customFormat="false" ht="15" hidden="false" customHeight="false" outlineLevel="0" collapsed="false">
      <c r="A836" s="31" t="n">
        <v>42770.75</v>
      </c>
      <c r="B836" s="32" t="n">
        <v>81.463</v>
      </c>
      <c r="D836" s="33" t="n">
        <f aca="false">WEEKDAY(A836,2)</f>
        <v>6</v>
      </c>
      <c r="E836" s="33" t="n">
        <f aca="false">HOUR(A836)+MINUTE(A836)/60</f>
        <v>18</v>
      </c>
      <c r="F836" s="33" t="n">
        <f aca="false">IF(OR(D836&gt;5,E836&lt;8,E836&gt;=18,COUNTIF($K$2:$K$10,INT(A836))&gt;0),1,0)</f>
        <v>1</v>
      </c>
      <c r="G836" s="34" t="n">
        <f aca="false">B836/1</f>
        <v>81.463</v>
      </c>
      <c r="H836" s="34" t="n">
        <f aca="false">IF(F836=1,G836,"")</f>
        <v>81.463</v>
      </c>
    </row>
    <row r="837" customFormat="false" ht="15" hidden="false" customHeight="false" outlineLevel="0" collapsed="false">
      <c r="A837" s="31" t="n">
        <v>42770.7916666667</v>
      </c>
      <c r="B837" s="32" t="n">
        <v>67.16</v>
      </c>
      <c r="D837" s="33" t="n">
        <f aca="false">WEEKDAY(A837,2)</f>
        <v>6</v>
      </c>
      <c r="E837" s="33" t="n">
        <f aca="false">HOUR(A837)+MINUTE(A837)/60</f>
        <v>19</v>
      </c>
      <c r="F837" s="33" t="n">
        <f aca="false">IF(OR(D837&gt;5,E837&lt;8,E837&gt;=18,COUNTIF($K$2:$K$10,INT(A837))&gt;0),1,0)</f>
        <v>1</v>
      </c>
      <c r="G837" s="34" t="n">
        <f aca="false">B837/1</f>
        <v>67.16</v>
      </c>
      <c r="H837" s="34" t="n">
        <f aca="false">IF(F837=1,G837,"")</f>
        <v>67.16</v>
      </c>
    </row>
    <row r="838" customFormat="false" ht="15" hidden="false" customHeight="false" outlineLevel="0" collapsed="false">
      <c r="A838" s="31" t="n">
        <v>42770.8333333333</v>
      </c>
      <c r="B838" s="32" t="n">
        <v>64.257</v>
      </c>
      <c r="D838" s="33" t="n">
        <f aca="false">WEEKDAY(A838,2)</f>
        <v>6</v>
      </c>
      <c r="E838" s="33" t="n">
        <f aca="false">HOUR(A838)+MINUTE(A838)/60</f>
        <v>20</v>
      </c>
      <c r="F838" s="33" t="n">
        <f aca="false">IF(OR(D838&gt;5,E838&lt;8,E838&gt;=18,COUNTIF($K$2:$K$10,INT(A838))&gt;0),1,0)</f>
        <v>1</v>
      </c>
      <c r="G838" s="34" t="n">
        <f aca="false">B838/1</f>
        <v>64.257</v>
      </c>
      <c r="H838" s="34" t="n">
        <f aca="false">IF(F838=1,G838,"")</f>
        <v>64.257</v>
      </c>
    </row>
    <row r="839" customFormat="false" ht="15" hidden="false" customHeight="false" outlineLevel="0" collapsed="false">
      <c r="A839" s="31" t="n">
        <v>42770.875</v>
      </c>
      <c r="B839" s="32" t="n">
        <v>63.536</v>
      </c>
      <c r="D839" s="33" t="n">
        <f aca="false">WEEKDAY(A839,2)</f>
        <v>6</v>
      </c>
      <c r="E839" s="33" t="n">
        <f aca="false">HOUR(A839)+MINUTE(A839)/60</f>
        <v>21</v>
      </c>
      <c r="F839" s="33" t="n">
        <f aca="false">IF(OR(D839&gt;5,E839&lt;8,E839&gt;=18,COUNTIF($K$2:$K$10,INT(A839))&gt;0),1,0)</f>
        <v>1</v>
      </c>
      <c r="G839" s="34" t="n">
        <f aca="false">B839/1</f>
        <v>63.536</v>
      </c>
      <c r="H839" s="34" t="n">
        <f aca="false">IF(F839=1,G839,"")</f>
        <v>63.536</v>
      </c>
    </row>
    <row r="840" customFormat="false" ht="15" hidden="false" customHeight="false" outlineLevel="0" collapsed="false">
      <c r="A840" s="31" t="n">
        <v>42770.9166666667</v>
      </c>
      <c r="B840" s="32" t="n">
        <v>63.391</v>
      </c>
      <c r="D840" s="33" t="n">
        <f aca="false">WEEKDAY(A840,2)</f>
        <v>6</v>
      </c>
      <c r="E840" s="33" t="n">
        <f aca="false">HOUR(A840)+MINUTE(A840)/60</f>
        <v>22</v>
      </c>
      <c r="F840" s="33" t="n">
        <f aca="false">IF(OR(D840&gt;5,E840&lt;8,E840&gt;=18,COUNTIF($K$2:$K$10,INT(A840))&gt;0),1,0)</f>
        <v>1</v>
      </c>
      <c r="G840" s="34" t="n">
        <f aca="false">B840/1</f>
        <v>63.391</v>
      </c>
      <c r="H840" s="34" t="n">
        <f aca="false">IF(F840=1,G840,"")</f>
        <v>63.391</v>
      </c>
    </row>
    <row r="841" customFormat="false" ht="15" hidden="false" customHeight="false" outlineLevel="0" collapsed="false">
      <c r="A841" s="31" t="n">
        <v>42770.9583333333</v>
      </c>
      <c r="B841" s="32" t="n">
        <v>62.565</v>
      </c>
      <c r="D841" s="33" t="n">
        <f aca="false">WEEKDAY(A841,2)</f>
        <v>6</v>
      </c>
      <c r="E841" s="33" t="n">
        <f aca="false">HOUR(A841)+MINUTE(A841)/60</f>
        <v>23</v>
      </c>
      <c r="F841" s="33" t="n">
        <f aca="false">IF(OR(D841&gt;5,E841&lt;8,E841&gt;=18,COUNTIF($K$2:$K$10,INT(A841))&gt;0),1,0)</f>
        <v>1</v>
      </c>
      <c r="G841" s="34" t="n">
        <f aca="false">B841/1</f>
        <v>62.565</v>
      </c>
      <c r="H841" s="34" t="n">
        <f aca="false">IF(F841=1,G841,"")</f>
        <v>62.565</v>
      </c>
    </row>
    <row r="842" customFormat="false" ht="15" hidden="false" customHeight="false" outlineLevel="0" collapsed="false">
      <c r="A842" s="31" t="n">
        <v>42771</v>
      </c>
      <c r="B842" s="32" t="n">
        <v>62.309</v>
      </c>
      <c r="D842" s="33" t="n">
        <f aca="false">WEEKDAY(A842,2)</f>
        <v>7</v>
      </c>
      <c r="E842" s="33" t="n">
        <f aca="false">HOUR(A842)+MINUTE(A842)/60</f>
        <v>0</v>
      </c>
      <c r="F842" s="33" t="n">
        <f aca="false">IF(OR(D842&gt;5,E842&lt;8,E842&gt;=18,COUNTIF($K$2:$K$10,INT(A842))&gt;0),1,0)</f>
        <v>1</v>
      </c>
      <c r="G842" s="34" t="n">
        <f aca="false">B842/1</f>
        <v>62.309</v>
      </c>
      <c r="H842" s="34" t="n">
        <f aca="false">IF(F842=1,G842,"")</f>
        <v>62.309</v>
      </c>
    </row>
    <row r="843" customFormat="false" ht="15" hidden="false" customHeight="false" outlineLevel="0" collapsed="false">
      <c r="A843" s="31" t="n">
        <v>42771.0416666667</v>
      </c>
      <c r="B843" s="32" t="n">
        <v>62.986</v>
      </c>
      <c r="D843" s="33" t="n">
        <f aca="false">WEEKDAY(A843,2)</f>
        <v>7</v>
      </c>
      <c r="E843" s="33" t="n">
        <f aca="false">HOUR(A843)+MINUTE(A843)/60</f>
        <v>1</v>
      </c>
      <c r="F843" s="33" t="n">
        <f aca="false">IF(OR(D843&gt;5,E843&lt;8,E843&gt;=18,COUNTIF($K$2:$K$10,INT(A843))&gt;0),1,0)</f>
        <v>1</v>
      </c>
      <c r="G843" s="34" t="n">
        <f aca="false">B843/1</f>
        <v>62.986</v>
      </c>
      <c r="H843" s="34" t="n">
        <f aca="false">IF(F843=1,G843,"")</f>
        <v>62.986</v>
      </c>
    </row>
    <row r="844" customFormat="false" ht="15" hidden="false" customHeight="false" outlineLevel="0" collapsed="false">
      <c r="A844" s="31" t="n">
        <v>42771.0833333333</v>
      </c>
      <c r="B844" s="32" t="n">
        <v>62.33</v>
      </c>
      <c r="D844" s="33" t="n">
        <f aca="false">WEEKDAY(A844,2)</f>
        <v>7</v>
      </c>
      <c r="E844" s="33" t="n">
        <f aca="false">HOUR(A844)+MINUTE(A844)/60</f>
        <v>2</v>
      </c>
      <c r="F844" s="33" t="n">
        <f aca="false">IF(OR(D844&gt;5,E844&lt;8,E844&gt;=18,COUNTIF($K$2:$K$10,INT(A844))&gt;0),1,0)</f>
        <v>1</v>
      </c>
      <c r="G844" s="34" t="n">
        <f aca="false">B844/1</f>
        <v>62.33</v>
      </c>
      <c r="H844" s="34" t="n">
        <f aca="false">IF(F844=1,G844,"")</f>
        <v>62.33</v>
      </c>
    </row>
    <row r="845" customFormat="false" ht="15" hidden="false" customHeight="false" outlineLevel="0" collapsed="false">
      <c r="A845" s="31" t="n">
        <v>42771.125</v>
      </c>
      <c r="B845" s="32" t="n">
        <v>62.76</v>
      </c>
      <c r="D845" s="33" t="n">
        <f aca="false">WEEKDAY(A845,2)</f>
        <v>7</v>
      </c>
      <c r="E845" s="33" t="n">
        <f aca="false">HOUR(A845)+MINUTE(A845)/60</f>
        <v>3</v>
      </c>
      <c r="F845" s="33" t="n">
        <f aca="false">IF(OR(D845&gt;5,E845&lt;8,E845&gt;=18,COUNTIF($K$2:$K$10,INT(A845))&gt;0),1,0)</f>
        <v>1</v>
      </c>
      <c r="G845" s="34" t="n">
        <f aca="false">B845/1</f>
        <v>62.76</v>
      </c>
      <c r="H845" s="34" t="n">
        <f aca="false">IF(F845=1,G845,"")</f>
        <v>62.76</v>
      </c>
    </row>
    <row r="846" customFormat="false" ht="15" hidden="false" customHeight="false" outlineLevel="0" collapsed="false">
      <c r="A846" s="31" t="n">
        <v>42771.1666666667</v>
      </c>
      <c r="B846" s="32" t="n">
        <v>63.251</v>
      </c>
      <c r="D846" s="33" t="n">
        <f aca="false">WEEKDAY(A846,2)</f>
        <v>7</v>
      </c>
      <c r="E846" s="33" t="n">
        <f aca="false">HOUR(A846)+MINUTE(A846)/60</f>
        <v>4</v>
      </c>
      <c r="F846" s="33" t="n">
        <f aca="false">IF(OR(D846&gt;5,E846&lt;8,E846&gt;=18,COUNTIF($K$2:$K$10,INT(A846))&gt;0),1,0)</f>
        <v>1</v>
      </c>
      <c r="G846" s="34" t="n">
        <f aca="false">B846/1</f>
        <v>63.251</v>
      </c>
      <c r="H846" s="34" t="n">
        <f aca="false">IF(F846=1,G846,"")</f>
        <v>63.251</v>
      </c>
    </row>
    <row r="847" customFormat="false" ht="15" hidden="false" customHeight="false" outlineLevel="0" collapsed="false">
      <c r="A847" s="31" t="n">
        <v>42771.2083333333</v>
      </c>
      <c r="B847" s="32" t="n">
        <v>63.684</v>
      </c>
      <c r="D847" s="33" t="n">
        <f aca="false">WEEKDAY(A847,2)</f>
        <v>7</v>
      </c>
      <c r="E847" s="33" t="n">
        <f aca="false">HOUR(A847)+MINUTE(A847)/60</f>
        <v>5</v>
      </c>
      <c r="F847" s="33" t="n">
        <f aca="false">IF(OR(D847&gt;5,E847&lt;8,E847&gt;=18,COUNTIF($K$2:$K$10,INT(A847))&gt;0),1,0)</f>
        <v>1</v>
      </c>
      <c r="G847" s="34" t="n">
        <f aca="false">B847/1</f>
        <v>63.684</v>
      </c>
      <c r="H847" s="34" t="n">
        <f aca="false">IF(F847=1,G847,"")</f>
        <v>63.684</v>
      </c>
    </row>
    <row r="848" customFormat="false" ht="15" hidden="false" customHeight="false" outlineLevel="0" collapsed="false">
      <c r="A848" s="31" t="n">
        <v>42771.25</v>
      </c>
      <c r="B848" s="32" t="n">
        <v>62.605</v>
      </c>
      <c r="D848" s="33" t="n">
        <f aca="false">WEEKDAY(A848,2)</f>
        <v>7</v>
      </c>
      <c r="E848" s="33" t="n">
        <f aca="false">HOUR(A848)+MINUTE(A848)/60</f>
        <v>6</v>
      </c>
      <c r="F848" s="33" t="n">
        <f aca="false">IF(OR(D848&gt;5,E848&lt;8,E848&gt;=18,COUNTIF($K$2:$K$10,INT(A848))&gt;0),1,0)</f>
        <v>1</v>
      </c>
      <c r="G848" s="34" t="n">
        <f aca="false">B848/1</f>
        <v>62.605</v>
      </c>
      <c r="H848" s="34" t="n">
        <f aca="false">IF(F848=1,G848,"")</f>
        <v>62.605</v>
      </c>
    </row>
    <row r="849" customFormat="false" ht="15" hidden="false" customHeight="false" outlineLevel="0" collapsed="false">
      <c r="A849" s="31" t="n">
        <v>42771.2916666667</v>
      </c>
      <c r="B849" s="32" t="n">
        <v>64.276</v>
      </c>
      <c r="D849" s="33" t="n">
        <f aca="false">WEEKDAY(A849,2)</f>
        <v>7</v>
      </c>
      <c r="E849" s="33" t="n">
        <f aca="false">HOUR(A849)+MINUTE(A849)/60</f>
        <v>7</v>
      </c>
      <c r="F849" s="33" t="n">
        <f aca="false">IF(OR(D849&gt;5,E849&lt;8,E849&gt;=18,COUNTIF($K$2:$K$10,INT(A849))&gt;0),1,0)</f>
        <v>1</v>
      </c>
      <c r="G849" s="34" t="n">
        <f aca="false">B849/1</f>
        <v>64.276</v>
      </c>
      <c r="H849" s="34" t="n">
        <f aca="false">IF(F849=1,G849,"")</f>
        <v>64.276</v>
      </c>
    </row>
    <row r="850" customFormat="false" ht="15" hidden="false" customHeight="false" outlineLevel="0" collapsed="false">
      <c r="A850" s="31" t="n">
        <v>42771.3333333333</v>
      </c>
      <c r="B850" s="32" t="n">
        <v>63.6</v>
      </c>
      <c r="D850" s="33" t="n">
        <f aca="false">WEEKDAY(A850,2)</f>
        <v>7</v>
      </c>
      <c r="E850" s="33" t="n">
        <f aca="false">HOUR(A850)+MINUTE(A850)/60</f>
        <v>8</v>
      </c>
      <c r="F850" s="33" t="n">
        <f aca="false">IF(OR(D850&gt;5,E850&lt;8,E850&gt;=18,COUNTIF($K$2:$K$10,INT(A850))&gt;0),1,0)</f>
        <v>1</v>
      </c>
      <c r="G850" s="34" t="n">
        <f aca="false">B850/1</f>
        <v>63.6</v>
      </c>
      <c r="H850" s="34" t="n">
        <f aca="false">IF(F850=1,G850,"")</f>
        <v>63.6</v>
      </c>
    </row>
    <row r="851" customFormat="false" ht="15" hidden="false" customHeight="false" outlineLevel="0" collapsed="false">
      <c r="A851" s="31" t="n">
        <v>42771.375</v>
      </c>
      <c r="B851" s="32" t="n">
        <v>61.64</v>
      </c>
      <c r="D851" s="33" t="n">
        <f aca="false">WEEKDAY(A851,2)</f>
        <v>7</v>
      </c>
      <c r="E851" s="33" t="n">
        <f aca="false">HOUR(A851)+MINUTE(A851)/60</f>
        <v>9</v>
      </c>
      <c r="F851" s="33" t="n">
        <f aca="false">IF(OR(D851&gt;5,E851&lt;8,E851&gt;=18,COUNTIF($K$2:$K$10,INT(A851))&gt;0),1,0)</f>
        <v>1</v>
      </c>
      <c r="G851" s="34" t="n">
        <f aca="false">B851/1</f>
        <v>61.64</v>
      </c>
      <c r="H851" s="34" t="n">
        <f aca="false">IF(F851=1,G851,"")</f>
        <v>61.64</v>
      </c>
    </row>
    <row r="852" customFormat="false" ht="15" hidden="false" customHeight="false" outlineLevel="0" collapsed="false">
      <c r="A852" s="31" t="n">
        <v>42771.4166666667</v>
      </c>
      <c r="B852" s="32" t="n">
        <v>62.442</v>
      </c>
      <c r="D852" s="33" t="n">
        <f aca="false">WEEKDAY(A852,2)</f>
        <v>7</v>
      </c>
      <c r="E852" s="33" t="n">
        <f aca="false">HOUR(A852)+MINUTE(A852)/60</f>
        <v>10</v>
      </c>
      <c r="F852" s="33" t="n">
        <f aca="false">IF(OR(D852&gt;5,E852&lt;8,E852&gt;=18,COUNTIF($K$2:$K$10,INT(A852))&gt;0),1,0)</f>
        <v>1</v>
      </c>
      <c r="G852" s="34" t="n">
        <f aca="false">B852/1</f>
        <v>62.442</v>
      </c>
      <c r="H852" s="34" t="n">
        <f aca="false">IF(F852=1,G852,"")</f>
        <v>62.442</v>
      </c>
    </row>
    <row r="853" customFormat="false" ht="15" hidden="false" customHeight="false" outlineLevel="0" collapsed="false">
      <c r="A853" s="31" t="n">
        <v>42771.4583333333</v>
      </c>
      <c r="B853" s="32" t="n">
        <v>63.784</v>
      </c>
      <c r="D853" s="33" t="n">
        <f aca="false">WEEKDAY(A853,2)</f>
        <v>7</v>
      </c>
      <c r="E853" s="33" t="n">
        <f aca="false">HOUR(A853)+MINUTE(A853)/60</f>
        <v>11</v>
      </c>
      <c r="F853" s="33" t="n">
        <f aca="false">IF(OR(D853&gt;5,E853&lt;8,E853&gt;=18,COUNTIF($K$2:$K$10,INT(A853))&gt;0),1,0)</f>
        <v>1</v>
      </c>
      <c r="G853" s="34" t="n">
        <f aca="false">B853/1</f>
        <v>63.784</v>
      </c>
      <c r="H853" s="34" t="n">
        <f aca="false">IF(F853=1,G853,"")</f>
        <v>63.784</v>
      </c>
    </row>
    <row r="854" customFormat="false" ht="15" hidden="false" customHeight="false" outlineLevel="0" collapsed="false">
      <c r="A854" s="31" t="n">
        <v>42771.5</v>
      </c>
      <c r="B854" s="32" t="n">
        <v>70.076</v>
      </c>
      <c r="D854" s="33" t="n">
        <f aca="false">WEEKDAY(A854,2)</f>
        <v>7</v>
      </c>
      <c r="E854" s="33" t="n">
        <f aca="false">HOUR(A854)+MINUTE(A854)/60</f>
        <v>12</v>
      </c>
      <c r="F854" s="33" t="n">
        <f aca="false">IF(OR(D854&gt;5,E854&lt;8,E854&gt;=18,COUNTIF($K$2:$K$10,INT(A854))&gt;0),1,0)</f>
        <v>1</v>
      </c>
      <c r="G854" s="34" t="n">
        <f aca="false">B854/1</f>
        <v>70.076</v>
      </c>
      <c r="H854" s="34" t="n">
        <f aca="false">IF(F854=1,G854,"")</f>
        <v>70.076</v>
      </c>
    </row>
    <row r="855" customFormat="false" ht="15" hidden="false" customHeight="false" outlineLevel="0" collapsed="false">
      <c r="A855" s="31" t="n">
        <v>42771.5416666667</v>
      </c>
      <c r="B855" s="32" t="n">
        <v>117.118</v>
      </c>
      <c r="D855" s="33" t="n">
        <f aca="false">WEEKDAY(A855,2)</f>
        <v>7</v>
      </c>
      <c r="E855" s="33" t="n">
        <f aca="false">HOUR(A855)+MINUTE(A855)/60</f>
        <v>13</v>
      </c>
      <c r="F855" s="33" t="n">
        <f aca="false">IF(OR(D855&gt;5,E855&lt;8,E855&gt;=18,COUNTIF($K$2:$K$10,INT(A855))&gt;0),1,0)</f>
        <v>1</v>
      </c>
      <c r="G855" s="34" t="n">
        <f aca="false">B855/1</f>
        <v>117.118</v>
      </c>
      <c r="H855" s="34" t="n">
        <f aca="false">IF(F855=1,G855,"")</f>
        <v>117.118</v>
      </c>
    </row>
    <row r="856" customFormat="false" ht="15" hidden="false" customHeight="false" outlineLevel="0" collapsed="false">
      <c r="A856" s="31" t="n">
        <v>42771.5833333333</v>
      </c>
      <c r="B856" s="32" t="n">
        <v>150.891</v>
      </c>
      <c r="D856" s="33" t="n">
        <f aca="false">WEEKDAY(A856,2)</f>
        <v>7</v>
      </c>
      <c r="E856" s="33" t="n">
        <f aca="false">HOUR(A856)+MINUTE(A856)/60</f>
        <v>14</v>
      </c>
      <c r="F856" s="33" t="n">
        <f aca="false">IF(OR(D856&gt;5,E856&lt;8,E856&gt;=18,COUNTIF($K$2:$K$10,INT(A856))&gt;0),1,0)</f>
        <v>1</v>
      </c>
      <c r="G856" s="34" t="n">
        <f aca="false">B856/1</f>
        <v>150.891</v>
      </c>
      <c r="H856" s="34" t="n">
        <f aca="false">IF(F856=1,G856,"")</f>
        <v>150.891</v>
      </c>
    </row>
    <row r="857" customFormat="false" ht="15" hidden="false" customHeight="false" outlineLevel="0" collapsed="false">
      <c r="A857" s="31" t="n">
        <v>42771.625</v>
      </c>
      <c r="B857" s="32" t="n">
        <v>153.912</v>
      </c>
      <c r="D857" s="33" t="n">
        <f aca="false">WEEKDAY(A857,2)</f>
        <v>7</v>
      </c>
      <c r="E857" s="33" t="n">
        <f aca="false">HOUR(A857)+MINUTE(A857)/60</f>
        <v>15</v>
      </c>
      <c r="F857" s="33" t="n">
        <f aca="false">IF(OR(D857&gt;5,E857&lt;8,E857&gt;=18,COUNTIF($K$2:$K$10,INT(A857))&gt;0),1,0)</f>
        <v>1</v>
      </c>
      <c r="G857" s="34" t="n">
        <f aca="false">B857/1</f>
        <v>153.912</v>
      </c>
      <c r="H857" s="34" t="n">
        <f aca="false">IF(F857=1,G857,"")</f>
        <v>153.912</v>
      </c>
    </row>
    <row r="858" customFormat="false" ht="15" hidden="false" customHeight="false" outlineLevel="0" collapsed="false">
      <c r="A858" s="31" t="n">
        <v>42771.6666666667</v>
      </c>
      <c r="B858" s="32" t="n">
        <v>155.375</v>
      </c>
      <c r="D858" s="33" t="n">
        <f aca="false">WEEKDAY(A858,2)</f>
        <v>7</v>
      </c>
      <c r="E858" s="33" t="n">
        <f aca="false">HOUR(A858)+MINUTE(A858)/60</f>
        <v>16</v>
      </c>
      <c r="F858" s="33" t="n">
        <f aca="false">IF(OR(D858&gt;5,E858&lt;8,E858&gt;=18,COUNTIF($K$2:$K$10,INT(A858))&gt;0),1,0)</f>
        <v>1</v>
      </c>
      <c r="G858" s="34" t="n">
        <f aca="false">B858/1</f>
        <v>155.375</v>
      </c>
      <c r="H858" s="34" t="n">
        <f aca="false">IF(F858=1,G858,"")</f>
        <v>155.375</v>
      </c>
    </row>
    <row r="859" customFormat="false" ht="15" hidden="false" customHeight="false" outlineLevel="0" collapsed="false">
      <c r="A859" s="31" t="n">
        <v>42771.7083333333</v>
      </c>
      <c r="B859" s="32" t="n">
        <v>154.406</v>
      </c>
      <c r="D859" s="33" t="n">
        <f aca="false">WEEKDAY(A859,2)</f>
        <v>7</v>
      </c>
      <c r="E859" s="33" t="n">
        <f aca="false">HOUR(A859)+MINUTE(A859)/60</f>
        <v>17</v>
      </c>
      <c r="F859" s="33" t="n">
        <f aca="false">IF(OR(D859&gt;5,E859&lt;8,E859&gt;=18,COUNTIF($K$2:$K$10,INT(A859))&gt;0),1,0)</f>
        <v>1</v>
      </c>
      <c r="G859" s="34" t="n">
        <f aca="false">B859/1</f>
        <v>154.406</v>
      </c>
      <c r="H859" s="34" t="n">
        <f aca="false">IF(F859=1,G859,"")</f>
        <v>154.406</v>
      </c>
    </row>
    <row r="860" customFormat="false" ht="15" hidden="false" customHeight="false" outlineLevel="0" collapsed="false">
      <c r="A860" s="31" t="n">
        <v>42771.75</v>
      </c>
      <c r="B860" s="32" t="n">
        <v>80.275</v>
      </c>
      <c r="D860" s="33" t="n">
        <f aca="false">WEEKDAY(A860,2)</f>
        <v>7</v>
      </c>
      <c r="E860" s="33" t="n">
        <f aca="false">HOUR(A860)+MINUTE(A860)/60</f>
        <v>18</v>
      </c>
      <c r="F860" s="33" t="n">
        <f aca="false">IF(OR(D860&gt;5,E860&lt;8,E860&gt;=18,COUNTIF($K$2:$K$10,INT(A860))&gt;0),1,0)</f>
        <v>1</v>
      </c>
      <c r="G860" s="34" t="n">
        <f aca="false">B860/1</f>
        <v>80.275</v>
      </c>
      <c r="H860" s="34" t="n">
        <f aca="false">IF(F860=1,G860,"")</f>
        <v>80.275</v>
      </c>
    </row>
    <row r="861" customFormat="false" ht="15" hidden="false" customHeight="false" outlineLevel="0" collapsed="false">
      <c r="A861" s="31" t="n">
        <v>42771.7916666667</v>
      </c>
      <c r="B861" s="32" t="n">
        <v>72.683</v>
      </c>
      <c r="D861" s="33" t="n">
        <f aca="false">WEEKDAY(A861,2)</f>
        <v>7</v>
      </c>
      <c r="E861" s="33" t="n">
        <f aca="false">HOUR(A861)+MINUTE(A861)/60</f>
        <v>19</v>
      </c>
      <c r="F861" s="33" t="n">
        <f aca="false">IF(OR(D861&gt;5,E861&lt;8,E861&gt;=18,COUNTIF($K$2:$K$10,INT(A861))&gt;0),1,0)</f>
        <v>1</v>
      </c>
      <c r="G861" s="34" t="n">
        <f aca="false">B861/1</f>
        <v>72.683</v>
      </c>
      <c r="H861" s="34" t="n">
        <f aca="false">IF(F861=1,G861,"")</f>
        <v>72.683</v>
      </c>
    </row>
    <row r="862" customFormat="false" ht="15" hidden="false" customHeight="false" outlineLevel="0" collapsed="false">
      <c r="A862" s="31" t="n">
        <v>42771.8333333333</v>
      </c>
      <c r="B862" s="32" t="n">
        <v>71.825</v>
      </c>
      <c r="D862" s="33" t="n">
        <f aca="false">WEEKDAY(A862,2)</f>
        <v>7</v>
      </c>
      <c r="E862" s="33" t="n">
        <f aca="false">HOUR(A862)+MINUTE(A862)/60</f>
        <v>20</v>
      </c>
      <c r="F862" s="33" t="n">
        <f aca="false">IF(OR(D862&gt;5,E862&lt;8,E862&gt;=18,COUNTIF($K$2:$K$10,INT(A862))&gt;0),1,0)</f>
        <v>1</v>
      </c>
      <c r="G862" s="34" t="n">
        <f aca="false">B862/1</f>
        <v>71.825</v>
      </c>
      <c r="H862" s="34" t="n">
        <f aca="false">IF(F862=1,G862,"")</f>
        <v>71.825</v>
      </c>
    </row>
    <row r="863" customFormat="false" ht="15" hidden="false" customHeight="false" outlineLevel="0" collapsed="false">
      <c r="A863" s="31" t="n">
        <v>42771.875</v>
      </c>
      <c r="B863" s="32" t="n">
        <v>72.455</v>
      </c>
      <c r="D863" s="33" t="n">
        <f aca="false">WEEKDAY(A863,2)</f>
        <v>7</v>
      </c>
      <c r="E863" s="33" t="n">
        <f aca="false">HOUR(A863)+MINUTE(A863)/60</f>
        <v>21</v>
      </c>
      <c r="F863" s="33" t="n">
        <f aca="false">IF(OR(D863&gt;5,E863&lt;8,E863&gt;=18,COUNTIF($K$2:$K$10,INT(A863))&gt;0),1,0)</f>
        <v>1</v>
      </c>
      <c r="G863" s="34" t="n">
        <f aca="false">B863/1</f>
        <v>72.455</v>
      </c>
      <c r="H863" s="34" t="n">
        <f aca="false">IF(F863=1,G863,"")</f>
        <v>72.455</v>
      </c>
    </row>
    <row r="864" customFormat="false" ht="15" hidden="false" customHeight="false" outlineLevel="0" collapsed="false">
      <c r="A864" s="31" t="n">
        <v>42771.9166666667</v>
      </c>
      <c r="B864" s="32" t="n">
        <v>72.611</v>
      </c>
      <c r="D864" s="33" t="n">
        <f aca="false">WEEKDAY(A864,2)</f>
        <v>7</v>
      </c>
      <c r="E864" s="33" t="n">
        <f aca="false">HOUR(A864)+MINUTE(A864)/60</f>
        <v>22</v>
      </c>
      <c r="F864" s="33" t="n">
        <f aca="false">IF(OR(D864&gt;5,E864&lt;8,E864&gt;=18,COUNTIF($K$2:$K$10,INT(A864))&gt;0),1,0)</f>
        <v>1</v>
      </c>
      <c r="G864" s="34" t="n">
        <f aca="false">B864/1</f>
        <v>72.611</v>
      </c>
      <c r="H864" s="34" t="n">
        <f aca="false">IF(F864=1,G864,"")</f>
        <v>72.611</v>
      </c>
    </row>
    <row r="865" customFormat="false" ht="15" hidden="false" customHeight="false" outlineLevel="0" collapsed="false">
      <c r="A865" s="31" t="n">
        <v>42771.9583333333</v>
      </c>
      <c r="B865" s="32" t="n">
        <v>69.438</v>
      </c>
      <c r="D865" s="33" t="n">
        <f aca="false">WEEKDAY(A865,2)</f>
        <v>7</v>
      </c>
      <c r="E865" s="33" t="n">
        <f aca="false">HOUR(A865)+MINUTE(A865)/60</f>
        <v>23</v>
      </c>
      <c r="F865" s="33" t="n">
        <f aca="false">IF(OR(D865&gt;5,E865&lt;8,E865&gt;=18,COUNTIF($K$2:$K$10,INT(A865))&gt;0),1,0)</f>
        <v>1</v>
      </c>
      <c r="G865" s="34" t="n">
        <f aca="false">B865/1</f>
        <v>69.438</v>
      </c>
      <c r="H865" s="34" t="n">
        <f aca="false">IF(F865=1,G865,"")</f>
        <v>69.438</v>
      </c>
    </row>
    <row r="866" customFormat="false" ht="15" hidden="false" customHeight="false" outlineLevel="0" collapsed="false">
      <c r="A866" s="31" t="n">
        <v>42772</v>
      </c>
      <c r="B866" s="32" t="n">
        <v>68.501</v>
      </c>
      <c r="D866" s="33" t="n">
        <f aca="false">WEEKDAY(A866,2)</f>
        <v>1</v>
      </c>
      <c r="E866" s="33" t="n">
        <f aca="false">HOUR(A866)+MINUTE(A866)/60</f>
        <v>0</v>
      </c>
      <c r="F866" s="33" t="n">
        <f aca="false">IF(OR(D866&gt;5,E866&lt;8,E866&gt;=18,COUNTIF($K$2:$K$10,INT(A866))&gt;0),1,0)</f>
        <v>1</v>
      </c>
      <c r="G866" s="34" t="n">
        <f aca="false">B866/1</f>
        <v>68.501</v>
      </c>
      <c r="H866" s="34" t="n">
        <f aca="false">IF(F866=1,G866,"")</f>
        <v>68.501</v>
      </c>
    </row>
    <row r="867" customFormat="false" ht="15" hidden="false" customHeight="false" outlineLevel="0" collapsed="false">
      <c r="A867" s="31" t="n">
        <v>42772.0416666667</v>
      </c>
      <c r="B867" s="32" t="n">
        <v>68.055</v>
      </c>
      <c r="D867" s="33" t="n">
        <f aca="false">WEEKDAY(A867,2)</f>
        <v>1</v>
      </c>
      <c r="E867" s="33" t="n">
        <f aca="false">HOUR(A867)+MINUTE(A867)/60</f>
        <v>1</v>
      </c>
      <c r="F867" s="33" t="n">
        <f aca="false">IF(OR(D867&gt;5,E867&lt;8,E867&gt;=18,COUNTIF($K$2:$K$10,INT(A867))&gt;0),1,0)</f>
        <v>1</v>
      </c>
      <c r="G867" s="34" t="n">
        <f aca="false">B867/1</f>
        <v>68.055</v>
      </c>
      <c r="H867" s="34" t="n">
        <f aca="false">IF(F867=1,G867,"")</f>
        <v>68.055</v>
      </c>
    </row>
    <row r="868" customFormat="false" ht="15" hidden="false" customHeight="false" outlineLevel="0" collapsed="false">
      <c r="A868" s="31" t="n">
        <v>42772.0833333333</v>
      </c>
      <c r="B868" s="32" t="n">
        <v>67.05</v>
      </c>
      <c r="D868" s="33" t="n">
        <f aca="false">WEEKDAY(A868,2)</f>
        <v>1</v>
      </c>
      <c r="E868" s="33" t="n">
        <f aca="false">HOUR(A868)+MINUTE(A868)/60</f>
        <v>2</v>
      </c>
      <c r="F868" s="33" t="n">
        <f aca="false">IF(OR(D868&gt;5,E868&lt;8,E868&gt;=18,COUNTIF($K$2:$K$10,INT(A868))&gt;0),1,0)</f>
        <v>1</v>
      </c>
      <c r="G868" s="34" t="n">
        <f aca="false">B868/1</f>
        <v>67.05</v>
      </c>
      <c r="H868" s="34" t="n">
        <f aca="false">IF(F868=1,G868,"")</f>
        <v>67.05</v>
      </c>
    </row>
    <row r="869" customFormat="false" ht="15" hidden="false" customHeight="false" outlineLevel="0" collapsed="false">
      <c r="A869" s="31" t="n">
        <v>42772.125</v>
      </c>
      <c r="B869" s="32" t="n">
        <v>68.186</v>
      </c>
      <c r="D869" s="33" t="n">
        <f aca="false">WEEKDAY(A869,2)</f>
        <v>1</v>
      </c>
      <c r="E869" s="33" t="n">
        <f aca="false">HOUR(A869)+MINUTE(A869)/60</f>
        <v>3</v>
      </c>
      <c r="F869" s="33" t="n">
        <f aca="false">IF(OR(D869&gt;5,E869&lt;8,E869&gt;=18,COUNTIF($K$2:$K$10,INT(A869))&gt;0),1,0)</f>
        <v>1</v>
      </c>
      <c r="G869" s="34" t="n">
        <f aca="false">B869/1</f>
        <v>68.186</v>
      </c>
      <c r="H869" s="34" t="n">
        <f aca="false">IF(F869=1,G869,"")</f>
        <v>68.186</v>
      </c>
    </row>
    <row r="870" customFormat="false" ht="15" hidden="false" customHeight="false" outlineLevel="0" collapsed="false">
      <c r="A870" s="31" t="n">
        <v>42772.1666666667</v>
      </c>
      <c r="B870" s="32" t="n">
        <v>68.185</v>
      </c>
      <c r="D870" s="33" t="n">
        <f aca="false">WEEKDAY(A870,2)</f>
        <v>1</v>
      </c>
      <c r="E870" s="33" t="n">
        <f aca="false">HOUR(A870)+MINUTE(A870)/60</f>
        <v>4</v>
      </c>
      <c r="F870" s="33" t="n">
        <f aca="false">IF(OR(D870&gt;5,E870&lt;8,E870&gt;=18,COUNTIF($K$2:$K$10,INT(A870))&gt;0),1,0)</f>
        <v>1</v>
      </c>
      <c r="G870" s="34" t="n">
        <f aca="false">B870/1</f>
        <v>68.185</v>
      </c>
      <c r="H870" s="34" t="n">
        <f aca="false">IF(F870=1,G870,"")</f>
        <v>68.185</v>
      </c>
    </row>
    <row r="871" customFormat="false" ht="15" hidden="false" customHeight="false" outlineLevel="0" collapsed="false">
      <c r="A871" s="31" t="n">
        <v>42772.2083333333</v>
      </c>
      <c r="B871" s="32" t="n">
        <v>67.271</v>
      </c>
      <c r="D871" s="33" t="n">
        <f aca="false">WEEKDAY(A871,2)</f>
        <v>1</v>
      </c>
      <c r="E871" s="33" t="n">
        <f aca="false">HOUR(A871)+MINUTE(A871)/60</f>
        <v>5</v>
      </c>
      <c r="F871" s="33" t="n">
        <f aca="false">IF(OR(D871&gt;5,E871&lt;8,E871&gt;=18,COUNTIF($K$2:$K$10,INT(A871))&gt;0),1,0)</f>
        <v>1</v>
      </c>
      <c r="G871" s="34" t="n">
        <f aca="false">B871/1</f>
        <v>67.271</v>
      </c>
      <c r="H871" s="34" t="n">
        <f aca="false">IF(F871=1,G871,"")</f>
        <v>67.271</v>
      </c>
    </row>
    <row r="872" customFormat="false" ht="15" hidden="false" customHeight="false" outlineLevel="0" collapsed="false">
      <c r="A872" s="31" t="n">
        <v>42772.25</v>
      </c>
      <c r="B872" s="32" t="n">
        <v>68.174</v>
      </c>
      <c r="D872" s="33" t="n">
        <f aca="false">WEEKDAY(A872,2)</f>
        <v>1</v>
      </c>
      <c r="E872" s="33" t="n">
        <f aca="false">HOUR(A872)+MINUTE(A872)/60</f>
        <v>6</v>
      </c>
      <c r="F872" s="33" t="n">
        <f aca="false">IF(OR(D872&gt;5,E872&lt;8,E872&gt;=18,COUNTIF($K$2:$K$10,INT(A872))&gt;0),1,0)</f>
        <v>1</v>
      </c>
      <c r="G872" s="34" t="n">
        <f aca="false">B872/1</f>
        <v>68.174</v>
      </c>
      <c r="H872" s="34" t="n">
        <f aca="false">IF(F872=1,G872,"")</f>
        <v>68.174</v>
      </c>
    </row>
    <row r="873" customFormat="false" ht="15" hidden="false" customHeight="false" outlineLevel="0" collapsed="false">
      <c r="A873" s="31" t="n">
        <v>42772.2916666667</v>
      </c>
      <c r="B873" s="32" t="n">
        <v>88.639</v>
      </c>
      <c r="D873" s="33" t="n">
        <f aca="false">WEEKDAY(A873,2)</f>
        <v>1</v>
      </c>
      <c r="E873" s="33" t="n">
        <f aca="false">HOUR(A873)+MINUTE(A873)/60</f>
        <v>7</v>
      </c>
      <c r="F873" s="33" t="n">
        <f aca="false">IF(OR(D873&gt;5,E873&lt;8,E873&gt;=18,COUNTIF($K$2:$K$10,INT(A873))&gt;0),1,0)</f>
        <v>1</v>
      </c>
      <c r="G873" s="34" t="n">
        <f aca="false">B873/1</f>
        <v>88.639</v>
      </c>
      <c r="H873" s="34" t="n">
        <f aca="false">IF(F873=1,G873,"")</f>
        <v>88.639</v>
      </c>
    </row>
    <row r="874" customFormat="false" ht="15" hidden="false" customHeight="false" outlineLevel="0" collapsed="false">
      <c r="A874" s="31" t="n">
        <v>42772.3333333333</v>
      </c>
      <c r="B874" s="32" t="n">
        <v>183.754</v>
      </c>
      <c r="D874" s="33" t="n">
        <f aca="false">WEEKDAY(A874,2)</f>
        <v>1</v>
      </c>
      <c r="E874" s="33" t="n">
        <f aca="false">HOUR(A874)+MINUTE(A874)/60</f>
        <v>8</v>
      </c>
      <c r="F874" s="33" t="n">
        <f aca="false">IF(OR(D874&gt;5,E874&lt;8,E874&gt;=18,COUNTIF($K$2:$K$10,INT(A874))&gt;0),1,0)</f>
        <v>0</v>
      </c>
      <c r="G874" s="34" t="n">
        <f aca="false">B874/1</f>
        <v>183.754</v>
      </c>
      <c r="H874" s="34" t="str">
        <f aca="false">IF(F874=1,G874,"")</f>
        <v/>
      </c>
    </row>
    <row r="875" customFormat="false" ht="15" hidden="false" customHeight="false" outlineLevel="0" collapsed="false">
      <c r="A875" s="31" t="n">
        <v>42772.375</v>
      </c>
      <c r="B875" s="32" t="n">
        <v>220.936</v>
      </c>
      <c r="D875" s="33" t="n">
        <f aca="false">WEEKDAY(A875,2)</f>
        <v>1</v>
      </c>
      <c r="E875" s="33" t="n">
        <f aca="false">HOUR(A875)+MINUTE(A875)/60</f>
        <v>9</v>
      </c>
      <c r="F875" s="33" t="n">
        <f aca="false">IF(OR(D875&gt;5,E875&lt;8,E875&gt;=18,COUNTIF($K$2:$K$10,INT(A875))&gt;0),1,0)</f>
        <v>0</v>
      </c>
      <c r="G875" s="34" t="n">
        <f aca="false">B875/1</f>
        <v>220.936</v>
      </c>
      <c r="H875" s="34" t="str">
        <f aca="false">IF(F875=1,G875,"")</f>
        <v/>
      </c>
    </row>
    <row r="876" customFormat="false" ht="15" hidden="false" customHeight="false" outlineLevel="0" collapsed="false">
      <c r="A876" s="31" t="n">
        <v>42772.4166666667</v>
      </c>
      <c r="B876" s="32" t="n">
        <v>244.931</v>
      </c>
      <c r="D876" s="33" t="n">
        <f aca="false">WEEKDAY(A876,2)</f>
        <v>1</v>
      </c>
      <c r="E876" s="33" t="n">
        <f aca="false">HOUR(A876)+MINUTE(A876)/60</f>
        <v>10</v>
      </c>
      <c r="F876" s="33" t="n">
        <f aca="false">IF(OR(D876&gt;5,E876&lt;8,E876&gt;=18,COUNTIF($K$2:$K$10,INT(A876))&gt;0),1,0)</f>
        <v>0</v>
      </c>
      <c r="G876" s="34" t="n">
        <f aca="false">B876/1</f>
        <v>244.931</v>
      </c>
      <c r="H876" s="34" t="str">
        <f aca="false">IF(F876=1,G876,"")</f>
        <v/>
      </c>
    </row>
    <row r="877" customFormat="false" ht="15" hidden="false" customHeight="false" outlineLevel="0" collapsed="false">
      <c r="A877" s="31" t="n">
        <v>42772.4583333333</v>
      </c>
      <c r="B877" s="32" t="n">
        <v>258.116</v>
      </c>
      <c r="D877" s="33" t="n">
        <f aca="false">WEEKDAY(A877,2)</f>
        <v>1</v>
      </c>
      <c r="E877" s="33" t="n">
        <f aca="false">HOUR(A877)+MINUTE(A877)/60</f>
        <v>11</v>
      </c>
      <c r="F877" s="33" t="n">
        <f aca="false">IF(OR(D877&gt;5,E877&lt;8,E877&gt;=18,COUNTIF($K$2:$K$10,INT(A877))&gt;0),1,0)</f>
        <v>0</v>
      </c>
      <c r="G877" s="34" t="n">
        <f aca="false">B877/1</f>
        <v>258.116</v>
      </c>
      <c r="H877" s="34" t="str">
        <f aca="false">IF(F877=1,G877,"")</f>
        <v/>
      </c>
    </row>
    <row r="878" customFormat="false" ht="15" hidden="false" customHeight="false" outlineLevel="0" collapsed="false">
      <c r="A878" s="31" t="n">
        <v>42772.5</v>
      </c>
      <c r="B878" s="32" t="n">
        <v>260.947</v>
      </c>
      <c r="D878" s="33" t="n">
        <f aca="false">WEEKDAY(A878,2)</f>
        <v>1</v>
      </c>
      <c r="E878" s="33" t="n">
        <f aca="false">HOUR(A878)+MINUTE(A878)/60</f>
        <v>12</v>
      </c>
      <c r="F878" s="33" t="n">
        <f aca="false">IF(OR(D878&gt;5,E878&lt;8,E878&gt;=18,COUNTIF($K$2:$K$10,INT(A878))&gt;0),1,0)</f>
        <v>0</v>
      </c>
      <c r="G878" s="34" t="n">
        <f aca="false">B878/1</f>
        <v>260.947</v>
      </c>
      <c r="H878" s="34" t="str">
        <f aca="false">IF(F878=1,G878,"")</f>
        <v/>
      </c>
    </row>
    <row r="879" customFormat="false" ht="15" hidden="false" customHeight="false" outlineLevel="0" collapsed="false">
      <c r="A879" s="31" t="n">
        <v>42772.5416666667</v>
      </c>
      <c r="B879" s="32" t="n">
        <v>255.882</v>
      </c>
      <c r="D879" s="33" t="n">
        <f aca="false">WEEKDAY(A879,2)</f>
        <v>1</v>
      </c>
      <c r="E879" s="33" t="n">
        <f aca="false">HOUR(A879)+MINUTE(A879)/60</f>
        <v>13</v>
      </c>
      <c r="F879" s="33" t="n">
        <f aca="false">IF(OR(D879&gt;5,E879&lt;8,E879&gt;=18,COUNTIF($K$2:$K$10,INT(A879))&gt;0),1,0)</f>
        <v>0</v>
      </c>
      <c r="G879" s="34" t="n">
        <f aca="false">B879/1</f>
        <v>255.882</v>
      </c>
      <c r="H879" s="34" t="str">
        <f aca="false">IF(F879=1,G879,"")</f>
        <v/>
      </c>
    </row>
    <row r="880" customFormat="false" ht="15" hidden="false" customHeight="false" outlineLevel="0" collapsed="false">
      <c r="A880" s="31" t="n">
        <v>42772.5833333333</v>
      </c>
      <c r="B880" s="32" t="n">
        <v>251.745</v>
      </c>
      <c r="D880" s="33" t="n">
        <f aca="false">WEEKDAY(A880,2)</f>
        <v>1</v>
      </c>
      <c r="E880" s="33" t="n">
        <f aca="false">HOUR(A880)+MINUTE(A880)/60</f>
        <v>14</v>
      </c>
      <c r="F880" s="33" t="n">
        <f aca="false">IF(OR(D880&gt;5,E880&lt;8,E880&gt;=18,COUNTIF($K$2:$K$10,INT(A880))&gt;0),1,0)</f>
        <v>0</v>
      </c>
      <c r="G880" s="34" t="n">
        <f aca="false">B880/1</f>
        <v>251.745</v>
      </c>
      <c r="H880" s="34" t="str">
        <f aca="false">IF(F880=1,G880,"")</f>
        <v/>
      </c>
    </row>
    <row r="881" customFormat="false" ht="15" hidden="false" customHeight="false" outlineLevel="0" collapsed="false">
      <c r="A881" s="31" t="n">
        <v>42772.625</v>
      </c>
      <c r="B881" s="32" t="n">
        <v>251.996</v>
      </c>
      <c r="D881" s="33" t="n">
        <f aca="false">WEEKDAY(A881,2)</f>
        <v>1</v>
      </c>
      <c r="E881" s="33" t="n">
        <f aca="false">HOUR(A881)+MINUTE(A881)/60</f>
        <v>15</v>
      </c>
      <c r="F881" s="33" t="n">
        <f aca="false">IF(OR(D881&gt;5,E881&lt;8,E881&gt;=18,COUNTIF($K$2:$K$10,INT(A881))&gt;0),1,0)</f>
        <v>0</v>
      </c>
      <c r="G881" s="34" t="n">
        <f aca="false">B881/1</f>
        <v>251.996</v>
      </c>
      <c r="H881" s="34" t="str">
        <f aca="false">IF(F881=1,G881,"")</f>
        <v/>
      </c>
    </row>
    <row r="882" customFormat="false" ht="15" hidden="false" customHeight="false" outlineLevel="0" collapsed="false">
      <c r="A882" s="31" t="n">
        <v>42772.6666666667</v>
      </c>
      <c r="B882" s="32" t="n">
        <v>253.016</v>
      </c>
      <c r="D882" s="33" t="n">
        <f aca="false">WEEKDAY(A882,2)</f>
        <v>1</v>
      </c>
      <c r="E882" s="33" t="n">
        <f aca="false">HOUR(A882)+MINUTE(A882)/60</f>
        <v>16</v>
      </c>
      <c r="F882" s="33" t="n">
        <f aca="false">IF(OR(D882&gt;5,E882&lt;8,E882&gt;=18,COUNTIF($K$2:$K$10,INT(A882))&gt;0),1,0)</f>
        <v>0</v>
      </c>
      <c r="G882" s="34" t="n">
        <f aca="false">B882/1</f>
        <v>253.016</v>
      </c>
      <c r="H882" s="34" t="str">
        <f aca="false">IF(F882=1,G882,"")</f>
        <v/>
      </c>
    </row>
    <row r="883" customFormat="false" ht="15" hidden="false" customHeight="false" outlineLevel="0" collapsed="false">
      <c r="A883" s="31" t="n">
        <v>42772.7083333333</v>
      </c>
      <c r="B883" s="32" t="n">
        <v>244.084</v>
      </c>
      <c r="D883" s="33" t="n">
        <f aca="false">WEEKDAY(A883,2)</f>
        <v>1</v>
      </c>
      <c r="E883" s="33" t="n">
        <f aca="false">HOUR(A883)+MINUTE(A883)/60</f>
        <v>17</v>
      </c>
      <c r="F883" s="33" t="n">
        <f aca="false">IF(OR(D883&gt;5,E883&lt;8,E883&gt;=18,COUNTIF($K$2:$K$10,INT(A883))&gt;0),1,0)</f>
        <v>0</v>
      </c>
      <c r="G883" s="34" t="n">
        <f aca="false">B883/1</f>
        <v>244.084</v>
      </c>
      <c r="H883" s="34" t="str">
        <f aca="false">IF(F883=1,G883,"")</f>
        <v/>
      </c>
    </row>
    <row r="884" customFormat="false" ht="15" hidden="false" customHeight="false" outlineLevel="0" collapsed="false">
      <c r="A884" s="31" t="n">
        <v>42772.75</v>
      </c>
      <c r="B884" s="32" t="n">
        <v>224.951</v>
      </c>
      <c r="D884" s="33" t="n">
        <f aca="false">WEEKDAY(A884,2)</f>
        <v>1</v>
      </c>
      <c r="E884" s="33" t="n">
        <f aca="false">HOUR(A884)+MINUTE(A884)/60</f>
        <v>18</v>
      </c>
      <c r="F884" s="33" t="n">
        <f aca="false">IF(OR(D884&gt;5,E884&lt;8,E884&gt;=18,COUNTIF($K$2:$K$10,INT(A884))&gt;0),1,0)</f>
        <v>1</v>
      </c>
      <c r="G884" s="34" t="n">
        <f aca="false">B884/1</f>
        <v>224.951</v>
      </c>
      <c r="H884" s="34" t="n">
        <f aca="false">IF(F884=1,G884,"")</f>
        <v>224.951</v>
      </c>
    </row>
    <row r="885" customFormat="false" ht="15" hidden="false" customHeight="false" outlineLevel="0" collapsed="false">
      <c r="A885" s="31" t="n">
        <v>42772.7916666667</v>
      </c>
      <c r="B885" s="32" t="n">
        <v>212.487</v>
      </c>
      <c r="D885" s="33" t="n">
        <f aca="false">WEEKDAY(A885,2)</f>
        <v>1</v>
      </c>
      <c r="E885" s="33" t="n">
        <f aca="false">HOUR(A885)+MINUTE(A885)/60</f>
        <v>19</v>
      </c>
      <c r="F885" s="33" t="n">
        <f aca="false">IF(OR(D885&gt;5,E885&lt;8,E885&gt;=18,COUNTIF($K$2:$K$10,INT(A885))&gt;0),1,0)</f>
        <v>1</v>
      </c>
      <c r="G885" s="34" t="n">
        <f aca="false">B885/1</f>
        <v>212.487</v>
      </c>
      <c r="H885" s="34" t="n">
        <f aca="false">IF(F885=1,G885,"")</f>
        <v>212.487</v>
      </c>
    </row>
    <row r="886" customFormat="false" ht="15" hidden="false" customHeight="false" outlineLevel="0" collapsed="false">
      <c r="A886" s="31" t="n">
        <v>42772.8333333333</v>
      </c>
      <c r="B886" s="32" t="n">
        <v>200.156</v>
      </c>
      <c r="D886" s="33" t="n">
        <f aca="false">WEEKDAY(A886,2)</f>
        <v>1</v>
      </c>
      <c r="E886" s="33" t="n">
        <f aca="false">HOUR(A886)+MINUTE(A886)/60</f>
        <v>20</v>
      </c>
      <c r="F886" s="33" t="n">
        <f aca="false">IF(OR(D886&gt;5,E886&lt;8,E886&gt;=18,COUNTIF($K$2:$K$10,INT(A886))&gt;0),1,0)</f>
        <v>1</v>
      </c>
      <c r="G886" s="34" t="n">
        <f aca="false">B886/1</f>
        <v>200.156</v>
      </c>
      <c r="H886" s="34" t="n">
        <f aca="false">IF(F886=1,G886,"")</f>
        <v>200.156</v>
      </c>
    </row>
    <row r="887" customFormat="false" ht="15" hidden="false" customHeight="false" outlineLevel="0" collapsed="false">
      <c r="A887" s="31" t="n">
        <v>42772.875</v>
      </c>
      <c r="B887" s="32" t="n">
        <v>192.57</v>
      </c>
      <c r="D887" s="33" t="n">
        <f aca="false">WEEKDAY(A887,2)</f>
        <v>1</v>
      </c>
      <c r="E887" s="33" t="n">
        <f aca="false">HOUR(A887)+MINUTE(A887)/60</f>
        <v>21</v>
      </c>
      <c r="F887" s="33" t="n">
        <f aca="false">IF(OR(D887&gt;5,E887&lt;8,E887&gt;=18,COUNTIF($K$2:$K$10,INT(A887))&gt;0),1,0)</f>
        <v>1</v>
      </c>
      <c r="G887" s="34" t="n">
        <f aca="false">B887/1</f>
        <v>192.57</v>
      </c>
      <c r="H887" s="34" t="n">
        <f aca="false">IF(F887=1,G887,"")</f>
        <v>192.57</v>
      </c>
    </row>
    <row r="888" customFormat="false" ht="15" hidden="false" customHeight="false" outlineLevel="0" collapsed="false">
      <c r="A888" s="31" t="n">
        <v>42772.9166666667</v>
      </c>
      <c r="B888" s="32" t="n">
        <v>141.067</v>
      </c>
      <c r="D888" s="33" t="n">
        <f aca="false">WEEKDAY(A888,2)</f>
        <v>1</v>
      </c>
      <c r="E888" s="33" t="n">
        <f aca="false">HOUR(A888)+MINUTE(A888)/60</f>
        <v>22</v>
      </c>
      <c r="F888" s="33" t="n">
        <f aca="false">IF(OR(D888&gt;5,E888&lt;8,E888&gt;=18,COUNTIF($K$2:$K$10,INT(A888))&gt;0),1,0)</f>
        <v>1</v>
      </c>
      <c r="G888" s="34" t="n">
        <f aca="false">B888/1</f>
        <v>141.067</v>
      </c>
      <c r="H888" s="34" t="n">
        <f aca="false">IF(F888=1,G888,"")</f>
        <v>141.067</v>
      </c>
    </row>
    <row r="889" customFormat="false" ht="15" hidden="false" customHeight="false" outlineLevel="0" collapsed="false">
      <c r="A889" s="31" t="n">
        <v>42772.9583333333</v>
      </c>
      <c r="B889" s="32" t="n">
        <v>79.214</v>
      </c>
      <c r="D889" s="33" t="n">
        <f aca="false">WEEKDAY(A889,2)</f>
        <v>1</v>
      </c>
      <c r="E889" s="33" t="n">
        <f aca="false">HOUR(A889)+MINUTE(A889)/60</f>
        <v>23</v>
      </c>
      <c r="F889" s="33" t="n">
        <f aca="false">IF(OR(D889&gt;5,E889&lt;8,E889&gt;=18,COUNTIF($K$2:$K$10,INT(A889))&gt;0),1,0)</f>
        <v>1</v>
      </c>
      <c r="G889" s="34" t="n">
        <f aca="false">B889/1</f>
        <v>79.214</v>
      </c>
      <c r="H889" s="34" t="n">
        <f aca="false">IF(F889=1,G889,"")</f>
        <v>79.214</v>
      </c>
    </row>
    <row r="890" customFormat="false" ht="15" hidden="false" customHeight="false" outlineLevel="0" collapsed="false">
      <c r="A890" s="31" t="n">
        <v>42773</v>
      </c>
      <c r="B890" s="32" t="n">
        <v>75.518</v>
      </c>
      <c r="D890" s="33" t="n">
        <f aca="false">WEEKDAY(A890,2)</f>
        <v>2</v>
      </c>
      <c r="E890" s="33" t="n">
        <f aca="false">HOUR(A890)+MINUTE(A890)/60</f>
        <v>0</v>
      </c>
      <c r="F890" s="33" t="n">
        <f aca="false">IF(OR(D890&gt;5,E890&lt;8,E890&gt;=18,COUNTIF($K$2:$K$10,INT(A890))&gt;0),1,0)</f>
        <v>1</v>
      </c>
      <c r="G890" s="34" t="n">
        <f aca="false">B890/1</f>
        <v>75.518</v>
      </c>
      <c r="H890" s="34" t="n">
        <f aca="false">IF(F890=1,G890,"")</f>
        <v>75.518</v>
      </c>
    </row>
    <row r="891" customFormat="false" ht="15" hidden="false" customHeight="false" outlineLevel="0" collapsed="false">
      <c r="A891" s="31" t="n">
        <v>42773.0416666667</v>
      </c>
      <c r="B891" s="32" t="n">
        <v>70.57</v>
      </c>
      <c r="D891" s="33" t="n">
        <f aca="false">WEEKDAY(A891,2)</f>
        <v>2</v>
      </c>
      <c r="E891" s="33" t="n">
        <f aca="false">HOUR(A891)+MINUTE(A891)/60</f>
        <v>1</v>
      </c>
      <c r="F891" s="33" t="n">
        <f aca="false">IF(OR(D891&gt;5,E891&lt;8,E891&gt;=18,COUNTIF($K$2:$K$10,INT(A891))&gt;0),1,0)</f>
        <v>1</v>
      </c>
      <c r="G891" s="34" t="n">
        <f aca="false">B891/1</f>
        <v>70.57</v>
      </c>
      <c r="H891" s="34" t="n">
        <f aca="false">IF(F891=1,G891,"")</f>
        <v>70.57</v>
      </c>
    </row>
    <row r="892" customFormat="false" ht="15" hidden="false" customHeight="false" outlineLevel="0" collapsed="false">
      <c r="A892" s="31" t="n">
        <v>42773.0833333333</v>
      </c>
      <c r="B892" s="32" t="n">
        <v>67.999</v>
      </c>
      <c r="D892" s="33" t="n">
        <f aca="false">WEEKDAY(A892,2)</f>
        <v>2</v>
      </c>
      <c r="E892" s="33" t="n">
        <f aca="false">HOUR(A892)+MINUTE(A892)/60</f>
        <v>2</v>
      </c>
      <c r="F892" s="33" t="n">
        <f aca="false">IF(OR(D892&gt;5,E892&lt;8,E892&gt;=18,COUNTIF($K$2:$K$10,INT(A892))&gt;0),1,0)</f>
        <v>1</v>
      </c>
      <c r="G892" s="34" t="n">
        <f aca="false">B892/1</f>
        <v>67.999</v>
      </c>
      <c r="H892" s="34" t="n">
        <f aca="false">IF(F892=1,G892,"")</f>
        <v>67.999</v>
      </c>
    </row>
    <row r="893" customFormat="false" ht="15" hidden="false" customHeight="false" outlineLevel="0" collapsed="false">
      <c r="A893" s="31" t="n">
        <v>42773.125</v>
      </c>
      <c r="B893" s="32" t="n">
        <v>67.147</v>
      </c>
      <c r="D893" s="33" t="n">
        <f aca="false">WEEKDAY(A893,2)</f>
        <v>2</v>
      </c>
      <c r="E893" s="33" t="n">
        <f aca="false">HOUR(A893)+MINUTE(A893)/60</f>
        <v>3</v>
      </c>
      <c r="F893" s="33" t="n">
        <f aca="false">IF(OR(D893&gt;5,E893&lt;8,E893&gt;=18,COUNTIF($K$2:$K$10,INT(A893))&gt;0),1,0)</f>
        <v>1</v>
      </c>
      <c r="G893" s="34" t="n">
        <f aca="false">B893/1</f>
        <v>67.147</v>
      </c>
      <c r="H893" s="34" t="n">
        <f aca="false">IF(F893=1,G893,"")</f>
        <v>67.147</v>
      </c>
    </row>
    <row r="894" customFormat="false" ht="15" hidden="false" customHeight="false" outlineLevel="0" collapsed="false">
      <c r="A894" s="31" t="n">
        <v>42773.1666666667</v>
      </c>
      <c r="B894" s="32" t="n">
        <v>67.608</v>
      </c>
      <c r="D894" s="33" t="n">
        <f aca="false">WEEKDAY(A894,2)</f>
        <v>2</v>
      </c>
      <c r="E894" s="33" t="n">
        <f aca="false">HOUR(A894)+MINUTE(A894)/60</f>
        <v>4</v>
      </c>
      <c r="F894" s="33" t="n">
        <f aca="false">IF(OR(D894&gt;5,E894&lt;8,E894&gt;=18,COUNTIF($K$2:$K$10,INT(A894))&gt;0),1,0)</f>
        <v>1</v>
      </c>
      <c r="G894" s="34" t="n">
        <f aca="false">B894/1</f>
        <v>67.608</v>
      </c>
      <c r="H894" s="34" t="n">
        <f aca="false">IF(F894=1,G894,"")</f>
        <v>67.608</v>
      </c>
    </row>
    <row r="895" customFormat="false" ht="15" hidden="false" customHeight="false" outlineLevel="0" collapsed="false">
      <c r="A895" s="31" t="n">
        <v>42773.2083333333</v>
      </c>
      <c r="B895" s="32" t="n">
        <v>65.11</v>
      </c>
      <c r="D895" s="33" t="n">
        <f aca="false">WEEKDAY(A895,2)</f>
        <v>2</v>
      </c>
      <c r="E895" s="33" t="n">
        <f aca="false">HOUR(A895)+MINUTE(A895)/60</f>
        <v>5</v>
      </c>
      <c r="F895" s="33" t="n">
        <f aca="false">IF(OR(D895&gt;5,E895&lt;8,E895&gt;=18,COUNTIF($K$2:$K$10,INT(A895))&gt;0),1,0)</f>
        <v>1</v>
      </c>
      <c r="G895" s="34" t="n">
        <f aca="false">B895/1</f>
        <v>65.11</v>
      </c>
      <c r="H895" s="34" t="n">
        <f aca="false">IF(F895=1,G895,"")</f>
        <v>65.11</v>
      </c>
    </row>
    <row r="896" customFormat="false" ht="15" hidden="false" customHeight="false" outlineLevel="0" collapsed="false">
      <c r="A896" s="31" t="n">
        <v>42773.25</v>
      </c>
      <c r="B896" s="32" t="n">
        <v>67.476</v>
      </c>
      <c r="D896" s="33" t="n">
        <f aca="false">WEEKDAY(A896,2)</f>
        <v>2</v>
      </c>
      <c r="E896" s="33" t="n">
        <f aca="false">HOUR(A896)+MINUTE(A896)/60</f>
        <v>6</v>
      </c>
      <c r="F896" s="33" t="n">
        <f aca="false">IF(OR(D896&gt;5,E896&lt;8,E896&gt;=18,COUNTIF($K$2:$K$10,INT(A896))&gt;0),1,0)</f>
        <v>1</v>
      </c>
      <c r="G896" s="34" t="n">
        <f aca="false">B896/1</f>
        <v>67.476</v>
      </c>
      <c r="H896" s="34" t="n">
        <f aca="false">IF(F896=1,G896,"")</f>
        <v>67.476</v>
      </c>
    </row>
    <row r="897" customFormat="false" ht="15" hidden="false" customHeight="false" outlineLevel="0" collapsed="false">
      <c r="A897" s="31" t="n">
        <v>42773.2916666667</v>
      </c>
      <c r="B897" s="32" t="n">
        <v>71.94</v>
      </c>
      <c r="D897" s="33" t="n">
        <f aca="false">WEEKDAY(A897,2)</f>
        <v>2</v>
      </c>
      <c r="E897" s="33" t="n">
        <f aca="false">HOUR(A897)+MINUTE(A897)/60</f>
        <v>7</v>
      </c>
      <c r="F897" s="33" t="n">
        <f aca="false">IF(OR(D897&gt;5,E897&lt;8,E897&gt;=18,COUNTIF($K$2:$K$10,INT(A897))&gt;0),1,0)</f>
        <v>1</v>
      </c>
      <c r="G897" s="34" t="n">
        <f aca="false">B897/1</f>
        <v>71.94</v>
      </c>
      <c r="H897" s="34" t="n">
        <f aca="false">IF(F897=1,G897,"")</f>
        <v>71.94</v>
      </c>
    </row>
    <row r="898" customFormat="false" ht="15" hidden="false" customHeight="false" outlineLevel="0" collapsed="false">
      <c r="A898" s="31" t="n">
        <v>42773.3333333333</v>
      </c>
      <c r="B898" s="32" t="n">
        <v>178.988</v>
      </c>
      <c r="D898" s="33" t="n">
        <f aca="false">WEEKDAY(A898,2)</f>
        <v>2</v>
      </c>
      <c r="E898" s="33" t="n">
        <f aca="false">HOUR(A898)+MINUTE(A898)/60</f>
        <v>8</v>
      </c>
      <c r="F898" s="33" t="n">
        <f aca="false">IF(OR(D898&gt;5,E898&lt;8,E898&gt;=18,COUNTIF($K$2:$K$10,INT(A898))&gt;0),1,0)</f>
        <v>0</v>
      </c>
      <c r="G898" s="34" t="n">
        <f aca="false">B898/1</f>
        <v>178.988</v>
      </c>
      <c r="H898" s="34" t="str">
        <f aca="false">IF(F898=1,G898,"")</f>
        <v/>
      </c>
    </row>
    <row r="899" customFormat="false" ht="15" hidden="false" customHeight="false" outlineLevel="0" collapsed="false">
      <c r="A899" s="31" t="n">
        <v>42773.375</v>
      </c>
      <c r="B899" s="32" t="n">
        <v>231.98</v>
      </c>
      <c r="D899" s="33" t="n">
        <f aca="false">WEEKDAY(A899,2)</f>
        <v>2</v>
      </c>
      <c r="E899" s="33" t="n">
        <f aca="false">HOUR(A899)+MINUTE(A899)/60</f>
        <v>9</v>
      </c>
      <c r="F899" s="33" t="n">
        <f aca="false">IF(OR(D899&gt;5,E899&lt;8,E899&gt;=18,COUNTIF($K$2:$K$10,INT(A899))&gt;0),1,0)</f>
        <v>0</v>
      </c>
      <c r="G899" s="34" t="n">
        <f aca="false">B899/1</f>
        <v>231.98</v>
      </c>
      <c r="H899" s="34" t="str">
        <f aca="false">IF(F899=1,G899,"")</f>
        <v/>
      </c>
    </row>
    <row r="900" customFormat="false" ht="15" hidden="false" customHeight="false" outlineLevel="0" collapsed="false">
      <c r="A900" s="31" t="n">
        <v>42773.4166666667</v>
      </c>
      <c r="B900" s="32" t="n">
        <v>257.876</v>
      </c>
      <c r="D900" s="33" t="n">
        <f aca="false">WEEKDAY(A900,2)</f>
        <v>2</v>
      </c>
      <c r="E900" s="33" t="n">
        <f aca="false">HOUR(A900)+MINUTE(A900)/60</f>
        <v>10</v>
      </c>
      <c r="F900" s="33" t="n">
        <f aca="false">IF(OR(D900&gt;5,E900&lt;8,E900&gt;=18,COUNTIF($K$2:$K$10,INT(A900))&gt;0),1,0)</f>
        <v>0</v>
      </c>
      <c r="G900" s="34" t="n">
        <f aca="false">B900/1</f>
        <v>257.876</v>
      </c>
      <c r="H900" s="34" t="str">
        <f aca="false">IF(F900=1,G900,"")</f>
        <v/>
      </c>
    </row>
    <row r="901" customFormat="false" ht="15" hidden="false" customHeight="false" outlineLevel="0" collapsed="false">
      <c r="A901" s="31" t="n">
        <v>42773.4583333333</v>
      </c>
      <c r="B901" s="32" t="n">
        <v>277.208</v>
      </c>
      <c r="D901" s="33" t="n">
        <f aca="false">WEEKDAY(A901,2)</f>
        <v>2</v>
      </c>
      <c r="E901" s="33" t="n">
        <f aca="false">HOUR(A901)+MINUTE(A901)/60</f>
        <v>11</v>
      </c>
      <c r="F901" s="33" t="n">
        <f aca="false">IF(OR(D901&gt;5,E901&lt;8,E901&gt;=18,COUNTIF($K$2:$K$10,INT(A901))&gt;0),1,0)</f>
        <v>0</v>
      </c>
      <c r="G901" s="34" t="n">
        <f aca="false">B901/1</f>
        <v>277.208</v>
      </c>
      <c r="H901" s="34" t="str">
        <f aca="false">IF(F901=1,G901,"")</f>
        <v/>
      </c>
    </row>
    <row r="902" customFormat="false" ht="15" hidden="false" customHeight="false" outlineLevel="0" collapsed="false">
      <c r="A902" s="31" t="n">
        <v>42773.5</v>
      </c>
      <c r="B902" s="32" t="n">
        <v>274.277</v>
      </c>
      <c r="D902" s="33" t="n">
        <f aca="false">WEEKDAY(A902,2)</f>
        <v>2</v>
      </c>
      <c r="E902" s="33" t="n">
        <f aca="false">HOUR(A902)+MINUTE(A902)/60</f>
        <v>12</v>
      </c>
      <c r="F902" s="33" t="n">
        <f aca="false">IF(OR(D902&gt;5,E902&lt;8,E902&gt;=18,COUNTIF($K$2:$K$10,INT(A902))&gt;0),1,0)</f>
        <v>0</v>
      </c>
      <c r="G902" s="34" t="n">
        <f aca="false">B902/1</f>
        <v>274.277</v>
      </c>
      <c r="H902" s="34" t="str">
        <f aca="false">IF(F902=1,G902,"")</f>
        <v/>
      </c>
    </row>
    <row r="903" customFormat="false" ht="15" hidden="false" customHeight="false" outlineLevel="0" collapsed="false">
      <c r="A903" s="31" t="n">
        <v>42773.5416666667</v>
      </c>
      <c r="B903" s="32" t="n">
        <v>269.022</v>
      </c>
      <c r="D903" s="33" t="n">
        <f aca="false">WEEKDAY(A903,2)</f>
        <v>2</v>
      </c>
      <c r="E903" s="33" t="n">
        <f aca="false">HOUR(A903)+MINUTE(A903)/60</f>
        <v>13</v>
      </c>
      <c r="F903" s="33" t="n">
        <f aca="false">IF(OR(D903&gt;5,E903&lt;8,E903&gt;=18,COUNTIF($K$2:$K$10,INT(A903))&gt;0),1,0)</f>
        <v>0</v>
      </c>
      <c r="G903" s="34" t="n">
        <f aca="false">B903/1</f>
        <v>269.022</v>
      </c>
      <c r="H903" s="34" t="str">
        <f aca="false">IF(F903=1,G903,"")</f>
        <v/>
      </c>
    </row>
    <row r="904" customFormat="false" ht="15" hidden="false" customHeight="false" outlineLevel="0" collapsed="false">
      <c r="A904" s="31" t="n">
        <v>42773.5833333333</v>
      </c>
      <c r="B904" s="32" t="n">
        <v>264.979</v>
      </c>
      <c r="D904" s="33" t="n">
        <f aca="false">WEEKDAY(A904,2)</f>
        <v>2</v>
      </c>
      <c r="E904" s="33" t="n">
        <f aca="false">HOUR(A904)+MINUTE(A904)/60</f>
        <v>14</v>
      </c>
      <c r="F904" s="33" t="n">
        <f aca="false">IF(OR(D904&gt;5,E904&lt;8,E904&gt;=18,COUNTIF($K$2:$K$10,INT(A904))&gt;0),1,0)</f>
        <v>0</v>
      </c>
      <c r="G904" s="34" t="n">
        <f aca="false">B904/1</f>
        <v>264.979</v>
      </c>
      <c r="H904" s="34" t="str">
        <f aca="false">IF(F904=1,G904,"")</f>
        <v/>
      </c>
    </row>
    <row r="905" customFormat="false" ht="15" hidden="false" customHeight="false" outlineLevel="0" collapsed="false">
      <c r="A905" s="31" t="n">
        <v>42773.625</v>
      </c>
      <c r="B905" s="32" t="n">
        <v>268.367</v>
      </c>
      <c r="D905" s="33" t="n">
        <f aca="false">WEEKDAY(A905,2)</f>
        <v>2</v>
      </c>
      <c r="E905" s="33" t="n">
        <f aca="false">HOUR(A905)+MINUTE(A905)/60</f>
        <v>15</v>
      </c>
      <c r="F905" s="33" t="n">
        <f aca="false">IF(OR(D905&gt;5,E905&lt;8,E905&gt;=18,COUNTIF($K$2:$K$10,INT(A905))&gt;0),1,0)</f>
        <v>0</v>
      </c>
      <c r="G905" s="34" t="n">
        <f aca="false">B905/1</f>
        <v>268.367</v>
      </c>
      <c r="H905" s="34" t="str">
        <f aca="false">IF(F905=1,G905,"")</f>
        <v/>
      </c>
    </row>
    <row r="906" customFormat="false" ht="15" hidden="false" customHeight="false" outlineLevel="0" collapsed="false">
      <c r="A906" s="31" t="n">
        <v>42773.6666666667</v>
      </c>
      <c r="B906" s="32" t="n">
        <v>260.195</v>
      </c>
      <c r="D906" s="33" t="n">
        <f aca="false">WEEKDAY(A906,2)</f>
        <v>2</v>
      </c>
      <c r="E906" s="33" t="n">
        <f aca="false">HOUR(A906)+MINUTE(A906)/60</f>
        <v>16</v>
      </c>
      <c r="F906" s="33" t="n">
        <f aca="false">IF(OR(D906&gt;5,E906&lt;8,E906&gt;=18,COUNTIF($K$2:$K$10,INT(A906))&gt;0),1,0)</f>
        <v>0</v>
      </c>
      <c r="G906" s="34" t="n">
        <f aca="false">B906/1</f>
        <v>260.195</v>
      </c>
      <c r="H906" s="34" t="str">
        <f aca="false">IF(F906=1,G906,"")</f>
        <v/>
      </c>
    </row>
    <row r="907" customFormat="false" ht="15" hidden="false" customHeight="false" outlineLevel="0" collapsed="false">
      <c r="A907" s="31" t="n">
        <v>42773.7083333333</v>
      </c>
      <c r="B907" s="32" t="n">
        <v>251.359</v>
      </c>
      <c r="D907" s="33" t="n">
        <f aca="false">WEEKDAY(A907,2)</f>
        <v>2</v>
      </c>
      <c r="E907" s="33" t="n">
        <f aca="false">HOUR(A907)+MINUTE(A907)/60</f>
        <v>17</v>
      </c>
      <c r="F907" s="33" t="n">
        <f aca="false">IF(OR(D907&gt;5,E907&lt;8,E907&gt;=18,COUNTIF($K$2:$K$10,INT(A907))&gt;0),1,0)</f>
        <v>0</v>
      </c>
      <c r="G907" s="34" t="n">
        <f aca="false">B907/1</f>
        <v>251.359</v>
      </c>
      <c r="H907" s="34" t="str">
        <f aca="false">IF(F907=1,G907,"")</f>
        <v/>
      </c>
    </row>
    <row r="908" customFormat="false" ht="15" hidden="false" customHeight="false" outlineLevel="0" collapsed="false">
      <c r="A908" s="31" t="n">
        <v>42773.75</v>
      </c>
      <c r="B908" s="32" t="n">
        <v>228.45</v>
      </c>
      <c r="D908" s="33" t="n">
        <f aca="false">WEEKDAY(A908,2)</f>
        <v>2</v>
      </c>
      <c r="E908" s="33" t="n">
        <f aca="false">HOUR(A908)+MINUTE(A908)/60</f>
        <v>18</v>
      </c>
      <c r="F908" s="33" t="n">
        <f aca="false">IF(OR(D908&gt;5,E908&lt;8,E908&gt;=18,COUNTIF($K$2:$K$10,INT(A908))&gt;0),1,0)</f>
        <v>1</v>
      </c>
      <c r="G908" s="34" t="n">
        <f aca="false">B908/1</f>
        <v>228.45</v>
      </c>
      <c r="H908" s="34" t="n">
        <f aca="false">IF(F908=1,G908,"")</f>
        <v>228.45</v>
      </c>
    </row>
    <row r="909" customFormat="false" ht="15" hidden="false" customHeight="false" outlineLevel="0" collapsed="false">
      <c r="A909" s="31" t="n">
        <v>42773.7916666667</v>
      </c>
      <c r="B909" s="32" t="n">
        <v>226.987</v>
      </c>
      <c r="D909" s="33" t="n">
        <f aca="false">WEEKDAY(A909,2)</f>
        <v>2</v>
      </c>
      <c r="E909" s="33" t="n">
        <f aca="false">HOUR(A909)+MINUTE(A909)/60</f>
        <v>19</v>
      </c>
      <c r="F909" s="33" t="n">
        <f aca="false">IF(OR(D909&gt;5,E909&lt;8,E909&gt;=18,COUNTIF($K$2:$K$10,INT(A909))&gt;0),1,0)</f>
        <v>1</v>
      </c>
      <c r="G909" s="34" t="n">
        <f aca="false">B909/1</f>
        <v>226.987</v>
      </c>
      <c r="H909" s="34" t="n">
        <f aca="false">IF(F909=1,G909,"")</f>
        <v>226.987</v>
      </c>
    </row>
    <row r="910" customFormat="false" ht="15" hidden="false" customHeight="false" outlineLevel="0" collapsed="false">
      <c r="A910" s="31" t="n">
        <v>42773.8333333333</v>
      </c>
      <c r="B910" s="32" t="n">
        <v>210.599</v>
      </c>
      <c r="D910" s="33" t="n">
        <f aca="false">WEEKDAY(A910,2)</f>
        <v>2</v>
      </c>
      <c r="E910" s="33" t="n">
        <f aca="false">HOUR(A910)+MINUTE(A910)/60</f>
        <v>20</v>
      </c>
      <c r="F910" s="33" t="n">
        <f aca="false">IF(OR(D910&gt;5,E910&lt;8,E910&gt;=18,COUNTIF($K$2:$K$10,INT(A910))&gt;0),1,0)</f>
        <v>1</v>
      </c>
      <c r="G910" s="34" t="n">
        <f aca="false">B910/1</f>
        <v>210.599</v>
      </c>
      <c r="H910" s="34" t="n">
        <f aca="false">IF(F910=1,G910,"")</f>
        <v>210.599</v>
      </c>
    </row>
    <row r="911" customFormat="false" ht="15" hidden="false" customHeight="false" outlineLevel="0" collapsed="false">
      <c r="A911" s="31" t="n">
        <v>42773.875</v>
      </c>
      <c r="B911" s="32" t="n">
        <v>201.415</v>
      </c>
      <c r="D911" s="33" t="n">
        <f aca="false">WEEKDAY(A911,2)</f>
        <v>2</v>
      </c>
      <c r="E911" s="33" t="n">
        <f aca="false">HOUR(A911)+MINUTE(A911)/60</f>
        <v>21</v>
      </c>
      <c r="F911" s="33" t="n">
        <f aca="false">IF(OR(D911&gt;5,E911&lt;8,E911&gt;=18,COUNTIF($K$2:$K$10,INT(A911))&gt;0),1,0)</f>
        <v>1</v>
      </c>
      <c r="G911" s="34" t="n">
        <f aca="false">B911/1</f>
        <v>201.415</v>
      </c>
      <c r="H911" s="34" t="n">
        <f aca="false">IF(F911=1,G911,"")</f>
        <v>201.415</v>
      </c>
    </row>
    <row r="912" customFormat="false" ht="15" hidden="false" customHeight="false" outlineLevel="0" collapsed="false">
      <c r="A912" s="31" t="n">
        <v>42773.9166666667</v>
      </c>
      <c r="B912" s="32" t="n">
        <v>145.581</v>
      </c>
      <c r="D912" s="33" t="n">
        <f aca="false">WEEKDAY(A912,2)</f>
        <v>2</v>
      </c>
      <c r="E912" s="33" t="n">
        <f aca="false">HOUR(A912)+MINUTE(A912)/60</f>
        <v>22</v>
      </c>
      <c r="F912" s="33" t="n">
        <f aca="false">IF(OR(D912&gt;5,E912&lt;8,E912&gt;=18,COUNTIF($K$2:$K$10,INT(A912))&gt;0),1,0)</f>
        <v>1</v>
      </c>
      <c r="G912" s="34" t="n">
        <f aca="false">B912/1</f>
        <v>145.581</v>
      </c>
      <c r="H912" s="34" t="n">
        <f aca="false">IF(F912=1,G912,"")</f>
        <v>145.581</v>
      </c>
    </row>
    <row r="913" customFormat="false" ht="15" hidden="false" customHeight="false" outlineLevel="0" collapsed="false">
      <c r="A913" s="31" t="n">
        <v>42773.9583333333</v>
      </c>
      <c r="B913" s="32" t="n">
        <v>78.243</v>
      </c>
      <c r="D913" s="33" t="n">
        <f aca="false">WEEKDAY(A913,2)</f>
        <v>2</v>
      </c>
      <c r="E913" s="33" t="n">
        <f aca="false">HOUR(A913)+MINUTE(A913)/60</f>
        <v>23</v>
      </c>
      <c r="F913" s="33" t="n">
        <f aca="false">IF(OR(D913&gt;5,E913&lt;8,E913&gt;=18,COUNTIF($K$2:$K$10,INT(A913))&gt;0),1,0)</f>
        <v>1</v>
      </c>
      <c r="G913" s="34" t="n">
        <f aca="false">B913/1</f>
        <v>78.243</v>
      </c>
      <c r="H913" s="34" t="n">
        <f aca="false">IF(F913=1,G913,"")</f>
        <v>78.243</v>
      </c>
    </row>
    <row r="914" customFormat="false" ht="15" hidden="false" customHeight="false" outlineLevel="0" collapsed="false">
      <c r="A914" s="31" t="n">
        <v>42774</v>
      </c>
      <c r="B914" s="32" t="n">
        <v>72.489</v>
      </c>
      <c r="D914" s="33" t="n">
        <f aca="false">WEEKDAY(A914,2)</f>
        <v>3</v>
      </c>
      <c r="E914" s="33" t="n">
        <f aca="false">HOUR(A914)+MINUTE(A914)/60</f>
        <v>0</v>
      </c>
      <c r="F914" s="33" t="n">
        <f aca="false">IF(OR(D914&gt;5,E914&lt;8,E914&gt;=18,COUNTIF($K$2:$K$10,INT(A914))&gt;0),1,0)</f>
        <v>1</v>
      </c>
      <c r="G914" s="34" t="n">
        <f aca="false">B914/1</f>
        <v>72.489</v>
      </c>
      <c r="H914" s="34" t="n">
        <f aca="false">IF(F914=1,G914,"")</f>
        <v>72.489</v>
      </c>
    </row>
    <row r="915" customFormat="false" ht="15" hidden="false" customHeight="false" outlineLevel="0" collapsed="false">
      <c r="A915" s="31" t="n">
        <v>42774.0416666667</v>
      </c>
      <c r="B915" s="32" t="n">
        <v>68.653</v>
      </c>
      <c r="D915" s="33" t="n">
        <f aca="false">WEEKDAY(A915,2)</f>
        <v>3</v>
      </c>
      <c r="E915" s="33" t="n">
        <f aca="false">HOUR(A915)+MINUTE(A915)/60</f>
        <v>1</v>
      </c>
      <c r="F915" s="33" t="n">
        <f aca="false">IF(OR(D915&gt;5,E915&lt;8,E915&gt;=18,COUNTIF($K$2:$K$10,INT(A915))&gt;0),1,0)</f>
        <v>1</v>
      </c>
      <c r="G915" s="34" t="n">
        <f aca="false">B915/1</f>
        <v>68.653</v>
      </c>
      <c r="H915" s="34" t="n">
        <f aca="false">IF(F915=1,G915,"")</f>
        <v>68.653</v>
      </c>
    </row>
    <row r="916" customFormat="false" ht="15" hidden="false" customHeight="false" outlineLevel="0" collapsed="false">
      <c r="A916" s="31" t="n">
        <v>42774.0833333333</v>
      </c>
      <c r="B916" s="32" t="n">
        <v>68.606</v>
      </c>
      <c r="D916" s="33" t="n">
        <f aca="false">WEEKDAY(A916,2)</f>
        <v>3</v>
      </c>
      <c r="E916" s="33" t="n">
        <f aca="false">HOUR(A916)+MINUTE(A916)/60</f>
        <v>2</v>
      </c>
      <c r="F916" s="33" t="n">
        <f aca="false">IF(OR(D916&gt;5,E916&lt;8,E916&gt;=18,COUNTIF($K$2:$K$10,INT(A916))&gt;0),1,0)</f>
        <v>1</v>
      </c>
      <c r="G916" s="34" t="n">
        <f aca="false">B916/1</f>
        <v>68.606</v>
      </c>
      <c r="H916" s="34" t="n">
        <f aca="false">IF(F916=1,G916,"")</f>
        <v>68.606</v>
      </c>
    </row>
    <row r="917" customFormat="false" ht="15" hidden="false" customHeight="false" outlineLevel="0" collapsed="false">
      <c r="A917" s="31" t="n">
        <v>42774.125</v>
      </c>
      <c r="B917" s="32" t="n">
        <v>68.369</v>
      </c>
      <c r="D917" s="33" t="n">
        <f aca="false">WEEKDAY(A917,2)</f>
        <v>3</v>
      </c>
      <c r="E917" s="33" t="n">
        <f aca="false">HOUR(A917)+MINUTE(A917)/60</f>
        <v>3</v>
      </c>
      <c r="F917" s="33" t="n">
        <f aca="false">IF(OR(D917&gt;5,E917&lt;8,E917&gt;=18,COUNTIF($K$2:$K$10,INT(A917))&gt;0),1,0)</f>
        <v>1</v>
      </c>
      <c r="G917" s="34" t="n">
        <f aca="false">B917/1</f>
        <v>68.369</v>
      </c>
      <c r="H917" s="34" t="n">
        <f aca="false">IF(F917=1,G917,"")</f>
        <v>68.369</v>
      </c>
    </row>
    <row r="918" customFormat="false" ht="15" hidden="false" customHeight="false" outlineLevel="0" collapsed="false">
      <c r="A918" s="31" t="n">
        <v>42774.1666666667</v>
      </c>
      <c r="B918" s="32" t="n">
        <v>67.68</v>
      </c>
      <c r="D918" s="33" t="n">
        <f aca="false">WEEKDAY(A918,2)</f>
        <v>3</v>
      </c>
      <c r="E918" s="33" t="n">
        <f aca="false">HOUR(A918)+MINUTE(A918)/60</f>
        <v>4</v>
      </c>
      <c r="F918" s="33" t="n">
        <f aca="false">IF(OR(D918&gt;5,E918&lt;8,E918&gt;=18,COUNTIF($K$2:$K$10,INT(A918))&gt;0),1,0)</f>
        <v>1</v>
      </c>
      <c r="G918" s="34" t="n">
        <f aca="false">B918/1</f>
        <v>67.68</v>
      </c>
      <c r="H918" s="34" t="n">
        <f aca="false">IF(F918=1,G918,"")</f>
        <v>67.68</v>
      </c>
    </row>
    <row r="919" customFormat="false" ht="15" hidden="false" customHeight="false" outlineLevel="0" collapsed="false">
      <c r="A919" s="31" t="n">
        <v>42774.2083333333</v>
      </c>
      <c r="B919" s="32" t="n">
        <v>69.651</v>
      </c>
      <c r="D919" s="33" t="n">
        <f aca="false">WEEKDAY(A919,2)</f>
        <v>3</v>
      </c>
      <c r="E919" s="33" t="n">
        <f aca="false">HOUR(A919)+MINUTE(A919)/60</f>
        <v>5</v>
      </c>
      <c r="F919" s="33" t="n">
        <f aca="false">IF(OR(D919&gt;5,E919&lt;8,E919&gt;=18,COUNTIF($K$2:$K$10,INT(A919))&gt;0),1,0)</f>
        <v>1</v>
      </c>
      <c r="G919" s="34" t="n">
        <f aca="false">B919/1</f>
        <v>69.651</v>
      </c>
      <c r="H919" s="34" t="n">
        <f aca="false">IF(F919=1,G919,"")</f>
        <v>69.651</v>
      </c>
    </row>
    <row r="920" customFormat="false" ht="15" hidden="false" customHeight="false" outlineLevel="0" collapsed="false">
      <c r="A920" s="31" t="n">
        <v>42774.25</v>
      </c>
      <c r="B920" s="32" t="n">
        <v>69.651</v>
      </c>
      <c r="D920" s="33" t="n">
        <f aca="false">WEEKDAY(A920,2)</f>
        <v>3</v>
      </c>
      <c r="E920" s="33" t="n">
        <f aca="false">HOUR(A920)+MINUTE(A920)/60</f>
        <v>6</v>
      </c>
      <c r="F920" s="33" t="n">
        <f aca="false">IF(OR(D920&gt;5,E920&lt;8,E920&gt;=18,COUNTIF($K$2:$K$10,INT(A920))&gt;0),1,0)</f>
        <v>1</v>
      </c>
      <c r="G920" s="34" t="n">
        <f aca="false">B920/1</f>
        <v>69.651</v>
      </c>
      <c r="H920" s="34" t="n">
        <f aca="false">IF(F920=1,G920,"")</f>
        <v>69.651</v>
      </c>
    </row>
    <row r="921" customFormat="false" ht="15" hidden="false" customHeight="false" outlineLevel="0" collapsed="false">
      <c r="A921" s="31" t="n">
        <v>42774.2916666667</v>
      </c>
      <c r="B921" s="32" t="n">
        <v>75.847</v>
      </c>
      <c r="D921" s="33" t="n">
        <f aca="false">WEEKDAY(A921,2)</f>
        <v>3</v>
      </c>
      <c r="E921" s="33" t="n">
        <f aca="false">HOUR(A921)+MINUTE(A921)/60</f>
        <v>7</v>
      </c>
      <c r="F921" s="33" t="n">
        <f aca="false">IF(OR(D921&gt;5,E921&lt;8,E921&gt;=18,COUNTIF($K$2:$K$10,INT(A921))&gt;0),1,0)</f>
        <v>1</v>
      </c>
      <c r="G921" s="34" t="n">
        <f aca="false">B921/1</f>
        <v>75.847</v>
      </c>
      <c r="H921" s="34" t="n">
        <f aca="false">IF(F921=1,G921,"")</f>
        <v>75.847</v>
      </c>
    </row>
    <row r="922" customFormat="false" ht="15" hidden="false" customHeight="false" outlineLevel="0" collapsed="false">
      <c r="A922" s="31" t="n">
        <v>42774.3333333333</v>
      </c>
      <c r="B922" s="32" t="n">
        <v>180.254</v>
      </c>
      <c r="D922" s="33" t="n">
        <f aca="false">WEEKDAY(A922,2)</f>
        <v>3</v>
      </c>
      <c r="E922" s="33" t="n">
        <f aca="false">HOUR(A922)+MINUTE(A922)/60</f>
        <v>8</v>
      </c>
      <c r="F922" s="33" t="n">
        <f aca="false">IF(OR(D922&gt;5,E922&lt;8,E922&gt;=18,COUNTIF($K$2:$K$10,INT(A922))&gt;0),1,0)</f>
        <v>0</v>
      </c>
      <c r="G922" s="34" t="n">
        <f aca="false">B922/1</f>
        <v>180.254</v>
      </c>
      <c r="H922" s="34" t="str">
        <f aca="false">IF(F922=1,G922,"")</f>
        <v/>
      </c>
    </row>
    <row r="923" customFormat="false" ht="15" hidden="false" customHeight="false" outlineLevel="0" collapsed="false">
      <c r="A923" s="31" t="n">
        <v>42774.375</v>
      </c>
      <c r="B923" s="32" t="n">
        <v>229.545</v>
      </c>
      <c r="D923" s="33" t="n">
        <f aca="false">WEEKDAY(A923,2)</f>
        <v>3</v>
      </c>
      <c r="E923" s="33" t="n">
        <f aca="false">HOUR(A923)+MINUTE(A923)/60</f>
        <v>9</v>
      </c>
      <c r="F923" s="33" t="n">
        <f aca="false">IF(OR(D923&gt;5,E923&lt;8,E923&gt;=18,COUNTIF($K$2:$K$10,INT(A923))&gt;0),1,0)</f>
        <v>0</v>
      </c>
      <c r="G923" s="34" t="n">
        <f aca="false">B923/1</f>
        <v>229.545</v>
      </c>
      <c r="H923" s="34" t="str">
        <f aca="false">IF(F923=1,G923,"")</f>
        <v/>
      </c>
    </row>
    <row r="924" customFormat="false" ht="15" hidden="false" customHeight="false" outlineLevel="0" collapsed="false">
      <c r="A924" s="31" t="n">
        <v>42774.4166666667</v>
      </c>
      <c r="B924" s="32" t="n">
        <v>254.048</v>
      </c>
      <c r="D924" s="33" t="n">
        <f aca="false">WEEKDAY(A924,2)</f>
        <v>3</v>
      </c>
      <c r="E924" s="33" t="n">
        <f aca="false">HOUR(A924)+MINUTE(A924)/60</f>
        <v>10</v>
      </c>
      <c r="F924" s="33" t="n">
        <f aca="false">IF(OR(D924&gt;5,E924&lt;8,E924&gt;=18,COUNTIF($K$2:$K$10,INT(A924))&gt;0),1,0)</f>
        <v>0</v>
      </c>
      <c r="G924" s="34" t="n">
        <f aca="false">B924/1</f>
        <v>254.048</v>
      </c>
      <c r="H924" s="34" t="str">
        <f aca="false">IF(F924=1,G924,"")</f>
        <v/>
      </c>
    </row>
    <row r="925" customFormat="false" ht="15" hidden="false" customHeight="false" outlineLevel="0" collapsed="false">
      <c r="A925" s="31" t="n">
        <v>42774.4583333333</v>
      </c>
      <c r="B925" s="32" t="n">
        <v>268.128</v>
      </c>
      <c r="D925" s="33" t="n">
        <f aca="false">WEEKDAY(A925,2)</f>
        <v>3</v>
      </c>
      <c r="E925" s="33" t="n">
        <f aca="false">HOUR(A925)+MINUTE(A925)/60</f>
        <v>11</v>
      </c>
      <c r="F925" s="33" t="n">
        <f aca="false">IF(OR(D925&gt;5,E925&lt;8,E925&gt;=18,COUNTIF($K$2:$K$10,INT(A925))&gt;0),1,0)</f>
        <v>0</v>
      </c>
      <c r="G925" s="34" t="n">
        <f aca="false">B925/1</f>
        <v>268.128</v>
      </c>
      <c r="H925" s="34" t="str">
        <f aca="false">IF(F925=1,G925,"")</f>
        <v/>
      </c>
    </row>
    <row r="926" customFormat="false" ht="15" hidden="false" customHeight="false" outlineLevel="0" collapsed="false">
      <c r="A926" s="31" t="n">
        <v>42774.5</v>
      </c>
      <c r="B926" s="32" t="n">
        <v>273.397</v>
      </c>
      <c r="D926" s="33" t="n">
        <f aca="false">WEEKDAY(A926,2)</f>
        <v>3</v>
      </c>
      <c r="E926" s="33" t="n">
        <f aca="false">HOUR(A926)+MINUTE(A926)/60</f>
        <v>12</v>
      </c>
      <c r="F926" s="33" t="n">
        <f aca="false">IF(OR(D926&gt;5,E926&lt;8,E926&gt;=18,COUNTIF($K$2:$K$10,INT(A926))&gt;0),1,0)</f>
        <v>0</v>
      </c>
      <c r="G926" s="34" t="n">
        <f aca="false">B926/1</f>
        <v>273.397</v>
      </c>
      <c r="H926" s="34" t="str">
        <f aca="false">IF(F926=1,G926,"")</f>
        <v/>
      </c>
    </row>
    <row r="927" customFormat="false" ht="15" hidden="false" customHeight="false" outlineLevel="0" collapsed="false">
      <c r="A927" s="31" t="n">
        <v>42774.5416666667</v>
      </c>
      <c r="B927" s="32" t="n">
        <v>264.595</v>
      </c>
      <c r="D927" s="33" t="n">
        <f aca="false">WEEKDAY(A927,2)</f>
        <v>3</v>
      </c>
      <c r="E927" s="33" t="n">
        <f aca="false">HOUR(A927)+MINUTE(A927)/60</f>
        <v>13</v>
      </c>
      <c r="F927" s="33" t="n">
        <f aca="false">IF(OR(D927&gt;5,E927&lt;8,E927&gt;=18,COUNTIF($K$2:$K$10,INT(A927))&gt;0),1,0)</f>
        <v>0</v>
      </c>
      <c r="G927" s="34" t="n">
        <f aca="false">B927/1</f>
        <v>264.595</v>
      </c>
      <c r="H927" s="34" t="str">
        <f aca="false">IF(F927=1,G927,"")</f>
        <v/>
      </c>
    </row>
    <row r="928" customFormat="false" ht="15" hidden="false" customHeight="false" outlineLevel="0" collapsed="false">
      <c r="A928" s="31" t="n">
        <v>42774.5833333333</v>
      </c>
      <c r="B928" s="32" t="n">
        <v>253.082</v>
      </c>
      <c r="D928" s="33" t="n">
        <f aca="false">WEEKDAY(A928,2)</f>
        <v>3</v>
      </c>
      <c r="E928" s="33" t="n">
        <f aca="false">HOUR(A928)+MINUTE(A928)/60</f>
        <v>14</v>
      </c>
      <c r="F928" s="33" t="n">
        <f aca="false">IF(OR(D928&gt;5,E928&lt;8,E928&gt;=18,COUNTIF($K$2:$K$10,INT(A928))&gt;0),1,0)</f>
        <v>0</v>
      </c>
      <c r="G928" s="34" t="n">
        <f aca="false">B928/1</f>
        <v>253.082</v>
      </c>
      <c r="H928" s="34" t="str">
        <f aca="false">IF(F928=1,G928,"")</f>
        <v/>
      </c>
    </row>
    <row r="929" customFormat="false" ht="15" hidden="false" customHeight="false" outlineLevel="0" collapsed="false">
      <c r="A929" s="31" t="n">
        <v>42774.625</v>
      </c>
      <c r="B929" s="32" t="n">
        <v>252.496</v>
      </c>
      <c r="D929" s="33" t="n">
        <f aca="false">WEEKDAY(A929,2)</f>
        <v>3</v>
      </c>
      <c r="E929" s="33" t="n">
        <f aca="false">HOUR(A929)+MINUTE(A929)/60</f>
        <v>15</v>
      </c>
      <c r="F929" s="33" t="n">
        <f aca="false">IF(OR(D929&gt;5,E929&lt;8,E929&gt;=18,COUNTIF($K$2:$K$10,INT(A929))&gt;0),1,0)</f>
        <v>0</v>
      </c>
      <c r="G929" s="34" t="n">
        <f aca="false">B929/1</f>
        <v>252.496</v>
      </c>
      <c r="H929" s="34" t="str">
        <f aca="false">IF(F929=1,G929,"")</f>
        <v/>
      </c>
    </row>
    <row r="930" customFormat="false" ht="15" hidden="false" customHeight="false" outlineLevel="0" collapsed="false">
      <c r="A930" s="31" t="n">
        <v>42774.6666666667</v>
      </c>
      <c r="B930" s="32" t="n">
        <v>253.187</v>
      </c>
      <c r="D930" s="33" t="n">
        <f aca="false">WEEKDAY(A930,2)</f>
        <v>3</v>
      </c>
      <c r="E930" s="33" t="n">
        <f aca="false">HOUR(A930)+MINUTE(A930)/60</f>
        <v>16</v>
      </c>
      <c r="F930" s="33" t="n">
        <f aca="false">IF(OR(D930&gt;5,E930&lt;8,E930&gt;=18,COUNTIF($K$2:$K$10,INT(A930))&gt;0),1,0)</f>
        <v>0</v>
      </c>
      <c r="G930" s="34" t="n">
        <f aca="false">B930/1</f>
        <v>253.187</v>
      </c>
      <c r="H930" s="34" t="str">
        <f aca="false">IF(F930=1,G930,"")</f>
        <v/>
      </c>
    </row>
    <row r="931" customFormat="false" ht="15" hidden="false" customHeight="false" outlineLevel="0" collapsed="false">
      <c r="A931" s="31" t="n">
        <v>42774.7083333333</v>
      </c>
      <c r="B931" s="32" t="n">
        <v>238.59</v>
      </c>
      <c r="D931" s="33" t="n">
        <f aca="false">WEEKDAY(A931,2)</f>
        <v>3</v>
      </c>
      <c r="E931" s="33" t="n">
        <f aca="false">HOUR(A931)+MINUTE(A931)/60</f>
        <v>17</v>
      </c>
      <c r="F931" s="33" t="n">
        <f aca="false">IF(OR(D931&gt;5,E931&lt;8,E931&gt;=18,COUNTIF($K$2:$K$10,INT(A931))&gt;0),1,0)</f>
        <v>0</v>
      </c>
      <c r="G931" s="34" t="n">
        <f aca="false">B931/1</f>
        <v>238.59</v>
      </c>
      <c r="H931" s="34" t="str">
        <f aca="false">IF(F931=1,G931,"")</f>
        <v/>
      </c>
    </row>
    <row r="932" customFormat="false" ht="15" hidden="false" customHeight="false" outlineLevel="0" collapsed="false">
      <c r="A932" s="31" t="n">
        <v>42774.75</v>
      </c>
      <c r="B932" s="32" t="n">
        <v>221.225</v>
      </c>
      <c r="D932" s="33" t="n">
        <f aca="false">WEEKDAY(A932,2)</f>
        <v>3</v>
      </c>
      <c r="E932" s="33" t="n">
        <f aca="false">HOUR(A932)+MINUTE(A932)/60</f>
        <v>18</v>
      </c>
      <c r="F932" s="33" t="n">
        <f aca="false">IF(OR(D932&gt;5,E932&lt;8,E932&gt;=18,COUNTIF($K$2:$K$10,INT(A932))&gt;0),1,0)</f>
        <v>1</v>
      </c>
      <c r="G932" s="34" t="n">
        <f aca="false">B932/1</f>
        <v>221.225</v>
      </c>
      <c r="H932" s="34" t="n">
        <f aca="false">IF(F932=1,G932,"")</f>
        <v>221.225</v>
      </c>
    </row>
    <row r="933" customFormat="false" ht="15" hidden="false" customHeight="false" outlineLevel="0" collapsed="false">
      <c r="A933" s="31" t="n">
        <v>42774.7916666667</v>
      </c>
      <c r="B933" s="32" t="n">
        <v>211.187</v>
      </c>
      <c r="D933" s="33" t="n">
        <f aca="false">WEEKDAY(A933,2)</f>
        <v>3</v>
      </c>
      <c r="E933" s="33" t="n">
        <f aca="false">HOUR(A933)+MINUTE(A933)/60</f>
        <v>19</v>
      </c>
      <c r="F933" s="33" t="n">
        <f aca="false">IF(OR(D933&gt;5,E933&lt;8,E933&gt;=18,COUNTIF($K$2:$K$10,INT(A933))&gt;0),1,0)</f>
        <v>1</v>
      </c>
      <c r="G933" s="34" t="n">
        <f aca="false">B933/1</f>
        <v>211.187</v>
      </c>
      <c r="H933" s="34" t="n">
        <f aca="false">IF(F933=1,G933,"")</f>
        <v>211.187</v>
      </c>
    </row>
    <row r="934" customFormat="false" ht="15" hidden="false" customHeight="false" outlineLevel="0" collapsed="false">
      <c r="A934" s="31" t="n">
        <v>42774.8333333333</v>
      </c>
      <c r="B934" s="32" t="n">
        <v>204.418</v>
      </c>
      <c r="D934" s="33" t="n">
        <f aca="false">WEEKDAY(A934,2)</f>
        <v>3</v>
      </c>
      <c r="E934" s="33" t="n">
        <f aca="false">HOUR(A934)+MINUTE(A934)/60</f>
        <v>20</v>
      </c>
      <c r="F934" s="33" t="n">
        <f aca="false">IF(OR(D934&gt;5,E934&lt;8,E934&gt;=18,COUNTIF($K$2:$K$10,INT(A934))&gt;0),1,0)</f>
        <v>1</v>
      </c>
      <c r="G934" s="34" t="n">
        <f aca="false">B934/1</f>
        <v>204.418</v>
      </c>
      <c r="H934" s="34" t="n">
        <f aca="false">IF(F934=1,G934,"")</f>
        <v>204.418</v>
      </c>
    </row>
    <row r="935" customFormat="false" ht="15" hidden="false" customHeight="false" outlineLevel="0" collapsed="false">
      <c r="A935" s="31" t="n">
        <v>42774.875</v>
      </c>
      <c r="B935" s="32" t="n">
        <v>192.453</v>
      </c>
      <c r="D935" s="33" t="n">
        <f aca="false">WEEKDAY(A935,2)</f>
        <v>3</v>
      </c>
      <c r="E935" s="33" t="n">
        <f aca="false">HOUR(A935)+MINUTE(A935)/60</f>
        <v>21</v>
      </c>
      <c r="F935" s="33" t="n">
        <f aca="false">IF(OR(D935&gt;5,E935&lt;8,E935&gt;=18,COUNTIF($K$2:$K$10,INT(A935))&gt;0),1,0)</f>
        <v>1</v>
      </c>
      <c r="G935" s="34" t="n">
        <f aca="false">B935/1</f>
        <v>192.453</v>
      </c>
      <c r="H935" s="34" t="n">
        <f aca="false">IF(F935=1,G935,"")</f>
        <v>192.453</v>
      </c>
    </row>
    <row r="936" customFormat="false" ht="15" hidden="false" customHeight="false" outlineLevel="0" collapsed="false">
      <c r="A936" s="31" t="n">
        <v>42774.9166666667</v>
      </c>
      <c r="B936" s="32" t="n">
        <v>138.251</v>
      </c>
      <c r="D936" s="33" t="n">
        <f aca="false">WEEKDAY(A936,2)</f>
        <v>3</v>
      </c>
      <c r="E936" s="33" t="n">
        <f aca="false">HOUR(A936)+MINUTE(A936)/60</f>
        <v>22</v>
      </c>
      <c r="F936" s="33" t="n">
        <f aca="false">IF(OR(D936&gt;5,E936&lt;8,E936&gt;=18,COUNTIF($K$2:$K$10,INT(A936))&gt;0),1,0)</f>
        <v>1</v>
      </c>
      <c r="G936" s="34" t="n">
        <f aca="false">B936/1</f>
        <v>138.251</v>
      </c>
      <c r="H936" s="34" t="n">
        <f aca="false">IF(F936=1,G936,"")</f>
        <v>138.251</v>
      </c>
    </row>
    <row r="937" customFormat="false" ht="15" hidden="false" customHeight="false" outlineLevel="0" collapsed="false">
      <c r="A937" s="31" t="n">
        <v>42774.9583333333</v>
      </c>
      <c r="B937" s="32" t="n">
        <v>75.956</v>
      </c>
      <c r="D937" s="33" t="n">
        <f aca="false">WEEKDAY(A937,2)</f>
        <v>3</v>
      </c>
      <c r="E937" s="33" t="n">
        <f aca="false">HOUR(A937)+MINUTE(A937)/60</f>
        <v>23</v>
      </c>
      <c r="F937" s="33" t="n">
        <f aca="false">IF(OR(D937&gt;5,E937&lt;8,E937&gt;=18,COUNTIF($K$2:$K$10,INT(A937))&gt;0),1,0)</f>
        <v>1</v>
      </c>
      <c r="G937" s="34" t="n">
        <f aca="false">B937/1</f>
        <v>75.956</v>
      </c>
      <c r="H937" s="34" t="n">
        <f aca="false">IF(F937=1,G937,"")</f>
        <v>75.956</v>
      </c>
    </row>
    <row r="938" customFormat="false" ht="15" hidden="false" customHeight="false" outlineLevel="0" collapsed="false">
      <c r="A938" s="31" t="n">
        <v>42775</v>
      </c>
      <c r="B938" s="32" t="n">
        <v>73.91</v>
      </c>
      <c r="D938" s="33" t="n">
        <f aca="false">WEEKDAY(A938,2)</f>
        <v>4</v>
      </c>
      <c r="E938" s="33" t="n">
        <f aca="false">HOUR(A938)+MINUTE(A938)/60</f>
        <v>0</v>
      </c>
      <c r="F938" s="33" t="n">
        <f aca="false">IF(OR(D938&gt;5,E938&lt;8,E938&gt;=18,COUNTIF($K$2:$K$10,INT(A938))&gt;0),1,0)</f>
        <v>1</v>
      </c>
      <c r="G938" s="34" t="n">
        <f aca="false">B938/1</f>
        <v>73.91</v>
      </c>
      <c r="H938" s="34" t="n">
        <f aca="false">IF(F938=1,G938,"")</f>
        <v>73.91</v>
      </c>
    </row>
    <row r="939" customFormat="false" ht="15" hidden="false" customHeight="false" outlineLevel="0" collapsed="false">
      <c r="A939" s="31" t="n">
        <v>42775.0416666667</v>
      </c>
      <c r="B939" s="32" t="n">
        <v>66.884</v>
      </c>
      <c r="D939" s="33" t="n">
        <f aca="false">WEEKDAY(A939,2)</f>
        <v>4</v>
      </c>
      <c r="E939" s="33" t="n">
        <f aca="false">HOUR(A939)+MINUTE(A939)/60</f>
        <v>1</v>
      </c>
      <c r="F939" s="33" t="n">
        <f aca="false">IF(OR(D939&gt;5,E939&lt;8,E939&gt;=18,COUNTIF($K$2:$K$10,INT(A939))&gt;0),1,0)</f>
        <v>1</v>
      </c>
      <c r="G939" s="34" t="n">
        <f aca="false">B939/1</f>
        <v>66.884</v>
      </c>
      <c r="H939" s="34" t="n">
        <f aca="false">IF(F939=1,G939,"")</f>
        <v>66.884</v>
      </c>
    </row>
    <row r="940" customFormat="false" ht="15" hidden="false" customHeight="false" outlineLevel="0" collapsed="false">
      <c r="A940" s="31" t="n">
        <v>42775.0833333333</v>
      </c>
      <c r="B940" s="32" t="n">
        <v>66.932</v>
      </c>
      <c r="D940" s="33" t="n">
        <f aca="false">WEEKDAY(A940,2)</f>
        <v>4</v>
      </c>
      <c r="E940" s="33" t="n">
        <f aca="false">HOUR(A940)+MINUTE(A940)/60</f>
        <v>2</v>
      </c>
      <c r="F940" s="33" t="n">
        <f aca="false">IF(OR(D940&gt;5,E940&lt;8,E940&gt;=18,COUNTIF($K$2:$K$10,INT(A940))&gt;0),1,0)</f>
        <v>1</v>
      </c>
      <c r="G940" s="34" t="n">
        <f aca="false">B940/1</f>
        <v>66.932</v>
      </c>
      <c r="H940" s="34" t="n">
        <f aca="false">IF(F940=1,G940,"")</f>
        <v>66.932</v>
      </c>
    </row>
    <row r="941" customFormat="false" ht="15" hidden="false" customHeight="false" outlineLevel="0" collapsed="false">
      <c r="A941" s="31" t="n">
        <v>42775.125</v>
      </c>
      <c r="B941" s="32" t="n">
        <v>69.255</v>
      </c>
      <c r="D941" s="33" t="n">
        <f aca="false">WEEKDAY(A941,2)</f>
        <v>4</v>
      </c>
      <c r="E941" s="33" t="n">
        <f aca="false">HOUR(A941)+MINUTE(A941)/60</f>
        <v>3</v>
      </c>
      <c r="F941" s="33" t="n">
        <f aca="false">IF(OR(D941&gt;5,E941&lt;8,E941&gt;=18,COUNTIF($K$2:$K$10,INT(A941))&gt;0),1,0)</f>
        <v>1</v>
      </c>
      <c r="G941" s="34" t="n">
        <f aca="false">B941/1</f>
        <v>69.255</v>
      </c>
      <c r="H941" s="34" t="n">
        <f aca="false">IF(F941=1,G941,"")</f>
        <v>69.255</v>
      </c>
    </row>
    <row r="942" customFormat="false" ht="15" hidden="false" customHeight="false" outlineLevel="0" collapsed="false">
      <c r="A942" s="31" t="n">
        <v>42775.1666666667</v>
      </c>
      <c r="B942" s="32" t="n">
        <v>66.148</v>
      </c>
      <c r="D942" s="33" t="n">
        <f aca="false">WEEKDAY(A942,2)</f>
        <v>4</v>
      </c>
      <c r="E942" s="33" t="n">
        <f aca="false">HOUR(A942)+MINUTE(A942)/60</f>
        <v>4</v>
      </c>
      <c r="F942" s="33" t="n">
        <f aca="false">IF(OR(D942&gt;5,E942&lt;8,E942&gt;=18,COUNTIF($K$2:$K$10,INT(A942))&gt;0),1,0)</f>
        <v>1</v>
      </c>
      <c r="G942" s="34" t="n">
        <f aca="false">B942/1</f>
        <v>66.148</v>
      </c>
      <c r="H942" s="34" t="n">
        <f aca="false">IF(F942=1,G942,"")</f>
        <v>66.148</v>
      </c>
    </row>
    <row r="943" customFormat="false" ht="15" hidden="false" customHeight="false" outlineLevel="0" collapsed="false">
      <c r="A943" s="31" t="n">
        <v>42775.2083333333</v>
      </c>
      <c r="B943" s="32" t="n">
        <v>65.599</v>
      </c>
      <c r="D943" s="33" t="n">
        <f aca="false">WEEKDAY(A943,2)</f>
        <v>4</v>
      </c>
      <c r="E943" s="33" t="n">
        <f aca="false">HOUR(A943)+MINUTE(A943)/60</f>
        <v>5</v>
      </c>
      <c r="F943" s="33" t="n">
        <f aca="false">IF(OR(D943&gt;5,E943&lt;8,E943&gt;=18,COUNTIF($K$2:$K$10,INT(A943))&gt;0),1,0)</f>
        <v>1</v>
      </c>
      <c r="G943" s="34" t="n">
        <f aca="false">B943/1</f>
        <v>65.599</v>
      </c>
      <c r="H943" s="34" t="n">
        <f aca="false">IF(F943=1,G943,"")</f>
        <v>65.599</v>
      </c>
    </row>
    <row r="944" customFormat="false" ht="15" hidden="false" customHeight="false" outlineLevel="0" collapsed="false">
      <c r="A944" s="31" t="n">
        <v>42775.25</v>
      </c>
      <c r="B944" s="32" t="n">
        <v>67.004</v>
      </c>
      <c r="D944" s="33" t="n">
        <f aca="false">WEEKDAY(A944,2)</f>
        <v>4</v>
      </c>
      <c r="E944" s="33" t="n">
        <f aca="false">HOUR(A944)+MINUTE(A944)/60</f>
        <v>6</v>
      </c>
      <c r="F944" s="33" t="n">
        <f aca="false">IF(OR(D944&gt;5,E944&lt;8,E944&gt;=18,COUNTIF($K$2:$K$10,INT(A944))&gt;0),1,0)</f>
        <v>1</v>
      </c>
      <c r="G944" s="34" t="n">
        <f aca="false">B944/1</f>
        <v>67.004</v>
      </c>
      <c r="H944" s="34" t="n">
        <f aca="false">IF(F944=1,G944,"")</f>
        <v>67.004</v>
      </c>
    </row>
    <row r="945" customFormat="false" ht="15" hidden="false" customHeight="false" outlineLevel="0" collapsed="false">
      <c r="A945" s="31" t="n">
        <v>42775.2916666667</v>
      </c>
      <c r="B945" s="32" t="n">
        <v>71.88</v>
      </c>
      <c r="D945" s="33" t="n">
        <f aca="false">WEEKDAY(A945,2)</f>
        <v>4</v>
      </c>
      <c r="E945" s="33" t="n">
        <f aca="false">HOUR(A945)+MINUTE(A945)/60</f>
        <v>7</v>
      </c>
      <c r="F945" s="33" t="n">
        <f aca="false">IF(OR(D945&gt;5,E945&lt;8,E945&gt;=18,COUNTIF($K$2:$K$10,INT(A945))&gt;0),1,0)</f>
        <v>1</v>
      </c>
      <c r="G945" s="34" t="n">
        <f aca="false">B945/1</f>
        <v>71.88</v>
      </c>
      <c r="H945" s="34" t="n">
        <f aca="false">IF(F945=1,G945,"")</f>
        <v>71.88</v>
      </c>
    </row>
    <row r="946" customFormat="false" ht="15" hidden="false" customHeight="false" outlineLevel="0" collapsed="false">
      <c r="A946" s="31" t="n">
        <v>42775.3333333333</v>
      </c>
      <c r="B946" s="32" t="n">
        <v>181.459</v>
      </c>
      <c r="D946" s="33" t="n">
        <f aca="false">WEEKDAY(A946,2)</f>
        <v>4</v>
      </c>
      <c r="E946" s="33" t="n">
        <f aca="false">HOUR(A946)+MINUTE(A946)/60</f>
        <v>8</v>
      </c>
      <c r="F946" s="33" t="n">
        <f aca="false">IF(OR(D946&gt;5,E946&lt;8,E946&gt;=18,COUNTIF($K$2:$K$10,INT(A946))&gt;0),1,0)</f>
        <v>0</v>
      </c>
      <c r="G946" s="34" t="n">
        <f aca="false">B946/1</f>
        <v>181.459</v>
      </c>
      <c r="H946" s="34" t="str">
        <f aca="false">IF(F946=1,G946,"")</f>
        <v/>
      </c>
    </row>
    <row r="947" customFormat="false" ht="15" hidden="false" customHeight="false" outlineLevel="0" collapsed="false">
      <c r="A947" s="31" t="n">
        <v>42775.375</v>
      </c>
      <c r="B947" s="32" t="n">
        <v>228.83</v>
      </c>
      <c r="D947" s="33" t="n">
        <f aca="false">WEEKDAY(A947,2)</f>
        <v>4</v>
      </c>
      <c r="E947" s="33" t="n">
        <f aca="false">HOUR(A947)+MINUTE(A947)/60</f>
        <v>9</v>
      </c>
      <c r="F947" s="33" t="n">
        <f aca="false">IF(OR(D947&gt;5,E947&lt;8,E947&gt;=18,COUNTIF($K$2:$K$10,INT(A947))&gt;0),1,0)</f>
        <v>0</v>
      </c>
      <c r="G947" s="34" t="n">
        <f aca="false">B947/1</f>
        <v>228.83</v>
      </c>
      <c r="H947" s="34" t="str">
        <f aca="false">IF(F947=1,G947,"")</f>
        <v/>
      </c>
    </row>
    <row r="948" customFormat="false" ht="15" hidden="false" customHeight="false" outlineLevel="0" collapsed="false">
      <c r="A948" s="31" t="n">
        <v>42775.4166666667</v>
      </c>
      <c r="B948" s="32" t="n">
        <v>258.057</v>
      </c>
      <c r="D948" s="33" t="n">
        <f aca="false">WEEKDAY(A948,2)</f>
        <v>4</v>
      </c>
      <c r="E948" s="33" t="n">
        <f aca="false">HOUR(A948)+MINUTE(A948)/60</f>
        <v>10</v>
      </c>
      <c r="F948" s="33" t="n">
        <f aca="false">IF(OR(D948&gt;5,E948&lt;8,E948&gt;=18,COUNTIF($K$2:$K$10,INT(A948))&gt;0),1,0)</f>
        <v>0</v>
      </c>
      <c r="G948" s="34" t="n">
        <f aca="false">B948/1</f>
        <v>258.057</v>
      </c>
      <c r="H948" s="34" t="str">
        <f aca="false">IF(F948=1,G948,"")</f>
        <v/>
      </c>
    </row>
    <row r="949" customFormat="false" ht="15" hidden="false" customHeight="false" outlineLevel="0" collapsed="false">
      <c r="A949" s="31" t="n">
        <v>42775.4583333333</v>
      </c>
      <c r="B949" s="32" t="n">
        <v>268.329</v>
      </c>
      <c r="D949" s="33" t="n">
        <f aca="false">WEEKDAY(A949,2)</f>
        <v>4</v>
      </c>
      <c r="E949" s="33" t="n">
        <f aca="false">HOUR(A949)+MINUTE(A949)/60</f>
        <v>11</v>
      </c>
      <c r="F949" s="33" t="n">
        <f aca="false">IF(OR(D949&gt;5,E949&lt;8,E949&gt;=18,COUNTIF($K$2:$K$10,INT(A949))&gt;0),1,0)</f>
        <v>0</v>
      </c>
      <c r="G949" s="34" t="n">
        <f aca="false">B949/1</f>
        <v>268.329</v>
      </c>
      <c r="H949" s="34" t="str">
        <f aca="false">IF(F949=1,G949,"")</f>
        <v/>
      </c>
    </row>
    <row r="950" customFormat="false" ht="15" hidden="false" customHeight="false" outlineLevel="0" collapsed="false">
      <c r="A950" s="31" t="n">
        <v>42775.5</v>
      </c>
      <c r="B950" s="32" t="n">
        <v>270.581</v>
      </c>
      <c r="D950" s="33" t="n">
        <f aca="false">WEEKDAY(A950,2)</f>
        <v>4</v>
      </c>
      <c r="E950" s="33" t="n">
        <f aca="false">HOUR(A950)+MINUTE(A950)/60</f>
        <v>12</v>
      </c>
      <c r="F950" s="33" t="n">
        <f aca="false">IF(OR(D950&gt;5,E950&lt;8,E950&gt;=18,COUNTIF($K$2:$K$10,INT(A950))&gt;0),1,0)</f>
        <v>0</v>
      </c>
      <c r="G950" s="34" t="n">
        <f aca="false">B950/1</f>
        <v>270.581</v>
      </c>
      <c r="H950" s="34" t="str">
        <f aca="false">IF(F950=1,G950,"")</f>
        <v/>
      </c>
    </row>
    <row r="951" customFormat="false" ht="15" hidden="false" customHeight="false" outlineLevel="0" collapsed="false">
      <c r="A951" s="31" t="n">
        <v>42775.5416666667</v>
      </c>
      <c r="B951" s="32" t="n">
        <v>262.356</v>
      </c>
      <c r="D951" s="33" t="n">
        <f aca="false">WEEKDAY(A951,2)</f>
        <v>4</v>
      </c>
      <c r="E951" s="33" t="n">
        <f aca="false">HOUR(A951)+MINUTE(A951)/60</f>
        <v>13</v>
      </c>
      <c r="F951" s="33" t="n">
        <f aca="false">IF(OR(D951&gt;5,E951&lt;8,E951&gt;=18,COUNTIF($K$2:$K$10,INT(A951))&gt;0),1,0)</f>
        <v>0</v>
      </c>
      <c r="G951" s="34" t="n">
        <f aca="false">B951/1</f>
        <v>262.356</v>
      </c>
      <c r="H951" s="34" t="str">
        <f aca="false">IF(F951=1,G951,"")</f>
        <v/>
      </c>
    </row>
    <row r="952" customFormat="false" ht="15" hidden="false" customHeight="false" outlineLevel="0" collapsed="false">
      <c r="A952" s="31" t="n">
        <v>42775.5833333333</v>
      </c>
      <c r="B952" s="32" t="n">
        <v>262.684</v>
      </c>
      <c r="D952" s="33" t="n">
        <f aca="false">WEEKDAY(A952,2)</f>
        <v>4</v>
      </c>
      <c r="E952" s="33" t="n">
        <f aca="false">HOUR(A952)+MINUTE(A952)/60</f>
        <v>14</v>
      </c>
      <c r="F952" s="33" t="n">
        <f aca="false">IF(OR(D952&gt;5,E952&lt;8,E952&gt;=18,COUNTIF($K$2:$K$10,INT(A952))&gt;0),1,0)</f>
        <v>0</v>
      </c>
      <c r="G952" s="34" t="n">
        <f aca="false">B952/1</f>
        <v>262.684</v>
      </c>
      <c r="H952" s="34" t="str">
        <f aca="false">IF(F952=1,G952,"")</f>
        <v/>
      </c>
    </row>
    <row r="953" customFormat="false" ht="15" hidden="false" customHeight="false" outlineLevel="0" collapsed="false">
      <c r="A953" s="31" t="n">
        <v>42775.625</v>
      </c>
      <c r="B953" s="32" t="n">
        <v>272.863</v>
      </c>
      <c r="D953" s="33" t="n">
        <f aca="false">WEEKDAY(A953,2)</f>
        <v>4</v>
      </c>
      <c r="E953" s="33" t="n">
        <f aca="false">HOUR(A953)+MINUTE(A953)/60</f>
        <v>15</v>
      </c>
      <c r="F953" s="33" t="n">
        <f aca="false">IF(OR(D953&gt;5,E953&lt;8,E953&gt;=18,COUNTIF($K$2:$K$10,INT(A953))&gt;0),1,0)</f>
        <v>0</v>
      </c>
      <c r="G953" s="34" t="n">
        <f aca="false">B953/1</f>
        <v>272.863</v>
      </c>
      <c r="H953" s="34" t="str">
        <f aca="false">IF(F953=1,G953,"")</f>
        <v/>
      </c>
    </row>
    <row r="954" customFormat="false" ht="15" hidden="false" customHeight="false" outlineLevel="0" collapsed="false">
      <c r="A954" s="31" t="n">
        <v>42775.6666666667</v>
      </c>
      <c r="B954" s="32" t="n">
        <v>253.674</v>
      </c>
      <c r="D954" s="33" t="n">
        <f aca="false">WEEKDAY(A954,2)</f>
        <v>4</v>
      </c>
      <c r="E954" s="33" t="n">
        <f aca="false">HOUR(A954)+MINUTE(A954)/60</f>
        <v>16</v>
      </c>
      <c r="F954" s="33" t="n">
        <f aca="false">IF(OR(D954&gt;5,E954&lt;8,E954&gt;=18,COUNTIF($K$2:$K$10,INT(A954))&gt;0),1,0)</f>
        <v>0</v>
      </c>
      <c r="G954" s="34" t="n">
        <f aca="false">B954/1</f>
        <v>253.674</v>
      </c>
      <c r="H954" s="34" t="str">
        <f aca="false">IF(F954=1,G954,"")</f>
        <v/>
      </c>
    </row>
    <row r="955" customFormat="false" ht="15" hidden="false" customHeight="false" outlineLevel="0" collapsed="false">
      <c r="A955" s="31" t="n">
        <v>42775.7083333333</v>
      </c>
      <c r="B955" s="32" t="n">
        <v>238.616</v>
      </c>
      <c r="D955" s="33" t="n">
        <f aca="false">WEEKDAY(A955,2)</f>
        <v>4</v>
      </c>
      <c r="E955" s="33" t="n">
        <f aca="false">HOUR(A955)+MINUTE(A955)/60</f>
        <v>17</v>
      </c>
      <c r="F955" s="33" t="n">
        <f aca="false">IF(OR(D955&gt;5,E955&lt;8,E955&gt;=18,COUNTIF($K$2:$K$10,INT(A955))&gt;0),1,0)</f>
        <v>0</v>
      </c>
      <c r="G955" s="34" t="n">
        <f aca="false">B955/1</f>
        <v>238.616</v>
      </c>
      <c r="H955" s="34" t="str">
        <f aca="false">IF(F955=1,G955,"")</f>
        <v/>
      </c>
    </row>
    <row r="956" customFormat="false" ht="15" hidden="false" customHeight="false" outlineLevel="0" collapsed="false">
      <c r="A956" s="31" t="n">
        <v>42775.75</v>
      </c>
      <c r="B956" s="32" t="n">
        <v>224.801</v>
      </c>
      <c r="D956" s="33" t="n">
        <f aca="false">WEEKDAY(A956,2)</f>
        <v>4</v>
      </c>
      <c r="E956" s="33" t="n">
        <f aca="false">HOUR(A956)+MINUTE(A956)/60</f>
        <v>18</v>
      </c>
      <c r="F956" s="33" t="n">
        <f aca="false">IF(OR(D956&gt;5,E956&lt;8,E956&gt;=18,COUNTIF($K$2:$K$10,INT(A956))&gt;0),1,0)</f>
        <v>1</v>
      </c>
      <c r="G956" s="34" t="n">
        <f aca="false">B956/1</f>
        <v>224.801</v>
      </c>
      <c r="H956" s="34" t="n">
        <f aca="false">IF(F956=1,G956,"")</f>
        <v>224.801</v>
      </c>
    </row>
    <row r="957" customFormat="false" ht="15" hidden="false" customHeight="false" outlineLevel="0" collapsed="false">
      <c r="A957" s="31" t="n">
        <v>42775.7916666667</v>
      </c>
      <c r="B957" s="32" t="n">
        <v>216.79</v>
      </c>
      <c r="D957" s="33" t="n">
        <f aca="false">WEEKDAY(A957,2)</f>
        <v>4</v>
      </c>
      <c r="E957" s="33" t="n">
        <f aca="false">HOUR(A957)+MINUTE(A957)/60</f>
        <v>19</v>
      </c>
      <c r="F957" s="33" t="n">
        <f aca="false">IF(OR(D957&gt;5,E957&lt;8,E957&gt;=18,COUNTIF($K$2:$K$10,INT(A957))&gt;0),1,0)</f>
        <v>1</v>
      </c>
      <c r="G957" s="34" t="n">
        <f aca="false">B957/1</f>
        <v>216.79</v>
      </c>
      <c r="H957" s="34" t="n">
        <f aca="false">IF(F957=1,G957,"")</f>
        <v>216.79</v>
      </c>
    </row>
    <row r="958" customFormat="false" ht="15" hidden="false" customHeight="false" outlineLevel="0" collapsed="false">
      <c r="A958" s="31" t="n">
        <v>42775.8333333333</v>
      </c>
      <c r="B958" s="32" t="n">
        <v>207.151</v>
      </c>
      <c r="D958" s="33" t="n">
        <f aca="false">WEEKDAY(A958,2)</f>
        <v>4</v>
      </c>
      <c r="E958" s="33" t="n">
        <f aca="false">HOUR(A958)+MINUTE(A958)/60</f>
        <v>20</v>
      </c>
      <c r="F958" s="33" t="n">
        <f aca="false">IF(OR(D958&gt;5,E958&lt;8,E958&gt;=18,COUNTIF($K$2:$K$10,INT(A958))&gt;0),1,0)</f>
        <v>1</v>
      </c>
      <c r="G958" s="34" t="n">
        <f aca="false">B958/1</f>
        <v>207.151</v>
      </c>
      <c r="H958" s="34" t="n">
        <f aca="false">IF(F958=1,G958,"")</f>
        <v>207.151</v>
      </c>
    </row>
    <row r="959" customFormat="false" ht="15" hidden="false" customHeight="false" outlineLevel="0" collapsed="false">
      <c r="A959" s="31" t="n">
        <v>42775.875</v>
      </c>
      <c r="B959" s="32" t="n">
        <v>202.053</v>
      </c>
      <c r="D959" s="33" t="n">
        <f aca="false">WEEKDAY(A959,2)</f>
        <v>4</v>
      </c>
      <c r="E959" s="33" t="n">
        <f aca="false">HOUR(A959)+MINUTE(A959)/60</f>
        <v>21</v>
      </c>
      <c r="F959" s="33" t="n">
        <f aca="false">IF(OR(D959&gt;5,E959&lt;8,E959&gt;=18,COUNTIF($K$2:$K$10,INT(A959))&gt;0),1,0)</f>
        <v>1</v>
      </c>
      <c r="G959" s="34" t="n">
        <f aca="false">B959/1</f>
        <v>202.053</v>
      </c>
      <c r="H959" s="34" t="n">
        <f aca="false">IF(F959=1,G959,"")</f>
        <v>202.053</v>
      </c>
    </row>
    <row r="960" customFormat="false" ht="15" hidden="false" customHeight="false" outlineLevel="0" collapsed="false">
      <c r="A960" s="31" t="n">
        <v>42775.9166666667</v>
      </c>
      <c r="B960" s="32" t="n">
        <v>146.696</v>
      </c>
      <c r="D960" s="33" t="n">
        <f aca="false">WEEKDAY(A960,2)</f>
        <v>4</v>
      </c>
      <c r="E960" s="33" t="n">
        <f aca="false">HOUR(A960)+MINUTE(A960)/60</f>
        <v>22</v>
      </c>
      <c r="F960" s="33" t="n">
        <f aca="false">IF(OR(D960&gt;5,E960&lt;8,E960&gt;=18,COUNTIF($K$2:$K$10,INT(A960))&gt;0),1,0)</f>
        <v>1</v>
      </c>
      <c r="G960" s="34" t="n">
        <f aca="false">B960/1</f>
        <v>146.696</v>
      </c>
      <c r="H960" s="34" t="n">
        <f aca="false">IF(F960=1,G960,"")</f>
        <v>146.696</v>
      </c>
    </row>
    <row r="961" customFormat="false" ht="15" hidden="false" customHeight="false" outlineLevel="0" collapsed="false">
      <c r="A961" s="31" t="n">
        <v>42775.9583333333</v>
      </c>
      <c r="B961" s="32" t="n">
        <v>84.185</v>
      </c>
      <c r="D961" s="33" t="n">
        <f aca="false">WEEKDAY(A961,2)</f>
        <v>4</v>
      </c>
      <c r="E961" s="33" t="n">
        <f aca="false">HOUR(A961)+MINUTE(A961)/60</f>
        <v>23</v>
      </c>
      <c r="F961" s="33" t="n">
        <f aca="false">IF(OR(D961&gt;5,E961&lt;8,E961&gt;=18,COUNTIF($K$2:$K$10,INT(A961))&gt;0),1,0)</f>
        <v>1</v>
      </c>
      <c r="G961" s="34" t="n">
        <f aca="false">B961/1</f>
        <v>84.185</v>
      </c>
      <c r="H961" s="34" t="n">
        <f aca="false">IF(F961=1,G961,"")</f>
        <v>84.185</v>
      </c>
    </row>
    <row r="962" customFormat="false" ht="15" hidden="false" customHeight="false" outlineLevel="0" collapsed="false">
      <c r="A962" s="31" t="n">
        <v>42776</v>
      </c>
      <c r="B962" s="32" t="n">
        <v>74.175</v>
      </c>
      <c r="D962" s="33" t="n">
        <f aca="false">WEEKDAY(A962,2)</f>
        <v>5</v>
      </c>
      <c r="E962" s="33" t="n">
        <f aca="false">HOUR(A962)+MINUTE(A962)/60</f>
        <v>0</v>
      </c>
      <c r="F962" s="33" t="n">
        <f aca="false">IF(OR(D962&gt;5,E962&lt;8,E962&gt;=18,COUNTIF($K$2:$K$10,INT(A962))&gt;0),1,0)</f>
        <v>1</v>
      </c>
      <c r="G962" s="34" t="n">
        <f aca="false">B962/1</f>
        <v>74.175</v>
      </c>
      <c r="H962" s="34" t="n">
        <f aca="false">IF(F962=1,G962,"")</f>
        <v>74.175</v>
      </c>
    </row>
    <row r="963" customFormat="false" ht="15" hidden="false" customHeight="false" outlineLevel="0" collapsed="false">
      <c r="A963" s="31" t="n">
        <v>42776.0416666667</v>
      </c>
      <c r="B963" s="32" t="n">
        <v>66.125</v>
      </c>
      <c r="D963" s="33" t="n">
        <f aca="false">WEEKDAY(A963,2)</f>
        <v>5</v>
      </c>
      <c r="E963" s="33" t="n">
        <f aca="false">HOUR(A963)+MINUTE(A963)/60</f>
        <v>1</v>
      </c>
      <c r="F963" s="33" t="n">
        <f aca="false">IF(OR(D963&gt;5,E963&lt;8,E963&gt;=18,COUNTIF($K$2:$K$10,INT(A963))&gt;0),1,0)</f>
        <v>1</v>
      </c>
      <c r="G963" s="34" t="n">
        <f aca="false">B963/1</f>
        <v>66.125</v>
      </c>
      <c r="H963" s="34" t="n">
        <f aca="false">IF(F963=1,G963,"")</f>
        <v>66.125</v>
      </c>
    </row>
    <row r="964" customFormat="false" ht="15" hidden="false" customHeight="false" outlineLevel="0" collapsed="false">
      <c r="A964" s="31" t="n">
        <v>42776.0833333333</v>
      </c>
      <c r="B964" s="32" t="n">
        <v>65.669</v>
      </c>
      <c r="D964" s="33" t="n">
        <f aca="false">WEEKDAY(A964,2)</f>
        <v>5</v>
      </c>
      <c r="E964" s="33" t="n">
        <f aca="false">HOUR(A964)+MINUTE(A964)/60</f>
        <v>2</v>
      </c>
      <c r="F964" s="33" t="n">
        <f aca="false">IF(OR(D964&gt;5,E964&lt;8,E964&gt;=18,COUNTIF($K$2:$K$10,INT(A964))&gt;0),1,0)</f>
        <v>1</v>
      </c>
      <c r="G964" s="34" t="n">
        <f aca="false">B964/1</f>
        <v>65.669</v>
      </c>
      <c r="H964" s="34" t="n">
        <f aca="false">IF(F964=1,G964,"")</f>
        <v>65.669</v>
      </c>
    </row>
    <row r="965" customFormat="false" ht="15" hidden="false" customHeight="false" outlineLevel="0" collapsed="false">
      <c r="A965" s="31" t="n">
        <v>42776.125</v>
      </c>
      <c r="B965" s="32" t="n">
        <v>67.477</v>
      </c>
      <c r="D965" s="33" t="n">
        <f aca="false">WEEKDAY(A965,2)</f>
        <v>5</v>
      </c>
      <c r="E965" s="33" t="n">
        <f aca="false">HOUR(A965)+MINUTE(A965)/60</f>
        <v>3</v>
      </c>
      <c r="F965" s="33" t="n">
        <f aca="false">IF(OR(D965&gt;5,E965&lt;8,E965&gt;=18,COUNTIF($K$2:$K$10,INT(A965))&gt;0),1,0)</f>
        <v>1</v>
      </c>
      <c r="G965" s="34" t="n">
        <f aca="false">B965/1</f>
        <v>67.477</v>
      </c>
      <c r="H965" s="34" t="n">
        <f aca="false">IF(F965=1,G965,"")</f>
        <v>67.477</v>
      </c>
    </row>
    <row r="966" customFormat="false" ht="15" hidden="false" customHeight="false" outlineLevel="0" collapsed="false">
      <c r="A966" s="31" t="n">
        <v>42776.1666666667</v>
      </c>
      <c r="B966" s="32" t="n">
        <v>66.839</v>
      </c>
      <c r="D966" s="33" t="n">
        <f aca="false">WEEKDAY(A966,2)</f>
        <v>5</v>
      </c>
      <c r="E966" s="33" t="n">
        <f aca="false">HOUR(A966)+MINUTE(A966)/60</f>
        <v>4</v>
      </c>
      <c r="F966" s="33" t="n">
        <f aca="false">IF(OR(D966&gt;5,E966&lt;8,E966&gt;=18,COUNTIF($K$2:$K$10,INT(A966))&gt;0),1,0)</f>
        <v>1</v>
      </c>
      <c r="G966" s="34" t="n">
        <f aca="false">B966/1</f>
        <v>66.839</v>
      </c>
      <c r="H966" s="34" t="n">
        <f aca="false">IF(F966=1,G966,"")</f>
        <v>66.839</v>
      </c>
    </row>
    <row r="967" customFormat="false" ht="15" hidden="false" customHeight="false" outlineLevel="0" collapsed="false">
      <c r="A967" s="31" t="n">
        <v>42776.2083333333</v>
      </c>
      <c r="B967" s="32" t="n">
        <v>65.082</v>
      </c>
      <c r="D967" s="33" t="n">
        <f aca="false">WEEKDAY(A967,2)</f>
        <v>5</v>
      </c>
      <c r="E967" s="33" t="n">
        <f aca="false">HOUR(A967)+MINUTE(A967)/60</f>
        <v>5</v>
      </c>
      <c r="F967" s="33" t="n">
        <f aca="false">IF(OR(D967&gt;5,E967&lt;8,E967&gt;=18,COUNTIF($K$2:$K$10,INT(A967))&gt;0),1,0)</f>
        <v>1</v>
      </c>
      <c r="G967" s="34" t="n">
        <f aca="false">B967/1</f>
        <v>65.082</v>
      </c>
      <c r="H967" s="34" t="n">
        <f aca="false">IF(F967=1,G967,"")</f>
        <v>65.082</v>
      </c>
    </row>
    <row r="968" customFormat="false" ht="15" hidden="false" customHeight="false" outlineLevel="0" collapsed="false">
      <c r="A968" s="31" t="n">
        <v>42776.25</v>
      </c>
      <c r="B968" s="32" t="n">
        <v>65.569</v>
      </c>
      <c r="D968" s="33" t="n">
        <f aca="false">WEEKDAY(A968,2)</f>
        <v>5</v>
      </c>
      <c r="E968" s="33" t="n">
        <f aca="false">HOUR(A968)+MINUTE(A968)/60</f>
        <v>6</v>
      </c>
      <c r="F968" s="33" t="n">
        <f aca="false">IF(OR(D968&gt;5,E968&lt;8,E968&gt;=18,COUNTIF($K$2:$K$10,INT(A968))&gt;0),1,0)</f>
        <v>1</v>
      </c>
      <c r="G968" s="34" t="n">
        <f aca="false">B968/1</f>
        <v>65.569</v>
      </c>
      <c r="H968" s="34" t="n">
        <f aca="false">IF(F968=1,G968,"")</f>
        <v>65.569</v>
      </c>
    </row>
    <row r="969" customFormat="false" ht="15" hidden="false" customHeight="false" outlineLevel="0" collapsed="false">
      <c r="A969" s="31" t="n">
        <v>42776.2916666667</v>
      </c>
      <c r="B969" s="32" t="n">
        <v>70.352</v>
      </c>
      <c r="D969" s="33" t="n">
        <f aca="false">WEEKDAY(A969,2)</f>
        <v>5</v>
      </c>
      <c r="E969" s="33" t="n">
        <f aca="false">HOUR(A969)+MINUTE(A969)/60</f>
        <v>7</v>
      </c>
      <c r="F969" s="33" t="n">
        <f aca="false">IF(OR(D969&gt;5,E969&lt;8,E969&gt;=18,COUNTIF($K$2:$K$10,INT(A969))&gt;0),1,0)</f>
        <v>1</v>
      </c>
      <c r="G969" s="34" t="n">
        <f aca="false">B969/1</f>
        <v>70.352</v>
      </c>
      <c r="H969" s="34" t="n">
        <f aca="false">IF(F969=1,G969,"")</f>
        <v>70.352</v>
      </c>
    </row>
    <row r="970" customFormat="false" ht="15" hidden="false" customHeight="false" outlineLevel="0" collapsed="false">
      <c r="A970" s="31" t="n">
        <v>42776.3333333333</v>
      </c>
      <c r="B970" s="32" t="n">
        <v>175.312</v>
      </c>
      <c r="D970" s="33" t="n">
        <f aca="false">WEEKDAY(A970,2)</f>
        <v>5</v>
      </c>
      <c r="E970" s="33" t="n">
        <f aca="false">HOUR(A970)+MINUTE(A970)/60</f>
        <v>8</v>
      </c>
      <c r="F970" s="33" t="n">
        <f aca="false">IF(OR(D970&gt;5,E970&lt;8,E970&gt;=18,COUNTIF($K$2:$K$10,INT(A970))&gt;0),1,0)</f>
        <v>0</v>
      </c>
      <c r="G970" s="34" t="n">
        <f aca="false">B970/1</f>
        <v>175.312</v>
      </c>
      <c r="H970" s="34" t="str">
        <f aca="false">IF(F970=1,G970,"")</f>
        <v/>
      </c>
    </row>
    <row r="971" customFormat="false" ht="15" hidden="false" customHeight="false" outlineLevel="0" collapsed="false">
      <c r="A971" s="31" t="n">
        <v>42776.375</v>
      </c>
      <c r="B971" s="32" t="n">
        <v>201.331</v>
      </c>
      <c r="D971" s="33" t="n">
        <f aca="false">WEEKDAY(A971,2)</f>
        <v>5</v>
      </c>
      <c r="E971" s="33" t="n">
        <f aca="false">HOUR(A971)+MINUTE(A971)/60</f>
        <v>9</v>
      </c>
      <c r="F971" s="33" t="n">
        <f aca="false">IF(OR(D971&gt;5,E971&lt;8,E971&gt;=18,COUNTIF($K$2:$K$10,INT(A971))&gt;0),1,0)</f>
        <v>0</v>
      </c>
      <c r="G971" s="34" t="n">
        <f aca="false">B971/1</f>
        <v>201.331</v>
      </c>
      <c r="H971" s="34" t="str">
        <f aca="false">IF(F971=1,G971,"")</f>
        <v/>
      </c>
    </row>
    <row r="972" customFormat="false" ht="15" hidden="false" customHeight="false" outlineLevel="0" collapsed="false">
      <c r="A972" s="31" t="n">
        <v>42776.4166666667</v>
      </c>
      <c r="B972" s="32" t="n">
        <v>227.846</v>
      </c>
      <c r="D972" s="33" t="n">
        <f aca="false">WEEKDAY(A972,2)</f>
        <v>5</v>
      </c>
      <c r="E972" s="33" t="n">
        <f aca="false">HOUR(A972)+MINUTE(A972)/60</f>
        <v>10</v>
      </c>
      <c r="F972" s="33" t="n">
        <f aca="false">IF(OR(D972&gt;5,E972&lt;8,E972&gt;=18,COUNTIF($K$2:$K$10,INT(A972))&gt;0),1,0)</f>
        <v>0</v>
      </c>
      <c r="G972" s="34" t="n">
        <f aca="false">B972/1</f>
        <v>227.846</v>
      </c>
      <c r="H972" s="34" t="str">
        <f aca="false">IF(F972=1,G972,"")</f>
        <v/>
      </c>
    </row>
    <row r="973" customFormat="false" ht="15" hidden="false" customHeight="false" outlineLevel="0" collapsed="false">
      <c r="A973" s="31" t="n">
        <v>42776.4583333333</v>
      </c>
      <c r="B973" s="32" t="n">
        <v>242.947</v>
      </c>
      <c r="D973" s="33" t="n">
        <f aca="false">WEEKDAY(A973,2)</f>
        <v>5</v>
      </c>
      <c r="E973" s="33" t="n">
        <f aca="false">HOUR(A973)+MINUTE(A973)/60</f>
        <v>11</v>
      </c>
      <c r="F973" s="33" t="n">
        <f aca="false">IF(OR(D973&gt;5,E973&lt;8,E973&gt;=18,COUNTIF($K$2:$K$10,INT(A973))&gt;0),1,0)</f>
        <v>0</v>
      </c>
      <c r="G973" s="34" t="n">
        <f aca="false">B973/1</f>
        <v>242.947</v>
      </c>
      <c r="H973" s="34" t="str">
        <f aca="false">IF(F973=1,G973,"")</f>
        <v/>
      </c>
    </row>
    <row r="974" customFormat="false" ht="15" hidden="false" customHeight="false" outlineLevel="0" collapsed="false">
      <c r="A974" s="31" t="n">
        <v>42776.5</v>
      </c>
      <c r="B974" s="32" t="n">
        <v>248.439</v>
      </c>
      <c r="D974" s="33" t="n">
        <f aca="false">WEEKDAY(A974,2)</f>
        <v>5</v>
      </c>
      <c r="E974" s="33" t="n">
        <f aca="false">HOUR(A974)+MINUTE(A974)/60</f>
        <v>12</v>
      </c>
      <c r="F974" s="33" t="n">
        <f aca="false">IF(OR(D974&gt;5,E974&lt;8,E974&gt;=18,COUNTIF($K$2:$K$10,INT(A974))&gt;0),1,0)</f>
        <v>0</v>
      </c>
      <c r="G974" s="34" t="n">
        <f aca="false">B974/1</f>
        <v>248.439</v>
      </c>
      <c r="H974" s="34" t="str">
        <f aca="false">IF(F974=1,G974,"")</f>
        <v/>
      </c>
    </row>
    <row r="975" customFormat="false" ht="15" hidden="false" customHeight="false" outlineLevel="0" collapsed="false">
      <c r="A975" s="31" t="n">
        <v>42776.5416666667</v>
      </c>
      <c r="B975" s="32" t="n">
        <v>237.745</v>
      </c>
      <c r="D975" s="33" t="n">
        <f aca="false">WEEKDAY(A975,2)</f>
        <v>5</v>
      </c>
      <c r="E975" s="33" t="n">
        <f aca="false">HOUR(A975)+MINUTE(A975)/60</f>
        <v>13</v>
      </c>
      <c r="F975" s="33" t="n">
        <f aca="false">IF(OR(D975&gt;5,E975&lt;8,E975&gt;=18,COUNTIF($K$2:$K$10,INT(A975))&gt;0),1,0)</f>
        <v>0</v>
      </c>
      <c r="G975" s="34" t="n">
        <f aca="false">B975/1</f>
        <v>237.745</v>
      </c>
      <c r="H975" s="34" t="str">
        <f aca="false">IF(F975=1,G975,"")</f>
        <v/>
      </c>
    </row>
    <row r="976" customFormat="false" ht="15" hidden="false" customHeight="false" outlineLevel="0" collapsed="false">
      <c r="A976" s="31" t="n">
        <v>42776.5833333333</v>
      </c>
      <c r="B976" s="32" t="n">
        <v>227.326</v>
      </c>
      <c r="D976" s="33" t="n">
        <f aca="false">WEEKDAY(A976,2)</f>
        <v>5</v>
      </c>
      <c r="E976" s="33" t="n">
        <f aca="false">HOUR(A976)+MINUTE(A976)/60</f>
        <v>14</v>
      </c>
      <c r="F976" s="33" t="n">
        <f aca="false">IF(OR(D976&gt;5,E976&lt;8,E976&gt;=18,COUNTIF($K$2:$K$10,INT(A976))&gt;0),1,0)</f>
        <v>0</v>
      </c>
      <c r="G976" s="34" t="n">
        <f aca="false">B976/1</f>
        <v>227.326</v>
      </c>
      <c r="H976" s="34" t="str">
        <f aca="false">IF(F976=1,G976,"")</f>
        <v/>
      </c>
    </row>
    <row r="977" customFormat="false" ht="15" hidden="false" customHeight="false" outlineLevel="0" collapsed="false">
      <c r="A977" s="31" t="n">
        <v>42776.625</v>
      </c>
      <c r="B977" s="32" t="n">
        <v>229.304</v>
      </c>
      <c r="D977" s="33" t="n">
        <f aca="false">WEEKDAY(A977,2)</f>
        <v>5</v>
      </c>
      <c r="E977" s="33" t="n">
        <f aca="false">HOUR(A977)+MINUTE(A977)/60</f>
        <v>15</v>
      </c>
      <c r="F977" s="33" t="n">
        <f aca="false">IF(OR(D977&gt;5,E977&lt;8,E977&gt;=18,COUNTIF($K$2:$K$10,INT(A977))&gt;0),1,0)</f>
        <v>0</v>
      </c>
      <c r="G977" s="34" t="n">
        <f aca="false">B977/1</f>
        <v>229.304</v>
      </c>
      <c r="H977" s="34" t="str">
        <f aca="false">IF(F977=1,G977,"")</f>
        <v/>
      </c>
    </row>
    <row r="978" customFormat="false" ht="15" hidden="false" customHeight="false" outlineLevel="0" collapsed="false">
      <c r="A978" s="31" t="n">
        <v>42776.6666666667</v>
      </c>
      <c r="B978" s="32" t="n">
        <v>229.681</v>
      </c>
      <c r="D978" s="33" t="n">
        <f aca="false">WEEKDAY(A978,2)</f>
        <v>5</v>
      </c>
      <c r="E978" s="33" t="n">
        <f aca="false">HOUR(A978)+MINUTE(A978)/60</f>
        <v>16</v>
      </c>
      <c r="F978" s="33" t="n">
        <f aca="false">IF(OR(D978&gt;5,E978&lt;8,E978&gt;=18,COUNTIF($K$2:$K$10,INT(A978))&gt;0),1,0)</f>
        <v>0</v>
      </c>
      <c r="G978" s="34" t="n">
        <f aca="false">B978/1</f>
        <v>229.681</v>
      </c>
      <c r="H978" s="34" t="str">
        <f aca="false">IF(F978=1,G978,"")</f>
        <v/>
      </c>
    </row>
    <row r="979" customFormat="false" ht="15" hidden="false" customHeight="false" outlineLevel="0" collapsed="false">
      <c r="A979" s="31" t="n">
        <v>42776.7083333333</v>
      </c>
      <c r="B979" s="32" t="n">
        <v>214.816</v>
      </c>
      <c r="D979" s="33" t="n">
        <f aca="false">WEEKDAY(A979,2)</f>
        <v>5</v>
      </c>
      <c r="E979" s="33" t="n">
        <f aca="false">HOUR(A979)+MINUTE(A979)/60</f>
        <v>17</v>
      </c>
      <c r="F979" s="33" t="n">
        <f aca="false">IF(OR(D979&gt;5,E979&lt;8,E979&gt;=18,COUNTIF($K$2:$K$10,INT(A979))&gt;0),1,0)</f>
        <v>0</v>
      </c>
      <c r="G979" s="34" t="n">
        <f aca="false">B979/1</f>
        <v>214.816</v>
      </c>
      <c r="H979" s="34" t="str">
        <f aca="false">IF(F979=1,G979,"")</f>
        <v/>
      </c>
    </row>
    <row r="980" customFormat="false" ht="15" hidden="false" customHeight="false" outlineLevel="0" collapsed="false">
      <c r="A980" s="31" t="n">
        <v>42776.75</v>
      </c>
      <c r="B980" s="32" t="n">
        <v>197.873</v>
      </c>
      <c r="D980" s="33" t="n">
        <f aca="false">WEEKDAY(A980,2)</f>
        <v>5</v>
      </c>
      <c r="E980" s="33" t="n">
        <f aca="false">HOUR(A980)+MINUTE(A980)/60</f>
        <v>18</v>
      </c>
      <c r="F980" s="33" t="n">
        <f aca="false">IF(OR(D980&gt;5,E980&lt;8,E980&gt;=18,COUNTIF($K$2:$K$10,INT(A980))&gt;0),1,0)</f>
        <v>1</v>
      </c>
      <c r="G980" s="34" t="n">
        <f aca="false">B980/1</f>
        <v>197.873</v>
      </c>
      <c r="H980" s="34" t="n">
        <f aca="false">IF(F980=1,G980,"")</f>
        <v>197.873</v>
      </c>
    </row>
    <row r="981" customFormat="false" ht="15" hidden="false" customHeight="false" outlineLevel="0" collapsed="false">
      <c r="A981" s="31" t="n">
        <v>42776.7916666667</v>
      </c>
      <c r="B981" s="32" t="n">
        <v>192.185</v>
      </c>
      <c r="D981" s="33" t="n">
        <f aca="false">WEEKDAY(A981,2)</f>
        <v>5</v>
      </c>
      <c r="E981" s="33" t="n">
        <f aca="false">HOUR(A981)+MINUTE(A981)/60</f>
        <v>19</v>
      </c>
      <c r="F981" s="33" t="n">
        <f aca="false">IF(OR(D981&gt;5,E981&lt;8,E981&gt;=18,COUNTIF($K$2:$K$10,INT(A981))&gt;0),1,0)</f>
        <v>1</v>
      </c>
      <c r="G981" s="34" t="n">
        <f aca="false">B981/1</f>
        <v>192.185</v>
      </c>
      <c r="H981" s="34" t="n">
        <f aca="false">IF(F981=1,G981,"")</f>
        <v>192.185</v>
      </c>
    </row>
    <row r="982" customFormat="false" ht="15" hidden="false" customHeight="false" outlineLevel="0" collapsed="false">
      <c r="A982" s="31" t="n">
        <v>42776.8333333333</v>
      </c>
      <c r="B982" s="32" t="n">
        <v>191.158</v>
      </c>
      <c r="D982" s="33" t="n">
        <f aca="false">WEEKDAY(A982,2)</f>
        <v>5</v>
      </c>
      <c r="E982" s="33" t="n">
        <f aca="false">HOUR(A982)+MINUTE(A982)/60</f>
        <v>20</v>
      </c>
      <c r="F982" s="33" t="n">
        <f aca="false">IF(OR(D982&gt;5,E982&lt;8,E982&gt;=18,COUNTIF($K$2:$K$10,INT(A982))&gt;0),1,0)</f>
        <v>1</v>
      </c>
      <c r="G982" s="34" t="n">
        <f aca="false">B982/1</f>
        <v>191.158</v>
      </c>
      <c r="H982" s="34" t="n">
        <f aca="false">IF(F982=1,G982,"")</f>
        <v>191.158</v>
      </c>
    </row>
    <row r="983" customFormat="false" ht="15" hidden="false" customHeight="false" outlineLevel="0" collapsed="false">
      <c r="A983" s="31" t="n">
        <v>42776.875</v>
      </c>
      <c r="B983" s="32" t="n">
        <v>190.266</v>
      </c>
      <c r="D983" s="33" t="n">
        <f aca="false">WEEKDAY(A983,2)</f>
        <v>5</v>
      </c>
      <c r="E983" s="33" t="n">
        <f aca="false">HOUR(A983)+MINUTE(A983)/60</f>
        <v>21</v>
      </c>
      <c r="F983" s="33" t="n">
        <f aca="false">IF(OR(D983&gt;5,E983&lt;8,E983&gt;=18,COUNTIF($K$2:$K$10,INT(A983))&gt;0),1,0)</f>
        <v>1</v>
      </c>
      <c r="G983" s="34" t="n">
        <f aca="false">B983/1</f>
        <v>190.266</v>
      </c>
      <c r="H983" s="34" t="n">
        <f aca="false">IF(F983=1,G983,"")</f>
        <v>190.266</v>
      </c>
    </row>
    <row r="984" customFormat="false" ht="15" hidden="false" customHeight="false" outlineLevel="0" collapsed="false">
      <c r="A984" s="31" t="n">
        <v>42776.9166666667</v>
      </c>
      <c r="B984" s="32" t="n">
        <v>136.463</v>
      </c>
      <c r="D984" s="33" t="n">
        <f aca="false">WEEKDAY(A984,2)</f>
        <v>5</v>
      </c>
      <c r="E984" s="33" t="n">
        <f aca="false">HOUR(A984)+MINUTE(A984)/60</f>
        <v>22</v>
      </c>
      <c r="F984" s="33" t="n">
        <f aca="false">IF(OR(D984&gt;5,E984&lt;8,E984&gt;=18,COUNTIF($K$2:$K$10,INT(A984))&gt;0),1,0)</f>
        <v>1</v>
      </c>
      <c r="G984" s="34" t="n">
        <f aca="false">B984/1</f>
        <v>136.463</v>
      </c>
      <c r="H984" s="34" t="n">
        <f aca="false">IF(F984=1,G984,"")</f>
        <v>136.463</v>
      </c>
    </row>
    <row r="985" customFormat="false" ht="15" hidden="false" customHeight="false" outlineLevel="0" collapsed="false">
      <c r="A985" s="31" t="n">
        <v>42776.9583333333</v>
      </c>
      <c r="B985" s="32" t="n">
        <v>78.517</v>
      </c>
      <c r="D985" s="33" t="n">
        <f aca="false">WEEKDAY(A985,2)</f>
        <v>5</v>
      </c>
      <c r="E985" s="33" t="n">
        <f aca="false">HOUR(A985)+MINUTE(A985)/60</f>
        <v>23</v>
      </c>
      <c r="F985" s="33" t="n">
        <f aca="false">IF(OR(D985&gt;5,E985&lt;8,E985&gt;=18,COUNTIF($K$2:$K$10,INT(A985))&gt;0),1,0)</f>
        <v>1</v>
      </c>
      <c r="G985" s="34" t="n">
        <f aca="false">B985/1</f>
        <v>78.517</v>
      </c>
      <c r="H985" s="34" t="n">
        <f aca="false">IF(F985=1,G985,"")</f>
        <v>78.517</v>
      </c>
    </row>
    <row r="986" customFormat="false" ht="15" hidden="false" customHeight="false" outlineLevel="0" collapsed="false">
      <c r="A986" s="31" t="n">
        <v>42777</v>
      </c>
      <c r="B986" s="32" t="n">
        <v>76.09</v>
      </c>
      <c r="D986" s="33" t="n">
        <f aca="false">WEEKDAY(A986,2)</f>
        <v>6</v>
      </c>
      <c r="E986" s="33" t="n">
        <f aca="false">HOUR(A986)+MINUTE(A986)/60</f>
        <v>0</v>
      </c>
      <c r="F986" s="33" t="n">
        <f aca="false">IF(OR(D986&gt;5,E986&lt;8,E986&gt;=18,COUNTIF($K$2:$K$10,INT(A986))&gt;0),1,0)</f>
        <v>1</v>
      </c>
      <c r="G986" s="34" t="n">
        <f aca="false">B986/1</f>
        <v>76.09</v>
      </c>
      <c r="H986" s="34" t="n">
        <f aca="false">IF(F986=1,G986,"")</f>
        <v>76.09</v>
      </c>
    </row>
    <row r="987" customFormat="false" ht="15" hidden="false" customHeight="false" outlineLevel="0" collapsed="false">
      <c r="A987" s="31" t="n">
        <v>42777.0416666667</v>
      </c>
      <c r="B987" s="32" t="n">
        <v>65.238</v>
      </c>
      <c r="D987" s="33" t="n">
        <f aca="false">WEEKDAY(A987,2)</f>
        <v>6</v>
      </c>
      <c r="E987" s="33" t="n">
        <f aca="false">HOUR(A987)+MINUTE(A987)/60</f>
        <v>1</v>
      </c>
      <c r="F987" s="33" t="n">
        <f aca="false">IF(OR(D987&gt;5,E987&lt;8,E987&gt;=18,COUNTIF($K$2:$K$10,INT(A987))&gt;0),1,0)</f>
        <v>1</v>
      </c>
      <c r="G987" s="34" t="n">
        <f aca="false">B987/1</f>
        <v>65.238</v>
      </c>
      <c r="H987" s="34" t="n">
        <f aca="false">IF(F987=1,G987,"")</f>
        <v>65.238</v>
      </c>
    </row>
    <row r="988" customFormat="false" ht="15" hidden="false" customHeight="false" outlineLevel="0" collapsed="false">
      <c r="A988" s="31" t="n">
        <v>42777.0833333333</v>
      </c>
      <c r="B988" s="32" t="n">
        <v>63.962</v>
      </c>
      <c r="D988" s="33" t="n">
        <f aca="false">WEEKDAY(A988,2)</f>
        <v>6</v>
      </c>
      <c r="E988" s="33" t="n">
        <f aca="false">HOUR(A988)+MINUTE(A988)/60</f>
        <v>2</v>
      </c>
      <c r="F988" s="33" t="n">
        <f aca="false">IF(OR(D988&gt;5,E988&lt;8,E988&gt;=18,COUNTIF($K$2:$K$10,INT(A988))&gt;0),1,0)</f>
        <v>1</v>
      </c>
      <c r="G988" s="34" t="n">
        <f aca="false">B988/1</f>
        <v>63.962</v>
      </c>
      <c r="H988" s="34" t="n">
        <f aca="false">IF(F988=1,G988,"")</f>
        <v>63.962</v>
      </c>
    </row>
    <row r="989" customFormat="false" ht="15" hidden="false" customHeight="false" outlineLevel="0" collapsed="false">
      <c r="A989" s="31" t="n">
        <v>42777.125</v>
      </c>
      <c r="B989" s="32" t="n">
        <v>63.017</v>
      </c>
      <c r="D989" s="33" t="n">
        <f aca="false">WEEKDAY(A989,2)</f>
        <v>6</v>
      </c>
      <c r="E989" s="33" t="n">
        <f aca="false">HOUR(A989)+MINUTE(A989)/60</f>
        <v>3</v>
      </c>
      <c r="F989" s="33" t="n">
        <f aca="false">IF(OR(D989&gt;5,E989&lt;8,E989&gt;=18,COUNTIF($K$2:$K$10,INT(A989))&gt;0),1,0)</f>
        <v>1</v>
      </c>
      <c r="G989" s="34" t="n">
        <f aca="false">B989/1</f>
        <v>63.017</v>
      </c>
      <c r="H989" s="34" t="n">
        <f aca="false">IF(F989=1,G989,"")</f>
        <v>63.017</v>
      </c>
    </row>
    <row r="990" customFormat="false" ht="15" hidden="false" customHeight="false" outlineLevel="0" collapsed="false">
      <c r="A990" s="31" t="n">
        <v>42777.1666666667</v>
      </c>
      <c r="B990" s="32" t="n">
        <v>61.669</v>
      </c>
      <c r="D990" s="33" t="n">
        <f aca="false">WEEKDAY(A990,2)</f>
        <v>6</v>
      </c>
      <c r="E990" s="33" t="n">
        <f aca="false">HOUR(A990)+MINUTE(A990)/60</f>
        <v>4</v>
      </c>
      <c r="F990" s="33" t="n">
        <f aca="false">IF(OR(D990&gt;5,E990&lt;8,E990&gt;=18,COUNTIF($K$2:$K$10,INT(A990))&gt;0),1,0)</f>
        <v>1</v>
      </c>
      <c r="G990" s="34" t="n">
        <f aca="false">B990/1</f>
        <v>61.669</v>
      </c>
      <c r="H990" s="34" t="n">
        <f aca="false">IF(F990=1,G990,"")</f>
        <v>61.669</v>
      </c>
    </row>
    <row r="991" customFormat="false" ht="15" hidden="false" customHeight="false" outlineLevel="0" collapsed="false">
      <c r="A991" s="31" t="n">
        <v>42777.2083333333</v>
      </c>
      <c r="B991" s="32" t="n">
        <v>63.108</v>
      </c>
      <c r="D991" s="33" t="n">
        <f aca="false">WEEKDAY(A991,2)</f>
        <v>6</v>
      </c>
      <c r="E991" s="33" t="n">
        <f aca="false">HOUR(A991)+MINUTE(A991)/60</f>
        <v>5</v>
      </c>
      <c r="F991" s="33" t="n">
        <f aca="false">IF(OR(D991&gt;5,E991&lt;8,E991&gt;=18,COUNTIF($K$2:$K$10,INT(A991))&gt;0),1,0)</f>
        <v>1</v>
      </c>
      <c r="G991" s="34" t="n">
        <f aca="false">B991/1</f>
        <v>63.108</v>
      </c>
      <c r="H991" s="34" t="n">
        <f aca="false">IF(F991=1,G991,"")</f>
        <v>63.108</v>
      </c>
    </row>
    <row r="992" customFormat="false" ht="15" hidden="false" customHeight="false" outlineLevel="0" collapsed="false">
      <c r="A992" s="31" t="n">
        <v>42777.25</v>
      </c>
      <c r="B992" s="32" t="n">
        <v>63.847</v>
      </c>
      <c r="D992" s="33" t="n">
        <f aca="false">WEEKDAY(A992,2)</f>
        <v>6</v>
      </c>
      <c r="E992" s="33" t="n">
        <f aca="false">HOUR(A992)+MINUTE(A992)/60</f>
        <v>6</v>
      </c>
      <c r="F992" s="33" t="n">
        <f aca="false">IF(OR(D992&gt;5,E992&lt;8,E992&gt;=18,COUNTIF($K$2:$K$10,INT(A992))&gt;0),1,0)</f>
        <v>1</v>
      </c>
      <c r="G992" s="34" t="n">
        <f aca="false">B992/1</f>
        <v>63.847</v>
      </c>
      <c r="H992" s="34" t="n">
        <f aca="false">IF(F992=1,G992,"")</f>
        <v>63.847</v>
      </c>
    </row>
    <row r="993" customFormat="false" ht="15" hidden="false" customHeight="false" outlineLevel="0" collapsed="false">
      <c r="A993" s="31" t="n">
        <v>42777.2916666667</v>
      </c>
      <c r="B993" s="32" t="n">
        <v>61.889</v>
      </c>
      <c r="D993" s="33" t="n">
        <f aca="false">WEEKDAY(A993,2)</f>
        <v>6</v>
      </c>
      <c r="E993" s="33" t="n">
        <f aca="false">HOUR(A993)+MINUTE(A993)/60</f>
        <v>7</v>
      </c>
      <c r="F993" s="33" t="n">
        <f aca="false">IF(OR(D993&gt;5,E993&lt;8,E993&gt;=18,COUNTIF($K$2:$K$10,INT(A993))&gt;0),1,0)</f>
        <v>1</v>
      </c>
      <c r="G993" s="34" t="n">
        <f aca="false">B993/1</f>
        <v>61.889</v>
      </c>
      <c r="H993" s="34" t="n">
        <f aca="false">IF(F993=1,G993,"")</f>
        <v>61.889</v>
      </c>
    </row>
    <row r="994" customFormat="false" ht="15" hidden="false" customHeight="false" outlineLevel="0" collapsed="false">
      <c r="A994" s="31" t="n">
        <v>42777.3333333333</v>
      </c>
      <c r="B994" s="32" t="n">
        <v>124.461</v>
      </c>
      <c r="D994" s="33" t="n">
        <f aca="false">WEEKDAY(A994,2)</f>
        <v>6</v>
      </c>
      <c r="E994" s="33" t="n">
        <f aca="false">HOUR(A994)+MINUTE(A994)/60</f>
        <v>8</v>
      </c>
      <c r="F994" s="33" t="n">
        <f aca="false">IF(OR(D994&gt;5,E994&lt;8,E994&gt;=18,COUNTIF($K$2:$K$10,INT(A994))&gt;0),1,0)</f>
        <v>1</v>
      </c>
      <c r="G994" s="34" t="n">
        <f aca="false">B994/1</f>
        <v>124.461</v>
      </c>
      <c r="H994" s="34" t="n">
        <f aca="false">IF(F994=1,G994,"")</f>
        <v>124.461</v>
      </c>
    </row>
    <row r="995" customFormat="false" ht="15" hidden="false" customHeight="false" outlineLevel="0" collapsed="false">
      <c r="A995" s="31" t="n">
        <v>42777.375</v>
      </c>
      <c r="B995" s="32" t="n">
        <v>166.979</v>
      </c>
      <c r="D995" s="33" t="n">
        <f aca="false">WEEKDAY(A995,2)</f>
        <v>6</v>
      </c>
      <c r="E995" s="33" t="n">
        <f aca="false">HOUR(A995)+MINUTE(A995)/60</f>
        <v>9</v>
      </c>
      <c r="F995" s="33" t="n">
        <f aca="false">IF(OR(D995&gt;5,E995&lt;8,E995&gt;=18,COUNTIF($K$2:$K$10,INT(A995))&gt;0),1,0)</f>
        <v>1</v>
      </c>
      <c r="G995" s="34" t="n">
        <f aca="false">B995/1</f>
        <v>166.979</v>
      </c>
      <c r="H995" s="34" t="n">
        <f aca="false">IF(F995=1,G995,"")</f>
        <v>166.979</v>
      </c>
    </row>
    <row r="996" customFormat="false" ht="15" hidden="false" customHeight="false" outlineLevel="0" collapsed="false">
      <c r="A996" s="31" t="n">
        <v>42777.4166666667</v>
      </c>
      <c r="B996" s="32" t="n">
        <v>169.938</v>
      </c>
      <c r="D996" s="33" t="n">
        <f aca="false">WEEKDAY(A996,2)</f>
        <v>6</v>
      </c>
      <c r="E996" s="33" t="n">
        <f aca="false">HOUR(A996)+MINUTE(A996)/60</f>
        <v>10</v>
      </c>
      <c r="F996" s="33" t="n">
        <f aca="false">IF(OR(D996&gt;5,E996&lt;8,E996&gt;=18,COUNTIF($K$2:$K$10,INT(A996))&gt;0),1,0)</f>
        <v>1</v>
      </c>
      <c r="G996" s="34" t="n">
        <f aca="false">B996/1</f>
        <v>169.938</v>
      </c>
      <c r="H996" s="34" t="n">
        <f aca="false">IF(F996=1,G996,"")</f>
        <v>169.938</v>
      </c>
    </row>
    <row r="997" customFormat="false" ht="15" hidden="false" customHeight="false" outlineLevel="0" collapsed="false">
      <c r="A997" s="31" t="n">
        <v>42777.4583333333</v>
      </c>
      <c r="B997" s="32" t="n">
        <v>172.345</v>
      </c>
      <c r="D997" s="33" t="n">
        <f aca="false">WEEKDAY(A997,2)</f>
        <v>6</v>
      </c>
      <c r="E997" s="33" t="n">
        <f aca="false">HOUR(A997)+MINUTE(A997)/60</f>
        <v>11</v>
      </c>
      <c r="F997" s="33" t="n">
        <f aca="false">IF(OR(D997&gt;5,E997&lt;8,E997&gt;=18,COUNTIF($K$2:$K$10,INT(A997))&gt;0),1,0)</f>
        <v>1</v>
      </c>
      <c r="G997" s="34" t="n">
        <f aca="false">B997/1</f>
        <v>172.345</v>
      </c>
      <c r="H997" s="34" t="n">
        <f aca="false">IF(F997=1,G997,"")</f>
        <v>172.345</v>
      </c>
    </row>
    <row r="998" customFormat="false" ht="15" hidden="false" customHeight="false" outlineLevel="0" collapsed="false">
      <c r="A998" s="31" t="n">
        <v>42777.5</v>
      </c>
      <c r="B998" s="32" t="n">
        <v>175.712</v>
      </c>
      <c r="D998" s="33" t="n">
        <f aca="false">WEEKDAY(A998,2)</f>
        <v>6</v>
      </c>
      <c r="E998" s="33" t="n">
        <f aca="false">HOUR(A998)+MINUTE(A998)/60</f>
        <v>12</v>
      </c>
      <c r="F998" s="33" t="n">
        <f aca="false">IF(OR(D998&gt;5,E998&lt;8,E998&gt;=18,COUNTIF($K$2:$K$10,INT(A998))&gt;0),1,0)</f>
        <v>1</v>
      </c>
      <c r="G998" s="34" t="n">
        <f aca="false">B998/1</f>
        <v>175.712</v>
      </c>
      <c r="H998" s="34" t="n">
        <f aca="false">IF(F998=1,G998,"")</f>
        <v>175.712</v>
      </c>
    </row>
    <row r="999" customFormat="false" ht="15" hidden="false" customHeight="false" outlineLevel="0" collapsed="false">
      <c r="A999" s="31" t="n">
        <v>42777.5416666667</v>
      </c>
      <c r="B999" s="32" t="n">
        <v>177.813</v>
      </c>
      <c r="D999" s="33" t="n">
        <f aca="false">WEEKDAY(A999,2)</f>
        <v>6</v>
      </c>
      <c r="E999" s="33" t="n">
        <f aca="false">HOUR(A999)+MINUTE(A999)/60</f>
        <v>13</v>
      </c>
      <c r="F999" s="33" t="n">
        <f aca="false">IF(OR(D999&gt;5,E999&lt;8,E999&gt;=18,COUNTIF($K$2:$K$10,INT(A999))&gt;0),1,0)</f>
        <v>1</v>
      </c>
      <c r="G999" s="34" t="n">
        <f aca="false">B999/1</f>
        <v>177.813</v>
      </c>
      <c r="H999" s="34" t="n">
        <f aca="false">IF(F999=1,G999,"")</f>
        <v>177.813</v>
      </c>
    </row>
    <row r="1000" customFormat="false" ht="15" hidden="false" customHeight="false" outlineLevel="0" collapsed="false">
      <c r="A1000" s="31" t="n">
        <v>42777.5833333333</v>
      </c>
      <c r="B1000" s="32" t="n">
        <v>178.142</v>
      </c>
      <c r="D1000" s="33" t="n">
        <f aca="false">WEEKDAY(A1000,2)</f>
        <v>6</v>
      </c>
      <c r="E1000" s="33" t="n">
        <f aca="false">HOUR(A1000)+MINUTE(A1000)/60</f>
        <v>14</v>
      </c>
      <c r="F1000" s="33" t="n">
        <f aca="false">IF(OR(D1000&gt;5,E1000&lt;8,E1000&gt;=18,COUNTIF($K$2:$K$10,INT(A1000))&gt;0),1,0)</f>
        <v>1</v>
      </c>
      <c r="G1000" s="34" t="n">
        <f aca="false">B1000/1</f>
        <v>178.142</v>
      </c>
      <c r="H1000" s="34" t="n">
        <f aca="false">IF(F1000=1,G1000,"")</f>
        <v>178.142</v>
      </c>
    </row>
    <row r="1001" customFormat="false" ht="15" hidden="false" customHeight="false" outlineLevel="0" collapsed="false">
      <c r="A1001" s="31" t="n">
        <v>42777.625</v>
      </c>
      <c r="B1001" s="32" t="n">
        <v>179.191</v>
      </c>
      <c r="D1001" s="33" t="n">
        <f aca="false">WEEKDAY(A1001,2)</f>
        <v>6</v>
      </c>
      <c r="E1001" s="33" t="n">
        <f aca="false">HOUR(A1001)+MINUTE(A1001)/60</f>
        <v>15</v>
      </c>
      <c r="F1001" s="33" t="n">
        <f aca="false">IF(OR(D1001&gt;5,E1001&lt;8,E1001&gt;=18,COUNTIF($K$2:$K$10,INT(A1001))&gt;0),1,0)</f>
        <v>1</v>
      </c>
      <c r="G1001" s="34" t="n">
        <f aca="false">B1001/1</f>
        <v>179.191</v>
      </c>
      <c r="H1001" s="34" t="n">
        <f aca="false">IF(F1001=1,G1001,"")</f>
        <v>179.191</v>
      </c>
    </row>
    <row r="1002" customFormat="false" ht="15" hidden="false" customHeight="false" outlineLevel="0" collapsed="false">
      <c r="A1002" s="31" t="n">
        <v>42777.6666666667</v>
      </c>
      <c r="B1002" s="32" t="n">
        <v>179.216</v>
      </c>
      <c r="D1002" s="33" t="n">
        <f aca="false">WEEKDAY(A1002,2)</f>
        <v>6</v>
      </c>
      <c r="E1002" s="33" t="n">
        <f aca="false">HOUR(A1002)+MINUTE(A1002)/60</f>
        <v>16</v>
      </c>
      <c r="F1002" s="33" t="n">
        <f aca="false">IF(OR(D1002&gt;5,E1002&lt;8,E1002&gt;=18,COUNTIF($K$2:$K$10,INT(A1002))&gt;0),1,0)</f>
        <v>1</v>
      </c>
      <c r="G1002" s="34" t="n">
        <f aca="false">B1002/1</f>
        <v>179.216</v>
      </c>
      <c r="H1002" s="34" t="n">
        <f aca="false">IF(F1002=1,G1002,"")</f>
        <v>179.216</v>
      </c>
    </row>
    <row r="1003" customFormat="false" ht="15" hidden="false" customHeight="false" outlineLevel="0" collapsed="false">
      <c r="A1003" s="31" t="n">
        <v>42777.7083333333</v>
      </c>
      <c r="B1003" s="32" t="n">
        <v>151.89</v>
      </c>
      <c r="D1003" s="33" t="n">
        <f aca="false">WEEKDAY(A1003,2)</f>
        <v>6</v>
      </c>
      <c r="E1003" s="33" t="n">
        <f aca="false">HOUR(A1003)+MINUTE(A1003)/60</f>
        <v>17</v>
      </c>
      <c r="F1003" s="33" t="n">
        <f aca="false">IF(OR(D1003&gt;5,E1003&lt;8,E1003&gt;=18,COUNTIF($K$2:$K$10,INT(A1003))&gt;0),1,0)</f>
        <v>1</v>
      </c>
      <c r="G1003" s="34" t="n">
        <f aca="false">B1003/1</f>
        <v>151.89</v>
      </c>
      <c r="H1003" s="34" t="n">
        <f aca="false">IF(F1003=1,G1003,"")</f>
        <v>151.89</v>
      </c>
    </row>
    <row r="1004" customFormat="false" ht="15" hidden="false" customHeight="false" outlineLevel="0" collapsed="false">
      <c r="A1004" s="31" t="n">
        <v>42777.75</v>
      </c>
      <c r="B1004" s="32" t="n">
        <v>81.72</v>
      </c>
      <c r="D1004" s="33" t="n">
        <f aca="false">WEEKDAY(A1004,2)</f>
        <v>6</v>
      </c>
      <c r="E1004" s="33" t="n">
        <f aca="false">HOUR(A1004)+MINUTE(A1004)/60</f>
        <v>18</v>
      </c>
      <c r="F1004" s="33" t="n">
        <f aca="false">IF(OR(D1004&gt;5,E1004&lt;8,E1004&gt;=18,COUNTIF($K$2:$K$10,INT(A1004))&gt;0),1,0)</f>
        <v>1</v>
      </c>
      <c r="G1004" s="34" t="n">
        <f aca="false">B1004/1</f>
        <v>81.72</v>
      </c>
      <c r="H1004" s="34" t="n">
        <f aca="false">IF(F1004=1,G1004,"")</f>
        <v>81.72</v>
      </c>
    </row>
    <row r="1005" customFormat="false" ht="15" hidden="false" customHeight="false" outlineLevel="0" collapsed="false">
      <c r="A1005" s="31" t="n">
        <v>42777.7916666667</v>
      </c>
      <c r="B1005" s="32" t="n">
        <v>69.605</v>
      </c>
      <c r="D1005" s="33" t="n">
        <f aca="false">WEEKDAY(A1005,2)</f>
        <v>6</v>
      </c>
      <c r="E1005" s="33" t="n">
        <f aca="false">HOUR(A1005)+MINUTE(A1005)/60</f>
        <v>19</v>
      </c>
      <c r="F1005" s="33" t="n">
        <f aca="false">IF(OR(D1005&gt;5,E1005&lt;8,E1005&gt;=18,COUNTIF($K$2:$K$10,INT(A1005))&gt;0),1,0)</f>
        <v>1</v>
      </c>
      <c r="G1005" s="34" t="n">
        <f aca="false">B1005/1</f>
        <v>69.605</v>
      </c>
      <c r="H1005" s="34" t="n">
        <f aca="false">IF(F1005=1,G1005,"")</f>
        <v>69.605</v>
      </c>
    </row>
    <row r="1006" customFormat="false" ht="15" hidden="false" customHeight="false" outlineLevel="0" collapsed="false">
      <c r="A1006" s="31" t="n">
        <v>42777.8333333333</v>
      </c>
      <c r="B1006" s="32" t="n">
        <v>66.158</v>
      </c>
      <c r="D1006" s="33" t="n">
        <f aca="false">WEEKDAY(A1006,2)</f>
        <v>6</v>
      </c>
      <c r="E1006" s="33" t="n">
        <f aca="false">HOUR(A1006)+MINUTE(A1006)/60</f>
        <v>20</v>
      </c>
      <c r="F1006" s="33" t="n">
        <f aca="false">IF(OR(D1006&gt;5,E1006&lt;8,E1006&gt;=18,COUNTIF($K$2:$K$10,INT(A1006))&gt;0),1,0)</f>
        <v>1</v>
      </c>
      <c r="G1006" s="34" t="n">
        <f aca="false">B1006/1</f>
        <v>66.158</v>
      </c>
      <c r="H1006" s="34" t="n">
        <f aca="false">IF(F1006=1,G1006,"")</f>
        <v>66.158</v>
      </c>
    </row>
    <row r="1007" customFormat="false" ht="15" hidden="false" customHeight="false" outlineLevel="0" collapsed="false">
      <c r="A1007" s="31" t="n">
        <v>42777.875</v>
      </c>
      <c r="B1007" s="32" t="n">
        <v>65.032</v>
      </c>
      <c r="D1007" s="33" t="n">
        <f aca="false">WEEKDAY(A1007,2)</f>
        <v>6</v>
      </c>
      <c r="E1007" s="33" t="n">
        <f aca="false">HOUR(A1007)+MINUTE(A1007)/60</f>
        <v>21</v>
      </c>
      <c r="F1007" s="33" t="n">
        <f aca="false">IF(OR(D1007&gt;5,E1007&lt;8,E1007&gt;=18,COUNTIF($K$2:$K$10,INT(A1007))&gt;0),1,0)</f>
        <v>1</v>
      </c>
      <c r="G1007" s="34" t="n">
        <f aca="false">B1007/1</f>
        <v>65.032</v>
      </c>
      <c r="H1007" s="34" t="n">
        <f aca="false">IF(F1007=1,G1007,"")</f>
        <v>65.032</v>
      </c>
    </row>
    <row r="1008" customFormat="false" ht="15" hidden="false" customHeight="false" outlineLevel="0" collapsed="false">
      <c r="A1008" s="31" t="n">
        <v>42777.9166666667</v>
      </c>
      <c r="B1008" s="32" t="n">
        <v>62.433</v>
      </c>
      <c r="D1008" s="33" t="n">
        <f aca="false">WEEKDAY(A1008,2)</f>
        <v>6</v>
      </c>
      <c r="E1008" s="33" t="n">
        <f aca="false">HOUR(A1008)+MINUTE(A1008)/60</f>
        <v>22</v>
      </c>
      <c r="F1008" s="33" t="n">
        <f aca="false">IF(OR(D1008&gt;5,E1008&lt;8,E1008&gt;=18,COUNTIF($K$2:$K$10,INT(A1008))&gt;0),1,0)</f>
        <v>1</v>
      </c>
      <c r="G1008" s="34" t="n">
        <f aca="false">B1008/1</f>
        <v>62.433</v>
      </c>
      <c r="H1008" s="34" t="n">
        <f aca="false">IF(F1008=1,G1008,"")</f>
        <v>62.433</v>
      </c>
    </row>
    <row r="1009" customFormat="false" ht="15" hidden="false" customHeight="false" outlineLevel="0" collapsed="false">
      <c r="A1009" s="31" t="n">
        <v>42777.9583333333</v>
      </c>
      <c r="B1009" s="32" t="n">
        <v>64.766</v>
      </c>
      <c r="D1009" s="33" t="n">
        <f aca="false">WEEKDAY(A1009,2)</f>
        <v>6</v>
      </c>
      <c r="E1009" s="33" t="n">
        <f aca="false">HOUR(A1009)+MINUTE(A1009)/60</f>
        <v>23</v>
      </c>
      <c r="F1009" s="33" t="n">
        <f aca="false">IF(OR(D1009&gt;5,E1009&lt;8,E1009&gt;=18,COUNTIF($K$2:$K$10,INT(A1009))&gt;0),1,0)</f>
        <v>1</v>
      </c>
      <c r="G1009" s="34" t="n">
        <f aca="false">B1009/1</f>
        <v>64.766</v>
      </c>
      <c r="H1009" s="34" t="n">
        <f aca="false">IF(F1009=1,G1009,"")</f>
        <v>64.766</v>
      </c>
    </row>
    <row r="1010" customFormat="false" ht="15" hidden="false" customHeight="false" outlineLevel="0" collapsed="false">
      <c r="A1010" s="31" t="n">
        <v>42778</v>
      </c>
      <c r="B1010" s="32" t="n">
        <v>66.351</v>
      </c>
      <c r="D1010" s="33" t="n">
        <f aca="false">WEEKDAY(A1010,2)</f>
        <v>7</v>
      </c>
      <c r="E1010" s="33" t="n">
        <f aca="false">HOUR(A1010)+MINUTE(A1010)/60</f>
        <v>0</v>
      </c>
      <c r="F1010" s="33" t="n">
        <f aca="false">IF(OR(D1010&gt;5,E1010&lt;8,E1010&gt;=18,COUNTIF($K$2:$K$10,INT(A1010))&gt;0),1,0)</f>
        <v>1</v>
      </c>
      <c r="G1010" s="34" t="n">
        <f aca="false">B1010/1</f>
        <v>66.351</v>
      </c>
      <c r="H1010" s="34" t="n">
        <f aca="false">IF(F1010=1,G1010,"")</f>
        <v>66.351</v>
      </c>
    </row>
    <row r="1011" customFormat="false" ht="15" hidden="false" customHeight="false" outlineLevel="0" collapsed="false">
      <c r="A1011" s="31" t="n">
        <v>42778.0416666667</v>
      </c>
      <c r="B1011" s="32" t="n">
        <v>65.318</v>
      </c>
      <c r="D1011" s="33" t="n">
        <f aca="false">WEEKDAY(A1011,2)</f>
        <v>7</v>
      </c>
      <c r="E1011" s="33" t="n">
        <f aca="false">HOUR(A1011)+MINUTE(A1011)/60</f>
        <v>1</v>
      </c>
      <c r="F1011" s="33" t="n">
        <f aca="false">IF(OR(D1011&gt;5,E1011&lt;8,E1011&gt;=18,COUNTIF($K$2:$K$10,INT(A1011))&gt;0),1,0)</f>
        <v>1</v>
      </c>
      <c r="G1011" s="34" t="n">
        <f aca="false">B1011/1</f>
        <v>65.318</v>
      </c>
      <c r="H1011" s="34" t="n">
        <f aca="false">IF(F1011=1,G1011,"")</f>
        <v>65.318</v>
      </c>
    </row>
    <row r="1012" customFormat="false" ht="15" hidden="false" customHeight="false" outlineLevel="0" collapsed="false">
      <c r="A1012" s="31" t="n">
        <v>42778.0833333333</v>
      </c>
      <c r="B1012" s="32" t="n">
        <v>62.37</v>
      </c>
      <c r="D1012" s="33" t="n">
        <f aca="false">WEEKDAY(A1012,2)</f>
        <v>7</v>
      </c>
      <c r="E1012" s="33" t="n">
        <f aca="false">HOUR(A1012)+MINUTE(A1012)/60</f>
        <v>2</v>
      </c>
      <c r="F1012" s="33" t="n">
        <f aca="false">IF(OR(D1012&gt;5,E1012&lt;8,E1012&gt;=18,COUNTIF($K$2:$K$10,INT(A1012))&gt;0),1,0)</f>
        <v>1</v>
      </c>
      <c r="G1012" s="34" t="n">
        <f aca="false">B1012/1</f>
        <v>62.37</v>
      </c>
      <c r="H1012" s="34" t="n">
        <f aca="false">IF(F1012=1,G1012,"")</f>
        <v>62.37</v>
      </c>
    </row>
    <row r="1013" customFormat="false" ht="15" hidden="false" customHeight="false" outlineLevel="0" collapsed="false">
      <c r="A1013" s="31" t="n">
        <v>42778.125</v>
      </c>
      <c r="B1013" s="32" t="n">
        <v>62.875</v>
      </c>
      <c r="D1013" s="33" t="n">
        <f aca="false">WEEKDAY(A1013,2)</f>
        <v>7</v>
      </c>
      <c r="E1013" s="33" t="n">
        <f aca="false">HOUR(A1013)+MINUTE(A1013)/60</f>
        <v>3</v>
      </c>
      <c r="F1013" s="33" t="n">
        <f aca="false">IF(OR(D1013&gt;5,E1013&lt;8,E1013&gt;=18,COUNTIF($K$2:$K$10,INT(A1013))&gt;0),1,0)</f>
        <v>1</v>
      </c>
      <c r="G1013" s="34" t="n">
        <f aca="false">B1013/1</f>
        <v>62.875</v>
      </c>
      <c r="H1013" s="34" t="n">
        <f aca="false">IF(F1013=1,G1013,"")</f>
        <v>62.875</v>
      </c>
    </row>
    <row r="1014" customFormat="false" ht="15" hidden="false" customHeight="false" outlineLevel="0" collapsed="false">
      <c r="A1014" s="31" t="n">
        <v>42778.1666666667</v>
      </c>
      <c r="B1014" s="32" t="n">
        <v>64.512</v>
      </c>
      <c r="D1014" s="33" t="n">
        <f aca="false">WEEKDAY(A1014,2)</f>
        <v>7</v>
      </c>
      <c r="E1014" s="33" t="n">
        <f aca="false">HOUR(A1014)+MINUTE(A1014)/60</f>
        <v>4</v>
      </c>
      <c r="F1014" s="33" t="n">
        <f aca="false">IF(OR(D1014&gt;5,E1014&lt;8,E1014&gt;=18,COUNTIF($K$2:$K$10,INT(A1014))&gt;0),1,0)</f>
        <v>1</v>
      </c>
      <c r="G1014" s="34" t="n">
        <f aca="false">B1014/1</f>
        <v>64.512</v>
      </c>
      <c r="H1014" s="34" t="n">
        <f aca="false">IF(F1014=1,G1014,"")</f>
        <v>64.512</v>
      </c>
    </row>
    <row r="1015" customFormat="false" ht="15" hidden="false" customHeight="false" outlineLevel="0" collapsed="false">
      <c r="A1015" s="31" t="n">
        <v>42778.2083333333</v>
      </c>
      <c r="B1015" s="32" t="n">
        <v>64.329</v>
      </c>
      <c r="D1015" s="33" t="n">
        <f aca="false">WEEKDAY(A1015,2)</f>
        <v>7</v>
      </c>
      <c r="E1015" s="33" t="n">
        <f aca="false">HOUR(A1015)+MINUTE(A1015)/60</f>
        <v>5</v>
      </c>
      <c r="F1015" s="33" t="n">
        <f aca="false">IF(OR(D1015&gt;5,E1015&lt;8,E1015&gt;=18,COUNTIF($K$2:$K$10,INT(A1015))&gt;0),1,0)</f>
        <v>1</v>
      </c>
      <c r="G1015" s="34" t="n">
        <f aca="false">B1015/1</f>
        <v>64.329</v>
      </c>
      <c r="H1015" s="34" t="n">
        <f aca="false">IF(F1015=1,G1015,"")</f>
        <v>64.329</v>
      </c>
    </row>
    <row r="1016" customFormat="false" ht="15" hidden="false" customHeight="false" outlineLevel="0" collapsed="false">
      <c r="A1016" s="31" t="n">
        <v>42778.25</v>
      </c>
      <c r="B1016" s="32" t="n">
        <v>62.152</v>
      </c>
      <c r="D1016" s="33" t="n">
        <f aca="false">WEEKDAY(A1016,2)</f>
        <v>7</v>
      </c>
      <c r="E1016" s="33" t="n">
        <f aca="false">HOUR(A1016)+MINUTE(A1016)/60</f>
        <v>6</v>
      </c>
      <c r="F1016" s="33" t="n">
        <f aca="false">IF(OR(D1016&gt;5,E1016&lt;8,E1016&gt;=18,COUNTIF($K$2:$K$10,INT(A1016))&gt;0),1,0)</f>
        <v>1</v>
      </c>
      <c r="G1016" s="34" t="n">
        <f aca="false">B1016/1</f>
        <v>62.152</v>
      </c>
      <c r="H1016" s="34" t="n">
        <f aca="false">IF(F1016=1,G1016,"")</f>
        <v>62.152</v>
      </c>
    </row>
    <row r="1017" customFormat="false" ht="15" hidden="false" customHeight="false" outlineLevel="0" collapsed="false">
      <c r="A1017" s="31" t="n">
        <v>42778.2916666667</v>
      </c>
      <c r="B1017" s="32" t="n">
        <v>62.679</v>
      </c>
      <c r="D1017" s="33" t="n">
        <f aca="false">WEEKDAY(A1017,2)</f>
        <v>7</v>
      </c>
      <c r="E1017" s="33" t="n">
        <f aca="false">HOUR(A1017)+MINUTE(A1017)/60</f>
        <v>7</v>
      </c>
      <c r="F1017" s="33" t="n">
        <f aca="false">IF(OR(D1017&gt;5,E1017&lt;8,E1017&gt;=18,COUNTIF($K$2:$K$10,INT(A1017))&gt;0),1,0)</f>
        <v>1</v>
      </c>
      <c r="G1017" s="34" t="n">
        <f aca="false">B1017/1</f>
        <v>62.679</v>
      </c>
      <c r="H1017" s="34" t="n">
        <f aca="false">IF(F1017=1,G1017,"")</f>
        <v>62.679</v>
      </c>
    </row>
    <row r="1018" customFormat="false" ht="15" hidden="false" customHeight="false" outlineLevel="0" collapsed="false">
      <c r="A1018" s="31" t="n">
        <v>42778.3333333333</v>
      </c>
      <c r="B1018" s="32" t="n">
        <v>65.216</v>
      </c>
      <c r="D1018" s="33" t="n">
        <f aca="false">WEEKDAY(A1018,2)</f>
        <v>7</v>
      </c>
      <c r="E1018" s="33" t="n">
        <f aca="false">HOUR(A1018)+MINUTE(A1018)/60</f>
        <v>8</v>
      </c>
      <c r="F1018" s="33" t="n">
        <f aca="false">IF(OR(D1018&gt;5,E1018&lt;8,E1018&gt;=18,COUNTIF($K$2:$K$10,INT(A1018))&gt;0),1,0)</f>
        <v>1</v>
      </c>
      <c r="G1018" s="34" t="n">
        <f aca="false">B1018/1</f>
        <v>65.216</v>
      </c>
      <c r="H1018" s="34" t="n">
        <f aca="false">IF(F1018=1,G1018,"")</f>
        <v>65.216</v>
      </c>
    </row>
    <row r="1019" customFormat="false" ht="15" hidden="false" customHeight="false" outlineLevel="0" collapsed="false">
      <c r="A1019" s="31" t="n">
        <v>42778.375</v>
      </c>
      <c r="B1019" s="32" t="n">
        <v>62.964</v>
      </c>
      <c r="D1019" s="33" t="n">
        <f aca="false">WEEKDAY(A1019,2)</f>
        <v>7</v>
      </c>
      <c r="E1019" s="33" t="n">
        <f aca="false">HOUR(A1019)+MINUTE(A1019)/60</f>
        <v>9</v>
      </c>
      <c r="F1019" s="33" t="n">
        <f aca="false">IF(OR(D1019&gt;5,E1019&lt;8,E1019&gt;=18,COUNTIF($K$2:$K$10,INT(A1019))&gt;0),1,0)</f>
        <v>1</v>
      </c>
      <c r="G1019" s="34" t="n">
        <f aca="false">B1019/1</f>
        <v>62.964</v>
      </c>
      <c r="H1019" s="34" t="n">
        <f aca="false">IF(F1019=1,G1019,"")</f>
        <v>62.964</v>
      </c>
    </row>
    <row r="1020" customFormat="false" ht="15" hidden="false" customHeight="false" outlineLevel="0" collapsed="false">
      <c r="A1020" s="31" t="n">
        <v>42778.4166666667</v>
      </c>
      <c r="B1020" s="32" t="n">
        <v>62.807</v>
      </c>
      <c r="D1020" s="33" t="n">
        <f aca="false">WEEKDAY(A1020,2)</f>
        <v>7</v>
      </c>
      <c r="E1020" s="33" t="n">
        <f aca="false">HOUR(A1020)+MINUTE(A1020)/60</f>
        <v>10</v>
      </c>
      <c r="F1020" s="33" t="n">
        <f aca="false">IF(OR(D1020&gt;5,E1020&lt;8,E1020&gt;=18,COUNTIF($K$2:$K$10,INT(A1020))&gt;0),1,0)</f>
        <v>1</v>
      </c>
      <c r="G1020" s="34" t="n">
        <f aca="false">B1020/1</f>
        <v>62.807</v>
      </c>
      <c r="H1020" s="34" t="n">
        <f aca="false">IF(F1020=1,G1020,"")</f>
        <v>62.807</v>
      </c>
    </row>
    <row r="1021" customFormat="false" ht="15" hidden="false" customHeight="false" outlineLevel="0" collapsed="false">
      <c r="A1021" s="31" t="n">
        <v>42778.4583333333</v>
      </c>
      <c r="B1021" s="32" t="n">
        <v>62.766</v>
      </c>
      <c r="D1021" s="33" t="n">
        <f aca="false">WEEKDAY(A1021,2)</f>
        <v>7</v>
      </c>
      <c r="E1021" s="33" t="n">
        <f aca="false">HOUR(A1021)+MINUTE(A1021)/60</f>
        <v>11</v>
      </c>
      <c r="F1021" s="33" t="n">
        <f aca="false">IF(OR(D1021&gt;5,E1021&lt;8,E1021&gt;=18,COUNTIF($K$2:$K$10,INT(A1021))&gt;0),1,0)</f>
        <v>1</v>
      </c>
      <c r="G1021" s="34" t="n">
        <f aca="false">B1021/1</f>
        <v>62.766</v>
      </c>
      <c r="H1021" s="34" t="n">
        <f aca="false">IF(F1021=1,G1021,"")</f>
        <v>62.766</v>
      </c>
    </row>
    <row r="1022" customFormat="false" ht="15" hidden="false" customHeight="false" outlineLevel="0" collapsed="false">
      <c r="A1022" s="31" t="n">
        <v>42778.5</v>
      </c>
      <c r="B1022" s="32" t="n">
        <v>63.625</v>
      </c>
      <c r="D1022" s="33" t="n">
        <f aca="false">WEEKDAY(A1022,2)</f>
        <v>7</v>
      </c>
      <c r="E1022" s="33" t="n">
        <f aca="false">HOUR(A1022)+MINUTE(A1022)/60</f>
        <v>12</v>
      </c>
      <c r="F1022" s="33" t="n">
        <f aca="false">IF(OR(D1022&gt;5,E1022&lt;8,E1022&gt;=18,COUNTIF($K$2:$K$10,INT(A1022))&gt;0),1,0)</f>
        <v>1</v>
      </c>
      <c r="G1022" s="34" t="n">
        <f aca="false">B1022/1</f>
        <v>63.625</v>
      </c>
      <c r="H1022" s="34" t="n">
        <f aca="false">IF(F1022=1,G1022,"")</f>
        <v>63.625</v>
      </c>
    </row>
    <row r="1023" customFormat="false" ht="15" hidden="false" customHeight="false" outlineLevel="0" collapsed="false">
      <c r="A1023" s="31" t="n">
        <v>42778.5416666667</v>
      </c>
      <c r="B1023" s="32" t="n">
        <v>113.649</v>
      </c>
      <c r="D1023" s="33" t="n">
        <f aca="false">WEEKDAY(A1023,2)</f>
        <v>7</v>
      </c>
      <c r="E1023" s="33" t="n">
        <f aca="false">HOUR(A1023)+MINUTE(A1023)/60</f>
        <v>13</v>
      </c>
      <c r="F1023" s="33" t="n">
        <f aca="false">IF(OR(D1023&gt;5,E1023&lt;8,E1023&gt;=18,COUNTIF($K$2:$K$10,INT(A1023))&gt;0),1,0)</f>
        <v>1</v>
      </c>
      <c r="G1023" s="34" t="n">
        <f aca="false">B1023/1</f>
        <v>113.649</v>
      </c>
      <c r="H1023" s="34" t="n">
        <f aca="false">IF(F1023=1,G1023,"")</f>
        <v>113.649</v>
      </c>
    </row>
    <row r="1024" customFormat="false" ht="15" hidden="false" customHeight="false" outlineLevel="0" collapsed="false">
      <c r="A1024" s="31" t="n">
        <v>42778.5833333333</v>
      </c>
      <c r="B1024" s="32" t="n">
        <v>142.355</v>
      </c>
      <c r="D1024" s="33" t="n">
        <f aca="false">WEEKDAY(A1024,2)</f>
        <v>7</v>
      </c>
      <c r="E1024" s="33" t="n">
        <f aca="false">HOUR(A1024)+MINUTE(A1024)/60</f>
        <v>14</v>
      </c>
      <c r="F1024" s="33" t="n">
        <f aca="false">IF(OR(D1024&gt;5,E1024&lt;8,E1024&gt;=18,COUNTIF($K$2:$K$10,INT(A1024))&gt;0),1,0)</f>
        <v>1</v>
      </c>
      <c r="G1024" s="34" t="n">
        <f aca="false">B1024/1</f>
        <v>142.355</v>
      </c>
      <c r="H1024" s="34" t="n">
        <f aca="false">IF(F1024=1,G1024,"")</f>
        <v>142.355</v>
      </c>
    </row>
    <row r="1025" customFormat="false" ht="15" hidden="false" customHeight="false" outlineLevel="0" collapsed="false">
      <c r="A1025" s="31" t="n">
        <v>42778.625</v>
      </c>
      <c r="B1025" s="32" t="n">
        <v>146.245</v>
      </c>
      <c r="D1025" s="33" t="n">
        <f aca="false">WEEKDAY(A1025,2)</f>
        <v>7</v>
      </c>
      <c r="E1025" s="33" t="n">
        <f aca="false">HOUR(A1025)+MINUTE(A1025)/60</f>
        <v>15</v>
      </c>
      <c r="F1025" s="33" t="n">
        <f aca="false">IF(OR(D1025&gt;5,E1025&lt;8,E1025&gt;=18,COUNTIF($K$2:$K$10,INT(A1025))&gt;0),1,0)</f>
        <v>1</v>
      </c>
      <c r="G1025" s="34" t="n">
        <f aca="false">B1025/1</f>
        <v>146.245</v>
      </c>
      <c r="H1025" s="34" t="n">
        <f aca="false">IF(F1025=1,G1025,"")</f>
        <v>146.245</v>
      </c>
    </row>
    <row r="1026" customFormat="false" ht="15" hidden="false" customHeight="false" outlineLevel="0" collapsed="false">
      <c r="A1026" s="31" t="n">
        <v>42778.6666666667</v>
      </c>
      <c r="B1026" s="32" t="n">
        <v>149.851</v>
      </c>
      <c r="D1026" s="33" t="n">
        <f aca="false">WEEKDAY(A1026,2)</f>
        <v>7</v>
      </c>
      <c r="E1026" s="33" t="n">
        <f aca="false">HOUR(A1026)+MINUTE(A1026)/60</f>
        <v>16</v>
      </c>
      <c r="F1026" s="33" t="n">
        <f aca="false">IF(OR(D1026&gt;5,E1026&lt;8,E1026&gt;=18,COUNTIF($K$2:$K$10,INT(A1026))&gt;0),1,0)</f>
        <v>1</v>
      </c>
      <c r="G1026" s="34" t="n">
        <f aca="false">B1026/1</f>
        <v>149.851</v>
      </c>
      <c r="H1026" s="34" t="n">
        <f aca="false">IF(F1026=1,G1026,"")</f>
        <v>149.851</v>
      </c>
    </row>
    <row r="1027" customFormat="false" ht="15" hidden="false" customHeight="false" outlineLevel="0" collapsed="false">
      <c r="A1027" s="31" t="n">
        <v>42778.7083333333</v>
      </c>
      <c r="B1027" s="32" t="n">
        <v>149.732</v>
      </c>
      <c r="D1027" s="33" t="n">
        <f aca="false">WEEKDAY(A1027,2)</f>
        <v>7</v>
      </c>
      <c r="E1027" s="33" t="n">
        <f aca="false">HOUR(A1027)+MINUTE(A1027)/60</f>
        <v>17</v>
      </c>
      <c r="F1027" s="33" t="n">
        <f aca="false">IF(OR(D1027&gt;5,E1027&lt;8,E1027&gt;=18,COUNTIF($K$2:$K$10,INT(A1027))&gt;0),1,0)</f>
        <v>1</v>
      </c>
      <c r="G1027" s="34" t="n">
        <f aca="false">B1027/1</f>
        <v>149.732</v>
      </c>
      <c r="H1027" s="34" t="n">
        <f aca="false">IF(F1027=1,G1027,"")</f>
        <v>149.732</v>
      </c>
    </row>
    <row r="1028" customFormat="false" ht="15" hidden="false" customHeight="false" outlineLevel="0" collapsed="false">
      <c r="A1028" s="31" t="n">
        <v>42778.75</v>
      </c>
      <c r="B1028" s="32" t="n">
        <v>81.769</v>
      </c>
      <c r="D1028" s="33" t="n">
        <f aca="false">WEEKDAY(A1028,2)</f>
        <v>7</v>
      </c>
      <c r="E1028" s="33" t="n">
        <f aca="false">HOUR(A1028)+MINUTE(A1028)/60</f>
        <v>18</v>
      </c>
      <c r="F1028" s="33" t="n">
        <f aca="false">IF(OR(D1028&gt;5,E1028&lt;8,E1028&gt;=18,COUNTIF($K$2:$K$10,INT(A1028))&gt;0),1,0)</f>
        <v>1</v>
      </c>
      <c r="G1028" s="34" t="n">
        <f aca="false">B1028/1</f>
        <v>81.769</v>
      </c>
      <c r="H1028" s="34" t="n">
        <f aca="false">IF(F1028=1,G1028,"")</f>
        <v>81.769</v>
      </c>
    </row>
    <row r="1029" customFormat="false" ht="15" hidden="false" customHeight="false" outlineLevel="0" collapsed="false">
      <c r="A1029" s="31" t="n">
        <v>42778.7916666667</v>
      </c>
      <c r="B1029" s="32" t="n">
        <v>72.052</v>
      </c>
      <c r="D1029" s="33" t="n">
        <f aca="false">WEEKDAY(A1029,2)</f>
        <v>7</v>
      </c>
      <c r="E1029" s="33" t="n">
        <f aca="false">HOUR(A1029)+MINUTE(A1029)/60</f>
        <v>19</v>
      </c>
      <c r="F1029" s="33" t="n">
        <f aca="false">IF(OR(D1029&gt;5,E1029&lt;8,E1029&gt;=18,COUNTIF($K$2:$K$10,INT(A1029))&gt;0),1,0)</f>
        <v>1</v>
      </c>
      <c r="G1029" s="34" t="n">
        <f aca="false">B1029/1</f>
        <v>72.052</v>
      </c>
      <c r="H1029" s="34" t="n">
        <f aca="false">IF(F1029=1,G1029,"")</f>
        <v>72.052</v>
      </c>
    </row>
    <row r="1030" customFormat="false" ht="15" hidden="false" customHeight="false" outlineLevel="0" collapsed="false">
      <c r="A1030" s="31" t="n">
        <v>42778.8333333333</v>
      </c>
      <c r="B1030" s="32" t="n">
        <v>69.167</v>
      </c>
      <c r="D1030" s="33" t="n">
        <f aca="false">WEEKDAY(A1030,2)</f>
        <v>7</v>
      </c>
      <c r="E1030" s="33" t="n">
        <f aca="false">HOUR(A1030)+MINUTE(A1030)/60</f>
        <v>20</v>
      </c>
      <c r="F1030" s="33" t="n">
        <f aca="false">IF(OR(D1030&gt;5,E1030&lt;8,E1030&gt;=18,COUNTIF($K$2:$K$10,INT(A1030))&gt;0),1,0)</f>
        <v>1</v>
      </c>
      <c r="G1030" s="34" t="n">
        <f aca="false">B1030/1</f>
        <v>69.167</v>
      </c>
      <c r="H1030" s="34" t="n">
        <f aca="false">IF(F1030=1,G1030,"")</f>
        <v>69.167</v>
      </c>
    </row>
    <row r="1031" customFormat="false" ht="15" hidden="false" customHeight="false" outlineLevel="0" collapsed="false">
      <c r="A1031" s="31" t="n">
        <v>42778.875</v>
      </c>
      <c r="B1031" s="32" t="n">
        <v>69.409</v>
      </c>
      <c r="D1031" s="33" t="n">
        <f aca="false">WEEKDAY(A1031,2)</f>
        <v>7</v>
      </c>
      <c r="E1031" s="33" t="n">
        <f aca="false">HOUR(A1031)+MINUTE(A1031)/60</f>
        <v>21</v>
      </c>
      <c r="F1031" s="33" t="n">
        <f aca="false">IF(OR(D1031&gt;5,E1031&lt;8,E1031&gt;=18,COUNTIF($K$2:$K$10,INT(A1031))&gt;0),1,0)</f>
        <v>1</v>
      </c>
      <c r="G1031" s="34" t="n">
        <f aca="false">B1031/1</f>
        <v>69.409</v>
      </c>
      <c r="H1031" s="34" t="n">
        <f aca="false">IF(F1031=1,G1031,"")</f>
        <v>69.409</v>
      </c>
    </row>
    <row r="1032" customFormat="false" ht="15" hidden="false" customHeight="false" outlineLevel="0" collapsed="false">
      <c r="A1032" s="31" t="n">
        <v>42778.9166666667</v>
      </c>
      <c r="B1032" s="32" t="n">
        <v>69.221</v>
      </c>
      <c r="D1032" s="33" t="n">
        <f aca="false">WEEKDAY(A1032,2)</f>
        <v>7</v>
      </c>
      <c r="E1032" s="33" t="n">
        <f aca="false">HOUR(A1032)+MINUTE(A1032)/60</f>
        <v>22</v>
      </c>
      <c r="F1032" s="33" t="n">
        <f aca="false">IF(OR(D1032&gt;5,E1032&lt;8,E1032&gt;=18,COUNTIF($K$2:$K$10,INT(A1032))&gt;0),1,0)</f>
        <v>1</v>
      </c>
      <c r="G1032" s="34" t="n">
        <f aca="false">B1032/1</f>
        <v>69.221</v>
      </c>
      <c r="H1032" s="34" t="n">
        <f aca="false">IF(F1032=1,G1032,"")</f>
        <v>69.221</v>
      </c>
    </row>
    <row r="1033" customFormat="false" ht="15" hidden="false" customHeight="false" outlineLevel="0" collapsed="false">
      <c r="A1033" s="31" t="n">
        <v>42778.9583333333</v>
      </c>
      <c r="B1033" s="32" t="n">
        <v>68.04</v>
      </c>
      <c r="D1033" s="33" t="n">
        <f aca="false">WEEKDAY(A1033,2)</f>
        <v>7</v>
      </c>
      <c r="E1033" s="33" t="n">
        <f aca="false">HOUR(A1033)+MINUTE(A1033)/60</f>
        <v>23</v>
      </c>
      <c r="F1033" s="33" t="n">
        <f aca="false">IF(OR(D1033&gt;5,E1033&lt;8,E1033&gt;=18,COUNTIF($K$2:$K$10,INT(A1033))&gt;0),1,0)</f>
        <v>1</v>
      </c>
      <c r="G1033" s="34" t="n">
        <f aca="false">B1033/1</f>
        <v>68.04</v>
      </c>
      <c r="H1033" s="34" t="n">
        <f aca="false">IF(F1033=1,G1033,"")</f>
        <v>68.04</v>
      </c>
    </row>
    <row r="1034" customFormat="false" ht="15" hidden="false" customHeight="false" outlineLevel="0" collapsed="false">
      <c r="A1034" s="31" t="n">
        <v>42779</v>
      </c>
      <c r="B1034" s="32" t="n">
        <v>67.196</v>
      </c>
      <c r="D1034" s="33" t="n">
        <f aca="false">WEEKDAY(A1034,2)</f>
        <v>1</v>
      </c>
      <c r="E1034" s="33" t="n">
        <f aca="false">HOUR(A1034)+MINUTE(A1034)/60</f>
        <v>0</v>
      </c>
      <c r="F1034" s="33" t="n">
        <f aca="false">IF(OR(D1034&gt;5,E1034&lt;8,E1034&gt;=18,COUNTIF($K$2:$K$10,INT(A1034))&gt;0),1,0)</f>
        <v>1</v>
      </c>
      <c r="G1034" s="34" t="n">
        <f aca="false">B1034/1</f>
        <v>67.196</v>
      </c>
      <c r="H1034" s="34" t="n">
        <f aca="false">IF(F1034=1,G1034,"")</f>
        <v>67.196</v>
      </c>
    </row>
    <row r="1035" customFormat="false" ht="15" hidden="false" customHeight="false" outlineLevel="0" collapsed="false">
      <c r="A1035" s="31" t="n">
        <v>42779.0416666667</v>
      </c>
      <c r="B1035" s="32" t="n">
        <v>66.592</v>
      </c>
      <c r="D1035" s="33" t="n">
        <f aca="false">WEEKDAY(A1035,2)</f>
        <v>1</v>
      </c>
      <c r="E1035" s="33" t="n">
        <f aca="false">HOUR(A1035)+MINUTE(A1035)/60</f>
        <v>1</v>
      </c>
      <c r="F1035" s="33" t="n">
        <f aca="false">IF(OR(D1035&gt;5,E1035&lt;8,E1035&gt;=18,COUNTIF($K$2:$K$10,INT(A1035))&gt;0),1,0)</f>
        <v>1</v>
      </c>
      <c r="G1035" s="34" t="n">
        <f aca="false">B1035/1</f>
        <v>66.592</v>
      </c>
      <c r="H1035" s="34" t="n">
        <f aca="false">IF(F1035=1,G1035,"")</f>
        <v>66.592</v>
      </c>
    </row>
    <row r="1036" customFormat="false" ht="15" hidden="false" customHeight="false" outlineLevel="0" collapsed="false">
      <c r="A1036" s="31" t="n">
        <v>42779.0833333333</v>
      </c>
      <c r="B1036" s="32" t="n">
        <v>64.546</v>
      </c>
      <c r="D1036" s="33" t="n">
        <f aca="false">WEEKDAY(A1036,2)</f>
        <v>1</v>
      </c>
      <c r="E1036" s="33" t="n">
        <f aca="false">HOUR(A1036)+MINUTE(A1036)/60</f>
        <v>2</v>
      </c>
      <c r="F1036" s="33" t="n">
        <f aca="false">IF(OR(D1036&gt;5,E1036&lt;8,E1036&gt;=18,COUNTIF($K$2:$K$10,INT(A1036))&gt;0),1,0)</f>
        <v>1</v>
      </c>
      <c r="G1036" s="34" t="n">
        <f aca="false">B1036/1</f>
        <v>64.546</v>
      </c>
      <c r="H1036" s="34" t="n">
        <f aca="false">IF(F1036=1,G1036,"")</f>
        <v>64.546</v>
      </c>
    </row>
    <row r="1037" customFormat="false" ht="15" hidden="false" customHeight="false" outlineLevel="0" collapsed="false">
      <c r="A1037" s="31" t="n">
        <v>42779.125</v>
      </c>
      <c r="B1037" s="32" t="n">
        <v>65.253</v>
      </c>
      <c r="D1037" s="33" t="n">
        <f aca="false">WEEKDAY(A1037,2)</f>
        <v>1</v>
      </c>
      <c r="E1037" s="33" t="n">
        <f aca="false">HOUR(A1037)+MINUTE(A1037)/60</f>
        <v>3</v>
      </c>
      <c r="F1037" s="33" t="n">
        <f aca="false">IF(OR(D1037&gt;5,E1037&lt;8,E1037&gt;=18,COUNTIF($K$2:$K$10,INT(A1037))&gt;0),1,0)</f>
        <v>1</v>
      </c>
      <c r="G1037" s="34" t="n">
        <f aca="false">B1037/1</f>
        <v>65.253</v>
      </c>
      <c r="H1037" s="34" t="n">
        <f aca="false">IF(F1037=1,G1037,"")</f>
        <v>65.253</v>
      </c>
    </row>
    <row r="1038" customFormat="false" ht="15" hidden="false" customHeight="false" outlineLevel="0" collapsed="false">
      <c r="A1038" s="31" t="n">
        <v>42779.1666666667</v>
      </c>
      <c r="B1038" s="32" t="n">
        <v>65.17</v>
      </c>
      <c r="D1038" s="33" t="n">
        <f aca="false">WEEKDAY(A1038,2)</f>
        <v>1</v>
      </c>
      <c r="E1038" s="33" t="n">
        <f aca="false">HOUR(A1038)+MINUTE(A1038)/60</f>
        <v>4</v>
      </c>
      <c r="F1038" s="33" t="n">
        <f aca="false">IF(OR(D1038&gt;5,E1038&lt;8,E1038&gt;=18,COUNTIF($K$2:$K$10,INT(A1038))&gt;0),1,0)</f>
        <v>1</v>
      </c>
      <c r="G1038" s="34" t="n">
        <f aca="false">B1038/1</f>
        <v>65.17</v>
      </c>
      <c r="H1038" s="34" t="n">
        <f aca="false">IF(F1038=1,G1038,"")</f>
        <v>65.17</v>
      </c>
    </row>
    <row r="1039" customFormat="false" ht="15" hidden="false" customHeight="false" outlineLevel="0" collapsed="false">
      <c r="A1039" s="31" t="n">
        <v>42779.2083333333</v>
      </c>
      <c r="B1039" s="32" t="n">
        <v>65.602</v>
      </c>
      <c r="D1039" s="33" t="n">
        <f aca="false">WEEKDAY(A1039,2)</f>
        <v>1</v>
      </c>
      <c r="E1039" s="33" t="n">
        <f aca="false">HOUR(A1039)+MINUTE(A1039)/60</f>
        <v>5</v>
      </c>
      <c r="F1039" s="33" t="n">
        <f aca="false">IF(OR(D1039&gt;5,E1039&lt;8,E1039&gt;=18,COUNTIF($K$2:$K$10,INT(A1039))&gt;0),1,0)</f>
        <v>1</v>
      </c>
      <c r="G1039" s="34" t="n">
        <f aca="false">B1039/1</f>
        <v>65.602</v>
      </c>
      <c r="H1039" s="34" t="n">
        <f aca="false">IF(F1039=1,G1039,"")</f>
        <v>65.602</v>
      </c>
    </row>
    <row r="1040" customFormat="false" ht="15" hidden="false" customHeight="false" outlineLevel="0" collapsed="false">
      <c r="A1040" s="31" t="n">
        <v>42779.25</v>
      </c>
      <c r="B1040" s="32" t="n">
        <v>67.441</v>
      </c>
      <c r="D1040" s="33" t="n">
        <f aca="false">WEEKDAY(A1040,2)</f>
        <v>1</v>
      </c>
      <c r="E1040" s="33" t="n">
        <f aca="false">HOUR(A1040)+MINUTE(A1040)/60</f>
        <v>6</v>
      </c>
      <c r="F1040" s="33" t="n">
        <f aca="false">IF(OR(D1040&gt;5,E1040&lt;8,E1040&gt;=18,COUNTIF($K$2:$K$10,INT(A1040))&gt;0),1,0)</f>
        <v>1</v>
      </c>
      <c r="G1040" s="34" t="n">
        <f aca="false">B1040/1</f>
        <v>67.441</v>
      </c>
      <c r="H1040" s="34" t="n">
        <f aca="false">IF(F1040=1,G1040,"")</f>
        <v>67.441</v>
      </c>
    </row>
    <row r="1041" customFormat="false" ht="15" hidden="false" customHeight="false" outlineLevel="0" collapsed="false">
      <c r="A1041" s="31" t="n">
        <v>42779.2916666667</v>
      </c>
      <c r="B1041" s="32" t="n">
        <v>87.63</v>
      </c>
      <c r="D1041" s="33" t="n">
        <f aca="false">WEEKDAY(A1041,2)</f>
        <v>1</v>
      </c>
      <c r="E1041" s="33" t="n">
        <f aca="false">HOUR(A1041)+MINUTE(A1041)/60</f>
        <v>7</v>
      </c>
      <c r="F1041" s="33" t="n">
        <f aca="false">IF(OR(D1041&gt;5,E1041&lt;8,E1041&gt;=18,COUNTIF($K$2:$K$10,INT(A1041))&gt;0),1,0)</f>
        <v>1</v>
      </c>
      <c r="G1041" s="34" t="n">
        <f aca="false">B1041/1</f>
        <v>87.63</v>
      </c>
      <c r="H1041" s="34" t="n">
        <f aca="false">IF(F1041=1,G1041,"")</f>
        <v>87.63</v>
      </c>
    </row>
    <row r="1042" customFormat="false" ht="15" hidden="false" customHeight="false" outlineLevel="0" collapsed="false">
      <c r="A1042" s="31" t="n">
        <v>42779.3333333333</v>
      </c>
      <c r="B1042" s="32" t="n">
        <v>181.07</v>
      </c>
      <c r="D1042" s="33" t="n">
        <f aca="false">WEEKDAY(A1042,2)</f>
        <v>1</v>
      </c>
      <c r="E1042" s="33" t="n">
        <f aca="false">HOUR(A1042)+MINUTE(A1042)/60</f>
        <v>8</v>
      </c>
      <c r="F1042" s="33" t="n">
        <f aca="false">IF(OR(D1042&gt;5,E1042&lt;8,E1042&gt;=18,COUNTIF($K$2:$K$10,INT(A1042))&gt;0),1,0)</f>
        <v>0</v>
      </c>
      <c r="G1042" s="34" t="n">
        <f aca="false">B1042/1</f>
        <v>181.07</v>
      </c>
      <c r="H1042" s="34" t="str">
        <f aca="false">IF(F1042=1,G1042,"")</f>
        <v/>
      </c>
    </row>
    <row r="1043" customFormat="false" ht="15" hidden="false" customHeight="false" outlineLevel="0" collapsed="false">
      <c r="A1043" s="31" t="n">
        <v>42779.375</v>
      </c>
      <c r="B1043" s="32" t="n">
        <v>219.605</v>
      </c>
      <c r="D1043" s="33" t="n">
        <f aca="false">WEEKDAY(A1043,2)</f>
        <v>1</v>
      </c>
      <c r="E1043" s="33" t="n">
        <f aca="false">HOUR(A1043)+MINUTE(A1043)/60</f>
        <v>9</v>
      </c>
      <c r="F1043" s="33" t="n">
        <f aca="false">IF(OR(D1043&gt;5,E1043&lt;8,E1043&gt;=18,COUNTIF($K$2:$K$10,INT(A1043))&gt;0),1,0)</f>
        <v>0</v>
      </c>
      <c r="G1043" s="34" t="n">
        <f aca="false">B1043/1</f>
        <v>219.605</v>
      </c>
      <c r="H1043" s="34" t="str">
        <f aca="false">IF(F1043=1,G1043,"")</f>
        <v/>
      </c>
    </row>
    <row r="1044" customFormat="false" ht="15" hidden="false" customHeight="false" outlineLevel="0" collapsed="false">
      <c r="A1044" s="31" t="n">
        <v>42779.4166666667</v>
      </c>
      <c r="B1044" s="32" t="n">
        <v>239.267</v>
      </c>
      <c r="D1044" s="33" t="n">
        <f aca="false">WEEKDAY(A1044,2)</f>
        <v>1</v>
      </c>
      <c r="E1044" s="33" t="n">
        <f aca="false">HOUR(A1044)+MINUTE(A1044)/60</f>
        <v>10</v>
      </c>
      <c r="F1044" s="33" t="n">
        <f aca="false">IF(OR(D1044&gt;5,E1044&lt;8,E1044&gt;=18,COUNTIF($K$2:$K$10,INT(A1044))&gt;0),1,0)</f>
        <v>0</v>
      </c>
      <c r="G1044" s="34" t="n">
        <f aca="false">B1044/1</f>
        <v>239.267</v>
      </c>
      <c r="H1044" s="34" t="str">
        <f aca="false">IF(F1044=1,G1044,"")</f>
        <v/>
      </c>
    </row>
    <row r="1045" customFormat="false" ht="15" hidden="false" customHeight="false" outlineLevel="0" collapsed="false">
      <c r="A1045" s="31" t="n">
        <v>42779.4583333333</v>
      </c>
      <c r="B1045" s="32" t="n">
        <v>256.576</v>
      </c>
      <c r="D1045" s="33" t="n">
        <f aca="false">WEEKDAY(A1045,2)</f>
        <v>1</v>
      </c>
      <c r="E1045" s="33" t="n">
        <f aca="false">HOUR(A1045)+MINUTE(A1045)/60</f>
        <v>11</v>
      </c>
      <c r="F1045" s="33" t="n">
        <f aca="false">IF(OR(D1045&gt;5,E1045&lt;8,E1045&gt;=18,COUNTIF($K$2:$K$10,INT(A1045))&gt;0),1,0)</f>
        <v>0</v>
      </c>
      <c r="G1045" s="34" t="n">
        <f aca="false">B1045/1</f>
        <v>256.576</v>
      </c>
      <c r="H1045" s="34" t="str">
        <f aca="false">IF(F1045=1,G1045,"")</f>
        <v/>
      </c>
    </row>
    <row r="1046" customFormat="false" ht="15" hidden="false" customHeight="false" outlineLevel="0" collapsed="false">
      <c r="A1046" s="31" t="n">
        <v>42779.5</v>
      </c>
      <c r="B1046" s="32" t="n">
        <v>265.005</v>
      </c>
      <c r="D1046" s="33" t="n">
        <f aca="false">WEEKDAY(A1046,2)</f>
        <v>1</v>
      </c>
      <c r="E1046" s="33" t="n">
        <f aca="false">HOUR(A1046)+MINUTE(A1046)/60</f>
        <v>12</v>
      </c>
      <c r="F1046" s="33" t="n">
        <f aca="false">IF(OR(D1046&gt;5,E1046&lt;8,E1046&gt;=18,COUNTIF($K$2:$K$10,INT(A1046))&gt;0),1,0)</f>
        <v>0</v>
      </c>
      <c r="G1046" s="34" t="n">
        <f aca="false">B1046/1</f>
        <v>265.005</v>
      </c>
      <c r="H1046" s="34" t="str">
        <f aca="false">IF(F1046=1,G1046,"")</f>
        <v/>
      </c>
    </row>
    <row r="1047" customFormat="false" ht="15" hidden="false" customHeight="false" outlineLevel="0" collapsed="false">
      <c r="A1047" s="31" t="n">
        <v>42779.5416666667</v>
      </c>
      <c r="B1047" s="32" t="n">
        <v>260.533</v>
      </c>
      <c r="D1047" s="33" t="n">
        <f aca="false">WEEKDAY(A1047,2)</f>
        <v>1</v>
      </c>
      <c r="E1047" s="33" t="n">
        <f aca="false">HOUR(A1047)+MINUTE(A1047)/60</f>
        <v>13</v>
      </c>
      <c r="F1047" s="33" t="n">
        <f aca="false">IF(OR(D1047&gt;5,E1047&lt;8,E1047&gt;=18,COUNTIF($K$2:$K$10,INT(A1047))&gt;0),1,0)</f>
        <v>0</v>
      </c>
      <c r="G1047" s="34" t="n">
        <f aca="false">B1047/1</f>
        <v>260.533</v>
      </c>
      <c r="H1047" s="34" t="str">
        <f aca="false">IF(F1047=1,G1047,"")</f>
        <v/>
      </c>
    </row>
    <row r="1048" customFormat="false" ht="15" hidden="false" customHeight="false" outlineLevel="0" collapsed="false">
      <c r="A1048" s="31" t="n">
        <v>42779.5833333333</v>
      </c>
      <c r="B1048" s="32" t="n">
        <v>255.477</v>
      </c>
      <c r="D1048" s="33" t="n">
        <f aca="false">WEEKDAY(A1048,2)</f>
        <v>1</v>
      </c>
      <c r="E1048" s="33" t="n">
        <f aca="false">HOUR(A1048)+MINUTE(A1048)/60</f>
        <v>14</v>
      </c>
      <c r="F1048" s="33" t="n">
        <f aca="false">IF(OR(D1048&gt;5,E1048&lt;8,E1048&gt;=18,COUNTIF($K$2:$K$10,INT(A1048))&gt;0),1,0)</f>
        <v>0</v>
      </c>
      <c r="G1048" s="34" t="n">
        <f aca="false">B1048/1</f>
        <v>255.477</v>
      </c>
      <c r="H1048" s="34" t="str">
        <f aca="false">IF(F1048=1,G1048,"")</f>
        <v/>
      </c>
    </row>
    <row r="1049" customFormat="false" ht="15" hidden="false" customHeight="false" outlineLevel="0" collapsed="false">
      <c r="A1049" s="31" t="n">
        <v>42779.625</v>
      </c>
      <c r="B1049" s="32" t="n">
        <v>257.693</v>
      </c>
      <c r="D1049" s="33" t="n">
        <f aca="false">WEEKDAY(A1049,2)</f>
        <v>1</v>
      </c>
      <c r="E1049" s="33" t="n">
        <f aca="false">HOUR(A1049)+MINUTE(A1049)/60</f>
        <v>15</v>
      </c>
      <c r="F1049" s="33" t="n">
        <f aca="false">IF(OR(D1049&gt;5,E1049&lt;8,E1049&gt;=18,COUNTIF($K$2:$K$10,INT(A1049))&gt;0),1,0)</f>
        <v>0</v>
      </c>
      <c r="G1049" s="34" t="n">
        <f aca="false">B1049/1</f>
        <v>257.693</v>
      </c>
      <c r="H1049" s="34" t="str">
        <f aca="false">IF(F1049=1,G1049,"")</f>
        <v/>
      </c>
    </row>
    <row r="1050" customFormat="false" ht="15" hidden="false" customHeight="false" outlineLevel="0" collapsed="false">
      <c r="A1050" s="31" t="n">
        <v>42779.6666666667</v>
      </c>
      <c r="B1050" s="32" t="n">
        <v>255.037</v>
      </c>
      <c r="D1050" s="33" t="n">
        <f aca="false">WEEKDAY(A1050,2)</f>
        <v>1</v>
      </c>
      <c r="E1050" s="33" t="n">
        <f aca="false">HOUR(A1050)+MINUTE(A1050)/60</f>
        <v>16</v>
      </c>
      <c r="F1050" s="33" t="n">
        <f aca="false">IF(OR(D1050&gt;5,E1050&lt;8,E1050&gt;=18,COUNTIF($K$2:$K$10,INT(A1050))&gt;0),1,0)</f>
        <v>0</v>
      </c>
      <c r="G1050" s="34" t="n">
        <f aca="false">B1050/1</f>
        <v>255.037</v>
      </c>
      <c r="H1050" s="34" t="str">
        <f aca="false">IF(F1050=1,G1050,"")</f>
        <v/>
      </c>
    </row>
    <row r="1051" customFormat="false" ht="15" hidden="false" customHeight="false" outlineLevel="0" collapsed="false">
      <c r="A1051" s="31" t="n">
        <v>42779.7083333333</v>
      </c>
      <c r="B1051" s="32" t="n">
        <v>256.832</v>
      </c>
      <c r="D1051" s="33" t="n">
        <f aca="false">WEEKDAY(A1051,2)</f>
        <v>1</v>
      </c>
      <c r="E1051" s="33" t="n">
        <f aca="false">HOUR(A1051)+MINUTE(A1051)/60</f>
        <v>17</v>
      </c>
      <c r="F1051" s="33" t="n">
        <f aca="false">IF(OR(D1051&gt;5,E1051&lt;8,E1051&gt;=18,COUNTIF($K$2:$K$10,INT(A1051))&gt;0),1,0)</f>
        <v>0</v>
      </c>
      <c r="G1051" s="34" t="n">
        <f aca="false">B1051/1</f>
        <v>256.832</v>
      </c>
      <c r="H1051" s="34" t="str">
        <f aca="false">IF(F1051=1,G1051,"")</f>
        <v/>
      </c>
    </row>
    <row r="1052" customFormat="false" ht="15" hidden="false" customHeight="false" outlineLevel="0" collapsed="false">
      <c r="A1052" s="31" t="n">
        <v>42779.75</v>
      </c>
      <c r="B1052" s="32" t="n">
        <v>234.563</v>
      </c>
      <c r="D1052" s="33" t="n">
        <f aca="false">WEEKDAY(A1052,2)</f>
        <v>1</v>
      </c>
      <c r="E1052" s="33" t="n">
        <f aca="false">HOUR(A1052)+MINUTE(A1052)/60</f>
        <v>18</v>
      </c>
      <c r="F1052" s="33" t="n">
        <f aca="false">IF(OR(D1052&gt;5,E1052&lt;8,E1052&gt;=18,COUNTIF($K$2:$K$10,INT(A1052))&gt;0),1,0)</f>
        <v>1</v>
      </c>
      <c r="G1052" s="34" t="n">
        <f aca="false">B1052/1</f>
        <v>234.563</v>
      </c>
      <c r="H1052" s="34" t="n">
        <f aca="false">IF(F1052=1,G1052,"")</f>
        <v>234.563</v>
      </c>
    </row>
    <row r="1053" customFormat="false" ht="15" hidden="false" customHeight="false" outlineLevel="0" collapsed="false">
      <c r="A1053" s="31" t="n">
        <v>42779.7916666667</v>
      </c>
      <c r="B1053" s="32" t="n">
        <v>222.852</v>
      </c>
      <c r="D1053" s="33" t="n">
        <f aca="false">WEEKDAY(A1053,2)</f>
        <v>1</v>
      </c>
      <c r="E1053" s="33" t="n">
        <f aca="false">HOUR(A1053)+MINUTE(A1053)/60</f>
        <v>19</v>
      </c>
      <c r="F1053" s="33" t="n">
        <f aca="false">IF(OR(D1053&gt;5,E1053&lt;8,E1053&gt;=18,COUNTIF($K$2:$K$10,INT(A1053))&gt;0),1,0)</f>
        <v>1</v>
      </c>
      <c r="G1053" s="34" t="n">
        <f aca="false">B1053/1</f>
        <v>222.852</v>
      </c>
      <c r="H1053" s="34" t="n">
        <f aca="false">IF(F1053=1,G1053,"")</f>
        <v>222.852</v>
      </c>
    </row>
    <row r="1054" customFormat="false" ht="15" hidden="false" customHeight="false" outlineLevel="0" collapsed="false">
      <c r="A1054" s="31" t="n">
        <v>42779.8333333333</v>
      </c>
      <c r="B1054" s="32" t="n">
        <v>213.886</v>
      </c>
      <c r="D1054" s="33" t="n">
        <f aca="false">WEEKDAY(A1054,2)</f>
        <v>1</v>
      </c>
      <c r="E1054" s="33" t="n">
        <f aca="false">HOUR(A1054)+MINUTE(A1054)/60</f>
        <v>20</v>
      </c>
      <c r="F1054" s="33" t="n">
        <f aca="false">IF(OR(D1054&gt;5,E1054&lt;8,E1054&gt;=18,COUNTIF($K$2:$K$10,INT(A1054))&gt;0),1,0)</f>
        <v>1</v>
      </c>
      <c r="G1054" s="34" t="n">
        <f aca="false">B1054/1</f>
        <v>213.886</v>
      </c>
      <c r="H1054" s="34" t="n">
        <f aca="false">IF(F1054=1,G1054,"")</f>
        <v>213.886</v>
      </c>
    </row>
    <row r="1055" customFormat="false" ht="15" hidden="false" customHeight="false" outlineLevel="0" collapsed="false">
      <c r="A1055" s="31" t="n">
        <v>42779.875</v>
      </c>
      <c r="B1055" s="32" t="n">
        <v>203.521</v>
      </c>
      <c r="D1055" s="33" t="n">
        <f aca="false">WEEKDAY(A1055,2)</f>
        <v>1</v>
      </c>
      <c r="E1055" s="33" t="n">
        <f aca="false">HOUR(A1055)+MINUTE(A1055)/60</f>
        <v>21</v>
      </c>
      <c r="F1055" s="33" t="n">
        <f aca="false">IF(OR(D1055&gt;5,E1055&lt;8,E1055&gt;=18,COUNTIF($K$2:$K$10,INT(A1055))&gt;0),1,0)</f>
        <v>1</v>
      </c>
      <c r="G1055" s="34" t="n">
        <f aca="false">B1055/1</f>
        <v>203.521</v>
      </c>
      <c r="H1055" s="34" t="n">
        <f aca="false">IF(F1055=1,G1055,"")</f>
        <v>203.521</v>
      </c>
    </row>
    <row r="1056" customFormat="false" ht="15" hidden="false" customHeight="false" outlineLevel="0" collapsed="false">
      <c r="A1056" s="31" t="n">
        <v>42779.9166666667</v>
      </c>
      <c r="B1056" s="32" t="n">
        <v>137.957</v>
      </c>
      <c r="D1056" s="33" t="n">
        <f aca="false">WEEKDAY(A1056,2)</f>
        <v>1</v>
      </c>
      <c r="E1056" s="33" t="n">
        <f aca="false">HOUR(A1056)+MINUTE(A1056)/60</f>
        <v>22</v>
      </c>
      <c r="F1056" s="33" t="n">
        <f aca="false">IF(OR(D1056&gt;5,E1056&lt;8,E1056&gt;=18,COUNTIF($K$2:$K$10,INT(A1056))&gt;0),1,0)</f>
        <v>1</v>
      </c>
      <c r="G1056" s="34" t="n">
        <f aca="false">B1056/1</f>
        <v>137.957</v>
      </c>
      <c r="H1056" s="34" t="n">
        <f aca="false">IF(F1056=1,G1056,"")</f>
        <v>137.957</v>
      </c>
    </row>
    <row r="1057" customFormat="false" ht="15" hidden="false" customHeight="false" outlineLevel="0" collapsed="false">
      <c r="A1057" s="31" t="n">
        <v>42779.9583333333</v>
      </c>
      <c r="B1057" s="32" t="n">
        <v>71.79</v>
      </c>
      <c r="D1057" s="33" t="n">
        <f aca="false">WEEKDAY(A1057,2)</f>
        <v>1</v>
      </c>
      <c r="E1057" s="33" t="n">
        <f aca="false">HOUR(A1057)+MINUTE(A1057)/60</f>
        <v>23</v>
      </c>
      <c r="F1057" s="33" t="n">
        <f aca="false">IF(OR(D1057&gt;5,E1057&lt;8,E1057&gt;=18,COUNTIF($K$2:$K$10,INT(A1057))&gt;0),1,0)</f>
        <v>1</v>
      </c>
      <c r="G1057" s="34" t="n">
        <f aca="false">B1057/1</f>
        <v>71.79</v>
      </c>
      <c r="H1057" s="34" t="n">
        <f aca="false">IF(F1057=1,G1057,"")</f>
        <v>71.79</v>
      </c>
    </row>
    <row r="1058" customFormat="false" ht="15" hidden="false" customHeight="false" outlineLevel="0" collapsed="false">
      <c r="A1058" s="31" t="n">
        <v>42780</v>
      </c>
      <c r="B1058" s="32" t="n">
        <v>67.473</v>
      </c>
      <c r="D1058" s="33" t="n">
        <f aca="false">WEEKDAY(A1058,2)</f>
        <v>2</v>
      </c>
      <c r="E1058" s="33" t="n">
        <f aca="false">HOUR(A1058)+MINUTE(A1058)/60</f>
        <v>0</v>
      </c>
      <c r="F1058" s="33" t="n">
        <f aca="false">IF(OR(D1058&gt;5,E1058&lt;8,E1058&gt;=18,COUNTIF($K$2:$K$10,INT(A1058))&gt;0),1,0)</f>
        <v>1</v>
      </c>
      <c r="G1058" s="34" t="n">
        <f aca="false">B1058/1</f>
        <v>67.473</v>
      </c>
      <c r="H1058" s="34" t="n">
        <f aca="false">IF(F1058=1,G1058,"")</f>
        <v>67.473</v>
      </c>
    </row>
    <row r="1059" customFormat="false" ht="15" hidden="false" customHeight="false" outlineLevel="0" collapsed="false">
      <c r="A1059" s="31" t="n">
        <v>42780.0416666667</v>
      </c>
      <c r="B1059" s="32" t="n">
        <v>63.294</v>
      </c>
      <c r="D1059" s="33" t="n">
        <f aca="false">WEEKDAY(A1059,2)</f>
        <v>2</v>
      </c>
      <c r="E1059" s="33" t="n">
        <f aca="false">HOUR(A1059)+MINUTE(A1059)/60</f>
        <v>1</v>
      </c>
      <c r="F1059" s="33" t="n">
        <f aca="false">IF(OR(D1059&gt;5,E1059&lt;8,E1059&gt;=18,COUNTIF($K$2:$K$10,INT(A1059))&gt;0),1,0)</f>
        <v>1</v>
      </c>
      <c r="G1059" s="34" t="n">
        <f aca="false">B1059/1</f>
        <v>63.294</v>
      </c>
      <c r="H1059" s="34" t="n">
        <f aca="false">IF(F1059=1,G1059,"")</f>
        <v>63.294</v>
      </c>
    </row>
    <row r="1060" customFormat="false" ht="15" hidden="false" customHeight="false" outlineLevel="0" collapsed="false">
      <c r="A1060" s="31" t="n">
        <v>42780.0833333333</v>
      </c>
      <c r="B1060" s="32" t="n">
        <v>64.209</v>
      </c>
      <c r="D1060" s="33" t="n">
        <f aca="false">WEEKDAY(A1060,2)</f>
        <v>2</v>
      </c>
      <c r="E1060" s="33" t="n">
        <f aca="false">HOUR(A1060)+MINUTE(A1060)/60</f>
        <v>2</v>
      </c>
      <c r="F1060" s="33" t="n">
        <f aca="false">IF(OR(D1060&gt;5,E1060&lt;8,E1060&gt;=18,COUNTIF($K$2:$K$10,INT(A1060))&gt;0),1,0)</f>
        <v>1</v>
      </c>
      <c r="G1060" s="34" t="n">
        <f aca="false">B1060/1</f>
        <v>64.209</v>
      </c>
      <c r="H1060" s="34" t="n">
        <f aca="false">IF(F1060=1,G1060,"")</f>
        <v>64.209</v>
      </c>
    </row>
    <row r="1061" customFormat="false" ht="15" hidden="false" customHeight="false" outlineLevel="0" collapsed="false">
      <c r="A1061" s="31" t="n">
        <v>42780.125</v>
      </c>
      <c r="B1061" s="32" t="n">
        <v>64.731</v>
      </c>
      <c r="D1061" s="33" t="n">
        <f aca="false">WEEKDAY(A1061,2)</f>
        <v>2</v>
      </c>
      <c r="E1061" s="33" t="n">
        <f aca="false">HOUR(A1061)+MINUTE(A1061)/60</f>
        <v>3</v>
      </c>
      <c r="F1061" s="33" t="n">
        <f aca="false">IF(OR(D1061&gt;5,E1061&lt;8,E1061&gt;=18,COUNTIF($K$2:$K$10,INT(A1061))&gt;0),1,0)</f>
        <v>1</v>
      </c>
      <c r="G1061" s="34" t="n">
        <f aca="false">B1061/1</f>
        <v>64.731</v>
      </c>
      <c r="H1061" s="34" t="n">
        <f aca="false">IF(F1061=1,G1061,"")</f>
        <v>64.731</v>
      </c>
    </row>
    <row r="1062" customFormat="false" ht="15" hidden="false" customHeight="false" outlineLevel="0" collapsed="false">
      <c r="A1062" s="31" t="n">
        <v>42780.1666666667</v>
      </c>
      <c r="B1062" s="32" t="n">
        <v>63.292</v>
      </c>
      <c r="D1062" s="33" t="n">
        <f aca="false">WEEKDAY(A1062,2)</f>
        <v>2</v>
      </c>
      <c r="E1062" s="33" t="n">
        <f aca="false">HOUR(A1062)+MINUTE(A1062)/60</f>
        <v>4</v>
      </c>
      <c r="F1062" s="33" t="n">
        <f aca="false">IF(OR(D1062&gt;5,E1062&lt;8,E1062&gt;=18,COUNTIF($K$2:$K$10,INT(A1062))&gt;0),1,0)</f>
        <v>1</v>
      </c>
      <c r="G1062" s="34" t="n">
        <f aca="false">B1062/1</f>
        <v>63.292</v>
      </c>
      <c r="H1062" s="34" t="n">
        <f aca="false">IF(F1062=1,G1062,"")</f>
        <v>63.292</v>
      </c>
    </row>
    <row r="1063" customFormat="false" ht="15" hidden="false" customHeight="false" outlineLevel="0" collapsed="false">
      <c r="A1063" s="31" t="n">
        <v>42780.2083333333</v>
      </c>
      <c r="B1063" s="32" t="n">
        <v>61.43</v>
      </c>
      <c r="D1063" s="33" t="n">
        <f aca="false">WEEKDAY(A1063,2)</f>
        <v>2</v>
      </c>
      <c r="E1063" s="33" t="n">
        <f aca="false">HOUR(A1063)+MINUTE(A1063)/60</f>
        <v>5</v>
      </c>
      <c r="F1063" s="33" t="n">
        <f aca="false">IF(OR(D1063&gt;5,E1063&lt;8,E1063&gt;=18,COUNTIF($K$2:$K$10,INT(A1063))&gt;0),1,0)</f>
        <v>1</v>
      </c>
      <c r="G1063" s="34" t="n">
        <f aca="false">B1063/1</f>
        <v>61.43</v>
      </c>
      <c r="H1063" s="34" t="n">
        <f aca="false">IF(F1063=1,G1063,"")</f>
        <v>61.43</v>
      </c>
    </row>
    <row r="1064" customFormat="false" ht="15" hidden="false" customHeight="false" outlineLevel="0" collapsed="false">
      <c r="A1064" s="31" t="n">
        <v>42780.25</v>
      </c>
      <c r="B1064" s="32" t="n">
        <v>65.605</v>
      </c>
      <c r="D1064" s="33" t="n">
        <f aca="false">WEEKDAY(A1064,2)</f>
        <v>2</v>
      </c>
      <c r="E1064" s="33" t="n">
        <f aca="false">HOUR(A1064)+MINUTE(A1064)/60</f>
        <v>6</v>
      </c>
      <c r="F1064" s="33" t="n">
        <f aca="false">IF(OR(D1064&gt;5,E1064&lt;8,E1064&gt;=18,COUNTIF($K$2:$K$10,INT(A1064))&gt;0),1,0)</f>
        <v>1</v>
      </c>
      <c r="G1064" s="34" t="n">
        <f aca="false">B1064/1</f>
        <v>65.605</v>
      </c>
      <c r="H1064" s="34" t="n">
        <f aca="false">IF(F1064=1,G1064,"")</f>
        <v>65.605</v>
      </c>
    </row>
    <row r="1065" customFormat="false" ht="15" hidden="false" customHeight="false" outlineLevel="0" collapsed="false">
      <c r="A1065" s="31" t="n">
        <v>42780.2916666667</v>
      </c>
      <c r="B1065" s="32" t="n">
        <v>72.346</v>
      </c>
      <c r="D1065" s="33" t="n">
        <f aca="false">WEEKDAY(A1065,2)</f>
        <v>2</v>
      </c>
      <c r="E1065" s="33" t="n">
        <f aca="false">HOUR(A1065)+MINUTE(A1065)/60</f>
        <v>7</v>
      </c>
      <c r="F1065" s="33" t="n">
        <f aca="false">IF(OR(D1065&gt;5,E1065&lt;8,E1065&gt;=18,COUNTIF($K$2:$K$10,INT(A1065))&gt;0),1,0)</f>
        <v>1</v>
      </c>
      <c r="G1065" s="34" t="n">
        <f aca="false">B1065/1</f>
        <v>72.346</v>
      </c>
      <c r="H1065" s="34" t="n">
        <f aca="false">IF(F1065=1,G1065,"")</f>
        <v>72.346</v>
      </c>
    </row>
    <row r="1066" customFormat="false" ht="15" hidden="false" customHeight="false" outlineLevel="0" collapsed="false">
      <c r="A1066" s="31" t="n">
        <v>42780.3333333333</v>
      </c>
      <c r="B1066" s="32" t="n">
        <v>178.811</v>
      </c>
      <c r="D1066" s="33" t="n">
        <f aca="false">WEEKDAY(A1066,2)</f>
        <v>2</v>
      </c>
      <c r="E1066" s="33" t="n">
        <f aca="false">HOUR(A1066)+MINUTE(A1066)/60</f>
        <v>8</v>
      </c>
      <c r="F1066" s="33" t="n">
        <f aca="false">IF(OR(D1066&gt;5,E1066&lt;8,E1066&gt;=18,COUNTIF($K$2:$K$10,INT(A1066))&gt;0),1,0)</f>
        <v>0</v>
      </c>
      <c r="G1066" s="34" t="n">
        <f aca="false">B1066/1</f>
        <v>178.811</v>
      </c>
      <c r="H1066" s="34" t="str">
        <f aca="false">IF(F1066=1,G1066,"")</f>
        <v/>
      </c>
    </row>
    <row r="1067" customFormat="false" ht="15" hidden="false" customHeight="false" outlineLevel="0" collapsed="false">
      <c r="A1067" s="31" t="n">
        <v>42780.375</v>
      </c>
      <c r="B1067" s="32" t="n">
        <v>227.126</v>
      </c>
      <c r="D1067" s="33" t="n">
        <f aca="false">WEEKDAY(A1067,2)</f>
        <v>2</v>
      </c>
      <c r="E1067" s="33" t="n">
        <f aca="false">HOUR(A1067)+MINUTE(A1067)/60</f>
        <v>9</v>
      </c>
      <c r="F1067" s="33" t="n">
        <f aca="false">IF(OR(D1067&gt;5,E1067&lt;8,E1067&gt;=18,COUNTIF($K$2:$K$10,INT(A1067))&gt;0),1,0)</f>
        <v>0</v>
      </c>
      <c r="G1067" s="34" t="n">
        <f aca="false">B1067/1</f>
        <v>227.126</v>
      </c>
      <c r="H1067" s="34" t="str">
        <f aca="false">IF(F1067=1,G1067,"")</f>
        <v/>
      </c>
    </row>
    <row r="1068" customFormat="false" ht="15" hidden="false" customHeight="false" outlineLevel="0" collapsed="false">
      <c r="A1068" s="31" t="n">
        <v>42780.4166666667</v>
      </c>
      <c r="B1068" s="32" t="n">
        <v>252.501</v>
      </c>
      <c r="D1068" s="33" t="n">
        <f aca="false">WEEKDAY(A1068,2)</f>
        <v>2</v>
      </c>
      <c r="E1068" s="33" t="n">
        <f aca="false">HOUR(A1068)+MINUTE(A1068)/60</f>
        <v>10</v>
      </c>
      <c r="F1068" s="33" t="n">
        <f aca="false">IF(OR(D1068&gt;5,E1068&lt;8,E1068&gt;=18,COUNTIF($K$2:$K$10,INT(A1068))&gt;0),1,0)</f>
        <v>0</v>
      </c>
      <c r="G1068" s="34" t="n">
        <f aca="false">B1068/1</f>
        <v>252.501</v>
      </c>
      <c r="H1068" s="34" t="str">
        <f aca="false">IF(F1068=1,G1068,"")</f>
        <v/>
      </c>
    </row>
    <row r="1069" customFormat="false" ht="15" hidden="false" customHeight="false" outlineLevel="0" collapsed="false">
      <c r="A1069" s="31" t="n">
        <v>42780.4583333333</v>
      </c>
      <c r="B1069" s="32" t="n">
        <v>259.269</v>
      </c>
      <c r="D1069" s="33" t="n">
        <f aca="false">WEEKDAY(A1069,2)</f>
        <v>2</v>
      </c>
      <c r="E1069" s="33" t="n">
        <f aca="false">HOUR(A1069)+MINUTE(A1069)/60</f>
        <v>11</v>
      </c>
      <c r="F1069" s="33" t="n">
        <f aca="false">IF(OR(D1069&gt;5,E1069&lt;8,E1069&gt;=18,COUNTIF($K$2:$K$10,INT(A1069))&gt;0),1,0)</f>
        <v>0</v>
      </c>
      <c r="G1069" s="34" t="n">
        <f aca="false">B1069/1</f>
        <v>259.269</v>
      </c>
      <c r="H1069" s="34" t="str">
        <f aca="false">IF(F1069=1,G1069,"")</f>
        <v/>
      </c>
    </row>
    <row r="1070" customFormat="false" ht="15" hidden="false" customHeight="false" outlineLevel="0" collapsed="false">
      <c r="A1070" s="31" t="n">
        <v>42780.5</v>
      </c>
      <c r="B1070" s="32" t="n">
        <v>266.249</v>
      </c>
      <c r="D1070" s="33" t="n">
        <f aca="false">WEEKDAY(A1070,2)</f>
        <v>2</v>
      </c>
      <c r="E1070" s="33" t="n">
        <f aca="false">HOUR(A1070)+MINUTE(A1070)/60</f>
        <v>12</v>
      </c>
      <c r="F1070" s="33" t="n">
        <f aca="false">IF(OR(D1070&gt;5,E1070&lt;8,E1070&gt;=18,COUNTIF($K$2:$K$10,INT(A1070))&gt;0),1,0)</f>
        <v>0</v>
      </c>
      <c r="G1070" s="34" t="n">
        <f aca="false">B1070/1</f>
        <v>266.249</v>
      </c>
      <c r="H1070" s="34" t="str">
        <f aca="false">IF(F1070=1,G1070,"")</f>
        <v/>
      </c>
    </row>
    <row r="1071" customFormat="false" ht="15" hidden="false" customHeight="false" outlineLevel="0" collapsed="false">
      <c r="A1071" s="31" t="n">
        <v>42780.5416666667</v>
      </c>
      <c r="B1071" s="32" t="n">
        <v>259.263</v>
      </c>
      <c r="D1071" s="33" t="n">
        <f aca="false">WEEKDAY(A1071,2)</f>
        <v>2</v>
      </c>
      <c r="E1071" s="33" t="n">
        <f aca="false">HOUR(A1071)+MINUTE(A1071)/60</f>
        <v>13</v>
      </c>
      <c r="F1071" s="33" t="n">
        <f aca="false">IF(OR(D1071&gt;5,E1071&lt;8,E1071&gt;=18,COUNTIF($K$2:$K$10,INT(A1071))&gt;0),1,0)</f>
        <v>0</v>
      </c>
      <c r="G1071" s="34" t="n">
        <f aca="false">B1071/1</f>
        <v>259.263</v>
      </c>
      <c r="H1071" s="34" t="str">
        <f aca="false">IF(F1071=1,G1071,"")</f>
        <v/>
      </c>
    </row>
    <row r="1072" customFormat="false" ht="15" hidden="false" customHeight="false" outlineLevel="0" collapsed="false">
      <c r="A1072" s="31" t="n">
        <v>42780.5833333333</v>
      </c>
      <c r="B1072" s="32" t="n">
        <v>254.977</v>
      </c>
      <c r="D1072" s="33" t="n">
        <f aca="false">WEEKDAY(A1072,2)</f>
        <v>2</v>
      </c>
      <c r="E1072" s="33" t="n">
        <f aca="false">HOUR(A1072)+MINUTE(A1072)/60</f>
        <v>14</v>
      </c>
      <c r="F1072" s="33" t="n">
        <f aca="false">IF(OR(D1072&gt;5,E1072&lt;8,E1072&gt;=18,COUNTIF($K$2:$K$10,INT(A1072))&gt;0),1,0)</f>
        <v>0</v>
      </c>
      <c r="G1072" s="34" t="n">
        <f aca="false">B1072/1</f>
        <v>254.977</v>
      </c>
      <c r="H1072" s="34" t="str">
        <f aca="false">IF(F1072=1,G1072,"")</f>
        <v/>
      </c>
    </row>
    <row r="1073" customFormat="false" ht="15" hidden="false" customHeight="false" outlineLevel="0" collapsed="false">
      <c r="A1073" s="31" t="n">
        <v>42780.625</v>
      </c>
      <c r="B1073" s="32" t="n">
        <v>255.65</v>
      </c>
      <c r="D1073" s="33" t="n">
        <f aca="false">WEEKDAY(A1073,2)</f>
        <v>2</v>
      </c>
      <c r="E1073" s="33" t="n">
        <f aca="false">HOUR(A1073)+MINUTE(A1073)/60</f>
        <v>15</v>
      </c>
      <c r="F1073" s="33" t="n">
        <f aca="false">IF(OR(D1073&gt;5,E1073&lt;8,E1073&gt;=18,COUNTIF($K$2:$K$10,INT(A1073))&gt;0),1,0)</f>
        <v>0</v>
      </c>
      <c r="G1073" s="34" t="n">
        <f aca="false">B1073/1</f>
        <v>255.65</v>
      </c>
      <c r="H1073" s="34" t="str">
        <f aca="false">IF(F1073=1,G1073,"")</f>
        <v/>
      </c>
    </row>
    <row r="1074" customFormat="false" ht="15" hidden="false" customHeight="false" outlineLevel="0" collapsed="false">
      <c r="A1074" s="31" t="n">
        <v>42780.6666666667</v>
      </c>
      <c r="B1074" s="32" t="n">
        <v>249.035</v>
      </c>
      <c r="D1074" s="33" t="n">
        <f aca="false">WEEKDAY(A1074,2)</f>
        <v>2</v>
      </c>
      <c r="E1074" s="33" t="n">
        <f aca="false">HOUR(A1074)+MINUTE(A1074)/60</f>
        <v>16</v>
      </c>
      <c r="F1074" s="33" t="n">
        <f aca="false">IF(OR(D1074&gt;5,E1074&lt;8,E1074&gt;=18,COUNTIF($K$2:$K$10,INT(A1074))&gt;0),1,0)</f>
        <v>0</v>
      </c>
      <c r="G1074" s="34" t="n">
        <f aca="false">B1074/1</f>
        <v>249.035</v>
      </c>
      <c r="H1074" s="34" t="str">
        <f aca="false">IF(F1074=1,G1074,"")</f>
        <v/>
      </c>
    </row>
    <row r="1075" customFormat="false" ht="15" hidden="false" customHeight="false" outlineLevel="0" collapsed="false">
      <c r="A1075" s="31" t="n">
        <v>42780.7083333333</v>
      </c>
      <c r="B1075" s="32" t="n">
        <v>239.361</v>
      </c>
      <c r="D1075" s="33" t="n">
        <f aca="false">WEEKDAY(A1075,2)</f>
        <v>2</v>
      </c>
      <c r="E1075" s="33" t="n">
        <f aca="false">HOUR(A1075)+MINUTE(A1075)/60</f>
        <v>17</v>
      </c>
      <c r="F1075" s="33" t="n">
        <f aca="false">IF(OR(D1075&gt;5,E1075&lt;8,E1075&gt;=18,COUNTIF($K$2:$K$10,INT(A1075))&gt;0),1,0)</f>
        <v>0</v>
      </c>
      <c r="G1075" s="34" t="n">
        <f aca="false">B1075/1</f>
        <v>239.361</v>
      </c>
      <c r="H1075" s="34" t="str">
        <f aca="false">IF(F1075=1,G1075,"")</f>
        <v/>
      </c>
    </row>
    <row r="1076" customFormat="false" ht="15" hidden="false" customHeight="false" outlineLevel="0" collapsed="false">
      <c r="A1076" s="31" t="n">
        <v>42780.75</v>
      </c>
      <c r="B1076" s="32" t="n">
        <v>218.803</v>
      </c>
      <c r="D1076" s="33" t="n">
        <f aca="false">WEEKDAY(A1076,2)</f>
        <v>2</v>
      </c>
      <c r="E1076" s="33" t="n">
        <f aca="false">HOUR(A1076)+MINUTE(A1076)/60</f>
        <v>18</v>
      </c>
      <c r="F1076" s="33" t="n">
        <f aca="false">IF(OR(D1076&gt;5,E1076&lt;8,E1076&gt;=18,COUNTIF($K$2:$K$10,INT(A1076))&gt;0),1,0)</f>
        <v>1</v>
      </c>
      <c r="G1076" s="34" t="n">
        <f aca="false">B1076/1</f>
        <v>218.803</v>
      </c>
      <c r="H1076" s="34" t="n">
        <f aca="false">IF(F1076=1,G1076,"")</f>
        <v>218.803</v>
      </c>
    </row>
    <row r="1077" customFormat="false" ht="15" hidden="false" customHeight="false" outlineLevel="0" collapsed="false">
      <c r="A1077" s="31" t="n">
        <v>42780.7916666667</v>
      </c>
      <c r="B1077" s="32" t="n">
        <v>208.892</v>
      </c>
      <c r="D1077" s="33" t="n">
        <f aca="false">WEEKDAY(A1077,2)</f>
        <v>2</v>
      </c>
      <c r="E1077" s="33" t="n">
        <f aca="false">HOUR(A1077)+MINUTE(A1077)/60</f>
        <v>19</v>
      </c>
      <c r="F1077" s="33" t="n">
        <f aca="false">IF(OR(D1077&gt;5,E1077&lt;8,E1077&gt;=18,COUNTIF($K$2:$K$10,INT(A1077))&gt;0),1,0)</f>
        <v>1</v>
      </c>
      <c r="G1077" s="34" t="n">
        <f aca="false">B1077/1</f>
        <v>208.892</v>
      </c>
      <c r="H1077" s="34" t="n">
        <f aca="false">IF(F1077=1,G1077,"")</f>
        <v>208.892</v>
      </c>
    </row>
    <row r="1078" customFormat="false" ht="15" hidden="false" customHeight="false" outlineLevel="0" collapsed="false">
      <c r="A1078" s="31" t="n">
        <v>42780.8333333333</v>
      </c>
      <c r="B1078" s="32" t="n">
        <v>202.495</v>
      </c>
      <c r="D1078" s="33" t="n">
        <f aca="false">WEEKDAY(A1078,2)</f>
        <v>2</v>
      </c>
      <c r="E1078" s="33" t="n">
        <f aca="false">HOUR(A1078)+MINUTE(A1078)/60</f>
        <v>20</v>
      </c>
      <c r="F1078" s="33" t="n">
        <f aca="false">IF(OR(D1078&gt;5,E1078&lt;8,E1078&gt;=18,COUNTIF($K$2:$K$10,INT(A1078))&gt;0),1,0)</f>
        <v>1</v>
      </c>
      <c r="G1078" s="34" t="n">
        <f aca="false">B1078/1</f>
        <v>202.495</v>
      </c>
      <c r="H1078" s="34" t="n">
        <f aca="false">IF(F1078=1,G1078,"")</f>
        <v>202.495</v>
      </c>
    </row>
    <row r="1079" customFormat="false" ht="15" hidden="false" customHeight="false" outlineLevel="0" collapsed="false">
      <c r="A1079" s="31" t="n">
        <v>42780.875</v>
      </c>
      <c r="B1079" s="32" t="n">
        <v>199.488</v>
      </c>
      <c r="D1079" s="33" t="n">
        <f aca="false">WEEKDAY(A1079,2)</f>
        <v>2</v>
      </c>
      <c r="E1079" s="33" t="n">
        <f aca="false">HOUR(A1079)+MINUTE(A1079)/60</f>
        <v>21</v>
      </c>
      <c r="F1079" s="33" t="n">
        <f aca="false">IF(OR(D1079&gt;5,E1079&lt;8,E1079&gt;=18,COUNTIF($K$2:$K$10,INT(A1079))&gt;0),1,0)</f>
        <v>1</v>
      </c>
      <c r="G1079" s="34" t="n">
        <f aca="false">B1079/1</f>
        <v>199.488</v>
      </c>
      <c r="H1079" s="34" t="n">
        <f aca="false">IF(F1079=1,G1079,"")</f>
        <v>199.488</v>
      </c>
    </row>
    <row r="1080" customFormat="false" ht="15" hidden="false" customHeight="false" outlineLevel="0" collapsed="false">
      <c r="A1080" s="31" t="n">
        <v>42780.9166666667</v>
      </c>
      <c r="B1080" s="32" t="n">
        <v>144.121</v>
      </c>
      <c r="D1080" s="33" t="n">
        <f aca="false">WEEKDAY(A1080,2)</f>
        <v>2</v>
      </c>
      <c r="E1080" s="33" t="n">
        <f aca="false">HOUR(A1080)+MINUTE(A1080)/60</f>
        <v>22</v>
      </c>
      <c r="F1080" s="33" t="n">
        <f aca="false">IF(OR(D1080&gt;5,E1080&lt;8,E1080&gt;=18,COUNTIF($K$2:$K$10,INT(A1080))&gt;0),1,0)</f>
        <v>1</v>
      </c>
      <c r="G1080" s="34" t="n">
        <f aca="false">B1080/1</f>
        <v>144.121</v>
      </c>
      <c r="H1080" s="34" t="n">
        <f aca="false">IF(F1080=1,G1080,"")</f>
        <v>144.121</v>
      </c>
    </row>
    <row r="1081" customFormat="false" ht="15" hidden="false" customHeight="false" outlineLevel="0" collapsed="false">
      <c r="A1081" s="31" t="n">
        <v>42780.9583333333</v>
      </c>
      <c r="B1081" s="32" t="n">
        <v>73.3</v>
      </c>
      <c r="D1081" s="33" t="n">
        <f aca="false">WEEKDAY(A1081,2)</f>
        <v>2</v>
      </c>
      <c r="E1081" s="33" t="n">
        <f aca="false">HOUR(A1081)+MINUTE(A1081)/60</f>
        <v>23</v>
      </c>
      <c r="F1081" s="33" t="n">
        <f aca="false">IF(OR(D1081&gt;5,E1081&lt;8,E1081&gt;=18,COUNTIF($K$2:$K$10,INT(A1081))&gt;0),1,0)</f>
        <v>1</v>
      </c>
      <c r="G1081" s="34" t="n">
        <f aca="false">B1081/1</f>
        <v>73.3</v>
      </c>
      <c r="H1081" s="34" t="n">
        <f aca="false">IF(F1081=1,G1081,"")</f>
        <v>73.3</v>
      </c>
    </row>
    <row r="1082" customFormat="false" ht="15" hidden="false" customHeight="false" outlineLevel="0" collapsed="false">
      <c r="A1082" s="31" t="n">
        <v>42781</v>
      </c>
      <c r="B1082" s="32" t="n">
        <v>69.209</v>
      </c>
      <c r="D1082" s="33" t="n">
        <f aca="false">WEEKDAY(A1082,2)</f>
        <v>3</v>
      </c>
      <c r="E1082" s="33" t="n">
        <f aca="false">HOUR(A1082)+MINUTE(A1082)/60</f>
        <v>0</v>
      </c>
      <c r="F1082" s="33" t="n">
        <f aca="false">IF(OR(D1082&gt;5,E1082&lt;8,E1082&gt;=18,COUNTIF($K$2:$K$10,INT(A1082))&gt;0),1,0)</f>
        <v>1</v>
      </c>
      <c r="G1082" s="34" t="n">
        <f aca="false">B1082/1</f>
        <v>69.209</v>
      </c>
      <c r="H1082" s="34" t="n">
        <f aca="false">IF(F1082=1,G1082,"")</f>
        <v>69.209</v>
      </c>
    </row>
    <row r="1083" customFormat="false" ht="15" hidden="false" customHeight="false" outlineLevel="0" collapsed="false">
      <c r="A1083" s="31" t="n">
        <v>42781.0416666667</v>
      </c>
      <c r="B1083" s="32" t="n">
        <v>63.887</v>
      </c>
      <c r="D1083" s="33" t="n">
        <f aca="false">WEEKDAY(A1083,2)</f>
        <v>3</v>
      </c>
      <c r="E1083" s="33" t="n">
        <f aca="false">HOUR(A1083)+MINUTE(A1083)/60</f>
        <v>1</v>
      </c>
      <c r="F1083" s="33" t="n">
        <f aca="false">IF(OR(D1083&gt;5,E1083&lt;8,E1083&gt;=18,COUNTIF($K$2:$K$10,INT(A1083))&gt;0),1,0)</f>
        <v>1</v>
      </c>
      <c r="G1083" s="34" t="n">
        <f aca="false">B1083/1</f>
        <v>63.887</v>
      </c>
      <c r="H1083" s="34" t="n">
        <f aca="false">IF(F1083=1,G1083,"")</f>
        <v>63.887</v>
      </c>
    </row>
    <row r="1084" customFormat="false" ht="15" hidden="false" customHeight="false" outlineLevel="0" collapsed="false">
      <c r="A1084" s="31" t="n">
        <v>42781.0833333333</v>
      </c>
      <c r="B1084" s="32" t="n">
        <v>63.671</v>
      </c>
      <c r="D1084" s="33" t="n">
        <f aca="false">WEEKDAY(A1084,2)</f>
        <v>3</v>
      </c>
      <c r="E1084" s="33" t="n">
        <f aca="false">HOUR(A1084)+MINUTE(A1084)/60</f>
        <v>2</v>
      </c>
      <c r="F1084" s="33" t="n">
        <f aca="false">IF(OR(D1084&gt;5,E1084&lt;8,E1084&gt;=18,COUNTIF($K$2:$K$10,INT(A1084))&gt;0),1,0)</f>
        <v>1</v>
      </c>
      <c r="G1084" s="34" t="n">
        <f aca="false">B1084/1</f>
        <v>63.671</v>
      </c>
      <c r="H1084" s="34" t="n">
        <f aca="false">IF(F1084=1,G1084,"")</f>
        <v>63.671</v>
      </c>
    </row>
    <row r="1085" customFormat="false" ht="15" hidden="false" customHeight="false" outlineLevel="0" collapsed="false">
      <c r="A1085" s="31" t="n">
        <v>42781.125</v>
      </c>
      <c r="B1085" s="32" t="n">
        <v>64.959</v>
      </c>
      <c r="D1085" s="33" t="n">
        <f aca="false">WEEKDAY(A1085,2)</f>
        <v>3</v>
      </c>
      <c r="E1085" s="33" t="n">
        <f aca="false">HOUR(A1085)+MINUTE(A1085)/60</f>
        <v>3</v>
      </c>
      <c r="F1085" s="33" t="n">
        <f aca="false">IF(OR(D1085&gt;5,E1085&lt;8,E1085&gt;=18,COUNTIF($K$2:$K$10,INT(A1085))&gt;0),1,0)</f>
        <v>1</v>
      </c>
      <c r="G1085" s="34" t="n">
        <f aca="false">B1085/1</f>
        <v>64.959</v>
      </c>
      <c r="H1085" s="34" t="n">
        <f aca="false">IF(F1085=1,G1085,"")</f>
        <v>64.959</v>
      </c>
    </row>
    <row r="1086" customFormat="false" ht="15" hidden="false" customHeight="false" outlineLevel="0" collapsed="false">
      <c r="A1086" s="31" t="n">
        <v>42781.1666666667</v>
      </c>
      <c r="B1086" s="32" t="n">
        <v>64.101</v>
      </c>
      <c r="D1086" s="33" t="n">
        <f aca="false">WEEKDAY(A1086,2)</f>
        <v>3</v>
      </c>
      <c r="E1086" s="33" t="n">
        <f aca="false">HOUR(A1086)+MINUTE(A1086)/60</f>
        <v>4</v>
      </c>
      <c r="F1086" s="33" t="n">
        <f aca="false">IF(OR(D1086&gt;5,E1086&lt;8,E1086&gt;=18,COUNTIF($K$2:$K$10,INT(A1086))&gt;0),1,0)</f>
        <v>1</v>
      </c>
      <c r="G1086" s="34" t="n">
        <f aca="false">B1086/1</f>
        <v>64.101</v>
      </c>
      <c r="H1086" s="34" t="n">
        <f aca="false">IF(F1086=1,G1086,"")</f>
        <v>64.101</v>
      </c>
    </row>
    <row r="1087" customFormat="false" ht="15" hidden="false" customHeight="false" outlineLevel="0" collapsed="false">
      <c r="A1087" s="31" t="n">
        <v>42781.2083333333</v>
      </c>
      <c r="B1087" s="32" t="n">
        <v>65.272</v>
      </c>
      <c r="D1087" s="33" t="n">
        <f aca="false">WEEKDAY(A1087,2)</f>
        <v>3</v>
      </c>
      <c r="E1087" s="33" t="n">
        <f aca="false">HOUR(A1087)+MINUTE(A1087)/60</f>
        <v>5</v>
      </c>
      <c r="F1087" s="33" t="n">
        <f aca="false">IF(OR(D1087&gt;5,E1087&lt;8,E1087&gt;=18,COUNTIF($K$2:$K$10,INT(A1087))&gt;0),1,0)</f>
        <v>1</v>
      </c>
      <c r="G1087" s="34" t="n">
        <f aca="false">B1087/1</f>
        <v>65.272</v>
      </c>
      <c r="H1087" s="34" t="n">
        <f aca="false">IF(F1087=1,G1087,"")</f>
        <v>65.272</v>
      </c>
    </row>
    <row r="1088" customFormat="false" ht="15" hidden="false" customHeight="false" outlineLevel="0" collapsed="false">
      <c r="A1088" s="31" t="n">
        <v>42781.25</v>
      </c>
      <c r="B1088" s="32" t="n">
        <v>65.819</v>
      </c>
      <c r="D1088" s="33" t="n">
        <f aca="false">WEEKDAY(A1088,2)</f>
        <v>3</v>
      </c>
      <c r="E1088" s="33" t="n">
        <f aca="false">HOUR(A1088)+MINUTE(A1088)/60</f>
        <v>6</v>
      </c>
      <c r="F1088" s="33" t="n">
        <f aca="false">IF(OR(D1088&gt;5,E1088&lt;8,E1088&gt;=18,COUNTIF($K$2:$K$10,INT(A1088))&gt;0),1,0)</f>
        <v>1</v>
      </c>
      <c r="G1088" s="34" t="n">
        <f aca="false">B1088/1</f>
        <v>65.819</v>
      </c>
      <c r="H1088" s="34" t="n">
        <f aca="false">IF(F1088=1,G1088,"")</f>
        <v>65.819</v>
      </c>
    </row>
    <row r="1089" customFormat="false" ht="15" hidden="false" customHeight="false" outlineLevel="0" collapsed="false">
      <c r="A1089" s="31" t="n">
        <v>42781.2916666667</v>
      </c>
      <c r="B1089" s="32" t="n">
        <v>69.414</v>
      </c>
      <c r="D1089" s="33" t="n">
        <f aca="false">WEEKDAY(A1089,2)</f>
        <v>3</v>
      </c>
      <c r="E1089" s="33" t="n">
        <f aca="false">HOUR(A1089)+MINUTE(A1089)/60</f>
        <v>7</v>
      </c>
      <c r="F1089" s="33" t="n">
        <f aca="false">IF(OR(D1089&gt;5,E1089&lt;8,E1089&gt;=18,COUNTIF($K$2:$K$10,INT(A1089))&gt;0),1,0)</f>
        <v>1</v>
      </c>
      <c r="G1089" s="34" t="n">
        <f aca="false">B1089/1</f>
        <v>69.414</v>
      </c>
      <c r="H1089" s="34" t="n">
        <f aca="false">IF(F1089=1,G1089,"")</f>
        <v>69.414</v>
      </c>
    </row>
    <row r="1090" customFormat="false" ht="15" hidden="false" customHeight="false" outlineLevel="0" collapsed="false">
      <c r="A1090" s="31" t="n">
        <v>42781.3333333333</v>
      </c>
      <c r="B1090" s="32" t="n">
        <v>174.559</v>
      </c>
      <c r="D1090" s="33" t="n">
        <f aca="false">WEEKDAY(A1090,2)</f>
        <v>3</v>
      </c>
      <c r="E1090" s="33" t="n">
        <f aca="false">HOUR(A1090)+MINUTE(A1090)/60</f>
        <v>8</v>
      </c>
      <c r="F1090" s="33" t="n">
        <f aca="false">IF(OR(D1090&gt;5,E1090&lt;8,E1090&gt;=18,COUNTIF($K$2:$K$10,INT(A1090))&gt;0),1,0)</f>
        <v>0</v>
      </c>
      <c r="G1090" s="34" t="n">
        <f aca="false">B1090/1</f>
        <v>174.559</v>
      </c>
      <c r="H1090" s="34" t="str">
        <f aca="false">IF(F1090=1,G1090,"")</f>
        <v/>
      </c>
    </row>
    <row r="1091" customFormat="false" ht="15" hidden="false" customHeight="false" outlineLevel="0" collapsed="false">
      <c r="A1091" s="31" t="n">
        <v>42781.375</v>
      </c>
      <c r="B1091" s="32" t="n">
        <v>216.538</v>
      </c>
      <c r="D1091" s="33" t="n">
        <f aca="false">WEEKDAY(A1091,2)</f>
        <v>3</v>
      </c>
      <c r="E1091" s="33" t="n">
        <f aca="false">HOUR(A1091)+MINUTE(A1091)/60</f>
        <v>9</v>
      </c>
      <c r="F1091" s="33" t="n">
        <f aca="false">IF(OR(D1091&gt;5,E1091&lt;8,E1091&gt;=18,COUNTIF($K$2:$K$10,INT(A1091))&gt;0),1,0)</f>
        <v>0</v>
      </c>
      <c r="G1091" s="34" t="n">
        <f aca="false">B1091/1</f>
        <v>216.538</v>
      </c>
      <c r="H1091" s="34" t="str">
        <f aca="false">IF(F1091=1,G1091,"")</f>
        <v/>
      </c>
    </row>
    <row r="1092" customFormat="false" ht="15" hidden="false" customHeight="false" outlineLevel="0" collapsed="false">
      <c r="A1092" s="31" t="n">
        <v>42781.4166666667</v>
      </c>
      <c r="B1092" s="32" t="n">
        <v>244.427</v>
      </c>
      <c r="D1092" s="33" t="n">
        <f aca="false">WEEKDAY(A1092,2)</f>
        <v>3</v>
      </c>
      <c r="E1092" s="33" t="n">
        <f aca="false">HOUR(A1092)+MINUTE(A1092)/60</f>
        <v>10</v>
      </c>
      <c r="F1092" s="33" t="n">
        <f aca="false">IF(OR(D1092&gt;5,E1092&lt;8,E1092&gt;=18,COUNTIF($K$2:$K$10,INT(A1092))&gt;0),1,0)</f>
        <v>0</v>
      </c>
      <c r="G1092" s="34" t="n">
        <f aca="false">B1092/1</f>
        <v>244.427</v>
      </c>
      <c r="H1092" s="34" t="str">
        <f aca="false">IF(F1092=1,G1092,"")</f>
        <v/>
      </c>
    </row>
    <row r="1093" customFormat="false" ht="15" hidden="false" customHeight="false" outlineLevel="0" collapsed="false">
      <c r="A1093" s="31" t="n">
        <v>42781.4583333333</v>
      </c>
      <c r="B1093" s="32" t="n">
        <v>257.769</v>
      </c>
      <c r="D1093" s="33" t="n">
        <f aca="false">WEEKDAY(A1093,2)</f>
        <v>3</v>
      </c>
      <c r="E1093" s="33" t="n">
        <f aca="false">HOUR(A1093)+MINUTE(A1093)/60</f>
        <v>11</v>
      </c>
      <c r="F1093" s="33" t="n">
        <f aca="false">IF(OR(D1093&gt;5,E1093&lt;8,E1093&gt;=18,COUNTIF($K$2:$K$10,INT(A1093))&gt;0),1,0)</f>
        <v>0</v>
      </c>
      <c r="G1093" s="34" t="n">
        <f aca="false">B1093/1</f>
        <v>257.769</v>
      </c>
      <c r="H1093" s="34" t="str">
        <f aca="false">IF(F1093=1,G1093,"")</f>
        <v/>
      </c>
    </row>
    <row r="1094" customFormat="false" ht="15" hidden="false" customHeight="false" outlineLevel="0" collapsed="false">
      <c r="A1094" s="31" t="n">
        <v>42781.5</v>
      </c>
      <c r="B1094" s="32" t="n">
        <v>262.872</v>
      </c>
      <c r="D1094" s="33" t="n">
        <f aca="false">WEEKDAY(A1094,2)</f>
        <v>3</v>
      </c>
      <c r="E1094" s="33" t="n">
        <f aca="false">HOUR(A1094)+MINUTE(A1094)/60</f>
        <v>12</v>
      </c>
      <c r="F1094" s="33" t="n">
        <f aca="false">IF(OR(D1094&gt;5,E1094&lt;8,E1094&gt;=18,COUNTIF($K$2:$K$10,INT(A1094))&gt;0),1,0)</f>
        <v>0</v>
      </c>
      <c r="G1094" s="34" t="n">
        <f aca="false">B1094/1</f>
        <v>262.872</v>
      </c>
      <c r="H1094" s="34" t="str">
        <f aca="false">IF(F1094=1,G1094,"")</f>
        <v/>
      </c>
    </row>
    <row r="1095" customFormat="false" ht="15" hidden="false" customHeight="false" outlineLevel="0" collapsed="false">
      <c r="A1095" s="31" t="n">
        <v>42781.5416666667</v>
      </c>
      <c r="B1095" s="32" t="n">
        <v>268.38</v>
      </c>
      <c r="D1095" s="33" t="n">
        <f aca="false">WEEKDAY(A1095,2)</f>
        <v>3</v>
      </c>
      <c r="E1095" s="33" t="n">
        <f aca="false">HOUR(A1095)+MINUTE(A1095)/60</f>
        <v>13</v>
      </c>
      <c r="F1095" s="33" t="n">
        <f aca="false">IF(OR(D1095&gt;5,E1095&lt;8,E1095&gt;=18,COUNTIF($K$2:$K$10,INT(A1095))&gt;0),1,0)</f>
        <v>0</v>
      </c>
      <c r="G1095" s="34" t="n">
        <f aca="false">B1095/1</f>
        <v>268.38</v>
      </c>
      <c r="H1095" s="34" t="str">
        <f aca="false">IF(F1095=1,G1095,"")</f>
        <v/>
      </c>
    </row>
    <row r="1096" customFormat="false" ht="15" hidden="false" customHeight="false" outlineLevel="0" collapsed="false">
      <c r="A1096" s="31" t="n">
        <v>42781.5833333333</v>
      </c>
      <c r="B1096" s="32" t="n">
        <v>269.645</v>
      </c>
      <c r="D1096" s="33" t="n">
        <f aca="false">WEEKDAY(A1096,2)</f>
        <v>3</v>
      </c>
      <c r="E1096" s="33" t="n">
        <f aca="false">HOUR(A1096)+MINUTE(A1096)/60</f>
        <v>14</v>
      </c>
      <c r="F1096" s="33" t="n">
        <f aca="false">IF(OR(D1096&gt;5,E1096&lt;8,E1096&gt;=18,COUNTIF($K$2:$K$10,INT(A1096))&gt;0),1,0)</f>
        <v>0</v>
      </c>
      <c r="G1096" s="34" t="n">
        <f aca="false">B1096/1</f>
        <v>269.645</v>
      </c>
      <c r="H1096" s="34" t="str">
        <f aca="false">IF(F1096=1,G1096,"")</f>
        <v/>
      </c>
    </row>
    <row r="1097" customFormat="false" ht="15" hidden="false" customHeight="false" outlineLevel="0" collapsed="false">
      <c r="A1097" s="31" t="n">
        <v>42781.625</v>
      </c>
      <c r="B1097" s="32" t="n">
        <v>257.732</v>
      </c>
      <c r="D1097" s="33" t="n">
        <f aca="false">WEEKDAY(A1097,2)</f>
        <v>3</v>
      </c>
      <c r="E1097" s="33" t="n">
        <f aca="false">HOUR(A1097)+MINUTE(A1097)/60</f>
        <v>15</v>
      </c>
      <c r="F1097" s="33" t="n">
        <f aca="false">IF(OR(D1097&gt;5,E1097&lt;8,E1097&gt;=18,COUNTIF($K$2:$K$10,INT(A1097))&gt;0),1,0)</f>
        <v>0</v>
      </c>
      <c r="G1097" s="34" t="n">
        <f aca="false">B1097/1</f>
        <v>257.732</v>
      </c>
      <c r="H1097" s="34" t="str">
        <f aca="false">IF(F1097=1,G1097,"")</f>
        <v/>
      </c>
    </row>
    <row r="1098" customFormat="false" ht="15" hidden="false" customHeight="false" outlineLevel="0" collapsed="false">
      <c r="A1098" s="31" t="n">
        <v>42781.6666666667</v>
      </c>
      <c r="B1098" s="32" t="n">
        <v>263.361</v>
      </c>
      <c r="D1098" s="33" t="n">
        <f aca="false">WEEKDAY(A1098,2)</f>
        <v>3</v>
      </c>
      <c r="E1098" s="33" t="n">
        <f aca="false">HOUR(A1098)+MINUTE(A1098)/60</f>
        <v>16</v>
      </c>
      <c r="F1098" s="33" t="n">
        <f aca="false">IF(OR(D1098&gt;5,E1098&lt;8,E1098&gt;=18,COUNTIF($K$2:$K$10,INT(A1098))&gt;0),1,0)</f>
        <v>0</v>
      </c>
      <c r="G1098" s="34" t="n">
        <f aca="false">B1098/1</f>
        <v>263.361</v>
      </c>
      <c r="H1098" s="34" t="str">
        <f aca="false">IF(F1098=1,G1098,"")</f>
        <v/>
      </c>
    </row>
    <row r="1099" customFormat="false" ht="15" hidden="false" customHeight="false" outlineLevel="0" collapsed="false">
      <c r="A1099" s="31" t="n">
        <v>42781.7083333333</v>
      </c>
      <c r="B1099" s="32" t="n">
        <v>253.539</v>
      </c>
      <c r="D1099" s="33" t="n">
        <f aca="false">WEEKDAY(A1099,2)</f>
        <v>3</v>
      </c>
      <c r="E1099" s="33" t="n">
        <f aca="false">HOUR(A1099)+MINUTE(A1099)/60</f>
        <v>17</v>
      </c>
      <c r="F1099" s="33" t="n">
        <f aca="false">IF(OR(D1099&gt;5,E1099&lt;8,E1099&gt;=18,COUNTIF($K$2:$K$10,INT(A1099))&gt;0),1,0)</f>
        <v>0</v>
      </c>
      <c r="G1099" s="34" t="n">
        <f aca="false">B1099/1</f>
        <v>253.539</v>
      </c>
      <c r="H1099" s="34" t="str">
        <f aca="false">IF(F1099=1,G1099,"")</f>
        <v/>
      </c>
    </row>
    <row r="1100" customFormat="false" ht="15" hidden="false" customHeight="false" outlineLevel="0" collapsed="false">
      <c r="A1100" s="31" t="n">
        <v>42781.75</v>
      </c>
      <c r="B1100" s="32" t="n">
        <v>242.324</v>
      </c>
      <c r="D1100" s="33" t="n">
        <f aca="false">WEEKDAY(A1100,2)</f>
        <v>3</v>
      </c>
      <c r="E1100" s="33" t="n">
        <f aca="false">HOUR(A1100)+MINUTE(A1100)/60</f>
        <v>18</v>
      </c>
      <c r="F1100" s="33" t="n">
        <f aca="false">IF(OR(D1100&gt;5,E1100&lt;8,E1100&gt;=18,COUNTIF($K$2:$K$10,INT(A1100))&gt;0),1,0)</f>
        <v>1</v>
      </c>
      <c r="G1100" s="34" t="n">
        <f aca="false">B1100/1</f>
        <v>242.324</v>
      </c>
      <c r="H1100" s="34" t="n">
        <f aca="false">IF(F1100=1,G1100,"")</f>
        <v>242.324</v>
      </c>
    </row>
    <row r="1101" customFormat="false" ht="15" hidden="false" customHeight="false" outlineLevel="0" collapsed="false">
      <c r="A1101" s="31" t="n">
        <v>42781.7916666667</v>
      </c>
      <c r="B1101" s="32" t="n">
        <v>245.871</v>
      </c>
      <c r="D1101" s="33" t="n">
        <f aca="false">WEEKDAY(A1101,2)</f>
        <v>3</v>
      </c>
      <c r="E1101" s="33" t="n">
        <f aca="false">HOUR(A1101)+MINUTE(A1101)/60</f>
        <v>19</v>
      </c>
      <c r="F1101" s="33" t="n">
        <f aca="false">IF(OR(D1101&gt;5,E1101&lt;8,E1101&gt;=18,COUNTIF($K$2:$K$10,INT(A1101))&gt;0),1,0)</f>
        <v>1</v>
      </c>
      <c r="G1101" s="34" t="n">
        <f aca="false">B1101/1</f>
        <v>245.871</v>
      </c>
      <c r="H1101" s="34" t="n">
        <f aca="false">IF(F1101=1,G1101,"")</f>
        <v>245.871</v>
      </c>
    </row>
    <row r="1102" customFormat="false" ht="15" hidden="false" customHeight="false" outlineLevel="0" collapsed="false">
      <c r="A1102" s="31" t="n">
        <v>42781.8333333333</v>
      </c>
      <c r="B1102" s="32" t="n">
        <v>219.449</v>
      </c>
      <c r="D1102" s="33" t="n">
        <f aca="false">WEEKDAY(A1102,2)</f>
        <v>3</v>
      </c>
      <c r="E1102" s="33" t="n">
        <f aca="false">HOUR(A1102)+MINUTE(A1102)/60</f>
        <v>20</v>
      </c>
      <c r="F1102" s="33" t="n">
        <f aca="false">IF(OR(D1102&gt;5,E1102&lt;8,E1102&gt;=18,COUNTIF($K$2:$K$10,INT(A1102))&gt;0),1,0)</f>
        <v>1</v>
      </c>
      <c r="G1102" s="34" t="n">
        <f aca="false">B1102/1</f>
        <v>219.449</v>
      </c>
      <c r="H1102" s="34" t="n">
        <f aca="false">IF(F1102=1,G1102,"")</f>
        <v>219.449</v>
      </c>
    </row>
    <row r="1103" customFormat="false" ht="15" hidden="false" customHeight="false" outlineLevel="0" collapsed="false">
      <c r="A1103" s="31" t="n">
        <v>42781.875</v>
      </c>
      <c r="B1103" s="32" t="n">
        <v>206.818</v>
      </c>
      <c r="D1103" s="33" t="n">
        <f aca="false">WEEKDAY(A1103,2)</f>
        <v>3</v>
      </c>
      <c r="E1103" s="33" t="n">
        <f aca="false">HOUR(A1103)+MINUTE(A1103)/60</f>
        <v>21</v>
      </c>
      <c r="F1103" s="33" t="n">
        <f aca="false">IF(OR(D1103&gt;5,E1103&lt;8,E1103&gt;=18,COUNTIF($K$2:$K$10,INT(A1103))&gt;0),1,0)</f>
        <v>1</v>
      </c>
      <c r="G1103" s="34" t="n">
        <f aca="false">B1103/1</f>
        <v>206.818</v>
      </c>
      <c r="H1103" s="34" t="n">
        <f aca="false">IF(F1103=1,G1103,"")</f>
        <v>206.818</v>
      </c>
    </row>
    <row r="1104" customFormat="false" ht="15" hidden="false" customHeight="false" outlineLevel="0" collapsed="false">
      <c r="A1104" s="31" t="n">
        <v>42781.9166666667</v>
      </c>
      <c r="B1104" s="32" t="n">
        <v>148.283</v>
      </c>
      <c r="D1104" s="33" t="n">
        <f aca="false">WEEKDAY(A1104,2)</f>
        <v>3</v>
      </c>
      <c r="E1104" s="33" t="n">
        <f aca="false">HOUR(A1104)+MINUTE(A1104)/60</f>
        <v>22</v>
      </c>
      <c r="F1104" s="33" t="n">
        <f aca="false">IF(OR(D1104&gt;5,E1104&lt;8,E1104&gt;=18,COUNTIF($K$2:$K$10,INT(A1104))&gt;0),1,0)</f>
        <v>1</v>
      </c>
      <c r="G1104" s="34" t="n">
        <f aca="false">B1104/1</f>
        <v>148.283</v>
      </c>
      <c r="H1104" s="34" t="n">
        <f aca="false">IF(F1104=1,G1104,"")</f>
        <v>148.283</v>
      </c>
    </row>
    <row r="1105" customFormat="false" ht="15" hidden="false" customHeight="false" outlineLevel="0" collapsed="false">
      <c r="A1105" s="31" t="n">
        <v>42781.9583333333</v>
      </c>
      <c r="B1105" s="32" t="n">
        <v>77.354</v>
      </c>
      <c r="D1105" s="33" t="n">
        <f aca="false">WEEKDAY(A1105,2)</f>
        <v>3</v>
      </c>
      <c r="E1105" s="33" t="n">
        <f aca="false">HOUR(A1105)+MINUTE(A1105)/60</f>
        <v>23</v>
      </c>
      <c r="F1105" s="33" t="n">
        <f aca="false">IF(OR(D1105&gt;5,E1105&lt;8,E1105&gt;=18,COUNTIF($K$2:$K$10,INT(A1105))&gt;0),1,0)</f>
        <v>1</v>
      </c>
      <c r="G1105" s="34" t="n">
        <f aca="false">B1105/1</f>
        <v>77.354</v>
      </c>
      <c r="H1105" s="34" t="n">
        <f aca="false">IF(F1105=1,G1105,"")</f>
        <v>77.354</v>
      </c>
    </row>
    <row r="1106" customFormat="false" ht="15" hidden="false" customHeight="false" outlineLevel="0" collapsed="false">
      <c r="A1106" s="31" t="n">
        <v>42782</v>
      </c>
      <c r="B1106" s="32" t="n">
        <v>75.974</v>
      </c>
      <c r="D1106" s="33" t="n">
        <f aca="false">WEEKDAY(A1106,2)</f>
        <v>4</v>
      </c>
      <c r="E1106" s="33" t="n">
        <f aca="false">HOUR(A1106)+MINUTE(A1106)/60</f>
        <v>0</v>
      </c>
      <c r="F1106" s="33" t="n">
        <f aca="false">IF(OR(D1106&gt;5,E1106&lt;8,E1106&gt;=18,COUNTIF($K$2:$K$10,INT(A1106))&gt;0),1,0)</f>
        <v>1</v>
      </c>
      <c r="G1106" s="34" t="n">
        <f aca="false">B1106/1</f>
        <v>75.974</v>
      </c>
      <c r="H1106" s="34" t="n">
        <f aca="false">IF(F1106=1,G1106,"")</f>
        <v>75.974</v>
      </c>
    </row>
    <row r="1107" customFormat="false" ht="15" hidden="false" customHeight="false" outlineLevel="0" collapsed="false">
      <c r="A1107" s="31" t="n">
        <v>42782.0416666667</v>
      </c>
      <c r="B1107" s="32" t="n">
        <v>69.767</v>
      </c>
      <c r="D1107" s="33" t="n">
        <f aca="false">WEEKDAY(A1107,2)</f>
        <v>4</v>
      </c>
      <c r="E1107" s="33" t="n">
        <f aca="false">HOUR(A1107)+MINUTE(A1107)/60</f>
        <v>1</v>
      </c>
      <c r="F1107" s="33" t="n">
        <f aca="false">IF(OR(D1107&gt;5,E1107&lt;8,E1107&gt;=18,COUNTIF($K$2:$K$10,INT(A1107))&gt;0),1,0)</f>
        <v>1</v>
      </c>
      <c r="G1107" s="34" t="n">
        <f aca="false">B1107/1</f>
        <v>69.767</v>
      </c>
      <c r="H1107" s="34" t="n">
        <f aca="false">IF(F1107=1,G1107,"")</f>
        <v>69.767</v>
      </c>
    </row>
    <row r="1108" customFormat="false" ht="15" hidden="false" customHeight="false" outlineLevel="0" collapsed="false">
      <c r="A1108" s="31" t="n">
        <v>42782.0833333333</v>
      </c>
      <c r="B1108" s="32" t="n">
        <v>67.814</v>
      </c>
      <c r="D1108" s="33" t="n">
        <f aca="false">WEEKDAY(A1108,2)</f>
        <v>4</v>
      </c>
      <c r="E1108" s="33" t="n">
        <f aca="false">HOUR(A1108)+MINUTE(A1108)/60</f>
        <v>2</v>
      </c>
      <c r="F1108" s="33" t="n">
        <f aca="false">IF(OR(D1108&gt;5,E1108&lt;8,E1108&gt;=18,COUNTIF($K$2:$K$10,INT(A1108))&gt;0),1,0)</f>
        <v>1</v>
      </c>
      <c r="G1108" s="34" t="n">
        <f aca="false">B1108/1</f>
        <v>67.814</v>
      </c>
      <c r="H1108" s="34" t="n">
        <f aca="false">IF(F1108=1,G1108,"")</f>
        <v>67.814</v>
      </c>
    </row>
    <row r="1109" customFormat="false" ht="15" hidden="false" customHeight="false" outlineLevel="0" collapsed="false">
      <c r="A1109" s="31" t="n">
        <v>42782.125</v>
      </c>
      <c r="B1109" s="32" t="n">
        <v>67.95</v>
      </c>
      <c r="D1109" s="33" t="n">
        <f aca="false">WEEKDAY(A1109,2)</f>
        <v>4</v>
      </c>
      <c r="E1109" s="33" t="n">
        <f aca="false">HOUR(A1109)+MINUTE(A1109)/60</f>
        <v>3</v>
      </c>
      <c r="F1109" s="33" t="n">
        <f aca="false">IF(OR(D1109&gt;5,E1109&lt;8,E1109&gt;=18,COUNTIF($K$2:$K$10,INT(A1109))&gt;0),1,0)</f>
        <v>1</v>
      </c>
      <c r="G1109" s="34" t="n">
        <f aca="false">B1109/1</f>
        <v>67.95</v>
      </c>
      <c r="H1109" s="34" t="n">
        <f aca="false">IF(F1109=1,G1109,"")</f>
        <v>67.95</v>
      </c>
    </row>
    <row r="1110" customFormat="false" ht="15" hidden="false" customHeight="false" outlineLevel="0" collapsed="false">
      <c r="A1110" s="31" t="n">
        <v>42782.1666666667</v>
      </c>
      <c r="B1110" s="32" t="n">
        <v>65.526</v>
      </c>
      <c r="D1110" s="33" t="n">
        <f aca="false">WEEKDAY(A1110,2)</f>
        <v>4</v>
      </c>
      <c r="E1110" s="33" t="n">
        <f aca="false">HOUR(A1110)+MINUTE(A1110)/60</f>
        <v>4</v>
      </c>
      <c r="F1110" s="33" t="n">
        <f aca="false">IF(OR(D1110&gt;5,E1110&lt;8,E1110&gt;=18,COUNTIF($K$2:$K$10,INT(A1110))&gt;0),1,0)</f>
        <v>1</v>
      </c>
      <c r="G1110" s="34" t="n">
        <f aca="false">B1110/1</f>
        <v>65.526</v>
      </c>
      <c r="H1110" s="34" t="n">
        <f aca="false">IF(F1110=1,G1110,"")</f>
        <v>65.526</v>
      </c>
    </row>
    <row r="1111" customFormat="false" ht="15" hidden="false" customHeight="false" outlineLevel="0" collapsed="false">
      <c r="A1111" s="31" t="n">
        <v>42782.2083333333</v>
      </c>
      <c r="B1111" s="32" t="n">
        <v>66.4</v>
      </c>
      <c r="D1111" s="33" t="n">
        <f aca="false">WEEKDAY(A1111,2)</f>
        <v>4</v>
      </c>
      <c r="E1111" s="33" t="n">
        <f aca="false">HOUR(A1111)+MINUTE(A1111)/60</f>
        <v>5</v>
      </c>
      <c r="F1111" s="33" t="n">
        <f aca="false">IF(OR(D1111&gt;5,E1111&lt;8,E1111&gt;=18,COUNTIF($K$2:$K$10,INT(A1111))&gt;0),1,0)</f>
        <v>1</v>
      </c>
      <c r="G1111" s="34" t="n">
        <f aca="false">B1111/1</f>
        <v>66.4</v>
      </c>
      <c r="H1111" s="34" t="n">
        <f aca="false">IF(F1111=1,G1111,"")</f>
        <v>66.4</v>
      </c>
    </row>
    <row r="1112" customFormat="false" ht="15" hidden="false" customHeight="false" outlineLevel="0" collapsed="false">
      <c r="A1112" s="31" t="n">
        <v>42782.25</v>
      </c>
      <c r="B1112" s="32" t="n">
        <v>66.934</v>
      </c>
      <c r="D1112" s="33" t="n">
        <f aca="false">WEEKDAY(A1112,2)</f>
        <v>4</v>
      </c>
      <c r="E1112" s="33" t="n">
        <f aca="false">HOUR(A1112)+MINUTE(A1112)/60</f>
        <v>6</v>
      </c>
      <c r="F1112" s="33" t="n">
        <f aca="false">IF(OR(D1112&gt;5,E1112&lt;8,E1112&gt;=18,COUNTIF($K$2:$K$10,INT(A1112))&gt;0),1,0)</f>
        <v>1</v>
      </c>
      <c r="G1112" s="34" t="n">
        <f aca="false">B1112/1</f>
        <v>66.934</v>
      </c>
      <c r="H1112" s="34" t="n">
        <f aca="false">IF(F1112=1,G1112,"")</f>
        <v>66.934</v>
      </c>
    </row>
    <row r="1113" customFormat="false" ht="15" hidden="false" customHeight="false" outlineLevel="0" collapsed="false">
      <c r="A1113" s="31" t="n">
        <v>42782.2916666667</v>
      </c>
      <c r="B1113" s="32" t="n">
        <v>72.835</v>
      </c>
      <c r="D1113" s="33" t="n">
        <f aca="false">WEEKDAY(A1113,2)</f>
        <v>4</v>
      </c>
      <c r="E1113" s="33" t="n">
        <f aca="false">HOUR(A1113)+MINUTE(A1113)/60</f>
        <v>7</v>
      </c>
      <c r="F1113" s="33" t="n">
        <f aca="false">IF(OR(D1113&gt;5,E1113&lt;8,E1113&gt;=18,COUNTIF($K$2:$K$10,INT(A1113))&gt;0),1,0)</f>
        <v>1</v>
      </c>
      <c r="G1113" s="34" t="n">
        <f aca="false">B1113/1</f>
        <v>72.835</v>
      </c>
      <c r="H1113" s="34" t="n">
        <f aca="false">IF(F1113=1,G1113,"")</f>
        <v>72.835</v>
      </c>
    </row>
    <row r="1114" customFormat="false" ht="15" hidden="false" customHeight="false" outlineLevel="0" collapsed="false">
      <c r="A1114" s="31" t="n">
        <v>42782.3333333333</v>
      </c>
      <c r="B1114" s="32" t="n">
        <v>180.847</v>
      </c>
      <c r="D1114" s="33" t="n">
        <f aca="false">WEEKDAY(A1114,2)</f>
        <v>4</v>
      </c>
      <c r="E1114" s="33" t="n">
        <f aca="false">HOUR(A1114)+MINUTE(A1114)/60</f>
        <v>8</v>
      </c>
      <c r="F1114" s="33" t="n">
        <f aca="false">IF(OR(D1114&gt;5,E1114&lt;8,E1114&gt;=18,COUNTIF($K$2:$K$10,INT(A1114))&gt;0),1,0)</f>
        <v>0</v>
      </c>
      <c r="G1114" s="34" t="n">
        <f aca="false">B1114/1</f>
        <v>180.847</v>
      </c>
      <c r="H1114" s="34" t="str">
        <f aca="false">IF(F1114=1,G1114,"")</f>
        <v/>
      </c>
    </row>
    <row r="1115" customFormat="false" ht="15" hidden="false" customHeight="false" outlineLevel="0" collapsed="false">
      <c r="A1115" s="31" t="n">
        <v>42782.375</v>
      </c>
      <c r="B1115" s="32" t="n">
        <v>223.279</v>
      </c>
      <c r="D1115" s="33" t="n">
        <f aca="false">WEEKDAY(A1115,2)</f>
        <v>4</v>
      </c>
      <c r="E1115" s="33" t="n">
        <f aca="false">HOUR(A1115)+MINUTE(A1115)/60</f>
        <v>9</v>
      </c>
      <c r="F1115" s="33" t="n">
        <f aca="false">IF(OR(D1115&gt;5,E1115&lt;8,E1115&gt;=18,COUNTIF($K$2:$K$10,INT(A1115))&gt;0),1,0)</f>
        <v>0</v>
      </c>
      <c r="G1115" s="34" t="n">
        <f aca="false">B1115/1</f>
        <v>223.279</v>
      </c>
      <c r="H1115" s="34" t="str">
        <f aca="false">IF(F1115=1,G1115,"")</f>
        <v/>
      </c>
    </row>
    <row r="1116" customFormat="false" ht="15" hidden="false" customHeight="false" outlineLevel="0" collapsed="false">
      <c r="A1116" s="31" t="n">
        <v>42782.4166666667</v>
      </c>
      <c r="B1116" s="32" t="n">
        <v>241.85</v>
      </c>
      <c r="D1116" s="33" t="n">
        <f aca="false">WEEKDAY(A1116,2)</f>
        <v>4</v>
      </c>
      <c r="E1116" s="33" t="n">
        <f aca="false">HOUR(A1116)+MINUTE(A1116)/60</f>
        <v>10</v>
      </c>
      <c r="F1116" s="33" t="n">
        <f aca="false">IF(OR(D1116&gt;5,E1116&lt;8,E1116&gt;=18,COUNTIF($K$2:$K$10,INT(A1116))&gt;0),1,0)</f>
        <v>0</v>
      </c>
      <c r="G1116" s="34" t="n">
        <f aca="false">B1116/1</f>
        <v>241.85</v>
      </c>
      <c r="H1116" s="34" t="str">
        <f aca="false">IF(F1116=1,G1116,"")</f>
        <v/>
      </c>
    </row>
    <row r="1117" customFormat="false" ht="15" hidden="false" customHeight="false" outlineLevel="0" collapsed="false">
      <c r="A1117" s="31" t="n">
        <v>42782.4583333333</v>
      </c>
      <c r="B1117" s="32" t="n">
        <v>253.739</v>
      </c>
      <c r="D1117" s="33" t="n">
        <f aca="false">WEEKDAY(A1117,2)</f>
        <v>4</v>
      </c>
      <c r="E1117" s="33" t="n">
        <f aca="false">HOUR(A1117)+MINUTE(A1117)/60</f>
        <v>11</v>
      </c>
      <c r="F1117" s="33" t="n">
        <f aca="false">IF(OR(D1117&gt;5,E1117&lt;8,E1117&gt;=18,COUNTIF($K$2:$K$10,INT(A1117))&gt;0),1,0)</f>
        <v>0</v>
      </c>
      <c r="G1117" s="34" t="n">
        <f aca="false">B1117/1</f>
        <v>253.739</v>
      </c>
      <c r="H1117" s="34" t="str">
        <f aca="false">IF(F1117=1,G1117,"")</f>
        <v/>
      </c>
    </row>
    <row r="1118" customFormat="false" ht="15" hidden="false" customHeight="false" outlineLevel="0" collapsed="false">
      <c r="A1118" s="31" t="n">
        <v>42782.5</v>
      </c>
      <c r="B1118" s="32" t="n">
        <v>258.867</v>
      </c>
      <c r="D1118" s="33" t="n">
        <f aca="false">WEEKDAY(A1118,2)</f>
        <v>4</v>
      </c>
      <c r="E1118" s="33" t="n">
        <f aca="false">HOUR(A1118)+MINUTE(A1118)/60</f>
        <v>12</v>
      </c>
      <c r="F1118" s="33" t="n">
        <f aca="false">IF(OR(D1118&gt;5,E1118&lt;8,E1118&gt;=18,COUNTIF($K$2:$K$10,INT(A1118))&gt;0),1,0)</f>
        <v>0</v>
      </c>
      <c r="G1118" s="34" t="n">
        <f aca="false">B1118/1</f>
        <v>258.867</v>
      </c>
      <c r="H1118" s="34" t="str">
        <f aca="false">IF(F1118=1,G1118,"")</f>
        <v/>
      </c>
    </row>
    <row r="1119" customFormat="false" ht="15" hidden="false" customHeight="false" outlineLevel="0" collapsed="false">
      <c r="A1119" s="31" t="n">
        <v>42782.5416666667</v>
      </c>
      <c r="B1119" s="32" t="n">
        <v>259.075</v>
      </c>
      <c r="D1119" s="33" t="n">
        <f aca="false">WEEKDAY(A1119,2)</f>
        <v>4</v>
      </c>
      <c r="E1119" s="33" t="n">
        <f aca="false">HOUR(A1119)+MINUTE(A1119)/60</f>
        <v>13</v>
      </c>
      <c r="F1119" s="33" t="n">
        <f aca="false">IF(OR(D1119&gt;5,E1119&lt;8,E1119&gt;=18,COUNTIF($K$2:$K$10,INT(A1119))&gt;0),1,0)</f>
        <v>0</v>
      </c>
      <c r="G1119" s="34" t="n">
        <f aca="false">B1119/1</f>
        <v>259.075</v>
      </c>
      <c r="H1119" s="34" t="str">
        <f aca="false">IF(F1119=1,G1119,"")</f>
        <v/>
      </c>
    </row>
    <row r="1120" customFormat="false" ht="15" hidden="false" customHeight="false" outlineLevel="0" collapsed="false">
      <c r="A1120" s="31" t="n">
        <v>42782.5833333333</v>
      </c>
      <c r="B1120" s="32" t="n">
        <v>251.502</v>
      </c>
      <c r="D1120" s="33" t="n">
        <f aca="false">WEEKDAY(A1120,2)</f>
        <v>4</v>
      </c>
      <c r="E1120" s="33" t="n">
        <f aca="false">HOUR(A1120)+MINUTE(A1120)/60</f>
        <v>14</v>
      </c>
      <c r="F1120" s="33" t="n">
        <f aca="false">IF(OR(D1120&gt;5,E1120&lt;8,E1120&gt;=18,COUNTIF($K$2:$K$10,INT(A1120))&gt;0),1,0)</f>
        <v>0</v>
      </c>
      <c r="G1120" s="34" t="n">
        <f aca="false">B1120/1</f>
        <v>251.502</v>
      </c>
      <c r="H1120" s="34" t="str">
        <f aca="false">IF(F1120=1,G1120,"")</f>
        <v/>
      </c>
    </row>
    <row r="1121" customFormat="false" ht="15" hidden="false" customHeight="false" outlineLevel="0" collapsed="false">
      <c r="A1121" s="31" t="n">
        <v>42782.625</v>
      </c>
      <c r="B1121" s="32" t="n">
        <v>247.757</v>
      </c>
      <c r="D1121" s="33" t="n">
        <f aca="false">WEEKDAY(A1121,2)</f>
        <v>4</v>
      </c>
      <c r="E1121" s="33" t="n">
        <f aca="false">HOUR(A1121)+MINUTE(A1121)/60</f>
        <v>15</v>
      </c>
      <c r="F1121" s="33" t="n">
        <f aca="false">IF(OR(D1121&gt;5,E1121&lt;8,E1121&gt;=18,COUNTIF($K$2:$K$10,INT(A1121))&gt;0),1,0)</f>
        <v>0</v>
      </c>
      <c r="G1121" s="34" t="n">
        <f aca="false">B1121/1</f>
        <v>247.757</v>
      </c>
      <c r="H1121" s="34" t="str">
        <f aca="false">IF(F1121=1,G1121,"")</f>
        <v/>
      </c>
    </row>
    <row r="1122" customFormat="false" ht="15" hidden="false" customHeight="false" outlineLevel="0" collapsed="false">
      <c r="A1122" s="31" t="n">
        <v>42782.6666666667</v>
      </c>
      <c r="B1122" s="32" t="n">
        <v>252.618</v>
      </c>
      <c r="D1122" s="33" t="n">
        <f aca="false">WEEKDAY(A1122,2)</f>
        <v>4</v>
      </c>
      <c r="E1122" s="33" t="n">
        <f aca="false">HOUR(A1122)+MINUTE(A1122)/60</f>
        <v>16</v>
      </c>
      <c r="F1122" s="33" t="n">
        <f aca="false">IF(OR(D1122&gt;5,E1122&lt;8,E1122&gt;=18,COUNTIF($K$2:$K$10,INT(A1122))&gt;0),1,0)</f>
        <v>0</v>
      </c>
      <c r="G1122" s="34" t="n">
        <f aca="false">B1122/1</f>
        <v>252.618</v>
      </c>
      <c r="H1122" s="34" t="str">
        <f aca="false">IF(F1122=1,G1122,"")</f>
        <v/>
      </c>
    </row>
    <row r="1123" customFormat="false" ht="15" hidden="false" customHeight="false" outlineLevel="0" collapsed="false">
      <c r="A1123" s="31" t="n">
        <v>42782.7083333333</v>
      </c>
      <c r="B1123" s="32" t="n">
        <v>233.651</v>
      </c>
      <c r="D1123" s="33" t="n">
        <f aca="false">WEEKDAY(A1123,2)</f>
        <v>4</v>
      </c>
      <c r="E1123" s="33" t="n">
        <f aca="false">HOUR(A1123)+MINUTE(A1123)/60</f>
        <v>17</v>
      </c>
      <c r="F1123" s="33" t="n">
        <f aca="false">IF(OR(D1123&gt;5,E1123&lt;8,E1123&gt;=18,COUNTIF($K$2:$K$10,INT(A1123))&gt;0),1,0)</f>
        <v>0</v>
      </c>
      <c r="G1123" s="34" t="n">
        <f aca="false">B1123/1</f>
        <v>233.651</v>
      </c>
      <c r="H1123" s="34" t="str">
        <f aca="false">IF(F1123=1,G1123,"")</f>
        <v/>
      </c>
    </row>
    <row r="1124" customFormat="false" ht="15" hidden="false" customHeight="false" outlineLevel="0" collapsed="false">
      <c r="A1124" s="31" t="n">
        <v>42782.75</v>
      </c>
      <c r="B1124" s="32" t="n">
        <v>214.382</v>
      </c>
      <c r="D1124" s="33" t="n">
        <f aca="false">WEEKDAY(A1124,2)</f>
        <v>4</v>
      </c>
      <c r="E1124" s="33" t="n">
        <f aca="false">HOUR(A1124)+MINUTE(A1124)/60</f>
        <v>18</v>
      </c>
      <c r="F1124" s="33" t="n">
        <f aca="false">IF(OR(D1124&gt;5,E1124&lt;8,E1124&gt;=18,COUNTIF($K$2:$K$10,INT(A1124))&gt;0),1,0)</f>
        <v>1</v>
      </c>
      <c r="G1124" s="34" t="n">
        <f aca="false">B1124/1</f>
        <v>214.382</v>
      </c>
      <c r="H1124" s="34" t="n">
        <f aca="false">IF(F1124=1,G1124,"")</f>
        <v>214.382</v>
      </c>
    </row>
    <row r="1125" customFormat="false" ht="15" hidden="false" customHeight="false" outlineLevel="0" collapsed="false">
      <c r="A1125" s="31" t="n">
        <v>42782.7916666667</v>
      </c>
      <c r="B1125" s="32" t="n">
        <v>213.918</v>
      </c>
      <c r="D1125" s="33" t="n">
        <f aca="false">WEEKDAY(A1125,2)</f>
        <v>4</v>
      </c>
      <c r="E1125" s="33" t="n">
        <f aca="false">HOUR(A1125)+MINUTE(A1125)/60</f>
        <v>19</v>
      </c>
      <c r="F1125" s="33" t="n">
        <f aca="false">IF(OR(D1125&gt;5,E1125&lt;8,E1125&gt;=18,COUNTIF($K$2:$K$10,INT(A1125))&gt;0),1,0)</f>
        <v>1</v>
      </c>
      <c r="G1125" s="34" t="n">
        <f aca="false">B1125/1</f>
        <v>213.918</v>
      </c>
      <c r="H1125" s="34" t="n">
        <f aca="false">IF(F1125=1,G1125,"")</f>
        <v>213.918</v>
      </c>
    </row>
    <row r="1126" customFormat="false" ht="15" hidden="false" customHeight="false" outlineLevel="0" collapsed="false">
      <c r="A1126" s="31" t="n">
        <v>42782.8333333333</v>
      </c>
      <c r="B1126" s="32" t="n">
        <v>209.383</v>
      </c>
      <c r="D1126" s="33" t="n">
        <f aca="false">WEEKDAY(A1126,2)</f>
        <v>4</v>
      </c>
      <c r="E1126" s="33" t="n">
        <f aca="false">HOUR(A1126)+MINUTE(A1126)/60</f>
        <v>20</v>
      </c>
      <c r="F1126" s="33" t="n">
        <f aca="false">IF(OR(D1126&gt;5,E1126&lt;8,E1126&gt;=18,COUNTIF($K$2:$K$10,INT(A1126))&gt;0),1,0)</f>
        <v>1</v>
      </c>
      <c r="G1126" s="34" t="n">
        <f aca="false">B1126/1</f>
        <v>209.383</v>
      </c>
      <c r="H1126" s="34" t="n">
        <f aca="false">IF(F1126=1,G1126,"")</f>
        <v>209.383</v>
      </c>
    </row>
    <row r="1127" customFormat="false" ht="15" hidden="false" customHeight="false" outlineLevel="0" collapsed="false">
      <c r="A1127" s="31" t="n">
        <v>42782.875</v>
      </c>
      <c r="B1127" s="32" t="n">
        <v>196.225</v>
      </c>
      <c r="D1127" s="33" t="n">
        <f aca="false">WEEKDAY(A1127,2)</f>
        <v>4</v>
      </c>
      <c r="E1127" s="33" t="n">
        <f aca="false">HOUR(A1127)+MINUTE(A1127)/60</f>
        <v>21</v>
      </c>
      <c r="F1127" s="33" t="n">
        <f aca="false">IF(OR(D1127&gt;5,E1127&lt;8,E1127&gt;=18,COUNTIF($K$2:$K$10,INT(A1127))&gt;0),1,0)</f>
        <v>1</v>
      </c>
      <c r="G1127" s="34" t="n">
        <f aca="false">B1127/1</f>
        <v>196.225</v>
      </c>
      <c r="H1127" s="34" t="n">
        <f aca="false">IF(F1127=1,G1127,"")</f>
        <v>196.225</v>
      </c>
    </row>
    <row r="1128" customFormat="false" ht="15" hidden="false" customHeight="false" outlineLevel="0" collapsed="false">
      <c r="A1128" s="31" t="n">
        <v>42782.9166666667</v>
      </c>
      <c r="B1128" s="32" t="n">
        <v>135.479</v>
      </c>
      <c r="D1128" s="33" t="n">
        <f aca="false">WEEKDAY(A1128,2)</f>
        <v>4</v>
      </c>
      <c r="E1128" s="33" t="n">
        <f aca="false">HOUR(A1128)+MINUTE(A1128)/60</f>
        <v>22</v>
      </c>
      <c r="F1128" s="33" t="n">
        <f aca="false">IF(OR(D1128&gt;5,E1128&lt;8,E1128&gt;=18,COUNTIF($K$2:$K$10,INT(A1128))&gt;0),1,0)</f>
        <v>1</v>
      </c>
      <c r="G1128" s="34" t="n">
        <f aca="false">B1128/1</f>
        <v>135.479</v>
      </c>
      <c r="H1128" s="34" t="n">
        <f aca="false">IF(F1128=1,G1128,"")</f>
        <v>135.479</v>
      </c>
    </row>
    <row r="1129" customFormat="false" ht="15" hidden="false" customHeight="false" outlineLevel="0" collapsed="false">
      <c r="A1129" s="31" t="n">
        <v>42782.9583333333</v>
      </c>
      <c r="B1129" s="32" t="n">
        <v>73.299</v>
      </c>
      <c r="D1129" s="33" t="n">
        <f aca="false">WEEKDAY(A1129,2)</f>
        <v>4</v>
      </c>
      <c r="E1129" s="33" t="n">
        <f aca="false">HOUR(A1129)+MINUTE(A1129)/60</f>
        <v>23</v>
      </c>
      <c r="F1129" s="33" t="n">
        <f aca="false">IF(OR(D1129&gt;5,E1129&lt;8,E1129&gt;=18,COUNTIF($K$2:$K$10,INT(A1129))&gt;0),1,0)</f>
        <v>1</v>
      </c>
      <c r="G1129" s="34" t="n">
        <f aca="false">B1129/1</f>
        <v>73.299</v>
      </c>
      <c r="H1129" s="34" t="n">
        <f aca="false">IF(F1129=1,G1129,"")</f>
        <v>73.299</v>
      </c>
    </row>
    <row r="1130" customFormat="false" ht="15" hidden="false" customHeight="false" outlineLevel="0" collapsed="false">
      <c r="A1130" s="31" t="n">
        <v>42783</v>
      </c>
      <c r="B1130" s="32" t="n">
        <v>69.184</v>
      </c>
      <c r="D1130" s="33" t="n">
        <f aca="false">WEEKDAY(A1130,2)</f>
        <v>5</v>
      </c>
      <c r="E1130" s="33" t="n">
        <f aca="false">HOUR(A1130)+MINUTE(A1130)/60</f>
        <v>0</v>
      </c>
      <c r="F1130" s="33" t="n">
        <f aca="false">IF(OR(D1130&gt;5,E1130&lt;8,E1130&gt;=18,COUNTIF($K$2:$K$10,INT(A1130))&gt;0),1,0)</f>
        <v>1</v>
      </c>
      <c r="G1130" s="34" t="n">
        <f aca="false">B1130/1</f>
        <v>69.184</v>
      </c>
      <c r="H1130" s="34" t="n">
        <f aca="false">IF(F1130=1,G1130,"")</f>
        <v>69.184</v>
      </c>
    </row>
    <row r="1131" customFormat="false" ht="15" hidden="false" customHeight="false" outlineLevel="0" collapsed="false">
      <c r="A1131" s="31" t="n">
        <v>42783.0416666667</v>
      </c>
      <c r="B1131" s="32" t="n">
        <v>64.204</v>
      </c>
      <c r="D1131" s="33" t="n">
        <f aca="false">WEEKDAY(A1131,2)</f>
        <v>5</v>
      </c>
      <c r="E1131" s="33" t="n">
        <f aca="false">HOUR(A1131)+MINUTE(A1131)/60</f>
        <v>1</v>
      </c>
      <c r="F1131" s="33" t="n">
        <f aca="false">IF(OR(D1131&gt;5,E1131&lt;8,E1131&gt;=18,COUNTIF($K$2:$K$10,INT(A1131))&gt;0),1,0)</f>
        <v>1</v>
      </c>
      <c r="G1131" s="34" t="n">
        <f aca="false">B1131/1</f>
        <v>64.204</v>
      </c>
      <c r="H1131" s="34" t="n">
        <f aca="false">IF(F1131=1,G1131,"")</f>
        <v>64.204</v>
      </c>
    </row>
    <row r="1132" customFormat="false" ht="15" hidden="false" customHeight="false" outlineLevel="0" collapsed="false">
      <c r="A1132" s="31" t="n">
        <v>42783.0833333333</v>
      </c>
      <c r="B1132" s="32" t="n">
        <v>61.221</v>
      </c>
      <c r="D1132" s="33" t="n">
        <f aca="false">WEEKDAY(A1132,2)</f>
        <v>5</v>
      </c>
      <c r="E1132" s="33" t="n">
        <f aca="false">HOUR(A1132)+MINUTE(A1132)/60</f>
        <v>2</v>
      </c>
      <c r="F1132" s="33" t="n">
        <f aca="false">IF(OR(D1132&gt;5,E1132&lt;8,E1132&gt;=18,COUNTIF($K$2:$K$10,INT(A1132))&gt;0),1,0)</f>
        <v>1</v>
      </c>
      <c r="G1132" s="34" t="n">
        <f aca="false">B1132/1</f>
        <v>61.221</v>
      </c>
      <c r="H1132" s="34" t="n">
        <f aca="false">IF(F1132=1,G1132,"")</f>
        <v>61.221</v>
      </c>
    </row>
    <row r="1133" customFormat="false" ht="15" hidden="false" customHeight="false" outlineLevel="0" collapsed="false">
      <c r="A1133" s="31" t="n">
        <v>42783.125</v>
      </c>
      <c r="B1133" s="32" t="n">
        <v>61.028</v>
      </c>
      <c r="D1133" s="33" t="n">
        <f aca="false">WEEKDAY(A1133,2)</f>
        <v>5</v>
      </c>
      <c r="E1133" s="33" t="n">
        <f aca="false">HOUR(A1133)+MINUTE(A1133)/60</f>
        <v>3</v>
      </c>
      <c r="F1133" s="33" t="n">
        <f aca="false">IF(OR(D1133&gt;5,E1133&lt;8,E1133&gt;=18,COUNTIF($K$2:$K$10,INT(A1133))&gt;0),1,0)</f>
        <v>1</v>
      </c>
      <c r="G1133" s="34" t="n">
        <f aca="false">B1133/1</f>
        <v>61.028</v>
      </c>
      <c r="H1133" s="34" t="n">
        <f aca="false">IF(F1133=1,G1133,"")</f>
        <v>61.028</v>
      </c>
    </row>
    <row r="1134" customFormat="false" ht="15" hidden="false" customHeight="false" outlineLevel="0" collapsed="false">
      <c r="A1134" s="31" t="n">
        <v>42783.1666666667</v>
      </c>
      <c r="B1134" s="32" t="n">
        <v>63.809</v>
      </c>
      <c r="D1134" s="33" t="n">
        <f aca="false">WEEKDAY(A1134,2)</f>
        <v>5</v>
      </c>
      <c r="E1134" s="33" t="n">
        <f aca="false">HOUR(A1134)+MINUTE(A1134)/60</f>
        <v>4</v>
      </c>
      <c r="F1134" s="33" t="n">
        <f aca="false">IF(OR(D1134&gt;5,E1134&lt;8,E1134&gt;=18,COUNTIF($K$2:$K$10,INT(A1134))&gt;0),1,0)</f>
        <v>1</v>
      </c>
      <c r="G1134" s="34" t="n">
        <f aca="false">B1134/1</f>
        <v>63.809</v>
      </c>
      <c r="H1134" s="34" t="n">
        <f aca="false">IF(F1134=1,G1134,"")</f>
        <v>63.809</v>
      </c>
    </row>
    <row r="1135" customFormat="false" ht="15" hidden="false" customHeight="false" outlineLevel="0" collapsed="false">
      <c r="A1135" s="31" t="n">
        <v>42783.2083333333</v>
      </c>
      <c r="B1135" s="32" t="n">
        <v>63.129</v>
      </c>
      <c r="D1135" s="33" t="n">
        <f aca="false">WEEKDAY(A1135,2)</f>
        <v>5</v>
      </c>
      <c r="E1135" s="33" t="n">
        <f aca="false">HOUR(A1135)+MINUTE(A1135)/60</f>
        <v>5</v>
      </c>
      <c r="F1135" s="33" t="n">
        <f aca="false">IF(OR(D1135&gt;5,E1135&lt;8,E1135&gt;=18,COUNTIF($K$2:$K$10,INT(A1135))&gt;0),1,0)</f>
        <v>1</v>
      </c>
      <c r="G1135" s="34" t="n">
        <f aca="false">B1135/1</f>
        <v>63.129</v>
      </c>
      <c r="H1135" s="34" t="n">
        <f aca="false">IF(F1135=1,G1135,"")</f>
        <v>63.129</v>
      </c>
    </row>
    <row r="1136" customFormat="false" ht="15" hidden="false" customHeight="false" outlineLevel="0" collapsed="false">
      <c r="A1136" s="31" t="n">
        <v>42783.25</v>
      </c>
      <c r="B1136" s="32" t="n">
        <v>62.742</v>
      </c>
      <c r="D1136" s="33" t="n">
        <f aca="false">WEEKDAY(A1136,2)</f>
        <v>5</v>
      </c>
      <c r="E1136" s="33" t="n">
        <f aca="false">HOUR(A1136)+MINUTE(A1136)/60</f>
        <v>6</v>
      </c>
      <c r="F1136" s="33" t="n">
        <f aca="false">IF(OR(D1136&gt;5,E1136&lt;8,E1136&gt;=18,COUNTIF($K$2:$K$10,INT(A1136))&gt;0),1,0)</f>
        <v>1</v>
      </c>
      <c r="G1136" s="34" t="n">
        <f aca="false">B1136/1</f>
        <v>62.742</v>
      </c>
      <c r="H1136" s="34" t="n">
        <f aca="false">IF(F1136=1,G1136,"")</f>
        <v>62.742</v>
      </c>
    </row>
    <row r="1137" customFormat="false" ht="15" hidden="false" customHeight="false" outlineLevel="0" collapsed="false">
      <c r="A1137" s="31" t="n">
        <v>42783.2916666667</v>
      </c>
      <c r="B1137" s="32" t="n">
        <v>66.519</v>
      </c>
      <c r="D1137" s="33" t="n">
        <f aca="false">WEEKDAY(A1137,2)</f>
        <v>5</v>
      </c>
      <c r="E1137" s="33" t="n">
        <f aca="false">HOUR(A1137)+MINUTE(A1137)/60</f>
        <v>7</v>
      </c>
      <c r="F1137" s="33" t="n">
        <f aca="false">IF(OR(D1137&gt;5,E1137&lt;8,E1137&gt;=18,COUNTIF($K$2:$K$10,INT(A1137))&gt;0),1,0)</f>
        <v>1</v>
      </c>
      <c r="G1137" s="34" t="n">
        <f aca="false">B1137/1</f>
        <v>66.519</v>
      </c>
      <c r="H1137" s="34" t="n">
        <f aca="false">IF(F1137=1,G1137,"")</f>
        <v>66.519</v>
      </c>
    </row>
    <row r="1138" customFormat="false" ht="15" hidden="false" customHeight="false" outlineLevel="0" collapsed="false">
      <c r="A1138" s="31" t="n">
        <v>42783.3333333333</v>
      </c>
      <c r="B1138" s="32" t="n">
        <v>171.831</v>
      </c>
      <c r="D1138" s="33" t="n">
        <f aca="false">WEEKDAY(A1138,2)</f>
        <v>5</v>
      </c>
      <c r="E1138" s="33" t="n">
        <f aca="false">HOUR(A1138)+MINUTE(A1138)/60</f>
        <v>8</v>
      </c>
      <c r="F1138" s="33" t="n">
        <f aca="false">IF(OR(D1138&gt;5,E1138&lt;8,E1138&gt;=18,COUNTIF($K$2:$K$10,INT(A1138))&gt;0),1,0)</f>
        <v>0</v>
      </c>
      <c r="G1138" s="34" t="n">
        <f aca="false">B1138/1</f>
        <v>171.831</v>
      </c>
      <c r="H1138" s="34" t="str">
        <f aca="false">IF(F1138=1,G1138,"")</f>
        <v/>
      </c>
    </row>
    <row r="1139" customFormat="false" ht="15" hidden="false" customHeight="false" outlineLevel="0" collapsed="false">
      <c r="A1139" s="31" t="n">
        <v>42783.375</v>
      </c>
      <c r="B1139" s="32" t="n">
        <v>207.168</v>
      </c>
      <c r="D1139" s="33" t="n">
        <f aca="false">WEEKDAY(A1139,2)</f>
        <v>5</v>
      </c>
      <c r="E1139" s="33" t="n">
        <f aca="false">HOUR(A1139)+MINUTE(A1139)/60</f>
        <v>9</v>
      </c>
      <c r="F1139" s="33" t="n">
        <f aca="false">IF(OR(D1139&gt;5,E1139&lt;8,E1139&gt;=18,COUNTIF($K$2:$K$10,INT(A1139))&gt;0),1,0)</f>
        <v>0</v>
      </c>
      <c r="G1139" s="34" t="n">
        <f aca="false">B1139/1</f>
        <v>207.168</v>
      </c>
      <c r="H1139" s="34" t="str">
        <f aca="false">IF(F1139=1,G1139,"")</f>
        <v/>
      </c>
    </row>
    <row r="1140" customFormat="false" ht="15" hidden="false" customHeight="false" outlineLevel="0" collapsed="false">
      <c r="A1140" s="31" t="n">
        <v>42783.4166666667</v>
      </c>
      <c r="B1140" s="32" t="n">
        <v>231.928</v>
      </c>
      <c r="D1140" s="33" t="n">
        <f aca="false">WEEKDAY(A1140,2)</f>
        <v>5</v>
      </c>
      <c r="E1140" s="33" t="n">
        <f aca="false">HOUR(A1140)+MINUTE(A1140)/60</f>
        <v>10</v>
      </c>
      <c r="F1140" s="33" t="n">
        <f aca="false">IF(OR(D1140&gt;5,E1140&lt;8,E1140&gt;=18,COUNTIF($K$2:$K$10,INT(A1140))&gt;0),1,0)</f>
        <v>0</v>
      </c>
      <c r="G1140" s="34" t="n">
        <f aca="false">B1140/1</f>
        <v>231.928</v>
      </c>
      <c r="H1140" s="34" t="str">
        <f aca="false">IF(F1140=1,G1140,"")</f>
        <v/>
      </c>
    </row>
    <row r="1141" customFormat="false" ht="15" hidden="false" customHeight="false" outlineLevel="0" collapsed="false">
      <c r="A1141" s="31" t="n">
        <v>42783.4583333333</v>
      </c>
      <c r="B1141" s="32" t="n">
        <v>250.444</v>
      </c>
      <c r="D1141" s="33" t="n">
        <f aca="false">WEEKDAY(A1141,2)</f>
        <v>5</v>
      </c>
      <c r="E1141" s="33" t="n">
        <f aca="false">HOUR(A1141)+MINUTE(A1141)/60</f>
        <v>11</v>
      </c>
      <c r="F1141" s="33" t="n">
        <f aca="false">IF(OR(D1141&gt;5,E1141&lt;8,E1141&gt;=18,COUNTIF($K$2:$K$10,INT(A1141))&gt;0),1,0)</f>
        <v>0</v>
      </c>
      <c r="G1141" s="34" t="n">
        <f aca="false">B1141/1</f>
        <v>250.444</v>
      </c>
      <c r="H1141" s="34" t="str">
        <f aca="false">IF(F1141=1,G1141,"")</f>
        <v/>
      </c>
    </row>
    <row r="1142" customFormat="false" ht="15" hidden="false" customHeight="false" outlineLevel="0" collapsed="false">
      <c r="A1142" s="31" t="n">
        <v>42783.5</v>
      </c>
      <c r="B1142" s="32" t="n">
        <v>255.072</v>
      </c>
      <c r="D1142" s="33" t="n">
        <f aca="false">WEEKDAY(A1142,2)</f>
        <v>5</v>
      </c>
      <c r="E1142" s="33" t="n">
        <f aca="false">HOUR(A1142)+MINUTE(A1142)/60</f>
        <v>12</v>
      </c>
      <c r="F1142" s="33" t="n">
        <f aca="false">IF(OR(D1142&gt;5,E1142&lt;8,E1142&gt;=18,COUNTIF($K$2:$K$10,INT(A1142))&gt;0),1,0)</f>
        <v>0</v>
      </c>
      <c r="G1142" s="34" t="n">
        <f aca="false">B1142/1</f>
        <v>255.072</v>
      </c>
      <c r="H1142" s="34" t="str">
        <f aca="false">IF(F1142=1,G1142,"")</f>
        <v/>
      </c>
    </row>
    <row r="1143" customFormat="false" ht="15" hidden="false" customHeight="false" outlineLevel="0" collapsed="false">
      <c r="A1143" s="31" t="n">
        <v>42783.5416666667</v>
      </c>
      <c r="B1143" s="32" t="n">
        <v>244.537</v>
      </c>
      <c r="D1143" s="33" t="n">
        <f aca="false">WEEKDAY(A1143,2)</f>
        <v>5</v>
      </c>
      <c r="E1143" s="33" t="n">
        <f aca="false">HOUR(A1143)+MINUTE(A1143)/60</f>
        <v>13</v>
      </c>
      <c r="F1143" s="33" t="n">
        <f aca="false">IF(OR(D1143&gt;5,E1143&lt;8,E1143&gt;=18,COUNTIF($K$2:$K$10,INT(A1143))&gt;0),1,0)</f>
        <v>0</v>
      </c>
      <c r="G1143" s="34" t="n">
        <f aca="false">B1143/1</f>
        <v>244.537</v>
      </c>
      <c r="H1143" s="34" t="str">
        <f aca="false">IF(F1143=1,G1143,"")</f>
        <v/>
      </c>
    </row>
    <row r="1144" customFormat="false" ht="15" hidden="false" customHeight="false" outlineLevel="0" collapsed="false">
      <c r="A1144" s="31" t="n">
        <v>42783.5833333333</v>
      </c>
      <c r="B1144" s="32" t="n">
        <v>236.704</v>
      </c>
      <c r="D1144" s="33" t="n">
        <f aca="false">WEEKDAY(A1144,2)</f>
        <v>5</v>
      </c>
      <c r="E1144" s="33" t="n">
        <f aca="false">HOUR(A1144)+MINUTE(A1144)/60</f>
        <v>14</v>
      </c>
      <c r="F1144" s="33" t="n">
        <f aca="false">IF(OR(D1144&gt;5,E1144&lt;8,E1144&gt;=18,COUNTIF($K$2:$K$10,INT(A1144))&gt;0),1,0)</f>
        <v>0</v>
      </c>
      <c r="G1144" s="34" t="n">
        <f aca="false">B1144/1</f>
        <v>236.704</v>
      </c>
      <c r="H1144" s="34" t="str">
        <f aca="false">IF(F1144=1,G1144,"")</f>
        <v/>
      </c>
    </row>
    <row r="1145" customFormat="false" ht="15" hidden="false" customHeight="false" outlineLevel="0" collapsed="false">
      <c r="A1145" s="31" t="n">
        <v>42783.625</v>
      </c>
      <c r="B1145" s="32" t="n">
        <v>229.945</v>
      </c>
      <c r="D1145" s="33" t="n">
        <f aca="false">WEEKDAY(A1145,2)</f>
        <v>5</v>
      </c>
      <c r="E1145" s="33" t="n">
        <f aca="false">HOUR(A1145)+MINUTE(A1145)/60</f>
        <v>15</v>
      </c>
      <c r="F1145" s="33" t="n">
        <f aca="false">IF(OR(D1145&gt;5,E1145&lt;8,E1145&gt;=18,COUNTIF($K$2:$K$10,INT(A1145))&gt;0),1,0)</f>
        <v>0</v>
      </c>
      <c r="G1145" s="34" t="n">
        <f aca="false">B1145/1</f>
        <v>229.945</v>
      </c>
      <c r="H1145" s="34" t="str">
        <f aca="false">IF(F1145=1,G1145,"")</f>
        <v/>
      </c>
    </row>
    <row r="1146" customFormat="false" ht="15" hidden="false" customHeight="false" outlineLevel="0" collapsed="false">
      <c r="A1146" s="31" t="n">
        <v>42783.6666666667</v>
      </c>
      <c r="B1146" s="32" t="n">
        <v>231.5</v>
      </c>
      <c r="D1146" s="33" t="n">
        <f aca="false">WEEKDAY(A1146,2)</f>
        <v>5</v>
      </c>
      <c r="E1146" s="33" t="n">
        <f aca="false">HOUR(A1146)+MINUTE(A1146)/60</f>
        <v>16</v>
      </c>
      <c r="F1146" s="33" t="n">
        <f aca="false">IF(OR(D1146&gt;5,E1146&lt;8,E1146&gt;=18,COUNTIF($K$2:$K$10,INT(A1146))&gt;0),1,0)</f>
        <v>0</v>
      </c>
      <c r="G1146" s="34" t="n">
        <f aca="false">B1146/1</f>
        <v>231.5</v>
      </c>
      <c r="H1146" s="34" t="str">
        <f aca="false">IF(F1146=1,G1146,"")</f>
        <v/>
      </c>
    </row>
    <row r="1147" customFormat="false" ht="15" hidden="false" customHeight="false" outlineLevel="0" collapsed="false">
      <c r="A1147" s="31" t="n">
        <v>42783.7083333333</v>
      </c>
      <c r="B1147" s="32" t="n">
        <v>223.483</v>
      </c>
      <c r="D1147" s="33" t="n">
        <f aca="false">WEEKDAY(A1147,2)</f>
        <v>5</v>
      </c>
      <c r="E1147" s="33" t="n">
        <f aca="false">HOUR(A1147)+MINUTE(A1147)/60</f>
        <v>17</v>
      </c>
      <c r="F1147" s="33" t="n">
        <f aca="false">IF(OR(D1147&gt;5,E1147&lt;8,E1147&gt;=18,COUNTIF($K$2:$K$10,INT(A1147))&gt;0),1,0)</f>
        <v>0</v>
      </c>
      <c r="G1147" s="34" t="n">
        <f aca="false">B1147/1</f>
        <v>223.483</v>
      </c>
      <c r="H1147" s="34" t="str">
        <f aca="false">IF(F1147=1,G1147,"")</f>
        <v/>
      </c>
    </row>
    <row r="1148" customFormat="false" ht="15" hidden="false" customHeight="false" outlineLevel="0" collapsed="false">
      <c r="A1148" s="31" t="n">
        <v>42783.75</v>
      </c>
      <c r="B1148" s="32" t="n">
        <v>201.982</v>
      </c>
      <c r="D1148" s="33" t="n">
        <f aca="false">WEEKDAY(A1148,2)</f>
        <v>5</v>
      </c>
      <c r="E1148" s="33" t="n">
        <f aca="false">HOUR(A1148)+MINUTE(A1148)/60</f>
        <v>18</v>
      </c>
      <c r="F1148" s="33" t="n">
        <f aca="false">IF(OR(D1148&gt;5,E1148&lt;8,E1148&gt;=18,COUNTIF($K$2:$K$10,INT(A1148))&gt;0),1,0)</f>
        <v>1</v>
      </c>
      <c r="G1148" s="34" t="n">
        <f aca="false">B1148/1</f>
        <v>201.982</v>
      </c>
      <c r="H1148" s="34" t="n">
        <f aca="false">IF(F1148=1,G1148,"")</f>
        <v>201.982</v>
      </c>
    </row>
    <row r="1149" customFormat="false" ht="15" hidden="false" customHeight="false" outlineLevel="0" collapsed="false">
      <c r="A1149" s="31" t="n">
        <v>42783.7916666667</v>
      </c>
      <c r="B1149" s="32" t="n">
        <v>191.191</v>
      </c>
      <c r="D1149" s="33" t="n">
        <f aca="false">WEEKDAY(A1149,2)</f>
        <v>5</v>
      </c>
      <c r="E1149" s="33" t="n">
        <f aca="false">HOUR(A1149)+MINUTE(A1149)/60</f>
        <v>19</v>
      </c>
      <c r="F1149" s="33" t="n">
        <f aca="false">IF(OR(D1149&gt;5,E1149&lt;8,E1149&gt;=18,COUNTIF($K$2:$K$10,INT(A1149))&gt;0),1,0)</f>
        <v>1</v>
      </c>
      <c r="G1149" s="34" t="n">
        <f aca="false">B1149/1</f>
        <v>191.191</v>
      </c>
      <c r="H1149" s="34" t="n">
        <f aca="false">IF(F1149=1,G1149,"")</f>
        <v>191.191</v>
      </c>
    </row>
    <row r="1150" customFormat="false" ht="15" hidden="false" customHeight="false" outlineLevel="0" collapsed="false">
      <c r="A1150" s="31" t="n">
        <v>42783.8333333333</v>
      </c>
      <c r="B1150" s="32" t="n">
        <v>185.615</v>
      </c>
      <c r="D1150" s="33" t="n">
        <f aca="false">WEEKDAY(A1150,2)</f>
        <v>5</v>
      </c>
      <c r="E1150" s="33" t="n">
        <f aca="false">HOUR(A1150)+MINUTE(A1150)/60</f>
        <v>20</v>
      </c>
      <c r="F1150" s="33" t="n">
        <f aca="false">IF(OR(D1150&gt;5,E1150&lt;8,E1150&gt;=18,COUNTIF($K$2:$K$10,INT(A1150))&gt;0),1,0)</f>
        <v>1</v>
      </c>
      <c r="G1150" s="34" t="n">
        <f aca="false">B1150/1</f>
        <v>185.615</v>
      </c>
      <c r="H1150" s="34" t="n">
        <f aca="false">IF(F1150=1,G1150,"")</f>
        <v>185.615</v>
      </c>
    </row>
    <row r="1151" customFormat="false" ht="15" hidden="false" customHeight="false" outlineLevel="0" collapsed="false">
      <c r="A1151" s="31" t="n">
        <v>42783.875</v>
      </c>
      <c r="B1151" s="32" t="n">
        <v>183.955</v>
      </c>
      <c r="D1151" s="33" t="n">
        <f aca="false">WEEKDAY(A1151,2)</f>
        <v>5</v>
      </c>
      <c r="E1151" s="33" t="n">
        <f aca="false">HOUR(A1151)+MINUTE(A1151)/60</f>
        <v>21</v>
      </c>
      <c r="F1151" s="33" t="n">
        <f aca="false">IF(OR(D1151&gt;5,E1151&lt;8,E1151&gt;=18,COUNTIF($K$2:$K$10,INT(A1151))&gt;0),1,0)</f>
        <v>1</v>
      </c>
      <c r="G1151" s="34" t="n">
        <f aca="false">B1151/1</f>
        <v>183.955</v>
      </c>
      <c r="H1151" s="34" t="n">
        <f aca="false">IF(F1151=1,G1151,"")</f>
        <v>183.955</v>
      </c>
    </row>
    <row r="1152" customFormat="false" ht="15" hidden="false" customHeight="false" outlineLevel="0" collapsed="false">
      <c r="A1152" s="31" t="n">
        <v>42783.9166666667</v>
      </c>
      <c r="B1152" s="32" t="n">
        <v>129.333</v>
      </c>
      <c r="D1152" s="33" t="n">
        <f aca="false">WEEKDAY(A1152,2)</f>
        <v>5</v>
      </c>
      <c r="E1152" s="33" t="n">
        <f aca="false">HOUR(A1152)+MINUTE(A1152)/60</f>
        <v>22</v>
      </c>
      <c r="F1152" s="33" t="n">
        <f aca="false">IF(OR(D1152&gt;5,E1152&lt;8,E1152&gt;=18,COUNTIF($K$2:$K$10,INT(A1152))&gt;0),1,0)</f>
        <v>1</v>
      </c>
      <c r="G1152" s="34" t="n">
        <f aca="false">B1152/1</f>
        <v>129.333</v>
      </c>
      <c r="H1152" s="34" t="n">
        <f aca="false">IF(F1152=1,G1152,"")</f>
        <v>129.333</v>
      </c>
    </row>
    <row r="1153" customFormat="false" ht="15" hidden="false" customHeight="false" outlineLevel="0" collapsed="false">
      <c r="A1153" s="31" t="n">
        <v>42783.9583333333</v>
      </c>
      <c r="B1153" s="32" t="n">
        <v>69.626</v>
      </c>
      <c r="D1153" s="33" t="n">
        <f aca="false">WEEKDAY(A1153,2)</f>
        <v>5</v>
      </c>
      <c r="E1153" s="33" t="n">
        <f aca="false">HOUR(A1153)+MINUTE(A1153)/60</f>
        <v>23</v>
      </c>
      <c r="F1153" s="33" t="n">
        <f aca="false">IF(OR(D1153&gt;5,E1153&lt;8,E1153&gt;=18,COUNTIF($K$2:$K$10,INT(A1153))&gt;0),1,0)</f>
        <v>1</v>
      </c>
      <c r="G1153" s="34" t="n">
        <f aca="false">B1153/1</f>
        <v>69.626</v>
      </c>
      <c r="H1153" s="34" t="n">
        <f aca="false">IF(F1153=1,G1153,"")</f>
        <v>69.626</v>
      </c>
    </row>
    <row r="1154" customFormat="false" ht="15" hidden="false" customHeight="false" outlineLevel="0" collapsed="false">
      <c r="A1154" s="31" t="n">
        <v>42784</v>
      </c>
      <c r="B1154" s="32" t="n">
        <v>66.592</v>
      </c>
      <c r="D1154" s="33" t="n">
        <f aca="false">WEEKDAY(A1154,2)</f>
        <v>6</v>
      </c>
      <c r="E1154" s="33" t="n">
        <f aca="false">HOUR(A1154)+MINUTE(A1154)/60</f>
        <v>0</v>
      </c>
      <c r="F1154" s="33" t="n">
        <f aca="false">IF(OR(D1154&gt;5,E1154&lt;8,E1154&gt;=18,COUNTIF($K$2:$K$10,INT(A1154))&gt;0),1,0)</f>
        <v>1</v>
      </c>
      <c r="G1154" s="34" t="n">
        <f aca="false">B1154/1</f>
        <v>66.592</v>
      </c>
      <c r="H1154" s="34" t="n">
        <f aca="false">IF(F1154=1,G1154,"")</f>
        <v>66.592</v>
      </c>
    </row>
    <row r="1155" customFormat="false" ht="15" hidden="false" customHeight="false" outlineLevel="0" collapsed="false">
      <c r="A1155" s="31" t="n">
        <v>42784.0416666667</v>
      </c>
      <c r="B1155" s="32" t="n">
        <v>60.733</v>
      </c>
      <c r="D1155" s="33" t="n">
        <f aca="false">WEEKDAY(A1155,2)</f>
        <v>6</v>
      </c>
      <c r="E1155" s="33" t="n">
        <f aca="false">HOUR(A1155)+MINUTE(A1155)/60</f>
        <v>1</v>
      </c>
      <c r="F1155" s="33" t="n">
        <f aca="false">IF(OR(D1155&gt;5,E1155&lt;8,E1155&gt;=18,COUNTIF($K$2:$K$10,INT(A1155))&gt;0),1,0)</f>
        <v>1</v>
      </c>
      <c r="G1155" s="34" t="n">
        <f aca="false">B1155/1</f>
        <v>60.733</v>
      </c>
      <c r="H1155" s="34" t="n">
        <f aca="false">IF(F1155=1,G1155,"")</f>
        <v>60.733</v>
      </c>
    </row>
    <row r="1156" customFormat="false" ht="15" hidden="false" customHeight="false" outlineLevel="0" collapsed="false">
      <c r="A1156" s="31" t="n">
        <v>42784.0833333333</v>
      </c>
      <c r="B1156" s="32" t="n">
        <v>63.289</v>
      </c>
      <c r="D1156" s="33" t="n">
        <f aca="false">WEEKDAY(A1156,2)</f>
        <v>6</v>
      </c>
      <c r="E1156" s="33" t="n">
        <f aca="false">HOUR(A1156)+MINUTE(A1156)/60</f>
        <v>2</v>
      </c>
      <c r="F1156" s="33" t="n">
        <f aca="false">IF(OR(D1156&gt;5,E1156&lt;8,E1156&gt;=18,COUNTIF($K$2:$K$10,INT(A1156))&gt;0),1,0)</f>
        <v>1</v>
      </c>
      <c r="G1156" s="34" t="n">
        <f aca="false">B1156/1</f>
        <v>63.289</v>
      </c>
      <c r="H1156" s="34" t="n">
        <f aca="false">IF(F1156=1,G1156,"")</f>
        <v>63.289</v>
      </c>
    </row>
    <row r="1157" customFormat="false" ht="15" hidden="false" customHeight="false" outlineLevel="0" collapsed="false">
      <c r="A1157" s="31" t="n">
        <v>42784.125</v>
      </c>
      <c r="B1157" s="32" t="n">
        <v>62.269</v>
      </c>
      <c r="D1157" s="33" t="n">
        <f aca="false">WEEKDAY(A1157,2)</f>
        <v>6</v>
      </c>
      <c r="E1157" s="33" t="n">
        <f aca="false">HOUR(A1157)+MINUTE(A1157)/60</f>
        <v>3</v>
      </c>
      <c r="F1157" s="33" t="n">
        <f aca="false">IF(OR(D1157&gt;5,E1157&lt;8,E1157&gt;=18,COUNTIF($K$2:$K$10,INT(A1157))&gt;0),1,0)</f>
        <v>1</v>
      </c>
      <c r="G1157" s="34" t="n">
        <f aca="false">B1157/1</f>
        <v>62.269</v>
      </c>
      <c r="H1157" s="34" t="n">
        <f aca="false">IF(F1157=1,G1157,"")</f>
        <v>62.269</v>
      </c>
    </row>
    <row r="1158" customFormat="false" ht="15" hidden="false" customHeight="false" outlineLevel="0" collapsed="false">
      <c r="A1158" s="31" t="n">
        <v>42784.1666666667</v>
      </c>
      <c r="B1158" s="32" t="n">
        <v>60.521</v>
      </c>
      <c r="D1158" s="33" t="n">
        <f aca="false">WEEKDAY(A1158,2)</f>
        <v>6</v>
      </c>
      <c r="E1158" s="33" t="n">
        <f aca="false">HOUR(A1158)+MINUTE(A1158)/60</f>
        <v>4</v>
      </c>
      <c r="F1158" s="33" t="n">
        <f aca="false">IF(OR(D1158&gt;5,E1158&lt;8,E1158&gt;=18,COUNTIF($K$2:$K$10,INT(A1158))&gt;0),1,0)</f>
        <v>1</v>
      </c>
      <c r="G1158" s="34" t="n">
        <f aca="false">B1158/1</f>
        <v>60.521</v>
      </c>
      <c r="H1158" s="34" t="n">
        <f aca="false">IF(F1158=1,G1158,"")</f>
        <v>60.521</v>
      </c>
    </row>
    <row r="1159" customFormat="false" ht="15" hidden="false" customHeight="false" outlineLevel="0" collapsed="false">
      <c r="A1159" s="31" t="n">
        <v>42784.2083333333</v>
      </c>
      <c r="B1159" s="32" t="n">
        <v>60.964</v>
      </c>
      <c r="D1159" s="33" t="n">
        <f aca="false">WEEKDAY(A1159,2)</f>
        <v>6</v>
      </c>
      <c r="E1159" s="33" t="n">
        <f aca="false">HOUR(A1159)+MINUTE(A1159)/60</f>
        <v>5</v>
      </c>
      <c r="F1159" s="33" t="n">
        <f aca="false">IF(OR(D1159&gt;5,E1159&lt;8,E1159&gt;=18,COUNTIF($K$2:$K$10,INT(A1159))&gt;0),1,0)</f>
        <v>1</v>
      </c>
      <c r="G1159" s="34" t="n">
        <f aca="false">B1159/1</f>
        <v>60.964</v>
      </c>
      <c r="H1159" s="34" t="n">
        <f aca="false">IF(F1159=1,G1159,"")</f>
        <v>60.964</v>
      </c>
    </row>
    <row r="1160" customFormat="false" ht="15" hidden="false" customHeight="false" outlineLevel="0" collapsed="false">
      <c r="A1160" s="31" t="n">
        <v>42784.25</v>
      </c>
      <c r="B1160" s="32" t="n">
        <v>59.033</v>
      </c>
      <c r="D1160" s="33" t="n">
        <f aca="false">WEEKDAY(A1160,2)</f>
        <v>6</v>
      </c>
      <c r="E1160" s="33" t="n">
        <f aca="false">HOUR(A1160)+MINUTE(A1160)/60</f>
        <v>6</v>
      </c>
      <c r="F1160" s="33" t="n">
        <f aca="false">IF(OR(D1160&gt;5,E1160&lt;8,E1160&gt;=18,COUNTIF($K$2:$K$10,INT(A1160))&gt;0),1,0)</f>
        <v>1</v>
      </c>
      <c r="G1160" s="34" t="n">
        <f aca="false">B1160/1</f>
        <v>59.033</v>
      </c>
      <c r="H1160" s="34" t="n">
        <f aca="false">IF(F1160=1,G1160,"")</f>
        <v>59.033</v>
      </c>
    </row>
    <row r="1161" customFormat="false" ht="15" hidden="false" customHeight="false" outlineLevel="0" collapsed="false">
      <c r="A1161" s="31" t="n">
        <v>42784.2916666667</v>
      </c>
      <c r="B1161" s="32" t="n">
        <v>59.371</v>
      </c>
      <c r="D1161" s="33" t="n">
        <f aca="false">WEEKDAY(A1161,2)</f>
        <v>6</v>
      </c>
      <c r="E1161" s="33" t="n">
        <f aca="false">HOUR(A1161)+MINUTE(A1161)/60</f>
        <v>7</v>
      </c>
      <c r="F1161" s="33" t="n">
        <f aca="false">IF(OR(D1161&gt;5,E1161&lt;8,E1161&gt;=18,COUNTIF($K$2:$K$10,INT(A1161))&gt;0),1,0)</f>
        <v>1</v>
      </c>
      <c r="G1161" s="34" t="n">
        <f aca="false">B1161/1</f>
        <v>59.371</v>
      </c>
      <c r="H1161" s="34" t="n">
        <f aca="false">IF(F1161=1,G1161,"")</f>
        <v>59.371</v>
      </c>
    </row>
    <row r="1162" customFormat="false" ht="15" hidden="false" customHeight="false" outlineLevel="0" collapsed="false">
      <c r="A1162" s="31" t="n">
        <v>42784.3333333333</v>
      </c>
      <c r="B1162" s="32" t="n">
        <v>124.966</v>
      </c>
      <c r="D1162" s="33" t="n">
        <f aca="false">WEEKDAY(A1162,2)</f>
        <v>6</v>
      </c>
      <c r="E1162" s="33" t="n">
        <f aca="false">HOUR(A1162)+MINUTE(A1162)/60</f>
        <v>8</v>
      </c>
      <c r="F1162" s="33" t="n">
        <f aca="false">IF(OR(D1162&gt;5,E1162&lt;8,E1162&gt;=18,COUNTIF($K$2:$K$10,INT(A1162))&gt;0),1,0)</f>
        <v>1</v>
      </c>
      <c r="G1162" s="34" t="n">
        <f aca="false">B1162/1</f>
        <v>124.966</v>
      </c>
      <c r="H1162" s="34" t="n">
        <f aca="false">IF(F1162=1,G1162,"")</f>
        <v>124.966</v>
      </c>
    </row>
    <row r="1163" customFormat="false" ht="15" hidden="false" customHeight="false" outlineLevel="0" collapsed="false">
      <c r="A1163" s="31" t="n">
        <v>42784.375</v>
      </c>
      <c r="B1163" s="32" t="n">
        <v>172.097</v>
      </c>
      <c r="D1163" s="33" t="n">
        <f aca="false">WEEKDAY(A1163,2)</f>
        <v>6</v>
      </c>
      <c r="E1163" s="33" t="n">
        <f aca="false">HOUR(A1163)+MINUTE(A1163)/60</f>
        <v>9</v>
      </c>
      <c r="F1163" s="33" t="n">
        <f aca="false">IF(OR(D1163&gt;5,E1163&lt;8,E1163&gt;=18,COUNTIF($K$2:$K$10,INT(A1163))&gt;0),1,0)</f>
        <v>1</v>
      </c>
      <c r="G1163" s="34" t="n">
        <f aca="false">B1163/1</f>
        <v>172.097</v>
      </c>
      <c r="H1163" s="34" t="n">
        <f aca="false">IF(F1163=1,G1163,"")</f>
        <v>172.097</v>
      </c>
    </row>
    <row r="1164" customFormat="false" ht="15" hidden="false" customHeight="false" outlineLevel="0" collapsed="false">
      <c r="A1164" s="31" t="n">
        <v>42784.4166666667</v>
      </c>
      <c r="B1164" s="32" t="n">
        <v>176.447</v>
      </c>
      <c r="D1164" s="33" t="n">
        <f aca="false">WEEKDAY(A1164,2)</f>
        <v>6</v>
      </c>
      <c r="E1164" s="33" t="n">
        <f aca="false">HOUR(A1164)+MINUTE(A1164)/60</f>
        <v>10</v>
      </c>
      <c r="F1164" s="33" t="n">
        <f aca="false">IF(OR(D1164&gt;5,E1164&lt;8,E1164&gt;=18,COUNTIF($K$2:$K$10,INT(A1164))&gt;0),1,0)</f>
        <v>1</v>
      </c>
      <c r="G1164" s="34" t="n">
        <f aca="false">B1164/1</f>
        <v>176.447</v>
      </c>
      <c r="H1164" s="34" t="n">
        <f aca="false">IF(F1164=1,G1164,"")</f>
        <v>176.447</v>
      </c>
    </row>
    <row r="1165" customFormat="false" ht="15" hidden="false" customHeight="false" outlineLevel="0" collapsed="false">
      <c r="A1165" s="31" t="n">
        <v>42784.4583333333</v>
      </c>
      <c r="B1165" s="32" t="n">
        <v>182.938</v>
      </c>
      <c r="D1165" s="33" t="n">
        <f aca="false">WEEKDAY(A1165,2)</f>
        <v>6</v>
      </c>
      <c r="E1165" s="33" t="n">
        <f aca="false">HOUR(A1165)+MINUTE(A1165)/60</f>
        <v>11</v>
      </c>
      <c r="F1165" s="33" t="n">
        <f aca="false">IF(OR(D1165&gt;5,E1165&lt;8,E1165&gt;=18,COUNTIF($K$2:$K$10,INT(A1165))&gt;0),1,0)</f>
        <v>1</v>
      </c>
      <c r="G1165" s="34" t="n">
        <f aca="false">B1165/1</f>
        <v>182.938</v>
      </c>
      <c r="H1165" s="34" t="n">
        <f aca="false">IF(F1165=1,G1165,"")</f>
        <v>182.938</v>
      </c>
    </row>
    <row r="1166" customFormat="false" ht="15" hidden="false" customHeight="false" outlineLevel="0" collapsed="false">
      <c r="A1166" s="31" t="n">
        <v>42784.5</v>
      </c>
      <c r="B1166" s="32" t="n">
        <v>179.518</v>
      </c>
      <c r="D1166" s="33" t="n">
        <f aca="false">WEEKDAY(A1166,2)</f>
        <v>6</v>
      </c>
      <c r="E1166" s="33" t="n">
        <f aca="false">HOUR(A1166)+MINUTE(A1166)/60</f>
        <v>12</v>
      </c>
      <c r="F1166" s="33" t="n">
        <f aca="false">IF(OR(D1166&gt;5,E1166&lt;8,E1166&gt;=18,COUNTIF($K$2:$K$10,INT(A1166))&gt;0),1,0)</f>
        <v>1</v>
      </c>
      <c r="G1166" s="34" t="n">
        <f aca="false">B1166/1</f>
        <v>179.518</v>
      </c>
      <c r="H1166" s="34" t="n">
        <f aca="false">IF(F1166=1,G1166,"")</f>
        <v>179.518</v>
      </c>
    </row>
    <row r="1167" customFormat="false" ht="15" hidden="false" customHeight="false" outlineLevel="0" collapsed="false">
      <c r="A1167" s="31" t="n">
        <v>42784.5416666667</v>
      </c>
      <c r="B1167" s="32" t="n">
        <v>186.176</v>
      </c>
      <c r="D1167" s="33" t="n">
        <f aca="false">WEEKDAY(A1167,2)</f>
        <v>6</v>
      </c>
      <c r="E1167" s="33" t="n">
        <f aca="false">HOUR(A1167)+MINUTE(A1167)/60</f>
        <v>13</v>
      </c>
      <c r="F1167" s="33" t="n">
        <f aca="false">IF(OR(D1167&gt;5,E1167&lt;8,E1167&gt;=18,COUNTIF($K$2:$K$10,INT(A1167))&gt;0),1,0)</f>
        <v>1</v>
      </c>
      <c r="G1167" s="34" t="n">
        <f aca="false">B1167/1</f>
        <v>186.176</v>
      </c>
      <c r="H1167" s="34" t="n">
        <f aca="false">IF(F1167=1,G1167,"")</f>
        <v>186.176</v>
      </c>
    </row>
    <row r="1168" customFormat="false" ht="15" hidden="false" customHeight="false" outlineLevel="0" collapsed="false">
      <c r="A1168" s="31" t="n">
        <v>42784.5833333333</v>
      </c>
      <c r="B1168" s="32" t="n">
        <v>186.142</v>
      </c>
      <c r="D1168" s="33" t="n">
        <f aca="false">WEEKDAY(A1168,2)</f>
        <v>6</v>
      </c>
      <c r="E1168" s="33" t="n">
        <f aca="false">HOUR(A1168)+MINUTE(A1168)/60</f>
        <v>14</v>
      </c>
      <c r="F1168" s="33" t="n">
        <f aca="false">IF(OR(D1168&gt;5,E1168&lt;8,E1168&gt;=18,COUNTIF($K$2:$K$10,INT(A1168))&gt;0),1,0)</f>
        <v>1</v>
      </c>
      <c r="G1168" s="34" t="n">
        <f aca="false">B1168/1</f>
        <v>186.142</v>
      </c>
      <c r="H1168" s="34" t="n">
        <f aca="false">IF(F1168=1,G1168,"")</f>
        <v>186.142</v>
      </c>
    </row>
    <row r="1169" customFormat="false" ht="15" hidden="false" customHeight="false" outlineLevel="0" collapsed="false">
      <c r="A1169" s="31" t="n">
        <v>42784.625</v>
      </c>
      <c r="B1169" s="32" t="n">
        <v>188.982</v>
      </c>
      <c r="D1169" s="33" t="n">
        <f aca="false">WEEKDAY(A1169,2)</f>
        <v>6</v>
      </c>
      <c r="E1169" s="33" t="n">
        <f aca="false">HOUR(A1169)+MINUTE(A1169)/60</f>
        <v>15</v>
      </c>
      <c r="F1169" s="33" t="n">
        <f aca="false">IF(OR(D1169&gt;5,E1169&lt;8,E1169&gt;=18,COUNTIF($K$2:$K$10,INT(A1169))&gt;0),1,0)</f>
        <v>1</v>
      </c>
      <c r="G1169" s="34" t="n">
        <f aca="false">B1169/1</f>
        <v>188.982</v>
      </c>
      <c r="H1169" s="34" t="n">
        <f aca="false">IF(F1169=1,G1169,"")</f>
        <v>188.982</v>
      </c>
    </row>
    <row r="1170" customFormat="false" ht="15" hidden="false" customHeight="false" outlineLevel="0" collapsed="false">
      <c r="A1170" s="31" t="n">
        <v>42784.6666666667</v>
      </c>
      <c r="B1170" s="32" t="n">
        <v>189.344</v>
      </c>
      <c r="D1170" s="33" t="n">
        <f aca="false">WEEKDAY(A1170,2)</f>
        <v>6</v>
      </c>
      <c r="E1170" s="33" t="n">
        <f aca="false">HOUR(A1170)+MINUTE(A1170)/60</f>
        <v>16</v>
      </c>
      <c r="F1170" s="33" t="n">
        <f aca="false">IF(OR(D1170&gt;5,E1170&lt;8,E1170&gt;=18,COUNTIF($K$2:$K$10,INT(A1170))&gt;0),1,0)</f>
        <v>1</v>
      </c>
      <c r="G1170" s="34" t="n">
        <f aca="false">B1170/1</f>
        <v>189.344</v>
      </c>
      <c r="H1170" s="34" t="n">
        <f aca="false">IF(F1170=1,G1170,"")</f>
        <v>189.344</v>
      </c>
    </row>
    <row r="1171" customFormat="false" ht="15" hidden="false" customHeight="false" outlineLevel="0" collapsed="false">
      <c r="A1171" s="31" t="n">
        <v>42784.7083333333</v>
      </c>
      <c r="B1171" s="32" t="n">
        <v>157.886</v>
      </c>
      <c r="D1171" s="33" t="n">
        <f aca="false">WEEKDAY(A1171,2)</f>
        <v>6</v>
      </c>
      <c r="E1171" s="33" t="n">
        <f aca="false">HOUR(A1171)+MINUTE(A1171)/60</f>
        <v>17</v>
      </c>
      <c r="F1171" s="33" t="n">
        <f aca="false">IF(OR(D1171&gt;5,E1171&lt;8,E1171&gt;=18,COUNTIF($K$2:$K$10,INT(A1171))&gt;0),1,0)</f>
        <v>1</v>
      </c>
      <c r="G1171" s="34" t="n">
        <f aca="false">B1171/1</f>
        <v>157.886</v>
      </c>
      <c r="H1171" s="34" t="n">
        <f aca="false">IF(F1171=1,G1171,"")</f>
        <v>157.886</v>
      </c>
    </row>
    <row r="1172" customFormat="false" ht="15" hidden="false" customHeight="false" outlineLevel="0" collapsed="false">
      <c r="A1172" s="31" t="n">
        <v>42784.75</v>
      </c>
      <c r="B1172" s="32" t="n">
        <v>78.018</v>
      </c>
      <c r="D1172" s="33" t="n">
        <f aca="false">WEEKDAY(A1172,2)</f>
        <v>6</v>
      </c>
      <c r="E1172" s="33" t="n">
        <f aca="false">HOUR(A1172)+MINUTE(A1172)/60</f>
        <v>18</v>
      </c>
      <c r="F1172" s="33" t="n">
        <f aca="false">IF(OR(D1172&gt;5,E1172&lt;8,E1172&gt;=18,COUNTIF($K$2:$K$10,INT(A1172))&gt;0),1,0)</f>
        <v>1</v>
      </c>
      <c r="G1172" s="34" t="n">
        <f aca="false">B1172/1</f>
        <v>78.018</v>
      </c>
      <c r="H1172" s="34" t="n">
        <f aca="false">IF(F1172=1,G1172,"")</f>
        <v>78.018</v>
      </c>
    </row>
    <row r="1173" customFormat="false" ht="15" hidden="false" customHeight="false" outlineLevel="0" collapsed="false">
      <c r="A1173" s="31" t="n">
        <v>42784.7916666667</v>
      </c>
      <c r="B1173" s="32" t="n">
        <v>70.117</v>
      </c>
      <c r="D1173" s="33" t="n">
        <f aca="false">WEEKDAY(A1173,2)</f>
        <v>6</v>
      </c>
      <c r="E1173" s="33" t="n">
        <f aca="false">HOUR(A1173)+MINUTE(A1173)/60</f>
        <v>19</v>
      </c>
      <c r="F1173" s="33" t="n">
        <f aca="false">IF(OR(D1173&gt;5,E1173&lt;8,E1173&gt;=18,COUNTIF($K$2:$K$10,INT(A1173))&gt;0),1,0)</f>
        <v>1</v>
      </c>
      <c r="G1173" s="34" t="n">
        <f aca="false">B1173/1</f>
        <v>70.117</v>
      </c>
      <c r="H1173" s="34" t="n">
        <f aca="false">IF(F1173=1,G1173,"")</f>
        <v>70.117</v>
      </c>
    </row>
    <row r="1174" customFormat="false" ht="15" hidden="false" customHeight="false" outlineLevel="0" collapsed="false">
      <c r="A1174" s="31" t="n">
        <v>42784.8333333333</v>
      </c>
      <c r="B1174" s="32" t="n">
        <v>64.447</v>
      </c>
      <c r="D1174" s="33" t="n">
        <f aca="false">WEEKDAY(A1174,2)</f>
        <v>6</v>
      </c>
      <c r="E1174" s="33" t="n">
        <f aca="false">HOUR(A1174)+MINUTE(A1174)/60</f>
        <v>20</v>
      </c>
      <c r="F1174" s="33" t="n">
        <f aca="false">IF(OR(D1174&gt;5,E1174&lt;8,E1174&gt;=18,COUNTIF($K$2:$K$10,INT(A1174))&gt;0),1,0)</f>
        <v>1</v>
      </c>
      <c r="G1174" s="34" t="n">
        <f aca="false">B1174/1</f>
        <v>64.447</v>
      </c>
      <c r="H1174" s="34" t="n">
        <f aca="false">IF(F1174=1,G1174,"")</f>
        <v>64.447</v>
      </c>
    </row>
    <row r="1175" customFormat="false" ht="15" hidden="false" customHeight="false" outlineLevel="0" collapsed="false">
      <c r="A1175" s="31" t="n">
        <v>42784.875</v>
      </c>
      <c r="B1175" s="32" t="n">
        <v>63.962</v>
      </c>
      <c r="D1175" s="33" t="n">
        <f aca="false">WEEKDAY(A1175,2)</f>
        <v>6</v>
      </c>
      <c r="E1175" s="33" t="n">
        <f aca="false">HOUR(A1175)+MINUTE(A1175)/60</f>
        <v>21</v>
      </c>
      <c r="F1175" s="33" t="n">
        <f aca="false">IF(OR(D1175&gt;5,E1175&lt;8,E1175&gt;=18,COUNTIF($K$2:$K$10,INT(A1175))&gt;0),1,0)</f>
        <v>1</v>
      </c>
      <c r="G1175" s="34" t="n">
        <f aca="false">B1175/1</f>
        <v>63.962</v>
      </c>
      <c r="H1175" s="34" t="n">
        <f aca="false">IF(F1175=1,G1175,"")</f>
        <v>63.962</v>
      </c>
    </row>
    <row r="1176" customFormat="false" ht="15" hidden="false" customHeight="false" outlineLevel="0" collapsed="false">
      <c r="A1176" s="31" t="n">
        <v>42784.9166666667</v>
      </c>
      <c r="B1176" s="32" t="n">
        <v>65.378</v>
      </c>
      <c r="D1176" s="33" t="n">
        <f aca="false">WEEKDAY(A1176,2)</f>
        <v>6</v>
      </c>
      <c r="E1176" s="33" t="n">
        <f aca="false">HOUR(A1176)+MINUTE(A1176)/60</f>
        <v>22</v>
      </c>
      <c r="F1176" s="33" t="n">
        <f aca="false">IF(OR(D1176&gt;5,E1176&lt;8,E1176&gt;=18,COUNTIF($K$2:$K$10,INT(A1176))&gt;0),1,0)</f>
        <v>1</v>
      </c>
      <c r="G1176" s="34" t="n">
        <f aca="false">B1176/1</f>
        <v>65.378</v>
      </c>
      <c r="H1176" s="34" t="n">
        <f aca="false">IF(F1176=1,G1176,"")</f>
        <v>65.378</v>
      </c>
    </row>
    <row r="1177" customFormat="false" ht="15" hidden="false" customHeight="false" outlineLevel="0" collapsed="false">
      <c r="A1177" s="31" t="n">
        <v>42784.9583333333</v>
      </c>
      <c r="B1177" s="32" t="n">
        <v>64.377</v>
      </c>
      <c r="D1177" s="33" t="n">
        <f aca="false">WEEKDAY(A1177,2)</f>
        <v>6</v>
      </c>
      <c r="E1177" s="33" t="n">
        <f aca="false">HOUR(A1177)+MINUTE(A1177)/60</f>
        <v>23</v>
      </c>
      <c r="F1177" s="33" t="n">
        <f aca="false">IF(OR(D1177&gt;5,E1177&lt;8,E1177&gt;=18,COUNTIF($K$2:$K$10,INT(A1177))&gt;0),1,0)</f>
        <v>1</v>
      </c>
      <c r="G1177" s="34" t="n">
        <f aca="false">B1177/1</f>
        <v>64.377</v>
      </c>
      <c r="H1177" s="34" t="n">
        <f aca="false">IF(F1177=1,G1177,"")</f>
        <v>64.377</v>
      </c>
    </row>
    <row r="1178" customFormat="false" ht="15" hidden="false" customHeight="false" outlineLevel="0" collapsed="false">
      <c r="A1178" s="31" t="n">
        <v>42785</v>
      </c>
      <c r="B1178" s="32" t="n">
        <v>64.628</v>
      </c>
      <c r="D1178" s="33" t="n">
        <f aca="false">WEEKDAY(A1178,2)</f>
        <v>7</v>
      </c>
      <c r="E1178" s="33" t="n">
        <f aca="false">HOUR(A1178)+MINUTE(A1178)/60</f>
        <v>0</v>
      </c>
      <c r="F1178" s="33" t="n">
        <f aca="false">IF(OR(D1178&gt;5,E1178&lt;8,E1178&gt;=18,COUNTIF($K$2:$K$10,INT(A1178))&gt;0),1,0)</f>
        <v>1</v>
      </c>
      <c r="G1178" s="34" t="n">
        <f aca="false">B1178/1</f>
        <v>64.628</v>
      </c>
      <c r="H1178" s="34" t="n">
        <f aca="false">IF(F1178=1,G1178,"")</f>
        <v>64.628</v>
      </c>
    </row>
    <row r="1179" customFormat="false" ht="15" hidden="false" customHeight="false" outlineLevel="0" collapsed="false">
      <c r="A1179" s="31" t="n">
        <v>42785.0416666667</v>
      </c>
      <c r="B1179" s="32" t="n">
        <v>62.159</v>
      </c>
      <c r="D1179" s="33" t="n">
        <f aca="false">WEEKDAY(A1179,2)</f>
        <v>7</v>
      </c>
      <c r="E1179" s="33" t="n">
        <f aca="false">HOUR(A1179)+MINUTE(A1179)/60</f>
        <v>1</v>
      </c>
      <c r="F1179" s="33" t="n">
        <f aca="false">IF(OR(D1179&gt;5,E1179&lt;8,E1179&gt;=18,COUNTIF($K$2:$K$10,INT(A1179))&gt;0),1,0)</f>
        <v>1</v>
      </c>
      <c r="G1179" s="34" t="n">
        <f aca="false">B1179/1</f>
        <v>62.159</v>
      </c>
      <c r="H1179" s="34" t="n">
        <f aca="false">IF(F1179=1,G1179,"")</f>
        <v>62.159</v>
      </c>
    </row>
    <row r="1180" customFormat="false" ht="15" hidden="false" customHeight="false" outlineLevel="0" collapsed="false">
      <c r="A1180" s="31" t="n">
        <v>42785.0833333333</v>
      </c>
      <c r="B1180" s="32" t="n">
        <v>63.14</v>
      </c>
      <c r="D1180" s="33" t="n">
        <f aca="false">WEEKDAY(A1180,2)</f>
        <v>7</v>
      </c>
      <c r="E1180" s="33" t="n">
        <f aca="false">HOUR(A1180)+MINUTE(A1180)/60</f>
        <v>2</v>
      </c>
      <c r="F1180" s="33" t="n">
        <f aca="false">IF(OR(D1180&gt;5,E1180&lt;8,E1180&gt;=18,COUNTIF($K$2:$K$10,INT(A1180))&gt;0),1,0)</f>
        <v>1</v>
      </c>
      <c r="G1180" s="34" t="n">
        <f aca="false">B1180/1</f>
        <v>63.14</v>
      </c>
      <c r="H1180" s="34" t="n">
        <f aca="false">IF(F1180=1,G1180,"")</f>
        <v>63.14</v>
      </c>
    </row>
    <row r="1181" customFormat="false" ht="15" hidden="false" customHeight="false" outlineLevel="0" collapsed="false">
      <c r="A1181" s="31" t="n">
        <v>42785.125</v>
      </c>
      <c r="B1181" s="32" t="n">
        <v>63.69</v>
      </c>
      <c r="D1181" s="33" t="n">
        <f aca="false">WEEKDAY(A1181,2)</f>
        <v>7</v>
      </c>
      <c r="E1181" s="33" t="n">
        <f aca="false">HOUR(A1181)+MINUTE(A1181)/60</f>
        <v>3</v>
      </c>
      <c r="F1181" s="33" t="n">
        <f aca="false">IF(OR(D1181&gt;5,E1181&lt;8,E1181&gt;=18,COUNTIF($K$2:$K$10,INT(A1181))&gt;0),1,0)</f>
        <v>1</v>
      </c>
      <c r="G1181" s="34" t="n">
        <f aca="false">B1181/1</f>
        <v>63.69</v>
      </c>
      <c r="H1181" s="34" t="n">
        <f aca="false">IF(F1181=1,G1181,"")</f>
        <v>63.69</v>
      </c>
    </row>
    <row r="1182" customFormat="false" ht="15" hidden="false" customHeight="false" outlineLevel="0" collapsed="false">
      <c r="A1182" s="31" t="n">
        <v>42785.1666666667</v>
      </c>
      <c r="B1182" s="32" t="n">
        <v>63.647</v>
      </c>
      <c r="D1182" s="33" t="n">
        <f aca="false">WEEKDAY(A1182,2)</f>
        <v>7</v>
      </c>
      <c r="E1182" s="33" t="n">
        <f aca="false">HOUR(A1182)+MINUTE(A1182)/60</f>
        <v>4</v>
      </c>
      <c r="F1182" s="33" t="n">
        <f aca="false">IF(OR(D1182&gt;5,E1182&lt;8,E1182&gt;=18,COUNTIF($K$2:$K$10,INT(A1182))&gt;0),1,0)</f>
        <v>1</v>
      </c>
      <c r="G1182" s="34" t="n">
        <f aca="false">B1182/1</f>
        <v>63.647</v>
      </c>
      <c r="H1182" s="34" t="n">
        <f aca="false">IF(F1182=1,G1182,"")</f>
        <v>63.647</v>
      </c>
    </row>
    <row r="1183" customFormat="false" ht="15" hidden="false" customHeight="false" outlineLevel="0" collapsed="false">
      <c r="A1183" s="31" t="n">
        <v>42785.2083333333</v>
      </c>
      <c r="B1183" s="32" t="n">
        <v>62.857</v>
      </c>
      <c r="D1183" s="33" t="n">
        <f aca="false">WEEKDAY(A1183,2)</f>
        <v>7</v>
      </c>
      <c r="E1183" s="33" t="n">
        <f aca="false">HOUR(A1183)+MINUTE(A1183)/60</f>
        <v>5</v>
      </c>
      <c r="F1183" s="33" t="n">
        <f aca="false">IF(OR(D1183&gt;5,E1183&lt;8,E1183&gt;=18,COUNTIF($K$2:$K$10,INT(A1183))&gt;0),1,0)</f>
        <v>1</v>
      </c>
      <c r="G1183" s="34" t="n">
        <f aca="false">B1183/1</f>
        <v>62.857</v>
      </c>
      <c r="H1183" s="34" t="n">
        <f aca="false">IF(F1183=1,G1183,"")</f>
        <v>62.857</v>
      </c>
    </row>
    <row r="1184" customFormat="false" ht="15" hidden="false" customHeight="false" outlineLevel="0" collapsed="false">
      <c r="A1184" s="31" t="n">
        <v>42785.25</v>
      </c>
      <c r="B1184" s="32" t="n">
        <v>59.505</v>
      </c>
      <c r="D1184" s="33" t="n">
        <f aca="false">WEEKDAY(A1184,2)</f>
        <v>7</v>
      </c>
      <c r="E1184" s="33" t="n">
        <f aca="false">HOUR(A1184)+MINUTE(A1184)/60</f>
        <v>6</v>
      </c>
      <c r="F1184" s="33" t="n">
        <f aca="false">IF(OR(D1184&gt;5,E1184&lt;8,E1184&gt;=18,COUNTIF($K$2:$K$10,INT(A1184))&gt;0),1,0)</f>
        <v>1</v>
      </c>
      <c r="G1184" s="34" t="n">
        <f aca="false">B1184/1</f>
        <v>59.505</v>
      </c>
      <c r="H1184" s="34" t="n">
        <f aca="false">IF(F1184=1,G1184,"")</f>
        <v>59.505</v>
      </c>
    </row>
    <row r="1185" customFormat="false" ht="15" hidden="false" customHeight="false" outlineLevel="0" collapsed="false">
      <c r="A1185" s="31" t="n">
        <v>42785.2916666667</v>
      </c>
      <c r="B1185" s="32" t="n">
        <v>64.125</v>
      </c>
      <c r="D1185" s="33" t="n">
        <f aca="false">WEEKDAY(A1185,2)</f>
        <v>7</v>
      </c>
      <c r="E1185" s="33" t="n">
        <f aca="false">HOUR(A1185)+MINUTE(A1185)/60</f>
        <v>7</v>
      </c>
      <c r="F1185" s="33" t="n">
        <f aca="false">IF(OR(D1185&gt;5,E1185&lt;8,E1185&gt;=18,COUNTIF($K$2:$K$10,INT(A1185))&gt;0),1,0)</f>
        <v>1</v>
      </c>
      <c r="G1185" s="34" t="n">
        <f aca="false">B1185/1</f>
        <v>64.125</v>
      </c>
      <c r="H1185" s="34" t="n">
        <f aca="false">IF(F1185=1,G1185,"")</f>
        <v>64.125</v>
      </c>
    </row>
    <row r="1186" customFormat="false" ht="15" hidden="false" customHeight="false" outlineLevel="0" collapsed="false">
      <c r="A1186" s="31" t="n">
        <v>42785.3333333333</v>
      </c>
      <c r="B1186" s="32" t="n">
        <v>63.177</v>
      </c>
      <c r="D1186" s="33" t="n">
        <f aca="false">WEEKDAY(A1186,2)</f>
        <v>7</v>
      </c>
      <c r="E1186" s="33" t="n">
        <f aca="false">HOUR(A1186)+MINUTE(A1186)/60</f>
        <v>8</v>
      </c>
      <c r="F1186" s="33" t="n">
        <f aca="false">IF(OR(D1186&gt;5,E1186&lt;8,E1186&gt;=18,COUNTIF($K$2:$K$10,INT(A1186))&gt;0),1,0)</f>
        <v>1</v>
      </c>
      <c r="G1186" s="34" t="n">
        <f aca="false">B1186/1</f>
        <v>63.177</v>
      </c>
      <c r="H1186" s="34" t="n">
        <f aca="false">IF(F1186=1,G1186,"")</f>
        <v>63.177</v>
      </c>
    </row>
    <row r="1187" customFormat="false" ht="15" hidden="false" customHeight="false" outlineLevel="0" collapsed="false">
      <c r="A1187" s="31" t="n">
        <v>42785.375</v>
      </c>
      <c r="B1187" s="32" t="n">
        <v>58.112</v>
      </c>
      <c r="D1187" s="33" t="n">
        <f aca="false">WEEKDAY(A1187,2)</f>
        <v>7</v>
      </c>
      <c r="E1187" s="33" t="n">
        <f aca="false">HOUR(A1187)+MINUTE(A1187)/60</f>
        <v>9</v>
      </c>
      <c r="F1187" s="33" t="n">
        <f aca="false">IF(OR(D1187&gt;5,E1187&lt;8,E1187&gt;=18,COUNTIF($K$2:$K$10,INT(A1187))&gt;0),1,0)</f>
        <v>1</v>
      </c>
      <c r="G1187" s="34" t="n">
        <f aca="false">B1187/1</f>
        <v>58.112</v>
      </c>
      <c r="H1187" s="34" t="n">
        <f aca="false">IF(F1187=1,G1187,"")</f>
        <v>58.112</v>
      </c>
    </row>
    <row r="1188" customFormat="false" ht="15" hidden="false" customHeight="false" outlineLevel="0" collapsed="false">
      <c r="A1188" s="31" t="n">
        <v>42785.4166666667</v>
      </c>
      <c r="B1188" s="32" t="n">
        <v>60.872</v>
      </c>
      <c r="D1188" s="33" t="n">
        <f aca="false">WEEKDAY(A1188,2)</f>
        <v>7</v>
      </c>
      <c r="E1188" s="33" t="n">
        <f aca="false">HOUR(A1188)+MINUTE(A1188)/60</f>
        <v>10</v>
      </c>
      <c r="F1188" s="33" t="n">
        <f aca="false">IF(OR(D1188&gt;5,E1188&lt;8,E1188&gt;=18,COUNTIF($K$2:$K$10,INT(A1188))&gt;0),1,0)</f>
        <v>1</v>
      </c>
      <c r="G1188" s="34" t="n">
        <f aca="false">B1188/1</f>
        <v>60.872</v>
      </c>
      <c r="H1188" s="34" t="n">
        <f aca="false">IF(F1188=1,G1188,"")</f>
        <v>60.872</v>
      </c>
    </row>
    <row r="1189" customFormat="false" ht="15" hidden="false" customHeight="false" outlineLevel="0" collapsed="false">
      <c r="A1189" s="31" t="n">
        <v>42785.4583333333</v>
      </c>
      <c r="B1189" s="32" t="n">
        <v>62.256</v>
      </c>
      <c r="D1189" s="33" t="n">
        <f aca="false">WEEKDAY(A1189,2)</f>
        <v>7</v>
      </c>
      <c r="E1189" s="33" t="n">
        <f aca="false">HOUR(A1189)+MINUTE(A1189)/60</f>
        <v>11</v>
      </c>
      <c r="F1189" s="33" t="n">
        <f aca="false">IF(OR(D1189&gt;5,E1189&lt;8,E1189&gt;=18,COUNTIF($K$2:$K$10,INT(A1189))&gt;0),1,0)</f>
        <v>1</v>
      </c>
      <c r="G1189" s="34" t="n">
        <f aca="false">B1189/1</f>
        <v>62.256</v>
      </c>
      <c r="H1189" s="34" t="n">
        <f aca="false">IF(F1189=1,G1189,"")</f>
        <v>62.256</v>
      </c>
    </row>
    <row r="1190" customFormat="false" ht="15" hidden="false" customHeight="false" outlineLevel="0" collapsed="false">
      <c r="A1190" s="31" t="n">
        <v>42785.5</v>
      </c>
      <c r="B1190" s="32" t="n">
        <v>62.522</v>
      </c>
      <c r="D1190" s="33" t="n">
        <f aca="false">WEEKDAY(A1190,2)</f>
        <v>7</v>
      </c>
      <c r="E1190" s="33" t="n">
        <f aca="false">HOUR(A1190)+MINUTE(A1190)/60</f>
        <v>12</v>
      </c>
      <c r="F1190" s="33" t="n">
        <f aca="false">IF(OR(D1190&gt;5,E1190&lt;8,E1190&gt;=18,COUNTIF($K$2:$K$10,INT(A1190))&gt;0),1,0)</f>
        <v>1</v>
      </c>
      <c r="G1190" s="34" t="n">
        <f aca="false">B1190/1</f>
        <v>62.522</v>
      </c>
      <c r="H1190" s="34" t="n">
        <f aca="false">IF(F1190=1,G1190,"")</f>
        <v>62.522</v>
      </c>
    </row>
    <row r="1191" customFormat="false" ht="15" hidden="false" customHeight="false" outlineLevel="0" collapsed="false">
      <c r="A1191" s="31" t="n">
        <v>42785.5416666667</v>
      </c>
      <c r="B1191" s="32" t="n">
        <v>115.745</v>
      </c>
      <c r="D1191" s="33" t="n">
        <f aca="false">WEEKDAY(A1191,2)</f>
        <v>7</v>
      </c>
      <c r="E1191" s="33" t="n">
        <f aca="false">HOUR(A1191)+MINUTE(A1191)/60</f>
        <v>13</v>
      </c>
      <c r="F1191" s="33" t="n">
        <f aca="false">IF(OR(D1191&gt;5,E1191&lt;8,E1191&gt;=18,COUNTIF($K$2:$K$10,INT(A1191))&gt;0),1,0)</f>
        <v>1</v>
      </c>
      <c r="G1191" s="34" t="n">
        <f aca="false">B1191/1</f>
        <v>115.745</v>
      </c>
      <c r="H1191" s="34" t="n">
        <f aca="false">IF(F1191=1,G1191,"")</f>
        <v>115.745</v>
      </c>
    </row>
    <row r="1192" customFormat="false" ht="15" hidden="false" customHeight="false" outlineLevel="0" collapsed="false">
      <c r="A1192" s="31" t="n">
        <v>42785.5833333333</v>
      </c>
      <c r="B1192" s="32" t="n">
        <v>149.298</v>
      </c>
      <c r="D1192" s="33" t="n">
        <f aca="false">WEEKDAY(A1192,2)</f>
        <v>7</v>
      </c>
      <c r="E1192" s="33" t="n">
        <f aca="false">HOUR(A1192)+MINUTE(A1192)/60</f>
        <v>14</v>
      </c>
      <c r="F1192" s="33" t="n">
        <f aca="false">IF(OR(D1192&gt;5,E1192&lt;8,E1192&gt;=18,COUNTIF($K$2:$K$10,INT(A1192))&gt;0),1,0)</f>
        <v>1</v>
      </c>
      <c r="G1192" s="34" t="n">
        <f aca="false">B1192/1</f>
        <v>149.298</v>
      </c>
      <c r="H1192" s="34" t="n">
        <f aca="false">IF(F1192=1,G1192,"")</f>
        <v>149.298</v>
      </c>
    </row>
    <row r="1193" customFormat="false" ht="15" hidden="false" customHeight="false" outlineLevel="0" collapsed="false">
      <c r="A1193" s="31" t="n">
        <v>42785.625</v>
      </c>
      <c r="B1193" s="32" t="n">
        <v>148.566</v>
      </c>
      <c r="D1193" s="33" t="n">
        <f aca="false">WEEKDAY(A1193,2)</f>
        <v>7</v>
      </c>
      <c r="E1193" s="33" t="n">
        <f aca="false">HOUR(A1193)+MINUTE(A1193)/60</f>
        <v>15</v>
      </c>
      <c r="F1193" s="33" t="n">
        <f aca="false">IF(OR(D1193&gt;5,E1193&lt;8,E1193&gt;=18,COUNTIF($K$2:$K$10,INT(A1193))&gt;0),1,0)</f>
        <v>1</v>
      </c>
      <c r="G1193" s="34" t="n">
        <f aca="false">B1193/1</f>
        <v>148.566</v>
      </c>
      <c r="H1193" s="34" t="n">
        <f aca="false">IF(F1193=1,G1193,"")</f>
        <v>148.566</v>
      </c>
    </row>
    <row r="1194" customFormat="false" ht="15" hidden="false" customHeight="false" outlineLevel="0" collapsed="false">
      <c r="A1194" s="31" t="n">
        <v>42785.6666666667</v>
      </c>
      <c r="B1194" s="32" t="n">
        <v>148.56</v>
      </c>
      <c r="D1194" s="33" t="n">
        <f aca="false">WEEKDAY(A1194,2)</f>
        <v>7</v>
      </c>
      <c r="E1194" s="33" t="n">
        <f aca="false">HOUR(A1194)+MINUTE(A1194)/60</f>
        <v>16</v>
      </c>
      <c r="F1194" s="33" t="n">
        <f aca="false">IF(OR(D1194&gt;5,E1194&lt;8,E1194&gt;=18,COUNTIF($K$2:$K$10,INT(A1194))&gt;0),1,0)</f>
        <v>1</v>
      </c>
      <c r="G1194" s="34" t="n">
        <f aca="false">B1194/1</f>
        <v>148.56</v>
      </c>
      <c r="H1194" s="34" t="n">
        <f aca="false">IF(F1194=1,G1194,"")</f>
        <v>148.56</v>
      </c>
    </row>
    <row r="1195" customFormat="false" ht="15" hidden="false" customHeight="false" outlineLevel="0" collapsed="false">
      <c r="A1195" s="31" t="n">
        <v>42785.7083333333</v>
      </c>
      <c r="B1195" s="32" t="n">
        <v>150.523</v>
      </c>
      <c r="D1195" s="33" t="n">
        <f aca="false">WEEKDAY(A1195,2)</f>
        <v>7</v>
      </c>
      <c r="E1195" s="33" t="n">
        <f aca="false">HOUR(A1195)+MINUTE(A1195)/60</f>
        <v>17</v>
      </c>
      <c r="F1195" s="33" t="n">
        <f aca="false">IF(OR(D1195&gt;5,E1195&lt;8,E1195&gt;=18,COUNTIF($K$2:$K$10,INT(A1195))&gt;0),1,0)</f>
        <v>1</v>
      </c>
      <c r="G1195" s="34" t="n">
        <f aca="false">B1195/1</f>
        <v>150.523</v>
      </c>
      <c r="H1195" s="34" t="n">
        <f aca="false">IF(F1195=1,G1195,"")</f>
        <v>150.523</v>
      </c>
    </row>
    <row r="1196" customFormat="false" ht="15" hidden="false" customHeight="false" outlineLevel="0" collapsed="false">
      <c r="A1196" s="31" t="n">
        <v>42785.75</v>
      </c>
      <c r="B1196" s="32" t="n">
        <v>72.164</v>
      </c>
      <c r="D1196" s="33" t="n">
        <f aca="false">WEEKDAY(A1196,2)</f>
        <v>7</v>
      </c>
      <c r="E1196" s="33" t="n">
        <f aca="false">HOUR(A1196)+MINUTE(A1196)/60</f>
        <v>18</v>
      </c>
      <c r="F1196" s="33" t="n">
        <f aca="false">IF(OR(D1196&gt;5,E1196&lt;8,E1196&gt;=18,COUNTIF($K$2:$K$10,INT(A1196))&gt;0),1,0)</f>
        <v>1</v>
      </c>
      <c r="G1196" s="34" t="n">
        <f aca="false">B1196/1</f>
        <v>72.164</v>
      </c>
      <c r="H1196" s="34" t="n">
        <f aca="false">IF(F1196=1,G1196,"")</f>
        <v>72.164</v>
      </c>
    </row>
    <row r="1197" customFormat="false" ht="15" hidden="false" customHeight="false" outlineLevel="0" collapsed="false">
      <c r="A1197" s="31" t="n">
        <v>42785.7916666667</v>
      </c>
      <c r="B1197" s="32" t="n">
        <v>69.317</v>
      </c>
      <c r="D1197" s="33" t="n">
        <f aca="false">WEEKDAY(A1197,2)</f>
        <v>7</v>
      </c>
      <c r="E1197" s="33" t="n">
        <f aca="false">HOUR(A1197)+MINUTE(A1197)/60</f>
        <v>19</v>
      </c>
      <c r="F1197" s="33" t="n">
        <f aca="false">IF(OR(D1197&gt;5,E1197&lt;8,E1197&gt;=18,COUNTIF($K$2:$K$10,INT(A1197))&gt;0),1,0)</f>
        <v>1</v>
      </c>
      <c r="G1197" s="34" t="n">
        <f aca="false">B1197/1</f>
        <v>69.317</v>
      </c>
      <c r="H1197" s="34" t="n">
        <f aca="false">IF(F1197=1,G1197,"")</f>
        <v>69.317</v>
      </c>
    </row>
    <row r="1198" customFormat="false" ht="15" hidden="false" customHeight="false" outlineLevel="0" collapsed="false">
      <c r="A1198" s="31" t="n">
        <v>42785.8333333333</v>
      </c>
      <c r="B1198" s="32" t="n">
        <v>69.141</v>
      </c>
      <c r="D1198" s="33" t="n">
        <f aca="false">WEEKDAY(A1198,2)</f>
        <v>7</v>
      </c>
      <c r="E1198" s="33" t="n">
        <f aca="false">HOUR(A1198)+MINUTE(A1198)/60</f>
        <v>20</v>
      </c>
      <c r="F1198" s="33" t="n">
        <f aca="false">IF(OR(D1198&gt;5,E1198&lt;8,E1198&gt;=18,COUNTIF($K$2:$K$10,INT(A1198))&gt;0),1,0)</f>
        <v>1</v>
      </c>
      <c r="G1198" s="34" t="n">
        <f aca="false">B1198/1</f>
        <v>69.141</v>
      </c>
      <c r="H1198" s="34" t="n">
        <f aca="false">IF(F1198=1,G1198,"")</f>
        <v>69.141</v>
      </c>
    </row>
    <row r="1199" customFormat="false" ht="15" hidden="false" customHeight="false" outlineLevel="0" collapsed="false">
      <c r="A1199" s="31" t="n">
        <v>42785.875</v>
      </c>
      <c r="B1199" s="32" t="n">
        <v>67.309</v>
      </c>
      <c r="D1199" s="33" t="n">
        <f aca="false">WEEKDAY(A1199,2)</f>
        <v>7</v>
      </c>
      <c r="E1199" s="33" t="n">
        <f aca="false">HOUR(A1199)+MINUTE(A1199)/60</f>
        <v>21</v>
      </c>
      <c r="F1199" s="33" t="n">
        <f aca="false">IF(OR(D1199&gt;5,E1199&lt;8,E1199&gt;=18,COUNTIF($K$2:$K$10,INT(A1199))&gt;0),1,0)</f>
        <v>1</v>
      </c>
      <c r="G1199" s="34" t="n">
        <f aca="false">B1199/1</f>
        <v>67.309</v>
      </c>
      <c r="H1199" s="34" t="n">
        <f aca="false">IF(F1199=1,G1199,"")</f>
        <v>67.309</v>
      </c>
    </row>
    <row r="1200" customFormat="false" ht="15" hidden="false" customHeight="false" outlineLevel="0" collapsed="false">
      <c r="A1200" s="31" t="n">
        <v>42785.9166666667</v>
      </c>
      <c r="B1200" s="32" t="n">
        <v>69.073</v>
      </c>
      <c r="D1200" s="33" t="n">
        <f aca="false">WEEKDAY(A1200,2)</f>
        <v>7</v>
      </c>
      <c r="E1200" s="33" t="n">
        <f aca="false">HOUR(A1200)+MINUTE(A1200)/60</f>
        <v>22</v>
      </c>
      <c r="F1200" s="33" t="n">
        <f aca="false">IF(OR(D1200&gt;5,E1200&lt;8,E1200&gt;=18,COUNTIF($K$2:$K$10,INT(A1200))&gt;0),1,0)</f>
        <v>1</v>
      </c>
      <c r="G1200" s="34" t="n">
        <f aca="false">B1200/1</f>
        <v>69.073</v>
      </c>
      <c r="H1200" s="34" t="n">
        <f aca="false">IF(F1200=1,G1200,"")</f>
        <v>69.073</v>
      </c>
    </row>
    <row r="1201" customFormat="false" ht="15" hidden="false" customHeight="false" outlineLevel="0" collapsed="false">
      <c r="A1201" s="31" t="n">
        <v>42785.9583333333</v>
      </c>
      <c r="B1201" s="32" t="n">
        <v>66.329</v>
      </c>
      <c r="D1201" s="33" t="n">
        <f aca="false">WEEKDAY(A1201,2)</f>
        <v>7</v>
      </c>
      <c r="E1201" s="33" t="n">
        <f aca="false">HOUR(A1201)+MINUTE(A1201)/60</f>
        <v>23</v>
      </c>
      <c r="F1201" s="33" t="n">
        <f aca="false">IF(OR(D1201&gt;5,E1201&lt;8,E1201&gt;=18,COUNTIF($K$2:$K$10,INT(A1201))&gt;0),1,0)</f>
        <v>1</v>
      </c>
      <c r="G1201" s="34" t="n">
        <f aca="false">B1201/1</f>
        <v>66.329</v>
      </c>
      <c r="H1201" s="34" t="n">
        <f aca="false">IF(F1201=1,G1201,"")</f>
        <v>66.329</v>
      </c>
    </row>
    <row r="1202" customFormat="false" ht="15" hidden="false" customHeight="false" outlineLevel="0" collapsed="false">
      <c r="A1202" s="31" t="n">
        <v>42786</v>
      </c>
      <c r="B1202" s="32" t="n">
        <v>67.055</v>
      </c>
      <c r="D1202" s="33" t="n">
        <f aca="false">WEEKDAY(A1202,2)</f>
        <v>1</v>
      </c>
      <c r="E1202" s="33" t="n">
        <f aca="false">HOUR(A1202)+MINUTE(A1202)/60</f>
        <v>0</v>
      </c>
      <c r="F1202" s="33" t="n">
        <f aca="false">IF(OR(D1202&gt;5,E1202&lt;8,E1202&gt;=18,COUNTIF($K$2:$K$10,INT(A1202))&gt;0),1,0)</f>
        <v>1</v>
      </c>
      <c r="G1202" s="34" t="n">
        <f aca="false">B1202/1</f>
        <v>67.055</v>
      </c>
      <c r="H1202" s="34" t="n">
        <f aca="false">IF(F1202=1,G1202,"")</f>
        <v>67.055</v>
      </c>
    </row>
    <row r="1203" customFormat="false" ht="15" hidden="false" customHeight="false" outlineLevel="0" collapsed="false">
      <c r="A1203" s="31" t="n">
        <v>42786.0416666667</v>
      </c>
      <c r="B1203" s="32" t="n">
        <v>69.364</v>
      </c>
      <c r="D1203" s="33" t="n">
        <f aca="false">WEEKDAY(A1203,2)</f>
        <v>1</v>
      </c>
      <c r="E1203" s="33" t="n">
        <f aca="false">HOUR(A1203)+MINUTE(A1203)/60</f>
        <v>1</v>
      </c>
      <c r="F1203" s="33" t="n">
        <f aca="false">IF(OR(D1203&gt;5,E1203&lt;8,E1203&gt;=18,COUNTIF($K$2:$K$10,INT(A1203))&gt;0),1,0)</f>
        <v>1</v>
      </c>
      <c r="G1203" s="34" t="n">
        <f aca="false">B1203/1</f>
        <v>69.364</v>
      </c>
      <c r="H1203" s="34" t="n">
        <f aca="false">IF(F1203=1,G1203,"")</f>
        <v>69.364</v>
      </c>
    </row>
    <row r="1204" customFormat="false" ht="15" hidden="false" customHeight="false" outlineLevel="0" collapsed="false">
      <c r="A1204" s="31" t="n">
        <v>42786.0833333333</v>
      </c>
      <c r="B1204" s="32" t="n">
        <v>69.525</v>
      </c>
      <c r="D1204" s="33" t="n">
        <f aca="false">WEEKDAY(A1204,2)</f>
        <v>1</v>
      </c>
      <c r="E1204" s="33" t="n">
        <f aca="false">HOUR(A1204)+MINUTE(A1204)/60</f>
        <v>2</v>
      </c>
      <c r="F1204" s="33" t="n">
        <f aca="false">IF(OR(D1204&gt;5,E1204&lt;8,E1204&gt;=18,COUNTIF($K$2:$K$10,INT(A1204))&gt;0),1,0)</f>
        <v>1</v>
      </c>
      <c r="G1204" s="34" t="n">
        <f aca="false">B1204/1</f>
        <v>69.525</v>
      </c>
      <c r="H1204" s="34" t="n">
        <f aca="false">IF(F1204=1,G1204,"")</f>
        <v>69.525</v>
      </c>
    </row>
    <row r="1205" customFormat="false" ht="15" hidden="false" customHeight="false" outlineLevel="0" collapsed="false">
      <c r="A1205" s="31" t="n">
        <v>42786.125</v>
      </c>
      <c r="B1205" s="32" t="n">
        <v>67.356</v>
      </c>
      <c r="D1205" s="33" t="n">
        <f aca="false">WEEKDAY(A1205,2)</f>
        <v>1</v>
      </c>
      <c r="E1205" s="33" t="n">
        <f aca="false">HOUR(A1205)+MINUTE(A1205)/60</f>
        <v>3</v>
      </c>
      <c r="F1205" s="33" t="n">
        <f aca="false">IF(OR(D1205&gt;5,E1205&lt;8,E1205&gt;=18,COUNTIF($K$2:$K$10,INT(A1205))&gt;0),1,0)</f>
        <v>1</v>
      </c>
      <c r="G1205" s="34" t="n">
        <f aca="false">B1205/1</f>
        <v>67.356</v>
      </c>
      <c r="H1205" s="34" t="n">
        <f aca="false">IF(F1205=1,G1205,"")</f>
        <v>67.356</v>
      </c>
    </row>
    <row r="1206" customFormat="false" ht="15" hidden="false" customHeight="false" outlineLevel="0" collapsed="false">
      <c r="A1206" s="31" t="n">
        <v>42786.1666666667</v>
      </c>
      <c r="B1206" s="32" t="n">
        <v>63.801</v>
      </c>
      <c r="D1206" s="33" t="n">
        <f aca="false">WEEKDAY(A1206,2)</f>
        <v>1</v>
      </c>
      <c r="E1206" s="33" t="n">
        <f aca="false">HOUR(A1206)+MINUTE(A1206)/60</f>
        <v>4</v>
      </c>
      <c r="F1206" s="33" t="n">
        <f aca="false">IF(OR(D1206&gt;5,E1206&lt;8,E1206&gt;=18,COUNTIF($K$2:$K$10,INT(A1206))&gt;0),1,0)</f>
        <v>1</v>
      </c>
      <c r="G1206" s="34" t="n">
        <f aca="false">B1206/1</f>
        <v>63.801</v>
      </c>
      <c r="H1206" s="34" t="n">
        <f aca="false">IF(F1206=1,G1206,"")</f>
        <v>63.801</v>
      </c>
    </row>
    <row r="1207" customFormat="false" ht="15" hidden="false" customHeight="false" outlineLevel="0" collapsed="false">
      <c r="A1207" s="31" t="n">
        <v>42786.2083333333</v>
      </c>
      <c r="B1207" s="32" t="n">
        <v>61.581</v>
      </c>
      <c r="D1207" s="33" t="n">
        <f aca="false">WEEKDAY(A1207,2)</f>
        <v>1</v>
      </c>
      <c r="E1207" s="33" t="n">
        <f aca="false">HOUR(A1207)+MINUTE(A1207)/60</f>
        <v>5</v>
      </c>
      <c r="F1207" s="33" t="n">
        <f aca="false">IF(OR(D1207&gt;5,E1207&lt;8,E1207&gt;=18,COUNTIF($K$2:$K$10,INT(A1207))&gt;0),1,0)</f>
        <v>1</v>
      </c>
      <c r="G1207" s="34" t="n">
        <f aca="false">B1207/1</f>
        <v>61.581</v>
      </c>
      <c r="H1207" s="34" t="n">
        <f aca="false">IF(F1207=1,G1207,"")</f>
        <v>61.581</v>
      </c>
    </row>
    <row r="1208" customFormat="false" ht="15" hidden="false" customHeight="false" outlineLevel="0" collapsed="false">
      <c r="A1208" s="31" t="n">
        <v>42786.25</v>
      </c>
      <c r="B1208" s="32" t="n">
        <v>66.029</v>
      </c>
      <c r="D1208" s="33" t="n">
        <f aca="false">WEEKDAY(A1208,2)</f>
        <v>1</v>
      </c>
      <c r="E1208" s="33" t="n">
        <f aca="false">HOUR(A1208)+MINUTE(A1208)/60</f>
        <v>6</v>
      </c>
      <c r="F1208" s="33" t="n">
        <f aca="false">IF(OR(D1208&gt;5,E1208&lt;8,E1208&gt;=18,COUNTIF($K$2:$K$10,INT(A1208))&gt;0),1,0)</f>
        <v>1</v>
      </c>
      <c r="G1208" s="34" t="n">
        <f aca="false">B1208/1</f>
        <v>66.029</v>
      </c>
      <c r="H1208" s="34" t="n">
        <f aca="false">IF(F1208=1,G1208,"")</f>
        <v>66.029</v>
      </c>
    </row>
    <row r="1209" customFormat="false" ht="15" hidden="false" customHeight="false" outlineLevel="0" collapsed="false">
      <c r="A1209" s="31" t="n">
        <v>42786.2916666667</v>
      </c>
      <c r="B1209" s="32" t="n">
        <v>92.17</v>
      </c>
      <c r="D1209" s="33" t="n">
        <f aca="false">WEEKDAY(A1209,2)</f>
        <v>1</v>
      </c>
      <c r="E1209" s="33" t="n">
        <f aca="false">HOUR(A1209)+MINUTE(A1209)/60</f>
        <v>7</v>
      </c>
      <c r="F1209" s="33" t="n">
        <f aca="false">IF(OR(D1209&gt;5,E1209&lt;8,E1209&gt;=18,COUNTIF($K$2:$K$10,INT(A1209))&gt;0),1,0)</f>
        <v>1</v>
      </c>
      <c r="G1209" s="34" t="n">
        <f aca="false">B1209/1</f>
        <v>92.17</v>
      </c>
      <c r="H1209" s="34" t="n">
        <f aca="false">IF(F1209=1,G1209,"")</f>
        <v>92.17</v>
      </c>
    </row>
    <row r="1210" customFormat="false" ht="15" hidden="false" customHeight="false" outlineLevel="0" collapsed="false">
      <c r="A1210" s="31" t="n">
        <v>42786.3333333333</v>
      </c>
      <c r="B1210" s="32" t="n">
        <v>180.581</v>
      </c>
      <c r="D1210" s="33" t="n">
        <f aca="false">WEEKDAY(A1210,2)</f>
        <v>1</v>
      </c>
      <c r="E1210" s="33" t="n">
        <f aca="false">HOUR(A1210)+MINUTE(A1210)/60</f>
        <v>8</v>
      </c>
      <c r="F1210" s="33" t="n">
        <f aca="false">IF(OR(D1210&gt;5,E1210&lt;8,E1210&gt;=18,COUNTIF($K$2:$K$10,INT(A1210))&gt;0),1,0)</f>
        <v>1</v>
      </c>
      <c r="G1210" s="34" t="n">
        <f aca="false">B1210/1</f>
        <v>180.581</v>
      </c>
      <c r="H1210" s="34" t="n">
        <f aca="false">IF(F1210=1,G1210,"")</f>
        <v>180.581</v>
      </c>
    </row>
    <row r="1211" customFormat="false" ht="15" hidden="false" customHeight="false" outlineLevel="0" collapsed="false">
      <c r="A1211" s="31" t="n">
        <v>42786.375</v>
      </c>
      <c r="B1211" s="32" t="n">
        <v>216.308</v>
      </c>
      <c r="D1211" s="33" t="n">
        <f aca="false">WEEKDAY(A1211,2)</f>
        <v>1</v>
      </c>
      <c r="E1211" s="33" t="n">
        <f aca="false">HOUR(A1211)+MINUTE(A1211)/60</f>
        <v>9</v>
      </c>
      <c r="F1211" s="33" t="n">
        <f aca="false">IF(OR(D1211&gt;5,E1211&lt;8,E1211&gt;=18,COUNTIF($K$2:$K$10,INT(A1211))&gt;0),1,0)</f>
        <v>1</v>
      </c>
      <c r="G1211" s="34" t="n">
        <f aca="false">B1211/1</f>
        <v>216.308</v>
      </c>
      <c r="H1211" s="34" t="n">
        <f aca="false">IF(F1211=1,G1211,"")</f>
        <v>216.308</v>
      </c>
    </row>
    <row r="1212" customFormat="false" ht="15" hidden="false" customHeight="false" outlineLevel="0" collapsed="false">
      <c r="A1212" s="31" t="n">
        <v>42786.4166666667</v>
      </c>
      <c r="B1212" s="32" t="n">
        <v>238.371</v>
      </c>
      <c r="D1212" s="33" t="n">
        <f aca="false">WEEKDAY(A1212,2)</f>
        <v>1</v>
      </c>
      <c r="E1212" s="33" t="n">
        <f aca="false">HOUR(A1212)+MINUTE(A1212)/60</f>
        <v>10</v>
      </c>
      <c r="F1212" s="33" t="n">
        <f aca="false">IF(OR(D1212&gt;5,E1212&lt;8,E1212&gt;=18,COUNTIF($K$2:$K$10,INT(A1212))&gt;0),1,0)</f>
        <v>1</v>
      </c>
      <c r="G1212" s="34" t="n">
        <f aca="false">B1212/1</f>
        <v>238.371</v>
      </c>
      <c r="H1212" s="34" t="n">
        <f aca="false">IF(F1212=1,G1212,"")</f>
        <v>238.371</v>
      </c>
    </row>
    <row r="1213" customFormat="false" ht="15" hidden="false" customHeight="false" outlineLevel="0" collapsed="false">
      <c r="A1213" s="31" t="n">
        <v>42786.4583333333</v>
      </c>
      <c r="B1213" s="32" t="n">
        <v>250.754</v>
      </c>
      <c r="D1213" s="33" t="n">
        <f aca="false">WEEKDAY(A1213,2)</f>
        <v>1</v>
      </c>
      <c r="E1213" s="33" t="n">
        <f aca="false">HOUR(A1213)+MINUTE(A1213)/60</f>
        <v>11</v>
      </c>
      <c r="F1213" s="33" t="n">
        <f aca="false">IF(OR(D1213&gt;5,E1213&lt;8,E1213&gt;=18,COUNTIF($K$2:$K$10,INT(A1213))&gt;0),1,0)</f>
        <v>1</v>
      </c>
      <c r="G1213" s="34" t="n">
        <f aca="false">B1213/1</f>
        <v>250.754</v>
      </c>
      <c r="H1213" s="34" t="n">
        <f aca="false">IF(F1213=1,G1213,"")</f>
        <v>250.754</v>
      </c>
    </row>
    <row r="1214" customFormat="false" ht="15" hidden="false" customHeight="false" outlineLevel="0" collapsed="false">
      <c r="A1214" s="31" t="n">
        <v>42786.5</v>
      </c>
      <c r="B1214" s="32" t="n">
        <v>257.648</v>
      </c>
      <c r="D1214" s="33" t="n">
        <f aca="false">WEEKDAY(A1214,2)</f>
        <v>1</v>
      </c>
      <c r="E1214" s="33" t="n">
        <f aca="false">HOUR(A1214)+MINUTE(A1214)/60</f>
        <v>12</v>
      </c>
      <c r="F1214" s="33" t="n">
        <f aca="false">IF(OR(D1214&gt;5,E1214&lt;8,E1214&gt;=18,COUNTIF($K$2:$K$10,INT(A1214))&gt;0),1,0)</f>
        <v>1</v>
      </c>
      <c r="G1214" s="34" t="n">
        <f aca="false">B1214/1</f>
        <v>257.648</v>
      </c>
      <c r="H1214" s="34" t="n">
        <f aca="false">IF(F1214=1,G1214,"")</f>
        <v>257.648</v>
      </c>
    </row>
    <row r="1215" customFormat="false" ht="15" hidden="false" customHeight="false" outlineLevel="0" collapsed="false">
      <c r="A1215" s="31" t="n">
        <v>42786.5416666667</v>
      </c>
      <c r="B1215" s="32" t="n">
        <v>252.012</v>
      </c>
      <c r="D1215" s="33" t="n">
        <f aca="false">WEEKDAY(A1215,2)</f>
        <v>1</v>
      </c>
      <c r="E1215" s="33" t="n">
        <f aca="false">HOUR(A1215)+MINUTE(A1215)/60</f>
        <v>13</v>
      </c>
      <c r="F1215" s="33" t="n">
        <f aca="false">IF(OR(D1215&gt;5,E1215&lt;8,E1215&gt;=18,COUNTIF($K$2:$K$10,INT(A1215))&gt;0),1,0)</f>
        <v>1</v>
      </c>
      <c r="G1215" s="34" t="n">
        <f aca="false">B1215/1</f>
        <v>252.012</v>
      </c>
      <c r="H1215" s="34" t="n">
        <f aca="false">IF(F1215=1,G1215,"")</f>
        <v>252.012</v>
      </c>
    </row>
    <row r="1216" customFormat="false" ht="15" hidden="false" customHeight="false" outlineLevel="0" collapsed="false">
      <c r="A1216" s="31" t="n">
        <v>42786.5833333333</v>
      </c>
      <c r="B1216" s="32" t="n">
        <v>253.171</v>
      </c>
      <c r="D1216" s="33" t="n">
        <f aca="false">WEEKDAY(A1216,2)</f>
        <v>1</v>
      </c>
      <c r="E1216" s="33" t="n">
        <f aca="false">HOUR(A1216)+MINUTE(A1216)/60</f>
        <v>14</v>
      </c>
      <c r="F1216" s="33" t="n">
        <f aca="false">IF(OR(D1216&gt;5,E1216&lt;8,E1216&gt;=18,COUNTIF($K$2:$K$10,INT(A1216))&gt;0),1,0)</f>
        <v>1</v>
      </c>
      <c r="G1216" s="34" t="n">
        <f aca="false">B1216/1</f>
        <v>253.171</v>
      </c>
      <c r="H1216" s="34" t="n">
        <f aca="false">IF(F1216=1,G1216,"")</f>
        <v>253.171</v>
      </c>
    </row>
    <row r="1217" customFormat="false" ht="15" hidden="false" customHeight="false" outlineLevel="0" collapsed="false">
      <c r="A1217" s="31" t="n">
        <v>42786.625</v>
      </c>
      <c r="B1217" s="32" t="n">
        <v>265.424</v>
      </c>
      <c r="D1217" s="33" t="n">
        <f aca="false">WEEKDAY(A1217,2)</f>
        <v>1</v>
      </c>
      <c r="E1217" s="33" t="n">
        <f aca="false">HOUR(A1217)+MINUTE(A1217)/60</f>
        <v>15</v>
      </c>
      <c r="F1217" s="33" t="n">
        <f aca="false">IF(OR(D1217&gt;5,E1217&lt;8,E1217&gt;=18,COUNTIF($K$2:$K$10,INT(A1217))&gt;0),1,0)</f>
        <v>1</v>
      </c>
      <c r="G1217" s="34" t="n">
        <f aca="false">B1217/1</f>
        <v>265.424</v>
      </c>
      <c r="H1217" s="34" t="n">
        <f aca="false">IF(F1217=1,G1217,"")</f>
        <v>265.424</v>
      </c>
    </row>
    <row r="1218" customFormat="false" ht="15" hidden="false" customHeight="false" outlineLevel="0" collapsed="false">
      <c r="A1218" s="31" t="n">
        <v>42786.6666666667</v>
      </c>
      <c r="B1218" s="32" t="n">
        <v>257.522</v>
      </c>
      <c r="D1218" s="33" t="n">
        <f aca="false">WEEKDAY(A1218,2)</f>
        <v>1</v>
      </c>
      <c r="E1218" s="33" t="n">
        <f aca="false">HOUR(A1218)+MINUTE(A1218)/60</f>
        <v>16</v>
      </c>
      <c r="F1218" s="33" t="n">
        <f aca="false">IF(OR(D1218&gt;5,E1218&lt;8,E1218&gt;=18,COUNTIF($K$2:$K$10,INT(A1218))&gt;0),1,0)</f>
        <v>1</v>
      </c>
      <c r="G1218" s="34" t="n">
        <f aca="false">B1218/1</f>
        <v>257.522</v>
      </c>
      <c r="H1218" s="34" t="n">
        <f aca="false">IF(F1218=1,G1218,"")</f>
        <v>257.522</v>
      </c>
    </row>
    <row r="1219" customFormat="false" ht="15" hidden="false" customHeight="false" outlineLevel="0" collapsed="false">
      <c r="A1219" s="31" t="n">
        <v>42786.7083333333</v>
      </c>
      <c r="B1219" s="32" t="n">
        <v>253.869</v>
      </c>
      <c r="D1219" s="33" t="n">
        <f aca="false">WEEKDAY(A1219,2)</f>
        <v>1</v>
      </c>
      <c r="E1219" s="33" t="n">
        <f aca="false">HOUR(A1219)+MINUTE(A1219)/60</f>
        <v>17</v>
      </c>
      <c r="F1219" s="33" t="n">
        <f aca="false">IF(OR(D1219&gt;5,E1219&lt;8,E1219&gt;=18,COUNTIF($K$2:$K$10,INT(A1219))&gt;0),1,0)</f>
        <v>1</v>
      </c>
      <c r="G1219" s="34" t="n">
        <f aca="false">B1219/1</f>
        <v>253.869</v>
      </c>
      <c r="H1219" s="34" t="n">
        <f aca="false">IF(F1219=1,G1219,"")</f>
        <v>253.869</v>
      </c>
    </row>
    <row r="1220" customFormat="false" ht="15" hidden="false" customHeight="false" outlineLevel="0" collapsed="false">
      <c r="A1220" s="31" t="n">
        <v>42786.75</v>
      </c>
      <c r="B1220" s="32" t="n">
        <v>224.245</v>
      </c>
      <c r="D1220" s="33" t="n">
        <f aca="false">WEEKDAY(A1220,2)</f>
        <v>1</v>
      </c>
      <c r="E1220" s="33" t="n">
        <f aca="false">HOUR(A1220)+MINUTE(A1220)/60</f>
        <v>18</v>
      </c>
      <c r="F1220" s="33" t="n">
        <f aca="false">IF(OR(D1220&gt;5,E1220&lt;8,E1220&gt;=18,COUNTIF($K$2:$K$10,INT(A1220))&gt;0),1,0)</f>
        <v>1</v>
      </c>
      <c r="G1220" s="34" t="n">
        <f aca="false">B1220/1</f>
        <v>224.245</v>
      </c>
      <c r="H1220" s="34" t="n">
        <f aca="false">IF(F1220=1,G1220,"")</f>
        <v>224.245</v>
      </c>
    </row>
    <row r="1221" customFormat="false" ht="15" hidden="false" customHeight="false" outlineLevel="0" collapsed="false">
      <c r="A1221" s="31" t="n">
        <v>42786.7916666667</v>
      </c>
      <c r="B1221" s="32" t="n">
        <v>212.233</v>
      </c>
      <c r="D1221" s="33" t="n">
        <f aca="false">WEEKDAY(A1221,2)</f>
        <v>1</v>
      </c>
      <c r="E1221" s="33" t="n">
        <f aca="false">HOUR(A1221)+MINUTE(A1221)/60</f>
        <v>19</v>
      </c>
      <c r="F1221" s="33" t="n">
        <f aca="false">IF(OR(D1221&gt;5,E1221&lt;8,E1221&gt;=18,COUNTIF($K$2:$K$10,INT(A1221))&gt;0),1,0)</f>
        <v>1</v>
      </c>
      <c r="G1221" s="34" t="n">
        <f aca="false">B1221/1</f>
        <v>212.233</v>
      </c>
      <c r="H1221" s="34" t="n">
        <f aca="false">IF(F1221=1,G1221,"")</f>
        <v>212.233</v>
      </c>
    </row>
    <row r="1222" customFormat="false" ht="15" hidden="false" customHeight="false" outlineLevel="0" collapsed="false">
      <c r="A1222" s="31" t="n">
        <v>42786.8333333333</v>
      </c>
      <c r="B1222" s="32" t="n">
        <v>196.44</v>
      </c>
      <c r="D1222" s="33" t="n">
        <f aca="false">WEEKDAY(A1222,2)</f>
        <v>1</v>
      </c>
      <c r="E1222" s="33" t="n">
        <f aca="false">HOUR(A1222)+MINUTE(A1222)/60</f>
        <v>20</v>
      </c>
      <c r="F1222" s="33" t="n">
        <f aca="false">IF(OR(D1222&gt;5,E1222&lt;8,E1222&gt;=18,COUNTIF($K$2:$K$10,INT(A1222))&gt;0),1,0)</f>
        <v>1</v>
      </c>
      <c r="G1222" s="34" t="n">
        <f aca="false">B1222/1</f>
        <v>196.44</v>
      </c>
      <c r="H1222" s="34" t="n">
        <f aca="false">IF(F1222=1,G1222,"")</f>
        <v>196.44</v>
      </c>
    </row>
    <row r="1223" customFormat="false" ht="15" hidden="false" customHeight="false" outlineLevel="0" collapsed="false">
      <c r="A1223" s="31" t="n">
        <v>42786.875</v>
      </c>
      <c r="B1223" s="32" t="n">
        <v>187.465</v>
      </c>
      <c r="D1223" s="33" t="n">
        <f aca="false">WEEKDAY(A1223,2)</f>
        <v>1</v>
      </c>
      <c r="E1223" s="33" t="n">
        <f aca="false">HOUR(A1223)+MINUTE(A1223)/60</f>
        <v>21</v>
      </c>
      <c r="F1223" s="33" t="n">
        <f aca="false">IF(OR(D1223&gt;5,E1223&lt;8,E1223&gt;=18,COUNTIF($K$2:$K$10,INT(A1223))&gt;0),1,0)</f>
        <v>1</v>
      </c>
      <c r="G1223" s="34" t="n">
        <f aca="false">B1223/1</f>
        <v>187.465</v>
      </c>
      <c r="H1223" s="34" t="n">
        <f aca="false">IF(F1223=1,G1223,"")</f>
        <v>187.465</v>
      </c>
    </row>
    <row r="1224" customFormat="false" ht="15" hidden="false" customHeight="false" outlineLevel="0" collapsed="false">
      <c r="A1224" s="31" t="n">
        <v>42786.9166666667</v>
      </c>
      <c r="B1224" s="32" t="n">
        <v>135.971</v>
      </c>
      <c r="D1224" s="33" t="n">
        <f aca="false">WEEKDAY(A1224,2)</f>
        <v>1</v>
      </c>
      <c r="E1224" s="33" t="n">
        <f aca="false">HOUR(A1224)+MINUTE(A1224)/60</f>
        <v>22</v>
      </c>
      <c r="F1224" s="33" t="n">
        <f aca="false">IF(OR(D1224&gt;5,E1224&lt;8,E1224&gt;=18,COUNTIF($K$2:$K$10,INT(A1224))&gt;0),1,0)</f>
        <v>1</v>
      </c>
      <c r="G1224" s="34" t="n">
        <f aca="false">B1224/1</f>
        <v>135.971</v>
      </c>
      <c r="H1224" s="34" t="n">
        <f aca="false">IF(F1224=1,G1224,"")</f>
        <v>135.971</v>
      </c>
    </row>
    <row r="1225" customFormat="false" ht="15" hidden="false" customHeight="false" outlineLevel="0" collapsed="false">
      <c r="A1225" s="31" t="n">
        <v>42786.9583333333</v>
      </c>
      <c r="B1225" s="32" t="n">
        <v>73.445</v>
      </c>
      <c r="D1225" s="33" t="n">
        <f aca="false">WEEKDAY(A1225,2)</f>
        <v>1</v>
      </c>
      <c r="E1225" s="33" t="n">
        <f aca="false">HOUR(A1225)+MINUTE(A1225)/60</f>
        <v>23</v>
      </c>
      <c r="F1225" s="33" t="n">
        <f aca="false">IF(OR(D1225&gt;5,E1225&lt;8,E1225&gt;=18,COUNTIF($K$2:$K$10,INT(A1225))&gt;0),1,0)</f>
        <v>1</v>
      </c>
      <c r="G1225" s="34" t="n">
        <f aca="false">B1225/1</f>
        <v>73.445</v>
      </c>
      <c r="H1225" s="34" t="n">
        <f aca="false">IF(F1225=1,G1225,"")</f>
        <v>73.445</v>
      </c>
    </row>
    <row r="1226" customFormat="false" ht="15" hidden="false" customHeight="false" outlineLevel="0" collapsed="false">
      <c r="A1226" s="31" t="n">
        <v>42787</v>
      </c>
      <c r="B1226" s="32" t="n">
        <v>71.48</v>
      </c>
      <c r="D1226" s="33" t="n">
        <f aca="false">WEEKDAY(A1226,2)</f>
        <v>2</v>
      </c>
      <c r="E1226" s="33" t="n">
        <f aca="false">HOUR(A1226)+MINUTE(A1226)/60</f>
        <v>0</v>
      </c>
      <c r="F1226" s="33" t="n">
        <f aca="false">IF(OR(D1226&gt;5,E1226&lt;8,E1226&gt;=18,COUNTIF($K$2:$K$10,INT(A1226))&gt;0),1,0)</f>
        <v>1</v>
      </c>
      <c r="G1226" s="34" t="n">
        <f aca="false">B1226/1</f>
        <v>71.48</v>
      </c>
      <c r="H1226" s="34" t="n">
        <f aca="false">IF(F1226=1,G1226,"")</f>
        <v>71.48</v>
      </c>
    </row>
    <row r="1227" customFormat="false" ht="15" hidden="false" customHeight="false" outlineLevel="0" collapsed="false">
      <c r="A1227" s="31" t="n">
        <v>42787.0416666667</v>
      </c>
      <c r="B1227" s="32" t="n">
        <v>64.984</v>
      </c>
      <c r="D1227" s="33" t="n">
        <f aca="false">WEEKDAY(A1227,2)</f>
        <v>2</v>
      </c>
      <c r="E1227" s="33" t="n">
        <f aca="false">HOUR(A1227)+MINUTE(A1227)/60</f>
        <v>1</v>
      </c>
      <c r="F1227" s="33" t="n">
        <f aca="false">IF(OR(D1227&gt;5,E1227&lt;8,E1227&gt;=18,COUNTIF($K$2:$K$10,INT(A1227))&gt;0),1,0)</f>
        <v>1</v>
      </c>
      <c r="G1227" s="34" t="n">
        <f aca="false">B1227/1</f>
        <v>64.984</v>
      </c>
      <c r="H1227" s="34" t="n">
        <f aca="false">IF(F1227=1,G1227,"")</f>
        <v>64.984</v>
      </c>
    </row>
    <row r="1228" customFormat="false" ht="15" hidden="false" customHeight="false" outlineLevel="0" collapsed="false">
      <c r="A1228" s="31" t="n">
        <v>42787.0833333333</v>
      </c>
      <c r="B1228" s="32" t="n">
        <v>64.023</v>
      </c>
      <c r="D1228" s="33" t="n">
        <f aca="false">WEEKDAY(A1228,2)</f>
        <v>2</v>
      </c>
      <c r="E1228" s="33" t="n">
        <f aca="false">HOUR(A1228)+MINUTE(A1228)/60</f>
        <v>2</v>
      </c>
      <c r="F1228" s="33" t="n">
        <f aca="false">IF(OR(D1228&gt;5,E1228&lt;8,E1228&gt;=18,COUNTIF($K$2:$K$10,INT(A1228))&gt;0),1,0)</f>
        <v>1</v>
      </c>
      <c r="G1228" s="34" t="n">
        <f aca="false">B1228/1</f>
        <v>64.023</v>
      </c>
      <c r="H1228" s="34" t="n">
        <f aca="false">IF(F1228=1,G1228,"")</f>
        <v>64.023</v>
      </c>
    </row>
    <row r="1229" customFormat="false" ht="15" hidden="false" customHeight="false" outlineLevel="0" collapsed="false">
      <c r="A1229" s="31" t="n">
        <v>42787.125</v>
      </c>
      <c r="B1229" s="32" t="n">
        <v>64.65</v>
      </c>
      <c r="D1229" s="33" t="n">
        <f aca="false">WEEKDAY(A1229,2)</f>
        <v>2</v>
      </c>
      <c r="E1229" s="33" t="n">
        <f aca="false">HOUR(A1229)+MINUTE(A1229)/60</f>
        <v>3</v>
      </c>
      <c r="F1229" s="33" t="n">
        <f aca="false">IF(OR(D1229&gt;5,E1229&lt;8,E1229&gt;=18,COUNTIF($K$2:$K$10,INT(A1229))&gt;0),1,0)</f>
        <v>1</v>
      </c>
      <c r="G1229" s="34" t="n">
        <f aca="false">B1229/1</f>
        <v>64.65</v>
      </c>
      <c r="H1229" s="34" t="n">
        <f aca="false">IF(F1229=1,G1229,"")</f>
        <v>64.65</v>
      </c>
    </row>
    <row r="1230" customFormat="false" ht="15" hidden="false" customHeight="false" outlineLevel="0" collapsed="false">
      <c r="A1230" s="31" t="n">
        <v>42787.1666666667</v>
      </c>
      <c r="B1230" s="32" t="n">
        <v>62.472</v>
      </c>
      <c r="D1230" s="33" t="n">
        <f aca="false">WEEKDAY(A1230,2)</f>
        <v>2</v>
      </c>
      <c r="E1230" s="33" t="n">
        <f aca="false">HOUR(A1230)+MINUTE(A1230)/60</f>
        <v>4</v>
      </c>
      <c r="F1230" s="33" t="n">
        <f aca="false">IF(OR(D1230&gt;5,E1230&lt;8,E1230&gt;=18,COUNTIF($K$2:$K$10,INT(A1230))&gt;0),1,0)</f>
        <v>1</v>
      </c>
      <c r="G1230" s="34" t="n">
        <f aca="false">B1230/1</f>
        <v>62.472</v>
      </c>
      <c r="H1230" s="34" t="n">
        <f aca="false">IF(F1230=1,G1230,"")</f>
        <v>62.472</v>
      </c>
    </row>
    <row r="1231" customFormat="false" ht="15" hidden="false" customHeight="false" outlineLevel="0" collapsed="false">
      <c r="A1231" s="31" t="n">
        <v>42787.2083333333</v>
      </c>
      <c r="B1231" s="32" t="n">
        <v>60.994</v>
      </c>
      <c r="D1231" s="33" t="n">
        <f aca="false">WEEKDAY(A1231,2)</f>
        <v>2</v>
      </c>
      <c r="E1231" s="33" t="n">
        <f aca="false">HOUR(A1231)+MINUTE(A1231)/60</f>
        <v>5</v>
      </c>
      <c r="F1231" s="33" t="n">
        <f aca="false">IF(OR(D1231&gt;5,E1231&lt;8,E1231&gt;=18,COUNTIF($K$2:$K$10,INT(A1231))&gt;0),1,0)</f>
        <v>1</v>
      </c>
      <c r="G1231" s="34" t="n">
        <f aca="false">B1231/1</f>
        <v>60.994</v>
      </c>
      <c r="H1231" s="34" t="n">
        <f aca="false">IF(F1231=1,G1231,"")</f>
        <v>60.994</v>
      </c>
    </row>
    <row r="1232" customFormat="false" ht="15" hidden="false" customHeight="false" outlineLevel="0" collapsed="false">
      <c r="A1232" s="31" t="n">
        <v>42787.25</v>
      </c>
      <c r="B1232" s="32" t="n">
        <v>66.726</v>
      </c>
      <c r="D1232" s="33" t="n">
        <f aca="false">WEEKDAY(A1232,2)</f>
        <v>2</v>
      </c>
      <c r="E1232" s="33" t="n">
        <f aca="false">HOUR(A1232)+MINUTE(A1232)/60</f>
        <v>6</v>
      </c>
      <c r="F1232" s="33" t="n">
        <f aca="false">IF(OR(D1232&gt;5,E1232&lt;8,E1232&gt;=18,COUNTIF($K$2:$K$10,INT(A1232))&gt;0),1,0)</f>
        <v>1</v>
      </c>
      <c r="G1232" s="34" t="n">
        <f aca="false">B1232/1</f>
        <v>66.726</v>
      </c>
      <c r="H1232" s="34" t="n">
        <f aca="false">IF(F1232=1,G1232,"")</f>
        <v>66.726</v>
      </c>
    </row>
    <row r="1233" customFormat="false" ht="15" hidden="false" customHeight="false" outlineLevel="0" collapsed="false">
      <c r="A1233" s="31" t="n">
        <v>42787.2916666667</v>
      </c>
      <c r="B1233" s="32" t="n">
        <v>68.113</v>
      </c>
      <c r="D1233" s="33" t="n">
        <f aca="false">WEEKDAY(A1233,2)</f>
        <v>2</v>
      </c>
      <c r="E1233" s="33" t="n">
        <f aca="false">HOUR(A1233)+MINUTE(A1233)/60</f>
        <v>7</v>
      </c>
      <c r="F1233" s="33" t="n">
        <f aca="false">IF(OR(D1233&gt;5,E1233&lt;8,E1233&gt;=18,COUNTIF($K$2:$K$10,INT(A1233))&gt;0),1,0)</f>
        <v>1</v>
      </c>
      <c r="G1233" s="34" t="n">
        <f aca="false">B1233/1</f>
        <v>68.113</v>
      </c>
      <c r="H1233" s="34" t="n">
        <f aca="false">IF(F1233=1,G1233,"")</f>
        <v>68.113</v>
      </c>
    </row>
    <row r="1234" customFormat="false" ht="15" hidden="false" customHeight="false" outlineLevel="0" collapsed="false">
      <c r="A1234" s="31" t="n">
        <v>42787.3333333333</v>
      </c>
      <c r="B1234" s="32" t="n">
        <v>179.422</v>
      </c>
      <c r="D1234" s="33" t="n">
        <f aca="false">WEEKDAY(A1234,2)</f>
        <v>2</v>
      </c>
      <c r="E1234" s="33" t="n">
        <f aca="false">HOUR(A1234)+MINUTE(A1234)/60</f>
        <v>8</v>
      </c>
      <c r="F1234" s="33" t="n">
        <f aca="false">IF(OR(D1234&gt;5,E1234&lt;8,E1234&gt;=18,COUNTIF($K$2:$K$10,INT(A1234))&gt;0),1,0)</f>
        <v>0</v>
      </c>
      <c r="G1234" s="34" t="n">
        <f aca="false">B1234/1</f>
        <v>179.422</v>
      </c>
      <c r="H1234" s="34" t="str">
        <f aca="false">IF(F1234=1,G1234,"")</f>
        <v/>
      </c>
    </row>
    <row r="1235" customFormat="false" ht="15" hidden="false" customHeight="false" outlineLevel="0" collapsed="false">
      <c r="A1235" s="31" t="n">
        <v>42787.375</v>
      </c>
      <c r="B1235" s="32" t="n">
        <v>222.657</v>
      </c>
      <c r="D1235" s="33" t="n">
        <f aca="false">WEEKDAY(A1235,2)</f>
        <v>2</v>
      </c>
      <c r="E1235" s="33" t="n">
        <f aca="false">HOUR(A1235)+MINUTE(A1235)/60</f>
        <v>9</v>
      </c>
      <c r="F1235" s="33" t="n">
        <f aca="false">IF(OR(D1235&gt;5,E1235&lt;8,E1235&gt;=18,COUNTIF($K$2:$K$10,INT(A1235))&gt;0),1,0)</f>
        <v>0</v>
      </c>
      <c r="G1235" s="34" t="n">
        <f aca="false">B1235/1</f>
        <v>222.657</v>
      </c>
      <c r="H1235" s="34" t="str">
        <f aca="false">IF(F1235=1,G1235,"")</f>
        <v/>
      </c>
    </row>
    <row r="1236" customFormat="false" ht="15" hidden="false" customHeight="false" outlineLevel="0" collapsed="false">
      <c r="A1236" s="31" t="n">
        <v>42787.4166666667</v>
      </c>
      <c r="B1236" s="32" t="n">
        <v>246.155</v>
      </c>
      <c r="D1236" s="33" t="n">
        <f aca="false">WEEKDAY(A1236,2)</f>
        <v>2</v>
      </c>
      <c r="E1236" s="33" t="n">
        <f aca="false">HOUR(A1236)+MINUTE(A1236)/60</f>
        <v>10</v>
      </c>
      <c r="F1236" s="33" t="n">
        <f aca="false">IF(OR(D1236&gt;5,E1236&lt;8,E1236&gt;=18,COUNTIF($K$2:$K$10,INT(A1236))&gt;0),1,0)</f>
        <v>0</v>
      </c>
      <c r="G1236" s="34" t="n">
        <f aca="false">B1236/1</f>
        <v>246.155</v>
      </c>
      <c r="H1236" s="34" t="str">
        <f aca="false">IF(F1236=1,G1236,"")</f>
        <v/>
      </c>
    </row>
    <row r="1237" customFormat="false" ht="15" hidden="false" customHeight="false" outlineLevel="0" collapsed="false">
      <c r="A1237" s="31" t="n">
        <v>42787.4583333333</v>
      </c>
      <c r="B1237" s="32" t="n">
        <v>267.283</v>
      </c>
      <c r="D1237" s="33" t="n">
        <f aca="false">WEEKDAY(A1237,2)</f>
        <v>2</v>
      </c>
      <c r="E1237" s="33" t="n">
        <f aca="false">HOUR(A1237)+MINUTE(A1237)/60</f>
        <v>11</v>
      </c>
      <c r="F1237" s="33" t="n">
        <f aca="false">IF(OR(D1237&gt;5,E1237&lt;8,E1237&gt;=18,COUNTIF($K$2:$K$10,INT(A1237))&gt;0),1,0)</f>
        <v>0</v>
      </c>
      <c r="G1237" s="34" t="n">
        <f aca="false">B1237/1</f>
        <v>267.283</v>
      </c>
      <c r="H1237" s="34" t="str">
        <f aca="false">IF(F1237=1,G1237,"")</f>
        <v/>
      </c>
    </row>
    <row r="1238" customFormat="false" ht="15" hidden="false" customHeight="false" outlineLevel="0" collapsed="false">
      <c r="A1238" s="31" t="n">
        <v>42787.5</v>
      </c>
      <c r="B1238" s="32" t="n">
        <v>268.35</v>
      </c>
      <c r="D1238" s="33" t="n">
        <f aca="false">WEEKDAY(A1238,2)</f>
        <v>2</v>
      </c>
      <c r="E1238" s="33" t="n">
        <f aca="false">HOUR(A1238)+MINUTE(A1238)/60</f>
        <v>12</v>
      </c>
      <c r="F1238" s="33" t="n">
        <f aca="false">IF(OR(D1238&gt;5,E1238&lt;8,E1238&gt;=18,COUNTIF($K$2:$K$10,INT(A1238))&gt;0),1,0)</f>
        <v>0</v>
      </c>
      <c r="G1238" s="34" t="n">
        <f aca="false">B1238/1</f>
        <v>268.35</v>
      </c>
      <c r="H1238" s="34" t="str">
        <f aca="false">IF(F1238=1,G1238,"")</f>
        <v/>
      </c>
    </row>
    <row r="1239" customFormat="false" ht="15" hidden="false" customHeight="false" outlineLevel="0" collapsed="false">
      <c r="A1239" s="31" t="n">
        <v>42787.5416666667</v>
      </c>
      <c r="B1239" s="32" t="n">
        <v>264.763</v>
      </c>
      <c r="D1239" s="33" t="n">
        <f aca="false">WEEKDAY(A1239,2)</f>
        <v>2</v>
      </c>
      <c r="E1239" s="33" t="n">
        <f aca="false">HOUR(A1239)+MINUTE(A1239)/60</f>
        <v>13</v>
      </c>
      <c r="F1239" s="33" t="n">
        <f aca="false">IF(OR(D1239&gt;5,E1239&lt;8,E1239&gt;=18,COUNTIF($K$2:$K$10,INT(A1239))&gt;0),1,0)</f>
        <v>0</v>
      </c>
      <c r="G1239" s="34" t="n">
        <f aca="false">B1239/1</f>
        <v>264.763</v>
      </c>
      <c r="H1239" s="34" t="str">
        <f aca="false">IF(F1239=1,G1239,"")</f>
        <v/>
      </c>
    </row>
    <row r="1240" customFormat="false" ht="15" hidden="false" customHeight="false" outlineLevel="0" collapsed="false">
      <c r="A1240" s="31" t="n">
        <v>42787.5833333333</v>
      </c>
      <c r="B1240" s="32" t="n">
        <v>268.041</v>
      </c>
      <c r="D1240" s="33" t="n">
        <f aca="false">WEEKDAY(A1240,2)</f>
        <v>2</v>
      </c>
      <c r="E1240" s="33" t="n">
        <f aca="false">HOUR(A1240)+MINUTE(A1240)/60</f>
        <v>14</v>
      </c>
      <c r="F1240" s="33" t="n">
        <f aca="false">IF(OR(D1240&gt;5,E1240&lt;8,E1240&gt;=18,COUNTIF($K$2:$K$10,INT(A1240))&gt;0),1,0)</f>
        <v>0</v>
      </c>
      <c r="G1240" s="34" t="n">
        <f aca="false">B1240/1</f>
        <v>268.041</v>
      </c>
      <c r="H1240" s="34" t="str">
        <f aca="false">IF(F1240=1,G1240,"")</f>
        <v/>
      </c>
    </row>
    <row r="1241" customFormat="false" ht="15" hidden="false" customHeight="false" outlineLevel="0" collapsed="false">
      <c r="A1241" s="31" t="n">
        <v>42787.625</v>
      </c>
      <c r="B1241" s="32" t="n">
        <v>274.909</v>
      </c>
      <c r="D1241" s="33" t="n">
        <f aca="false">WEEKDAY(A1241,2)</f>
        <v>2</v>
      </c>
      <c r="E1241" s="33" t="n">
        <f aca="false">HOUR(A1241)+MINUTE(A1241)/60</f>
        <v>15</v>
      </c>
      <c r="F1241" s="33" t="n">
        <f aca="false">IF(OR(D1241&gt;5,E1241&lt;8,E1241&gt;=18,COUNTIF($K$2:$K$10,INT(A1241))&gt;0),1,0)</f>
        <v>0</v>
      </c>
      <c r="G1241" s="34" t="n">
        <f aca="false">B1241/1</f>
        <v>274.909</v>
      </c>
      <c r="H1241" s="34" t="str">
        <f aca="false">IF(F1241=1,G1241,"")</f>
        <v/>
      </c>
    </row>
    <row r="1242" customFormat="false" ht="15" hidden="false" customHeight="false" outlineLevel="0" collapsed="false">
      <c r="A1242" s="31" t="n">
        <v>42787.6666666667</v>
      </c>
      <c r="B1242" s="32" t="n">
        <v>253.328</v>
      </c>
      <c r="D1242" s="33" t="n">
        <f aca="false">WEEKDAY(A1242,2)</f>
        <v>2</v>
      </c>
      <c r="E1242" s="33" t="n">
        <f aca="false">HOUR(A1242)+MINUTE(A1242)/60</f>
        <v>16</v>
      </c>
      <c r="F1242" s="33" t="n">
        <f aca="false">IF(OR(D1242&gt;5,E1242&lt;8,E1242&gt;=18,COUNTIF($K$2:$K$10,INT(A1242))&gt;0),1,0)</f>
        <v>0</v>
      </c>
      <c r="G1242" s="34" t="n">
        <f aca="false">B1242/1</f>
        <v>253.328</v>
      </c>
      <c r="H1242" s="34" t="str">
        <f aca="false">IF(F1242=1,G1242,"")</f>
        <v/>
      </c>
    </row>
    <row r="1243" customFormat="false" ht="15" hidden="false" customHeight="false" outlineLevel="0" collapsed="false">
      <c r="A1243" s="31" t="n">
        <v>42787.7083333333</v>
      </c>
      <c r="B1243" s="32" t="n">
        <v>240.889</v>
      </c>
      <c r="D1243" s="33" t="n">
        <f aca="false">WEEKDAY(A1243,2)</f>
        <v>2</v>
      </c>
      <c r="E1243" s="33" t="n">
        <f aca="false">HOUR(A1243)+MINUTE(A1243)/60</f>
        <v>17</v>
      </c>
      <c r="F1243" s="33" t="n">
        <f aca="false">IF(OR(D1243&gt;5,E1243&lt;8,E1243&gt;=18,COUNTIF($K$2:$K$10,INT(A1243))&gt;0),1,0)</f>
        <v>0</v>
      </c>
      <c r="G1243" s="34" t="n">
        <f aca="false">B1243/1</f>
        <v>240.889</v>
      </c>
      <c r="H1243" s="34" t="str">
        <f aca="false">IF(F1243=1,G1243,"")</f>
        <v/>
      </c>
    </row>
    <row r="1244" customFormat="false" ht="15" hidden="false" customHeight="false" outlineLevel="0" collapsed="false">
      <c r="A1244" s="31" t="n">
        <v>42787.75</v>
      </c>
      <c r="B1244" s="32" t="n">
        <v>219.302</v>
      </c>
      <c r="D1244" s="33" t="n">
        <f aca="false">WEEKDAY(A1244,2)</f>
        <v>2</v>
      </c>
      <c r="E1244" s="33" t="n">
        <f aca="false">HOUR(A1244)+MINUTE(A1244)/60</f>
        <v>18</v>
      </c>
      <c r="F1244" s="33" t="n">
        <f aca="false">IF(OR(D1244&gt;5,E1244&lt;8,E1244&gt;=18,COUNTIF($K$2:$K$10,INT(A1244))&gt;0),1,0)</f>
        <v>1</v>
      </c>
      <c r="G1244" s="34" t="n">
        <f aca="false">B1244/1</f>
        <v>219.302</v>
      </c>
      <c r="H1244" s="34" t="n">
        <f aca="false">IF(F1244=1,G1244,"")</f>
        <v>219.302</v>
      </c>
    </row>
    <row r="1245" customFormat="false" ht="15" hidden="false" customHeight="false" outlineLevel="0" collapsed="false">
      <c r="A1245" s="31" t="n">
        <v>42787.7916666667</v>
      </c>
      <c r="B1245" s="32" t="n">
        <v>202.739</v>
      </c>
      <c r="D1245" s="33" t="n">
        <f aca="false">WEEKDAY(A1245,2)</f>
        <v>2</v>
      </c>
      <c r="E1245" s="33" t="n">
        <f aca="false">HOUR(A1245)+MINUTE(A1245)/60</f>
        <v>19</v>
      </c>
      <c r="F1245" s="33" t="n">
        <f aca="false">IF(OR(D1245&gt;5,E1245&lt;8,E1245&gt;=18,COUNTIF($K$2:$K$10,INT(A1245))&gt;0),1,0)</f>
        <v>1</v>
      </c>
      <c r="G1245" s="34" t="n">
        <f aca="false">B1245/1</f>
        <v>202.739</v>
      </c>
      <c r="H1245" s="34" t="n">
        <f aca="false">IF(F1245=1,G1245,"")</f>
        <v>202.739</v>
      </c>
    </row>
    <row r="1246" customFormat="false" ht="15" hidden="false" customHeight="false" outlineLevel="0" collapsed="false">
      <c r="A1246" s="31" t="n">
        <v>42787.8333333333</v>
      </c>
      <c r="B1246" s="32" t="n">
        <v>198.373</v>
      </c>
      <c r="D1246" s="33" t="n">
        <f aca="false">WEEKDAY(A1246,2)</f>
        <v>2</v>
      </c>
      <c r="E1246" s="33" t="n">
        <f aca="false">HOUR(A1246)+MINUTE(A1246)/60</f>
        <v>20</v>
      </c>
      <c r="F1246" s="33" t="n">
        <f aca="false">IF(OR(D1246&gt;5,E1246&lt;8,E1246&gt;=18,COUNTIF($K$2:$K$10,INT(A1246))&gt;0),1,0)</f>
        <v>1</v>
      </c>
      <c r="G1246" s="34" t="n">
        <f aca="false">B1246/1</f>
        <v>198.373</v>
      </c>
      <c r="H1246" s="34" t="n">
        <f aca="false">IF(F1246=1,G1246,"")</f>
        <v>198.373</v>
      </c>
    </row>
    <row r="1247" customFormat="false" ht="15" hidden="false" customHeight="false" outlineLevel="0" collapsed="false">
      <c r="A1247" s="31" t="n">
        <v>42787.875</v>
      </c>
      <c r="B1247" s="32" t="n">
        <v>193.522</v>
      </c>
      <c r="D1247" s="33" t="n">
        <f aca="false">WEEKDAY(A1247,2)</f>
        <v>2</v>
      </c>
      <c r="E1247" s="33" t="n">
        <f aca="false">HOUR(A1247)+MINUTE(A1247)/60</f>
        <v>21</v>
      </c>
      <c r="F1247" s="33" t="n">
        <f aca="false">IF(OR(D1247&gt;5,E1247&lt;8,E1247&gt;=18,COUNTIF($K$2:$K$10,INT(A1247))&gt;0),1,0)</f>
        <v>1</v>
      </c>
      <c r="G1247" s="34" t="n">
        <f aca="false">B1247/1</f>
        <v>193.522</v>
      </c>
      <c r="H1247" s="34" t="n">
        <f aca="false">IF(F1247=1,G1247,"")</f>
        <v>193.522</v>
      </c>
    </row>
    <row r="1248" customFormat="false" ht="15" hidden="false" customHeight="false" outlineLevel="0" collapsed="false">
      <c r="A1248" s="31" t="n">
        <v>42787.9166666667</v>
      </c>
      <c r="B1248" s="32" t="n">
        <v>134.457</v>
      </c>
      <c r="D1248" s="33" t="n">
        <f aca="false">WEEKDAY(A1248,2)</f>
        <v>2</v>
      </c>
      <c r="E1248" s="33" t="n">
        <f aca="false">HOUR(A1248)+MINUTE(A1248)/60</f>
        <v>22</v>
      </c>
      <c r="F1248" s="33" t="n">
        <f aca="false">IF(OR(D1248&gt;5,E1248&lt;8,E1248&gt;=18,COUNTIF($K$2:$K$10,INT(A1248))&gt;0),1,0)</f>
        <v>1</v>
      </c>
      <c r="G1248" s="34" t="n">
        <f aca="false">B1248/1</f>
        <v>134.457</v>
      </c>
      <c r="H1248" s="34" t="n">
        <f aca="false">IF(F1248=1,G1248,"")</f>
        <v>134.457</v>
      </c>
    </row>
    <row r="1249" customFormat="false" ht="15" hidden="false" customHeight="false" outlineLevel="0" collapsed="false">
      <c r="A1249" s="31" t="n">
        <v>42787.9583333333</v>
      </c>
      <c r="B1249" s="32" t="n">
        <v>69.428</v>
      </c>
      <c r="D1249" s="33" t="n">
        <f aca="false">WEEKDAY(A1249,2)</f>
        <v>2</v>
      </c>
      <c r="E1249" s="33" t="n">
        <f aca="false">HOUR(A1249)+MINUTE(A1249)/60</f>
        <v>23</v>
      </c>
      <c r="F1249" s="33" t="n">
        <f aca="false">IF(OR(D1249&gt;5,E1249&lt;8,E1249&gt;=18,COUNTIF($K$2:$K$10,INT(A1249))&gt;0),1,0)</f>
        <v>1</v>
      </c>
      <c r="G1249" s="34" t="n">
        <f aca="false">B1249/1</f>
        <v>69.428</v>
      </c>
      <c r="H1249" s="34" t="n">
        <f aca="false">IF(F1249=1,G1249,"")</f>
        <v>69.428</v>
      </c>
    </row>
    <row r="1250" customFormat="false" ht="15" hidden="false" customHeight="false" outlineLevel="0" collapsed="false">
      <c r="A1250" s="31" t="n">
        <v>42788</v>
      </c>
      <c r="B1250" s="32" t="n">
        <v>68.882</v>
      </c>
      <c r="D1250" s="33" t="n">
        <f aca="false">WEEKDAY(A1250,2)</f>
        <v>3</v>
      </c>
      <c r="E1250" s="33" t="n">
        <f aca="false">HOUR(A1250)+MINUTE(A1250)/60</f>
        <v>0</v>
      </c>
      <c r="F1250" s="33" t="n">
        <f aca="false">IF(OR(D1250&gt;5,E1250&lt;8,E1250&gt;=18,COUNTIF($K$2:$K$10,INT(A1250))&gt;0),1,0)</f>
        <v>1</v>
      </c>
      <c r="G1250" s="34" t="n">
        <f aca="false">B1250/1</f>
        <v>68.882</v>
      </c>
      <c r="H1250" s="34" t="n">
        <f aca="false">IF(F1250=1,G1250,"")</f>
        <v>68.882</v>
      </c>
    </row>
    <row r="1251" customFormat="false" ht="15" hidden="false" customHeight="false" outlineLevel="0" collapsed="false">
      <c r="A1251" s="31" t="n">
        <v>42788.0416666667</v>
      </c>
      <c r="B1251" s="32" t="n">
        <v>60.667</v>
      </c>
      <c r="D1251" s="33" t="n">
        <f aca="false">WEEKDAY(A1251,2)</f>
        <v>3</v>
      </c>
      <c r="E1251" s="33" t="n">
        <f aca="false">HOUR(A1251)+MINUTE(A1251)/60</f>
        <v>1</v>
      </c>
      <c r="F1251" s="33" t="n">
        <f aca="false">IF(OR(D1251&gt;5,E1251&lt;8,E1251&gt;=18,COUNTIF($K$2:$K$10,INT(A1251))&gt;0),1,0)</f>
        <v>1</v>
      </c>
      <c r="G1251" s="34" t="n">
        <f aca="false">B1251/1</f>
        <v>60.667</v>
      </c>
      <c r="H1251" s="34" t="n">
        <f aca="false">IF(F1251=1,G1251,"")</f>
        <v>60.667</v>
      </c>
    </row>
    <row r="1252" customFormat="false" ht="15" hidden="false" customHeight="false" outlineLevel="0" collapsed="false">
      <c r="A1252" s="31" t="n">
        <v>42788.0833333333</v>
      </c>
      <c r="B1252" s="32" t="n">
        <v>61.19</v>
      </c>
      <c r="D1252" s="33" t="n">
        <f aca="false">WEEKDAY(A1252,2)</f>
        <v>3</v>
      </c>
      <c r="E1252" s="33" t="n">
        <f aca="false">HOUR(A1252)+MINUTE(A1252)/60</f>
        <v>2</v>
      </c>
      <c r="F1252" s="33" t="n">
        <f aca="false">IF(OR(D1252&gt;5,E1252&lt;8,E1252&gt;=18,COUNTIF($K$2:$K$10,INT(A1252))&gt;0),1,0)</f>
        <v>1</v>
      </c>
      <c r="G1252" s="34" t="n">
        <f aca="false">B1252/1</f>
        <v>61.19</v>
      </c>
      <c r="H1252" s="34" t="n">
        <f aca="false">IF(F1252=1,G1252,"")</f>
        <v>61.19</v>
      </c>
    </row>
    <row r="1253" customFormat="false" ht="15" hidden="false" customHeight="false" outlineLevel="0" collapsed="false">
      <c r="A1253" s="31" t="n">
        <v>42788.125</v>
      </c>
      <c r="B1253" s="32" t="n">
        <v>58.853</v>
      </c>
      <c r="D1253" s="33" t="n">
        <f aca="false">WEEKDAY(A1253,2)</f>
        <v>3</v>
      </c>
      <c r="E1253" s="33" t="n">
        <f aca="false">HOUR(A1253)+MINUTE(A1253)/60</f>
        <v>3</v>
      </c>
      <c r="F1253" s="33" t="n">
        <f aca="false">IF(OR(D1253&gt;5,E1253&lt;8,E1253&gt;=18,COUNTIF($K$2:$K$10,INT(A1253))&gt;0),1,0)</f>
        <v>1</v>
      </c>
      <c r="G1253" s="34" t="n">
        <f aca="false">B1253/1</f>
        <v>58.853</v>
      </c>
      <c r="H1253" s="34" t="n">
        <f aca="false">IF(F1253=1,G1253,"")</f>
        <v>58.853</v>
      </c>
    </row>
    <row r="1254" customFormat="false" ht="15" hidden="false" customHeight="false" outlineLevel="0" collapsed="false">
      <c r="A1254" s="31" t="n">
        <v>42788.1666666667</v>
      </c>
      <c r="B1254" s="32" t="n">
        <v>60.3</v>
      </c>
      <c r="D1254" s="33" t="n">
        <f aca="false">WEEKDAY(A1254,2)</f>
        <v>3</v>
      </c>
      <c r="E1254" s="33" t="n">
        <f aca="false">HOUR(A1254)+MINUTE(A1254)/60</f>
        <v>4</v>
      </c>
      <c r="F1254" s="33" t="n">
        <f aca="false">IF(OR(D1254&gt;5,E1254&lt;8,E1254&gt;=18,COUNTIF($K$2:$K$10,INT(A1254))&gt;0),1,0)</f>
        <v>1</v>
      </c>
      <c r="G1254" s="34" t="n">
        <f aca="false">B1254/1</f>
        <v>60.3</v>
      </c>
      <c r="H1254" s="34" t="n">
        <f aca="false">IF(F1254=1,G1254,"")</f>
        <v>60.3</v>
      </c>
    </row>
    <row r="1255" customFormat="false" ht="15" hidden="false" customHeight="false" outlineLevel="0" collapsed="false">
      <c r="A1255" s="31" t="n">
        <v>42788.2083333333</v>
      </c>
      <c r="B1255" s="32" t="n">
        <v>56.541</v>
      </c>
      <c r="D1255" s="33" t="n">
        <f aca="false">WEEKDAY(A1255,2)</f>
        <v>3</v>
      </c>
      <c r="E1255" s="33" t="n">
        <f aca="false">HOUR(A1255)+MINUTE(A1255)/60</f>
        <v>5</v>
      </c>
      <c r="F1255" s="33" t="n">
        <f aca="false">IF(OR(D1255&gt;5,E1255&lt;8,E1255&gt;=18,COUNTIF($K$2:$K$10,INT(A1255))&gt;0),1,0)</f>
        <v>1</v>
      </c>
      <c r="G1255" s="34" t="n">
        <f aca="false">B1255/1</f>
        <v>56.541</v>
      </c>
      <c r="H1255" s="34" t="n">
        <f aca="false">IF(F1255=1,G1255,"")</f>
        <v>56.541</v>
      </c>
    </row>
    <row r="1256" customFormat="false" ht="15" hidden="false" customHeight="false" outlineLevel="0" collapsed="false">
      <c r="A1256" s="31" t="n">
        <v>42788.25</v>
      </c>
      <c r="B1256" s="32" t="n">
        <v>57.764</v>
      </c>
      <c r="D1256" s="33" t="n">
        <f aca="false">WEEKDAY(A1256,2)</f>
        <v>3</v>
      </c>
      <c r="E1256" s="33" t="n">
        <f aca="false">HOUR(A1256)+MINUTE(A1256)/60</f>
        <v>6</v>
      </c>
      <c r="F1256" s="33" t="n">
        <f aca="false">IF(OR(D1256&gt;5,E1256&lt;8,E1256&gt;=18,COUNTIF($K$2:$K$10,INT(A1256))&gt;0),1,0)</f>
        <v>1</v>
      </c>
      <c r="G1256" s="34" t="n">
        <f aca="false">B1256/1</f>
        <v>57.764</v>
      </c>
      <c r="H1256" s="34" t="n">
        <f aca="false">IF(F1256=1,G1256,"")</f>
        <v>57.764</v>
      </c>
    </row>
    <row r="1257" customFormat="false" ht="15" hidden="false" customHeight="false" outlineLevel="0" collapsed="false">
      <c r="A1257" s="31" t="n">
        <v>42788.2916666667</v>
      </c>
      <c r="B1257" s="32" t="n">
        <v>66.291</v>
      </c>
      <c r="D1257" s="33" t="n">
        <f aca="false">WEEKDAY(A1257,2)</f>
        <v>3</v>
      </c>
      <c r="E1257" s="33" t="n">
        <f aca="false">HOUR(A1257)+MINUTE(A1257)/60</f>
        <v>7</v>
      </c>
      <c r="F1257" s="33" t="n">
        <f aca="false">IF(OR(D1257&gt;5,E1257&lt;8,E1257&gt;=18,COUNTIF($K$2:$K$10,INT(A1257))&gt;0),1,0)</f>
        <v>1</v>
      </c>
      <c r="G1257" s="34" t="n">
        <f aca="false">B1257/1</f>
        <v>66.291</v>
      </c>
      <c r="H1257" s="34" t="n">
        <f aca="false">IF(F1257=1,G1257,"")</f>
        <v>66.291</v>
      </c>
    </row>
    <row r="1258" customFormat="false" ht="15" hidden="false" customHeight="false" outlineLevel="0" collapsed="false">
      <c r="A1258" s="31" t="n">
        <v>42788.3333333333</v>
      </c>
      <c r="B1258" s="32" t="n">
        <v>173.112</v>
      </c>
      <c r="D1258" s="33" t="n">
        <f aca="false">WEEKDAY(A1258,2)</f>
        <v>3</v>
      </c>
      <c r="E1258" s="33" t="n">
        <f aca="false">HOUR(A1258)+MINUTE(A1258)/60</f>
        <v>8</v>
      </c>
      <c r="F1258" s="33" t="n">
        <f aca="false">IF(OR(D1258&gt;5,E1258&lt;8,E1258&gt;=18,COUNTIF($K$2:$K$10,INT(A1258))&gt;0),1,0)</f>
        <v>0</v>
      </c>
      <c r="G1258" s="34" t="n">
        <f aca="false">B1258/1</f>
        <v>173.112</v>
      </c>
      <c r="H1258" s="34" t="str">
        <f aca="false">IF(F1258=1,G1258,"")</f>
        <v/>
      </c>
    </row>
    <row r="1259" customFormat="false" ht="15" hidden="false" customHeight="false" outlineLevel="0" collapsed="false">
      <c r="A1259" s="31" t="n">
        <v>42788.375</v>
      </c>
      <c r="B1259" s="32" t="n">
        <v>217.903</v>
      </c>
      <c r="D1259" s="33" t="n">
        <f aca="false">WEEKDAY(A1259,2)</f>
        <v>3</v>
      </c>
      <c r="E1259" s="33" t="n">
        <f aca="false">HOUR(A1259)+MINUTE(A1259)/60</f>
        <v>9</v>
      </c>
      <c r="F1259" s="33" t="n">
        <f aca="false">IF(OR(D1259&gt;5,E1259&lt;8,E1259&gt;=18,COUNTIF($K$2:$K$10,INT(A1259))&gt;0),1,0)</f>
        <v>0</v>
      </c>
      <c r="G1259" s="34" t="n">
        <f aca="false">B1259/1</f>
        <v>217.903</v>
      </c>
      <c r="H1259" s="34" t="str">
        <f aca="false">IF(F1259=1,G1259,"")</f>
        <v/>
      </c>
    </row>
    <row r="1260" customFormat="false" ht="15" hidden="false" customHeight="false" outlineLevel="0" collapsed="false">
      <c r="A1260" s="31" t="n">
        <v>42788.4166666667</v>
      </c>
      <c r="B1260" s="32" t="n">
        <v>242.074</v>
      </c>
      <c r="D1260" s="33" t="n">
        <f aca="false">WEEKDAY(A1260,2)</f>
        <v>3</v>
      </c>
      <c r="E1260" s="33" t="n">
        <f aca="false">HOUR(A1260)+MINUTE(A1260)/60</f>
        <v>10</v>
      </c>
      <c r="F1260" s="33" t="n">
        <f aca="false">IF(OR(D1260&gt;5,E1260&lt;8,E1260&gt;=18,COUNTIF($K$2:$K$10,INT(A1260))&gt;0),1,0)</f>
        <v>0</v>
      </c>
      <c r="G1260" s="34" t="n">
        <f aca="false">B1260/1</f>
        <v>242.074</v>
      </c>
      <c r="H1260" s="34" t="str">
        <f aca="false">IF(F1260=1,G1260,"")</f>
        <v/>
      </c>
    </row>
    <row r="1261" customFormat="false" ht="15" hidden="false" customHeight="false" outlineLevel="0" collapsed="false">
      <c r="A1261" s="31" t="n">
        <v>42788.4583333333</v>
      </c>
      <c r="B1261" s="32" t="n">
        <v>252.048</v>
      </c>
      <c r="D1261" s="33" t="n">
        <f aca="false">WEEKDAY(A1261,2)</f>
        <v>3</v>
      </c>
      <c r="E1261" s="33" t="n">
        <f aca="false">HOUR(A1261)+MINUTE(A1261)/60</f>
        <v>11</v>
      </c>
      <c r="F1261" s="33" t="n">
        <f aca="false">IF(OR(D1261&gt;5,E1261&lt;8,E1261&gt;=18,COUNTIF($K$2:$K$10,INT(A1261))&gt;0),1,0)</f>
        <v>0</v>
      </c>
      <c r="G1261" s="34" t="n">
        <f aca="false">B1261/1</f>
        <v>252.048</v>
      </c>
      <c r="H1261" s="34" t="str">
        <f aca="false">IF(F1261=1,G1261,"")</f>
        <v/>
      </c>
    </row>
    <row r="1262" customFormat="false" ht="15" hidden="false" customHeight="false" outlineLevel="0" collapsed="false">
      <c r="A1262" s="31" t="n">
        <v>42788.5</v>
      </c>
      <c r="B1262" s="32" t="n">
        <v>260.368</v>
      </c>
      <c r="D1262" s="33" t="n">
        <f aca="false">WEEKDAY(A1262,2)</f>
        <v>3</v>
      </c>
      <c r="E1262" s="33" t="n">
        <f aca="false">HOUR(A1262)+MINUTE(A1262)/60</f>
        <v>12</v>
      </c>
      <c r="F1262" s="33" t="n">
        <f aca="false">IF(OR(D1262&gt;5,E1262&lt;8,E1262&gt;=18,COUNTIF($K$2:$K$10,INT(A1262))&gt;0),1,0)</f>
        <v>0</v>
      </c>
      <c r="G1262" s="34" t="n">
        <f aca="false">B1262/1</f>
        <v>260.368</v>
      </c>
      <c r="H1262" s="34" t="str">
        <f aca="false">IF(F1262=1,G1262,"")</f>
        <v/>
      </c>
    </row>
    <row r="1263" customFormat="false" ht="15" hidden="false" customHeight="false" outlineLevel="0" collapsed="false">
      <c r="A1263" s="31" t="n">
        <v>42788.5416666667</v>
      </c>
      <c r="B1263" s="32" t="n">
        <v>260.806</v>
      </c>
      <c r="D1263" s="33" t="n">
        <f aca="false">WEEKDAY(A1263,2)</f>
        <v>3</v>
      </c>
      <c r="E1263" s="33" t="n">
        <f aca="false">HOUR(A1263)+MINUTE(A1263)/60</f>
        <v>13</v>
      </c>
      <c r="F1263" s="33" t="n">
        <f aca="false">IF(OR(D1263&gt;5,E1263&lt;8,E1263&gt;=18,COUNTIF($K$2:$K$10,INT(A1263))&gt;0),1,0)</f>
        <v>0</v>
      </c>
      <c r="G1263" s="34" t="n">
        <f aca="false">B1263/1</f>
        <v>260.806</v>
      </c>
      <c r="H1263" s="34" t="str">
        <f aca="false">IF(F1263=1,G1263,"")</f>
        <v/>
      </c>
    </row>
    <row r="1264" customFormat="false" ht="15" hidden="false" customHeight="false" outlineLevel="0" collapsed="false">
      <c r="A1264" s="31" t="n">
        <v>42788.5833333333</v>
      </c>
      <c r="B1264" s="32" t="n">
        <v>253.41</v>
      </c>
      <c r="D1264" s="33" t="n">
        <f aca="false">WEEKDAY(A1264,2)</f>
        <v>3</v>
      </c>
      <c r="E1264" s="33" t="n">
        <f aca="false">HOUR(A1264)+MINUTE(A1264)/60</f>
        <v>14</v>
      </c>
      <c r="F1264" s="33" t="n">
        <f aca="false">IF(OR(D1264&gt;5,E1264&lt;8,E1264&gt;=18,COUNTIF($K$2:$K$10,INT(A1264))&gt;0),1,0)</f>
        <v>0</v>
      </c>
      <c r="G1264" s="34" t="n">
        <f aca="false">B1264/1</f>
        <v>253.41</v>
      </c>
      <c r="H1264" s="34" t="str">
        <f aca="false">IF(F1264=1,G1264,"")</f>
        <v/>
      </c>
    </row>
    <row r="1265" customFormat="false" ht="15" hidden="false" customHeight="false" outlineLevel="0" collapsed="false">
      <c r="A1265" s="31" t="n">
        <v>42788.625</v>
      </c>
      <c r="B1265" s="32" t="n">
        <v>255.839</v>
      </c>
      <c r="D1265" s="33" t="n">
        <f aca="false">WEEKDAY(A1265,2)</f>
        <v>3</v>
      </c>
      <c r="E1265" s="33" t="n">
        <f aca="false">HOUR(A1265)+MINUTE(A1265)/60</f>
        <v>15</v>
      </c>
      <c r="F1265" s="33" t="n">
        <f aca="false">IF(OR(D1265&gt;5,E1265&lt;8,E1265&gt;=18,COUNTIF($K$2:$K$10,INT(A1265))&gt;0),1,0)</f>
        <v>0</v>
      </c>
      <c r="G1265" s="34" t="n">
        <f aca="false">B1265/1</f>
        <v>255.839</v>
      </c>
      <c r="H1265" s="34" t="str">
        <f aca="false">IF(F1265=1,G1265,"")</f>
        <v/>
      </c>
    </row>
    <row r="1266" customFormat="false" ht="15" hidden="false" customHeight="false" outlineLevel="0" collapsed="false">
      <c r="A1266" s="31" t="n">
        <v>42788.6666666667</v>
      </c>
      <c r="B1266" s="32" t="n">
        <v>256.806</v>
      </c>
      <c r="D1266" s="33" t="n">
        <f aca="false">WEEKDAY(A1266,2)</f>
        <v>3</v>
      </c>
      <c r="E1266" s="33" t="n">
        <f aca="false">HOUR(A1266)+MINUTE(A1266)/60</f>
        <v>16</v>
      </c>
      <c r="F1266" s="33" t="n">
        <f aca="false">IF(OR(D1266&gt;5,E1266&lt;8,E1266&gt;=18,COUNTIF($K$2:$K$10,INT(A1266))&gt;0),1,0)</f>
        <v>0</v>
      </c>
      <c r="G1266" s="34" t="n">
        <f aca="false">B1266/1</f>
        <v>256.806</v>
      </c>
      <c r="H1266" s="34" t="str">
        <f aca="false">IF(F1266=1,G1266,"")</f>
        <v/>
      </c>
    </row>
    <row r="1267" customFormat="false" ht="15" hidden="false" customHeight="false" outlineLevel="0" collapsed="false">
      <c r="A1267" s="31" t="n">
        <v>42788.7083333333</v>
      </c>
      <c r="B1267" s="32" t="n">
        <v>248.86</v>
      </c>
      <c r="D1267" s="33" t="n">
        <f aca="false">WEEKDAY(A1267,2)</f>
        <v>3</v>
      </c>
      <c r="E1267" s="33" t="n">
        <f aca="false">HOUR(A1267)+MINUTE(A1267)/60</f>
        <v>17</v>
      </c>
      <c r="F1267" s="33" t="n">
        <f aca="false">IF(OR(D1267&gt;5,E1267&lt;8,E1267&gt;=18,COUNTIF($K$2:$K$10,INT(A1267))&gt;0),1,0)</f>
        <v>0</v>
      </c>
      <c r="G1267" s="34" t="n">
        <f aca="false">B1267/1</f>
        <v>248.86</v>
      </c>
      <c r="H1267" s="34" t="str">
        <f aca="false">IF(F1267=1,G1267,"")</f>
        <v/>
      </c>
    </row>
    <row r="1268" customFormat="false" ht="15" hidden="false" customHeight="false" outlineLevel="0" collapsed="false">
      <c r="A1268" s="31" t="n">
        <v>42788.75</v>
      </c>
      <c r="B1268" s="32" t="n">
        <v>228.164</v>
      </c>
      <c r="D1268" s="33" t="n">
        <f aca="false">WEEKDAY(A1268,2)</f>
        <v>3</v>
      </c>
      <c r="E1268" s="33" t="n">
        <f aca="false">HOUR(A1268)+MINUTE(A1268)/60</f>
        <v>18</v>
      </c>
      <c r="F1268" s="33" t="n">
        <f aca="false">IF(OR(D1268&gt;5,E1268&lt;8,E1268&gt;=18,COUNTIF($K$2:$K$10,INT(A1268))&gt;0),1,0)</f>
        <v>1</v>
      </c>
      <c r="G1268" s="34" t="n">
        <f aca="false">B1268/1</f>
        <v>228.164</v>
      </c>
      <c r="H1268" s="34" t="n">
        <f aca="false">IF(F1268=1,G1268,"")</f>
        <v>228.164</v>
      </c>
    </row>
    <row r="1269" customFormat="false" ht="15" hidden="false" customHeight="false" outlineLevel="0" collapsed="false">
      <c r="A1269" s="31" t="n">
        <v>42788.7916666667</v>
      </c>
      <c r="B1269" s="32" t="n">
        <v>214.117</v>
      </c>
      <c r="D1269" s="33" t="n">
        <f aca="false">WEEKDAY(A1269,2)</f>
        <v>3</v>
      </c>
      <c r="E1269" s="33" t="n">
        <f aca="false">HOUR(A1269)+MINUTE(A1269)/60</f>
        <v>19</v>
      </c>
      <c r="F1269" s="33" t="n">
        <f aca="false">IF(OR(D1269&gt;5,E1269&lt;8,E1269&gt;=18,COUNTIF($K$2:$K$10,INT(A1269))&gt;0),1,0)</f>
        <v>1</v>
      </c>
      <c r="G1269" s="34" t="n">
        <f aca="false">B1269/1</f>
        <v>214.117</v>
      </c>
      <c r="H1269" s="34" t="n">
        <f aca="false">IF(F1269=1,G1269,"")</f>
        <v>214.117</v>
      </c>
    </row>
    <row r="1270" customFormat="false" ht="15" hidden="false" customHeight="false" outlineLevel="0" collapsed="false">
      <c r="A1270" s="31" t="n">
        <v>42788.8333333333</v>
      </c>
      <c r="B1270" s="32" t="n">
        <v>205.625</v>
      </c>
      <c r="D1270" s="33" t="n">
        <f aca="false">WEEKDAY(A1270,2)</f>
        <v>3</v>
      </c>
      <c r="E1270" s="33" t="n">
        <f aca="false">HOUR(A1270)+MINUTE(A1270)/60</f>
        <v>20</v>
      </c>
      <c r="F1270" s="33" t="n">
        <f aca="false">IF(OR(D1270&gt;5,E1270&lt;8,E1270&gt;=18,COUNTIF($K$2:$K$10,INT(A1270))&gt;0),1,0)</f>
        <v>1</v>
      </c>
      <c r="G1270" s="34" t="n">
        <f aca="false">B1270/1</f>
        <v>205.625</v>
      </c>
      <c r="H1270" s="34" t="n">
        <f aca="false">IF(F1270=1,G1270,"")</f>
        <v>205.625</v>
      </c>
    </row>
    <row r="1271" customFormat="false" ht="15" hidden="false" customHeight="false" outlineLevel="0" collapsed="false">
      <c r="A1271" s="31" t="n">
        <v>42788.875</v>
      </c>
      <c r="B1271" s="32" t="n">
        <v>193.9</v>
      </c>
      <c r="D1271" s="33" t="n">
        <f aca="false">WEEKDAY(A1271,2)</f>
        <v>3</v>
      </c>
      <c r="E1271" s="33" t="n">
        <f aca="false">HOUR(A1271)+MINUTE(A1271)/60</f>
        <v>21</v>
      </c>
      <c r="F1271" s="33" t="n">
        <f aca="false">IF(OR(D1271&gt;5,E1271&lt;8,E1271&gt;=18,COUNTIF($K$2:$K$10,INT(A1271))&gt;0),1,0)</f>
        <v>1</v>
      </c>
      <c r="G1271" s="34" t="n">
        <f aca="false">B1271/1</f>
        <v>193.9</v>
      </c>
      <c r="H1271" s="34" t="n">
        <f aca="false">IF(F1271=1,G1271,"")</f>
        <v>193.9</v>
      </c>
    </row>
    <row r="1272" customFormat="false" ht="15" hidden="false" customHeight="false" outlineLevel="0" collapsed="false">
      <c r="A1272" s="31" t="n">
        <v>42788.9166666667</v>
      </c>
      <c r="B1272" s="32" t="n">
        <v>138.889</v>
      </c>
      <c r="D1272" s="33" t="n">
        <f aca="false">WEEKDAY(A1272,2)</f>
        <v>3</v>
      </c>
      <c r="E1272" s="33" t="n">
        <f aca="false">HOUR(A1272)+MINUTE(A1272)/60</f>
        <v>22</v>
      </c>
      <c r="F1272" s="33" t="n">
        <f aca="false">IF(OR(D1272&gt;5,E1272&lt;8,E1272&gt;=18,COUNTIF($K$2:$K$10,INT(A1272))&gt;0),1,0)</f>
        <v>1</v>
      </c>
      <c r="G1272" s="34" t="n">
        <f aca="false">B1272/1</f>
        <v>138.889</v>
      </c>
      <c r="H1272" s="34" t="n">
        <f aca="false">IF(F1272=1,G1272,"")</f>
        <v>138.889</v>
      </c>
    </row>
    <row r="1273" customFormat="false" ht="15" hidden="false" customHeight="false" outlineLevel="0" collapsed="false">
      <c r="A1273" s="31" t="n">
        <v>42788.9583333333</v>
      </c>
      <c r="B1273" s="32" t="n">
        <v>71.511</v>
      </c>
      <c r="D1273" s="33" t="n">
        <f aca="false">WEEKDAY(A1273,2)</f>
        <v>3</v>
      </c>
      <c r="E1273" s="33" t="n">
        <f aca="false">HOUR(A1273)+MINUTE(A1273)/60</f>
        <v>23</v>
      </c>
      <c r="F1273" s="33" t="n">
        <f aca="false">IF(OR(D1273&gt;5,E1273&lt;8,E1273&gt;=18,COUNTIF($K$2:$K$10,INT(A1273))&gt;0),1,0)</f>
        <v>1</v>
      </c>
      <c r="G1273" s="34" t="n">
        <f aca="false">B1273/1</f>
        <v>71.511</v>
      </c>
      <c r="H1273" s="34" t="n">
        <f aca="false">IF(F1273=1,G1273,"")</f>
        <v>71.511</v>
      </c>
    </row>
    <row r="1274" customFormat="false" ht="15" hidden="false" customHeight="false" outlineLevel="0" collapsed="false">
      <c r="A1274" s="31" t="n">
        <v>42789</v>
      </c>
      <c r="B1274" s="32" t="n">
        <v>63.488</v>
      </c>
      <c r="D1274" s="33" t="n">
        <f aca="false">WEEKDAY(A1274,2)</f>
        <v>4</v>
      </c>
      <c r="E1274" s="33" t="n">
        <f aca="false">HOUR(A1274)+MINUTE(A1274)/60</f>
        <v>0</v>
      </c>
      <c r="F1274" s="33" t="n">
        <f aca="false">IF(OR(D1274&gt;5,E1274&lt;8,E1274&gt;=18,COUNTIF($K$2:$K$10,INT(A1274))&gt;0),1,0)</f>
        <v>1</v>
      </c>
      <c r="G1274" s="34" t="n">
        <f aca="false">B1274/1</f>
        <v>63.488</v>
      </c>
      <c r="H1274" s="34" t="n">
        <f aca="false">IF(F1274=1,G1274,"")</f>
        <v>63.488</v>
      </c>
    </row>
    <row r="1275" customFormat="false" ht="15" hidden="false" customHeight="false" outlineLevel="0" collapsed="false">
      <c r="A1275" s="31" t="n">
        <v>42789.0416666667</v>
      </c>
      <c r="B1275" s="32" t="n">
        <v>62.076</v>
      </c>
      <c r="D1275" s="33" t="n">
        <f aca="false">WEEKDAY(A1275,2)</f>
        <v>4</v>
      </c>
      <c r="E1275" s="33" t="n">
        <f aca="false">HOUR(A1275)+MINUTE(A1275)/60</f>
        <v>1</v>
      </c>
      <c r="F1275" s="33" t="n">
        <f aca="false">IF(OR(D1275&gt;5,E1275&lt;8,E1275&gt;=18,COUNTIF($K$2:$K$10,INT(A1275))&gt;0),1,0)</f>
        <v>1</v>
      </c>
      <c r="G1275" s="34" t="n">
        <f aca="false">B1275/1</f>
        <v>62.076</v>
      </c>
      <c r="H1275" s="34" t="n">
        <f aca="false">IF(F1275=1,G1275,"")</f>
        <v>62.076</v>
      </c>
    </row>
    <row r="1276" customFormat="false" ht="15" hidden="false" customHeight="false" outlineLevel="0" collapsed="false">
      <c r="A1276" s="31" t="n">
        <v>42789.0833333333</v>
      </c>
      <c r="B1276" s="32" t="n">
        <v>61.709</v>
      </c>
      <c r="D1276" s="33" t="n">
        <f aca="false">WEEKDAY(A1276,2)</f>
        <v>4</v>
      </c>
      <c r="E1276" s="33" t="n">
        <f aca="false">HOUR(A1276)+MINUTE(A1276)/60</f>
        <v>2</v>
      </c>
      <c r="F1276" s="33" t="n">
        <f aca="false">IF(OR(D1276&gt;5,E1276&lt;8,E1276&gt;=18,COUNTIF($K$2:$K$10,INT(A1276))&gt;0),1,0)</f>
        <v>1</v>
      </c>
      <c r="G1276" s="34" t="n">
        <f aca="false">B1276/1</f>
        <v>61.709</v>
      </c>
      <c r="H1276" s="34" t="n">
        <f aca="false">IF(F1276=1,G1276,"")</f>
        <v>61.709</v>
      </c>
    </row>
    <row r="1277" customFormat="false" ht="15" hidden="false" customHeight="false" outlineLevel="0" collapsed="false">
      <c r="A1277" s="31" t="n">
        <v>42789.125</v>
      </c>
      <c r="B1277" s="32" t="n">
        <v>60.78</v>
      </c>
      <c r="D1277" s="33" t="n">
        <f aca="false">WEEKDAY(A1277,2)</f>
        <v>4</v>
      </c>
      <c r="E1277" s="33" t="n">
        <f aca="false">HOUR(A1277)+MINUTE(A1277)/60</f>
        <v>3</v>
      </c>
      <c r="F1277" s="33" t="n">
        <f aca="false">IF(OR(D1277&gt;5,E1277&lt;8,E1277&gt;=18,COUNTIF($K$2:$K$10,INT(A1277))&gt;0),1,0)</f>
        <v>1</v>
      </c>
      <c r="G1277" s="34" t="n">
        <f aca="false">B1277/1</f>
        <v>60.78</v>
      </c>
      <c r="H1277" s="34" t="n">
        <f aca="false">IF(F1277=1,G1277,"")</f>
        <v>60.78</v>
      </c>
    </row>
    <row r="1278" customFormat="false" ht="15" hidden="false" customHeight="false" outlineLevel="0" collapsed="false">
      <c r="A1278" s="31" t="n">
        <v>42789.1666666667</v>
      </c>
      <c r="B1278" s="32" t="n">
        <v>58.515</v>
      </c>
      <c r="D1278" s="33" t="n">
        <f aca="false">WEEKDAY(A1278,2)</f>
        <v>4</v>
      </c>
      <c r="E1278" s="33" t="n">
        <f aca="false">HOUR(A1278)+MINUTE(A1278)/60</f>
        <v>4</v>
      </c>
      <c r="F1278" s="33" t="n">
        <f aca="false">IF(OR(D1278&gt;5,E1278&lt;8,E1278&gt;=18,COUNTIF($K$2:$K$10,INT(A1278))&gt;0),1,0)</f>
        <v>1</v>
      </c>
      <c r="G1278" s="34" t="n">
        <f aca="false">B1278/1</f>
        <v>58.515</v>
      </c>
      <c r="H1278" s="34" t="n">
        <f aca="false">IF(F1278=1,G1278,"")</f>
        <v>58.515</v>
      </c>
    </row>
    <row r="1279" customFormat="false" ht="15" hidden="false" customHeight="false" outlineLevel="0" collapsed="false">
      <c r="A1279" s="31" t="n">
        <v>42789.2083333333</v>
      </c>
      <c r="B1279" s="32" t="n">
        <v>58.809</v>
      </c>
      <c r="D1279" s="33" t="n">
        <f aca="false">WEEKDAY(A1279,2)</f>
        <v>4</v>
      </c>
      <c r="E1279" s="33" t="n">
        <f aca="false">HOUR(A1279)+MINUTE(A1279)/60</f>
        <v>5</v>
      </c>
      <c r="F1279" s="33" t="n">
        <f aca="false">IF(OR(D1279&gt;5,E1279&lt;8,E1279&gt;=18,COUNTIF($K$2:$K$10,INT(A1279))&gt;0),1,0)</f>
        <v>1</v>
      </c>
      <c r="G1279" s="34" t="n">
        <f aca="false">B1279/1</f>
        <v>58.809</v>
      </c>
      <c r="H1279" s="34" t="n">
        <f aca="false">IF(F1279=1,G1279,"")</f>
        <v>58.809</v>
      </c>
    </row>
    <row r="1280" customFormat="false" ht="15" hidden="false" customHeight="false" outlineLevel="0" collapsed="false">
      <c r="A1280" s="31" t="n">
        <v>42789.25</v>
      </c>
      <c r="B1280" s="32" t="n">
        <v>60.762</v>
      </c>
      <c r="D1280" s="33" t="n">
        <f aca="false">WEEKDAY(A1280,2)</f>
        <v>4</v>
      </c>
      <c r="E1280" s="33" t="n">
        <f aca="false">HOUR(A1280)+MINUTE(A1280)/60</f>
        <v>6</v>
      </c>
      <c r="F1280" s="33" t="n">
        <f aca="false">IF(OR(D1280&gt;5,E1280&lt;8,E1280&gt;=18,COUNTIF($K$2:$K$10,INT(A1280))&gt;0),1,0)</f>
        <v>1</v>
      </c>
      <c r="G1280" s="34" t="n">
        <f aca="false">B1280/1</f>
        <v>60.762</v>
      </c>
      <c r="H1280" s="34" t="n">
        <f aca="false">IF(F1280=1,G1280,"")</f>
        <v>60.762</v>
      </c>
    </row>
    <row r="1281" customFormat="false" ht="15" hidden="false" customHeight="false" outlineLevel="0" collapsed="false">
      <c r="A1281" s="31" t="n">
        <v>42789.2916666667</v>
      </c>
      <c r="B1281" s="32" t="n">
        <v>67.958</v>
      </c>
      <c r="D1281" s="33" t="n">
        <f aca="false">WEEKDAY(A1281,2)</f>
        <v>4</v>
      </c>
      <c r="E1281" s="33" t="n">
        <f aca="false">HOUR(A1281)+MINUTE(A1281)/60</f>
        <v>7</v>
      </c>
      <c r="F1281" s="33" t="n">
        <f aca="false">IF(OR(D1281&gt;5,E1281&lt;8,E1281&gt;=18,COUNTIF($K$2:$K$10,INT(A1281))&gt;0),1,0)</f>
        <v>1</v>
      </c>
      <c r="G1281" s="34" t="n">
        <f aca="false">B1281/1</f>
        <v>67.958</v>
      </c>
      <c r="H1281" s="34" t="n">
        <f aca="false">IF(F1281=1,G1281,"")</f>
        <v>67.958</v>
      </c>
    </row>
    <row r="1282" customFormat="false" ht="15" hidden="false" customHeight="false" outlineLevel="0" collapsed="false">
      <c r="A1282" s="31" t="n">
        <v>42789.3333333333</v>
      </c>
      <c r="B1282" s="32" t="n">
        <v>175.036</v>
      </c>
      <c r="D1282" s="33" t="n">
        <f aca="false">WEEKDAY(A1282,2)</f>
        <v>4</v>
      </c>
      <c r="E1282" s="33" t="n">
        <f aca="false">HOUR(A1282)+MINUTE(A1282)/60</f>
        <v>8</v>
      </c>
      <c r="F1282" s="33" t="n">
        <f aca="false">IF(OR(D1282&gt;5,E1282&lt;8,E1282&gt;=18,COUNTIF($K$2:$K$10,INT(A1282))&gt;0),1,0)</f>
        <v>0</v>
      </c>
      <c r="G1282" s="34" t="n">
        <f aca="false">B1282/1</f>
        <v>175.036</v>
      </c>
      <c r="H1282" s="34" t="str">
        <f aca="false">IF(F1282=1,G1282,"")</f>
        <v/>
      </c>
    </row>
    <row r="1283" customFormat="false" ht="15" hidden="false" customHeight="false" outlineLevel="0" collapsed="false">
      <c r="A1283" s="31" t="n">
        <v>42789.375</v>
      </c>
      <c r="B1283" s="32" t="n">
        <v>232.71</v>
      </c>
      <c r="D1283" s="33" t="n">
        <f aca="false">WEEKDAY(A1283,2)</f>
        <v>4</v>
      </c>
      <c r="E1283" s="33" t="n">
        <f aca="false">HOUR(A1283)+MINUTE(A1283)/60</f>
        <v>9</v>
      </c>
      <c r="F1283" s="33" t="n">
        <f aca="false">IF(OR(D1283&gt;5,E1283&lt;8,E1283&gt;=18,COUNTIF($K$2:$K$10,INT(A1283))&gt;0),1,0)</f>
        <v>0</v>
      </c>
      <c r="G1283" s="34" t="n">
        <f aca="false">B1283/1</f>
        <v>232.71</v>
      </c>
      <c r="H1283" s="34" t="str">
        <f aca="false">IF(F1283=1,G1283,"")</f>
        <v/>
      </c>
    </row>
    <row r="1284" customFormat="false" ht="15" hidden="false" customHeight="false" outlineLevel="0" collapsed="false">
      <c r="A1284" s="31" t="n">
        <v>42789.4166666667</v>
      </c>
      <c r="B1284" s="32" t="n">
        <v>249.235</v>
      </c>
      <c r="D1284" s="33" t="n">
        <f aca="false">WEEKDAY(A1284,2)</f>
        <v>4</v>
      </c>
      <c r="E1284" s="33" t="n">
        <f aca="false">HOUR(A1284)+MINUTE(A1284)/60</f>
        <v>10</v>
      </c>
      <c r="F1284" s="33" t="n">
        <f aca="false">IF(OR(D1284&gt;5,E1284&lt;8,E1284&gt;=18,COUNTIF($K$2:$K$10,INT(A1284))&gt;0),1,0)</f>
        <v>0</v>
      </c>
      <c r="G1284" s="34" t="n">
        <f aca="false">B1284/1</f>
        <v>249.235</v>
      </c>
      <c r="H1284" s="34" t="str">
        <f aca="false">IF(F1284=1,G1284,"")</f>
        <v/>
      </c>
    </row>
    <row r="1285" customFormat="false" ht="15" hidden="false" customHeight="false" outlineLevel="0" collapsed="false">
      <c r="A1285" s="31" t="n">
        <v>42789.4583333333</v>
      </c>
      <c r="B1285" s="32" t="n">
        <v>269.581</v>
      </c>
      <c r="D1285" s="33" t="n">
        <f aca="false">WEEKDAY(A1285,2)</f>
        <v>4</v>
      </c>
      <c r="E1285" s="33" t="n">
        <f aca="false">HOUR(A1285)+MINUTE(A1285)/60</f>
        <v>11</v>
      </c>
      <c r="F1285" s="33" t="n">
        <f aca="false">IF(OR(D1285&gt;5,E1285&lt;8,E1285&gt;=18,COUNTIF($K$2:$K$10,INT(A1285))&gt;0),1,0)</f>
        <v>0</v>
      </c>
      <c r="G1285" s="34" t="n">
        <f aca="false">B1285/1</f>
        <v>269.581</v>
      </c>
      <c r="H1285" s="34" t="str">
        <f aca="false">IF(F1285=1,G1285,"")</f>
        <v/>
      </c>
    </row>
    <row r="1286" customFormat="false" ht="15" hidden="false" customHeight="false" outlineLevel="0" collapsed="false">
      <c r="A1286" s="31" t="n">
        <v>42789.5</v>
      </c>
      <c r="B1286" s="32" t="n">
        <v>267.321</v>
      </c>
      <c r="D1286" s="33" t="n">
        <f aca="false">WEEKDAY(A1286,2)</f>
        <v>4</v>
      </c>
      <c r="E1286" s="33" t="n">
        <f aca="false">HOUR(A1286)+MINUTE(A1286)/60</f>
        <v>12</v>
      </c>
      <c r="F1286" s="33" t="n">
        <f aca="false">IF(OR(D1286&gt;5,E1286&lt;8,E1286&gt;=18,COUNTIF($K$2:$K$10,INT(A1286))&gt;0),1,0)</f>
        <v>0</v>
      </c>
      <c r="G1286" s="34" t="n">
        <f aca="false">B1286/1</f>
        <v>267.321</v>
      </c>
      <c r="H1286" s="34" t="str">
        <f aca="false">IF(F1286=1,G1286,"")</f>
        <v/>
      </c>
    </row>
    <row r="1287" customFormat="false" ht="15" hidden="false" customHeight="false" outlineLevel="0" collapsed="false">
      <c r="A1287" s="31" t="n">
        <v>42789.5416666667</v>
      </c>
      <c r="B1287" s="32" t="n">
        <v>271.626</v>
      </c>
      <c r="D1287" s="33" t="n">
        <f aca="false">WEEKDAY(A1287,2)</f>
        <v>4</v>
      </c>
      <c r="E1287" s="33" t="n">
        <f aca="false">HOUR(A1287)+MINUTE(A1287)/60</f>
        <v>13</v>
      </c>
      <c r="F1287" s="33" t="n">
        <f aca="false">IF(OR(D1287&gt;5,E1287&lt;8,E1287&gt;=18,COUNTIF($K$2:$K$10,INT(A1287))&gt;0),1,0)</f>
        <v>0</v>
      </c>
      <c r="G1287" s="34" t="n">
        <f aca="false">B1287/1</f>
        <v>271.626</v>
      </c>
      <c r="H1287" s="34" t="str">
        <f aca="false">IF(F1287=1,G1287,"")</f>
        <v/>
      </c>
    </row>
    <row r="1288" customFormat="false" ht="15" hidden="false" customHeight="false" outlineLevel="0" collapsed="false">
      <c r="A1288" s="31" t="n">
        <v>42789.5833333333</v>
      </c>
      <c r="B1288" s="32" t="n">
        <v>267</v>
      </c>
      <c r="D1288" s="33" t="n">
        <f aca="false">WEEKDAY(A1288,2)</f>
        <v>4</v>
      </c>
      <c r="E1288" s="33" t="n">
        <f aca="false">HOUR(A1288)+MINUTE(A1288)/60</f>
        <v>14</v>
      </c>
      <c r="F1288" s="33" t="n">
        <f aca="false">IF(OR(D1288&gt;5,E1288&lt;8,E1288&gt;=18,COUNTIF($K$2:$K$10,INT(A1288))&gt;0),1,0)</f>
        <v>0</v>
      </c>
      <c r="G1288" s="34" t="n">
        <f aca="false">B1288/1</f>
        <v>267</v>
      </c>
      <c r="H1288" s="34" t="str">
        <f aca="false">IF(F1288=1,G1288,"")</f>
        <v/>
      </c>
    </row>
    <row r="1289" customFormat="false" ht="15" hidden="false" customHeight="false" outlineLevel="0" collapsed="false">
      <c r="A1289" s="31" t="n">
        <v>42789.625</v>
      </c>
      <c r="B1289" s="32" t="n">
        <v>263.313</v>
      </c>
      <c r="D1289" s="33" t="n">
        <f aca="false">WEEKDAY(A1289,2)</f>
        <v>4</v>
      </c>
      <c r="E1289" s="33" t="n">
        <f aca="false">HOUR(A1289)+MINUTE(A1289)/60</f>
        <v>15</v>
      </c>
      <c r="F1289" s="33" t="n">
        <f aca="false">IF(OR(D1289&gt;5,E1289&lt;8,E1289&gt;=18,COUNTIF($K$2:$K$10,INT(A1289))&gt;0),1,0)</f>
        <v>0</v>
      </c>
      <c r="G1289" s="34" t="n">
        <f aca="false">B1289/1</f>
        <v>263.313</v>
      </c>
      <c r="H1289" s="34" t="str">
        <f aca="false">IF(F1289=1,G1289,"")</f>
        <v/>
      </c>
    </row>
    <row r="1290" customFormat="false" ht="15" hidden="false" customHeight="false" outlineLevel="0" collapsed="false">
      <c r="A1290" s="31" t="n">
        <v>42789.6666666667</v>
      </c>
      <c r="B1290" s="32" t="n">
        <v>247.368</v>
      </c>
      <c r="D1290" s="33" t="n">
        <f aca="false">WEEKDAY(A1290,2)</f>
        <v>4</v>
      </c>
      <c r="E1290" s="33" t="n">
        <f aca="false">HOUR(A1290)+MINUTE(A1290)/60</f>
        <v>16</v>
      </c>
      <c r="F1290" s="33" t="n">
        <f aca="false">IF(OR(D1290&gt;5,E1290&lt;8,E1290&gt;=18,COUNTIF($K$2:$K$10,INT(A1290))&gt;0),1,0)</f>
        <v>0</v>
      </c>
      <c r="G1290" s="34" t="n">
        <f aca="false">B1290/1</f>
        <v>247.368</v>
      </c>
      <c r="H1290" s="34" t="str">
        <f aca="false">IF(F1290=1,G1290,"")</f>
        <v/>
      </c>
    </row>
    <row r="1291" customFormat="false" ht="15" hidden="false" customHeight="false" outlineLevel="0" collapsed="false">
      <c r="A1291" s="31" t="n">
        <v>42789.7083333333</v>
      </c>
      <c r="B1291" s="32" t="n">
        <v>235.388</v>
      </c>
      <c r="D1291" s="33" t="n">
        <f aca="false">WEEKDAY(A1291,2)</f>
        <v>4</v>
      </c>
      <c r="E1291" s="33" t="n">
        <f aca="false">HOUR(A1291)+MINUTE(A1291)/60</f>
        <v>17</v>
      </c>
      <c r="F1291" s="33" t="n">
        <f aca="false">IF(OR(D1291&gt;5,E1291&lt;8,E1291&gt;=18,COUNTIF($K$2:$K$10,INT(A1291))&gt;0),1,0)</f>
        <v>0</v>
      </c>
      <c r="G1291" s="34" t="n">
        <f aca="false">B1291/1</f>
        <v>235.388</v>
      </c>
      <c r="H1291" s="34" t="str">
        <f aca="false">IF(F1291=1,G1291,"")</f>
        <v/>
      </c>
    </row>
    <row r="1292" customFormat="false" ht="15" hidden="false" customHeight="false" outlineLevel="0" collapsed="false">
      <c r="A1292" s="31" t="n">
        <v>42789.75</v>
      </c>
      <c r="B1292" s="32" t="n">
        <v>217.666</v>
      </c>
      <c r="D1292" s="33" t="n">
        <f aca="false">WEEKDAY(A1292,2)</f>
        <v>4</v>
      </c>
      <c r="E1292" s="33" t="n">
        <f aca="false">HOUR(A1292)+MINUTE(A1292)/60</f>
        <v>18</v>
      </c>
      <c r="F1292" s="33" t="n">
        <f aca="false">IF(OR(D1292&gt;5,E1292&lt;8,E1292&gt;=18,COUNTIF($K$2:$K$10,INT(A1292))&gt;0),1,0)</f>
        <v>1</v>
      </c>
      <c r="G1292" s="34" t="n">
        <f aca="false">B1292/1</f>
        <v>217.666</v>
      </c>
      <c r="H1292" s="34" t="n">
        <f aca="false">IF(F1292=1,G1292,"")</f>
        <v>217.666</v>
      </c>
    </row>
    <row r="1293" customFormat="false" ht="15" hidden="false" customHeight="false" outlineLevel="0" collapsed="false">
      <c r="A1293" s="31" t="n">
        <v>42789.7916666667</v>
      </c>
      <c r="B1293" s="32" t="n">
        <v>215.194</v>
      </c>
      <c r="D1293" s="33" t="n">
        <f aca="false">WEEKDAY(A1293,2)</f>
        <v>4</v>
      </c>
      <c r="E1293" s="33" t="n">
        <f aca="false">HOUR(A1293)+MINUTE(A1293)/60</f>
        <v>19</v>
      </c>
      <c r="F1293" s="33" t="n">
        <f aca="false">IF(OR(D1293&gt;5,E1293&lt;8,E1293&gt;=18,COUNTIF($K$2:$K$10,INT(A1293))&gt;0),1,0)</f>
        <v>1</v>
      </c>
      <c r="G1293" s="34" t="n">
        <f aca="false">B1293/1</f>
        <v>215.194</v>
      </c>
      <c r="H1293" s="34" t="n">
        <f aca="false">IF(F1293=1,G1293,"")</f>
        <v>215.194</v>
      </c>
    </row>
    <row r="1294" customFormat="false" ht="15" hidden="false" customHeight="false" outlineLevel="0" collapsed="false">
      <c r="A1294" s="31" t="n">
        <v>42789.8333333333</v>
      </c>
      <c r="B1294" s="32" t="n">
        <v>206.042</v>
      </c>
      <c r="D1294" s="33" t="n">
        <f aca="false">WEEKDAY(A1294,2)</f>
        <v>4</v>
      </c>
      <c r="E1294" s="33" t="n">
        <f aca="false">HOUR(A1294)+MINUTE(A1294)/60</f>
        <v>20</v>
      </c>
      <c r="F1294" s="33" t="n">
        <f aca="false">IF(OR(D1294&gt;5,E1294&lt;8,E1294&gt;=18,COUNTIF($K$2:$K$10,INT(A1294))&gt;0),1,0)</f>
        <v>1</v>
      </c>
      <c r="G1294" s="34" t="n">
        <f aca="false">B1294/1</f>
        <v>206.042</v>
      </c>
      <c r="H1294" s="34" t="n">
        <f aca="false">IF(F1294=1,G1294,"")</f>
        <v>206.042</v>
      </c>
    </row>
    <row r="1295" customFormat="false" ht="15" hidden="false" customHeight="false" outlineLevel="0" collapsed="false">
      <c r="A1295" s="31" t="n">
        <v>42789.875</v>
      </c>
      <c r="B1295" s="32" t="n">
        <v>195.204</v>
      </c>
      <c r="D1295" s="33" t="n">
        <f aca="false">WEEKDAY(A1295,2)</f>
        <v>4</v>
      </c>
      <c r="E1295" s="33" t="n">
        <f aca="false">HOUR(A1295)+MINUTE(A1295)/60</f>
        <v>21</v>
      </c>
      <c r="F1295" s="33" t="n">
        <f aca="false">IF(OR(D1295&gt;5,E1295&lt;8,E1295&gt;=18,COUNTIF($K$2:$K$10,INT(A1295))&gt;0),1,0)</f>
        <v>1</v>
      </c>
      <c r="G1295" s="34" t="n">
        <f aca="false">B1295/1</f>
        <v>195.204</v>
      </c>
      <c r="H1295" s="34" t="n">
        <f aca="false">IF(F1295=1,G1295,"")</f>
        <v>195.204</v>
      </c>
    </row>
    <row r="1296" customFormat="false" ht="15" hidden="false" customHeight="false" outlineLevel="0" collapsed="false">
      <c r="A1296" s="31" t="n">
        <v>42789.9166666667</v>
      </c>
      <c r="B1296" s="32" t="n">
        <v>131.538</v>
      </c>
      <c r="D1296" s="33" t="n">
        <f aca="false">WEEKDAY(A1296,2)</f>
        <v>4</v>
      </c>
      <c r="E1296" s="33" t="n">
        <f aca="false">HOUR(A1296)+MINUTE(A1296)/60</f>
        <v>22</v>
      </c>
      <c r="F1296" s="33" t="n">
        <f aca="false">IF(OR(D1296&gt;5,E1296&lt;8,E1296&gt;=18,COUNTIF($K$2:$K$10,INT(A1296))&gt;0),1,0)</f>
        <v>1</v>
      </c>
      <c r="G1296" s="34" t="n">
        <f aca="false">B1296/1</f>
        <v>131.538</v>
      </c>
      <c r="H1296" s="34" t="n">
        <f aca="false">IF(F1296=1,G1296,"")</f>
        <v>131.538</v>
      </c>
    </row>
    <row r="1297" customFormat="false" ht="15" hidden="false" customHeight="false" outlineLevel="0" collapsed="false">
      <c r="A1297" s="31" t="n">
        <v>42789.9583333333</v>
      </c>
      <c r="B1297" s="32" t="n">
        <v>74.9</v>
      </c>
      <c r="D1297" s="33" t="n">
        <f aca="false">WEEKDAY(A1297,2)</f>
        <v>4</v>
      </c>
      <c r="E1297" s="33" t="n">
        <f aca="false">HOUR(A1297)+MINUTE(A1297)/60</f>
        <v>23</v>
      </c>
      <c r="F1297" s="33" t="n">
        <f aca="false">IF(OR(D1297&gt;5,E1297&lt;8,E1297&gt;=18,COUNTIF($K$2:$K$10,INT(A1297))&gt;0),1,0)</f>
        <v>1</v>
      </c>
      <c r="G1297" s="34" t="n">
        <f aca="false">B1297/1</f>
        <v>74.9</v>
      </c>
      <c r="H1297" s="34" t="n">
        <f aca="false">IF(F1297=1,G1297,"")</f>
        <v>74.9</v>
      </c>
    </row>
    <row r="1298" customFormat="false" ht="15" hidden="false" customHeight="false" outlineLevel="0" collapsed="false">
      <c r="A1298" s="31" t="n">
        <v>42790</v>
      </c>
      <c r="B1298" s="32" t="n">
        <v>68.252</v>
      </c>
      <c r="D1298" s="33" t="n">
        <f aca="false">WEEKDAY(A1298,2)</f>
        <v>5</v>
      </c>
      <c r="E1298" s="33" t="n">
        <f aca="false">HOUR(A1298)+MINUTE(A1298)/60</f>
        <v>0</v>
      </c>
      <c r="F1298" s="33" t="n">
        <f aca="false">IF(OR(D1298&gt;5,E1298&lt;8,E1298&gt;=18,COUNTIF($K$2:$K$10,INT(A1298))&gt;0),1,0)</f>
        <v>1</v>
      </c>
      <c r="G1298" s="34" t="n">
        <f aca="false">B1298/1</f>
        <v>68.252</v>
      </c>
      <c r="H1298" s="34" t="n">
        <f aca="false">IF(F1298=1,G1298,"")</f>
        <v>68.252</v>
      </c>
    </row>
    <row r="1299" customFormat="false" ht="15" hidden="false" customHeight="false" outlineLevel="0" collapsed="false">
      <c r="A1299" s="31" t="n">
        <v>42790.0416666667</v>
      </c>
      <c r="B1299" s="32" t="n">
        <v>61.789</v>
      </c>
      <c r="D1299" s="33" t="n">
        <f aca="false">WEEKDAY(A1299,2)</f>
        <v>5</v>
      </c>
      <c r="E1299" s="33" t="n">
        <f aca="false">HOUR(A1299)+MINUTE(A1299)/60</f>
        <v>1</v>
      </c>
      <c r="F1299" s="33" t="n">
        <f aca="false">IF(OR(D1299&gt;5,E1299&lt;8,E1299&gt;=18,COUNTIF($K$2:$K$10,INT(A1299))&gt;0),1,0)</f>
        <v>1</v>
      </c>
      <c r="G1299" s="34" t="n">
        <f aca="false">B1299/1</f>
        <v>61.789</v>
      </c>
      <c r="H1299" s="34" t="n">
        <f aca="false">IF(F1299=1,G1299,"")</f>
        <v>61.789</v>
      </c>
    </row>
    <row r="1300" customFormat="false" ht="15" hidden="false" customHeight="false" outlineLevel="0" collapsed="false">
      <c r="A1300" s="31" t="n">
        <v>42790.0833333333</v>
      </c>
      <c r="B1300" s="32" t="n">
        <v>61.344</v>
      </c>
      <c r="D1300" s="33" t="n">
        <f aca="false">WEEKDAY(A1300,2)</f>
        <v>5</v>
      </c>
      <c r="E1300" s="33" t="n">
        <f aca="false">HOUR(A1300)+MINUTE(A1300)/60</f>
        <v>2</v>
      </c>
      <c r="F1300" s="33" t="n">
        <f aca="false">IF(OR(D1300&gt;5,E1300&lt;8,E1300&gt;=18,COUNTIF($K$2:$K$10,INT(A1300))&gt;0),1,0)</f>
        <v>1</v>
      </c>
      <c r="G1300" s="34" t="n">
        <f aca="false">B1300/1</f>
        <v>61.344</v>
      </c>
      <c r="H1300" s="34" t="n">
        <f aca="false">IF(F1300=1,G1300,"")</f>
        <v>61.344</v>
      </c>
    </row>
    <row r="1301" customFormat="false" ht="15" hidden="false" customHeight="false" outlineLevel="0" collapsed="false">
      <c r="A1301" s="31" t="n">
        <v>42790.125</v>
      </c>
      <c r="B1301" s="32" t="n">
        <v>61.819</v>
      </c>
      <c r="D1301" s="33" t="n">
        <f aca="false">WEEKDAY(A1301,2)</f>
        <v>5</v>
      </c>
      <c r="E1301" s="33" t="n">
        <f aca="false">HOUR(A1301)+MINUTE(A1301)/60</f>
        <v>3</v>
      </c>
      <c r="F1301" s="33" t="n">
        <f aca="false">IF(OR(D1301&gt;5,E1301&lt;8,E1301&gt;=18,COUNTIF($K$2:$K$10,INT(A1301))&gt;0),1,0)</f>
        <v>1</v>
      </c>
      <c r="G1301" s="34" t="n">
        <f aca="false">B1301/1</f>
        <v>61.819</v>
      </c>
      <c r="H1301" s="34" t="n">
        <f aca="false">IF(F1301=1,G1301,"")</f>
        <v>61.819</v>
      </c>
    </row>
    <row r="1302" customFormat="false" ht="15" hidden="false" customHeight="false" outlineLevel="0" collapsed="false">
      <c r="A1302" s="31" t="n">
        <v>42790.1666666667</v>
      </c>
      <c r="B1302" s="32" t="n">
        <v>59.539</v>
      </c>
      <c r="D1302" s="33" t="n">
        <f aca="false">WEEKDAY(A1302,2)</f>
        <v>5</v>
      </c>
      <c r="E1302" s="33" t="n">
        <f aca="false">HOUR(A1302)+MINUTE(A1302)/60</f>
        <v>4</v>
      </c>
      <c r="F1302" s="33" t="n">
        <f aca="false">IF(OR(D1302&gt;5,E1302&lt;8,E1302&gt;=18,COUNTIF($K$2:$K$10,INT(A1302))&gt;0),1,0)</f>
        <v>1</v>
      </c>
      <c r="G1302" s="34" t="n">
        <f aca="false">B1302/1</f>
        <v>59.539</v>
      </c>
      <c r="H1302" s="34" t="n">
        <f aca="false">IF(F1302=1,G1302,"")</f>
        <v>59.539</v>
      </c>
    </row>
    <row r="1303" customFormat="false" ht="15" hidden="false" customHeight="false" outlineLevel="0" collapsed="false">
      <c r="A1303" s="31" t="n">
        <v>42790.2083333333</v>
      </c>
      <c r="B1303" s="32" t="n">
        <v>59.716</v>
      </c>
      <c r="D1303" s="33" t="n">
        <f aca="false">WEEKDAY(A1303,2)</f>
        <v>5</v>
      </c>
      <c r="E1303" s="33" t="n">
        <f aca="false">HOUR(A1303)+MINUTE(A1303)/60</f>
        <v>5</v>
      </c>
      <c r="F1303" s="33" t="n">
        <f aca="false">IF(OR(D1303&gt;5,E1303&lt;8,E1303&gt;=18,COUNTIF($K$2:$K$10,INT(A1303))&gt;0),1,0)</f>
        <v>1</v>
      </c>
      <c r="G1303" s="34" t="n">
        <f aca="false">B1303/1</f>
        <v>59.716</v>
      </c>
      <c r="H1303" s="34" t="n">
        <f aca="false">IF(F1303=1,G1303,"")</f>
        <v>59.716</v>
      </c>
    </row>
    <row r="1304" customFormat="false" ht="15" hidden="false" customHeight="false" outlineLevel="0" collapsed="false">
      <c r="A1304" s="31" t="n">
        <v>42790.25</v>
      </c>
      <c r="B1304" s="32" t="n">
        <v>62.729</v>
      </c>
      <c r="D1304" s="33" t="n">
        <f aca="false">WEEKDAY(A1304,2)</f>
        <v>5</v>
      </c>
      <c r="E1304" s="33" t="n">
        <f aca="false">HOUR(A1304)+MINUTE(A1304)/60</f>
        <v>6</v>
      </c>
      <c r="F1304" s="33" t="n">
        <f aca="false">IF(OR(D1304&gt;5,E1304&lt;8,E1304&gt;=18,COUNTIF($K$2:$K$10,INT(A1304))&gt;0),1,0)</f>
        <v>1</v>
      </c>
      <c r="G1304" s="34" t="n">
        <f aca="false">B1304/1</f>
        <v>62.729</v>
      </c>
      <c r="H1304" s="34" t="n">
        <f aca="false">IF(F1304=1,G1304,"")</f>
        <v>62.729</v>
      </c>
    </row>
    <row r="1305" customFormat="false" ht="15" hidden="false" customHeight="false" outlineLevel="0" collapsed="false">
      <c r="A1305" s="31" t="n">
        <v>42790.2916666667</v>
      </c>
      <c r="B1305" s="32" t="n">
        <v>67.298</v>
      </c>
      <c r="D1305" s="33" t="n">
        <f aca="false">WEEKDAY(A1305,2)</f>
        <v>5</v>
      </c>
      <c r="E1305" s="33" t="n">
        <f aca="false">HOUR(A1305)+MINUTE(A1305)/60</f>
        <v>7</v>
      </c>
      <c r="F1305" s="33" t="n">
        <f aca="false">IF(OR(D1305&gt;5,E1305&lt;8,E1305&gt;=18,COUNTIF($K$2:$K$10,INT(A1305))&gt;0),1,0)</f>
        <v>1</v>
      </c>
      <c r="G1305" s="34" t="n">
        <f aca="false">B1305/1</f>
        <v>67.298</v>
      </c>
      <c r="H1305" s="34" t="n">
        <f aca="false">IF(F1305=1,G1305,"")</f>
        <v>67.298</v>
      </c>
    </row>
    <row r="1306" customFormat="false" ht="15" hidden="false" customHeight="false" outlineLevel="0" collapsed="false">
      <c r="A1306" s="31" t="n">
        <v>42790.3333333333</v>
      </c>
      <c r="B1306" s="32" t="n">
        <v>177.016</v>
      </c>
      <c r="D1306" s="33" t="n">
        <f aca="false">WEEKDAY(A1306,2)</f>
        <v>5</v>
      </c>
      <c r="E1306" s="33" t="n">
        <f aca="false">HOUR(A1306)+MINUTE(A1306)/60</f>
        <v>8</v>
      </c>
      <c r="F1306" s="33" t="n">
        <f aca="false">IF(OR(D1306&gt;5,E1306&lt;8,E1306&gt;=18,COUNTIF($K$2:$K$10,INT(A1306))&gt;0),1,0)</f>
        <v>0</v>
      </c>
      <c r="G1306" s="34" t="n">
        <f aca="false">B1306/1</f>
        <v>177.016</v>
      </c>
      <c r="H1306" s="34" t="str">
        <f aca="false">IF(F1306=1,G1306,"")</f>
        <v/>
      </c>
    </row>
    <row r="1307" customFormat="false" ht="15" hidden="false" customHeight="false" outlineLevel="0" collapsed="false">
      <c r="A1307" s="31" t="n">
        <v>42790.375</v>
      </c>
      <c r="B1307" s="32" t="n">
        <v>212.085</v>
      </c>
      <c r="D1307" s="33" t="n">
        <f aca="false">WEEKDAY(A1307,2)</f>
        <v>5</v>
      </c>
      <c r="E1307" s="33" t="n">
        <f aca="false">HOUR(A1307)+MINUTE(A1307)/60</f>
        <v>9</v>
      </c>
      <c r="F1307" s="33" t="n">
        <f aca="false">IF(OR(D1307&gt;5,E1307&lt;8,E1307&gt;=18,COUNTIF($K$2:$K$10,INT(A1307))&gt;0),1,0)</f>
        <v>0</v>
      </c>
      <c r="G1307" s="34" t="n">
        <f aca="false">B1307/1</f>
        <v>212.085</v>
      </c>
      <c r="H1307" s="34" t="str">
        <f aca="false">IF(F1307=1,G1307,"")</f>
        <v/>
      </c>
    </row>
    <row r="1308" customFormat="false" ht="15" hidden="false" customHeight="false" outlineLevel="0" collapsed="false">
      <c r="A1308" s="31" t="n">
        <v>42790.4166666667</v>
      </c>
      <c r="B1308" s="32" t="n">
        <v>242.982</v>
      </c>
      <c r="D1308" s="33" t="n">
        <f aca="false">WEEKDAY(A1308,2)</f>
        <v>5</v>
      </c>
      <c r="E1308" s="33" t="n">
        <f aca="false">HOUR(A1308)+MINUTE(A1308)/60</f>
        <v>10</v>
      </c>
      <c r="F1308" s="33" t="n">
        <f aca="false">IF(OR(D1308&gt;5,E1308&lt;8,E1308&gt;=18,COUNTIF($K$2:$K$10,INT(A1308))&gt;0),1,0)</f>
        <v>0</v>
      </c>
      <c r="G1308" s="34" t="n">
        <f aca="false">B1308/1</f>
        <v>242.982</v>
      </c>
      <c r="H1308" s="34" t="str">
        <f aca="false">IF(F1308=1,G1308,"")</f>
        <v/>
      </c>
    </row>
    <row r="1309" customFormat="false" ht="15" hidden="false" customHeight="false" outlineLevel="0" collapsed="false">
      <c r="A1309" s="31" t="n">
        <v>42790.4583333333</v>
      </c>
      <c r="B1309" s="32" t="n">
        <v>256.639</v>
      </c>
      <c r="D1309" s="33" t="n">
        <f aca="false">WEEKDAY(A1309,2)</f>
        <v>5</v>
      </c>
      <c r="E1309" s="33" t="n">
        <f aca="false">HOUR(A1309)+MINUTE(A1309)/60</f>
        <v>11</v>
      </c>
      <c r="F1309" s="33" t="n">
        <f aca="false">IF(OR(D1309&gt;5,E1309&lt;8,E1309&gt;=18,COUNTIF($K$2:$K$10,INT(A1309))&gt;0),1,0)</f>
        <v>0</v>
      </c>
      <c r="G1309" s="34" t="n">
        <f aca="false">B1309/1</f>
        <v>256.639</v>
      </c>
      <c r="H1309" s="34" t="str">
        <f aca="false">IF(F1309=1,G1309,"")</f>
        <v/>
      </c>
    </row>
    <row r="1310" customFormat="false" ht="15" hidden="false" customHeight="false" outlineLevel="0" collapsed="false">
      <c r="A1310" s="31" t="n">
        <v>42790.5</v>
      </c>
      <c r="B1310" s="32" t="n">
        <v>264.41</v>
      </c>
      <c r="D1310" s="33" t="n">
        <f aca="false">WEEKDAY(A1310,2)</f>
        <v>5</v>
      </c>
      <c r="E1310" s="33" t="n">
        <f aca="false">HOUR(A1310)+MINUTE(A1310)/60</f>
        <v>12</v>
      </c>
      <c r="F1310" s="33" t="n">
        <f aca="false">IF(OR(D1310&gt;5,E1310&lt;8,E1310&gt;=18,COUNTIF($K$2:$K$10,INT(A1310))&gt;0),1,0)</f>
        <v>0</v>
      </c>
      <c r="G1310" s="34" t="n">
        <f aca="false">B1310/1</f>
        <v>264.41</v>
      </c>
      <c r="H1310" s="34" t="str">
        <f aca="false">IF(F1310=1,G1310,"")</f>
        <v/>
      </c>
    </row>
    <row r="1311" customFormat="false" ht="15" hidden="false" customHeight="false" outlineLevel="0" collapsed="false">
      <c r="A1311" s="31" t="n">
        <v>42790.5416666667</v>
      </c>
      <c r="B1311" s="32" t="n">
        <v>247.635</v>
      </c>
      <c r="D1311" s="33" t="n">
        <f aca="false">WEEKDAY(A1311,2)</f>
        <v>5</v>
      </c>
      <c r="E1311" s="33" t="n">
        <f aca="false">HOUR(A1311)+MINUTE(A1311)/60</f>
        <v>13</v>
      </c>
      <c r="F1311" s="33" t="n">
        <f aca="false">IF(OR(D1311&gt;5,E1311&lt;8,E1311&gt;=18,COUNTIF($K$2:$K$10,INT(A1311))&gt;0),1,0)</f>
        <v>0</v>
      </c>
      <c r="G1311" s="34" t="n">
        <f aca="false">B1311/1</f>
        <v>247.635</v>
      </c>
      <c r="H1311" s="34" t="str">
        <f aca="false">IF(F1311=1,G1311,"")</f>
        <v/>
      </c>
    </row>
    <row r="1312" customFormat="false" ht="15" hidden="false" customHeight="false" outlineLevel="0" collapsed="false">
      <c r="A1312" s="31" t="n">
        <v>42790.5833333333</v>
      </c>
      <c r="B1312" s="32" t="n">
        <v>230.638</v>
      </c>
      <c r="D1312" s="33" t="n">
        <f aca="false">WEEKDAY(A1312,2)</f>
        <v>5</v>
      </c>
      <c r="E1312" s="33" t="n">
        <f aca="false">HOUR(A1312)+MINUTE(A1312)/60</f>
        <v>14</v>
      </c>
      <c r="F1312" s="33" t="n">
        <f aca="false">IF(OR(D1312&gt;5,E1312&lt;8,E1312&gt;=18,COUNTIF($K$2:$K$10,INT(A1312))&gt;0),1,0)</f>
        <v>0</v>
      </c>
      <c r="G1312" s="34" t="n">
        <f aca="false">B1312/1</f>
        <v>230.638</v>
      </c>
      <c r="H1312" s="34" t="str">
        <f aca="false">IF(F1312=1,G1312,"")</f>
        <v/>
      </c>
    </row>
    <row r="1313" customFormat="false" ht="15" hidden="false" customHeight="false" outlineLevel="0" collapsed="false">
      <c r="A1313" s="31" t="n">
        <v>42790.625</v>
      </c>
      <c r="B1313" s="32" t="n">
        <v>226.437</v>
      </c>
      <c r="D1313" s="33" t="n">
        <f aca="false">WEEKDAY(A1313,2)</f>
        <v>5</v>
      </c>
      <c r="E1313" s="33" t="n">
        <f aca="false">HOUR(A1313)+MINUTE(A1313)/60</f>
        <v>15</v>
      </c>
      <c r="F1313" s="33" t="n">
        <f aca="false">IF(OR(D1313&gt;5,E1313&lt;8,E1313&gt;=18,COUNTIF($K$2:$K$10,INT(A1313))&gt;0),1,0)</f>
        <v>0</v>
      </c>
      <c r="G1313" s="34" t="n">
        <f aca="false">B1313/1</f>
        <v>226.437</v>
      </c>
      <c r="H1313" s="34" t="str">
        <f aca="false">IF(F1313=1,G1313,"")</f>
        <v/>
      </c>
    </row>
    <row r="1314" customFormat="false" ht="15" hidden="false" customHeight="false" outlineLevel="0" collapsed="false">
      <c r="A1314" s="31" t="n">
        <v>42790.6666666667</v>
      </c>
      <c r="B1314" s="32" t="n">
        <v>221.27</v>
      </c>
      <c r="D1314" s="33" t="n">
        <f aca="false">WEEKDAY(A1314,2)</f>
        <v>5</v>
      </c>
      <c r="E1314" s="33" t="n">
        <f aca="false">HOUR(A1314)+MINUTE(A1314)/60</f>
        <v>16</v>
      </c>
      <c r="F1314" s="33" t="n">
        <f aca="false">IF(OR(D1314&gt;5,E1314&lt;8,E1314&gt;=18,COUNTIF($K$2:$K$10,INT(A1314))&gt;0),1,0)</f>
        <v>0</v>
      </c>
      <c r="G1314" s="34" t="n">
        <f aca="false">B1314/1</f>
        <v>221.27</v>
      </c>
      <c r="H1314" s="34" t="str">
        <f aca="false">IF(F1314=1,G1314,"")</f>
        <v/>
      </c>
    </row>
    <row r="1315" customFormat="false" ht="15" hidden="false" customHeight="false" outlineLevel="0" collapsed="false">
      <c r="A1315" s="31" t="n">
        <v>42790.7083333333</v>
      </c>
      <c r="B1315" s="32" t="n">
        <v>212.672</v>
      </c>
      <c r="D1315" s="33" t="n">
        <f aca="false">WEEKDAY(A1315,2)</f>
        <v>5</v>
      </c>
      <c r="E1315" s="33" t="n">
        <f aca="false">HOUR(A1315)+MINUTE(A1315)/60</f>
        <v>17</v>
      </c>
      <c r="F1315" s="33" t="n">
        <f aca="false">IF(OR(D1315&gt;5,E1315&lt;8,E1315&gt;=18,COUNTIF($K$2:$K$10,INT(A1315))&gt;0),1,0)</f>
        <v>0</v>
      </c>
      <c r="G1315" s="34" t="n">
        <f aca="false">B1315/1</f>
        <v>212.672</v>
      </c>
      <c r="H1315" s="34" t="str">
        <f aca="false">IF(F1315=1,G1315,"")</f>
        <v/>
      </c>
    </row>
    <row r="1316" customFormat="false" ht="15" hidden="false" customHeight="false" outlineLevel="0" collapsed="false">
      <c r="A1316" s="31" t="n">
        <v>42790.75</v>
      </c>
      <c r="B1316" s="32" t="n">
        <v>198.688</v>
      </c>
      <c r="D1316" s="33" t="n">
        <f aca="false">WEEKDAY(A1316,2)</f>
        <v>5</v>
      </c>
      <c r="E1316" s="33" t="n">
        <f aca="false">HOUR(A1316)+MINUTE(A1316)/60</f>
        <v>18</v>
      </c>
      <c r="F1316" s="33" t="n">
        <f aca="false">IF(OR(D1316&gt;5,E1316&lt;8,E1316&gt;=18,COUNTIF($K$2:$K$10,INT(A1316))&gt;0),1,0)</f>
        <v>1</v>
      </c>
      <c r="G1316" s="34" t="n">
        <f aca="false">B1316/1</f>
        <v>198.688</v>
      </c>
      <c r="H1316" s="34" t="n">
        <f aca="false">IF(F1316=1,G1316,"")</f>
        <v>198.688</v>
      </c>
    </row>
    <row r="1317" customFormat="false" ht="15" hidden="false" customHeight="false" outlineLevel="0" collapsed="false">
      <c r="A1317" s="31" t="n">
        <v>42790.7916666667</v>
      </c>
      <c r="B1317" s="32" t="n">
        <v>196.038</v>
      </c>
      <c r="D1317" s="33" t="n">
        <f aca="false">WEEKDAY(A1317,2)</f>
        <v>5</v>
      </c>
      <c r="E1317" s="33" t="n">
        <f aca="false">HOUR(A1317)+MINUTE(A1317)/60</f>
        <v>19</v>
      </c>
      <c r="F1317" s="33" t="n">
        <f aca="false">IF(OR(D1317&gt;5,E1317&lt;8,E1317&gt;=18,COUNTIF($K$2:$K$10,INT(A1317))&gt;0),1,0)</f>
        <v>1</v>
      </c>
      <c r="G1317" s="34" t="n">
        <f aca="false">B1317/1</f>
        <v>196.038</v>
      </c>
      <c r="H1317" s="34" t="n">
        <f aca="false">IF(F1317=1,G1317,"")</f>
        <v>196.038</v>
      </c>
    </row>
    <row r="1318" customFormat="false" ht="15" hidden="false" customHeight="false" outlineLevel="0" collapsed="false">
      <c r="A1318" s="31" t="n">
        <v>42790.8333333333</v>
      </c>
      <c r="B1318" s="32" t="n">
        <v>192.394</v>
      </c>
      <c r="D1318" s="33" t="n">
        <f aca="false">WEEKDAY(A1318,2)</f>
        <v>5</v>
      </c>
      <c r="E1318" s="33" t="n">
        <f aca="false">HOUR(A1318)+MINUTE(A1318)/60</f>
        <v>20</v>
      </c>
      <c r="F1318" s="33" t="n">
        <f aca="false">IF(OR(D1318&gt;5,E1318&lt;8,E1318&gt;=18,COUNTIF($K$2:$K$10,INT(A1318))&gt;0),1,0)</f>
        <v>1</v>
      </c>
      <c r="G1318" s="34" t="n">
        <f aca="false">B1318/1</f>
        <v>192.394</v>
      </c>
      <c r="H1318" s="34" t="n">
        <f aca="false">IF(F1318=1,G1318,"")</f>
        <v>192.394</v>
      </c>
    </row>
    <row r="1319" customFormat="false" ht="15" hidden="false" customHeight="false" outlineLevel="0" collapsed="false">
      <c r="A1319" s="31" t="n">
        <v>42790.875</v>
      </c>
      <c r="B1319" s="32" t="n">
        <v>189.783</v>
      </c>
      <c r="D1319" s="33" t="n">
        <f aca="false">WEEKDAY(A1319,2)</f>
        <v>5</v>
      </c>
      <c r="E1319" s="33" t="n">
        <f aca="false">HOUR(A1319)+MINUTE(A1319)/60</f>
        <v>21</v>
      </c>
      <c r="F1319" s="33" t="n">
        <f aca="false">IF(OR(D1319&gt;5,E1319&lt;8,E1319&gt;=18,COUNTIF($K$2:$K$10,INT(A1319))&gt;0),1,0)</f>
        <v>1</v>
      </c>
      <c r="G1319" s="34" t="n">
        <f aca="false">B1319/1</f>
        <v>189.783</v>
      </c>
      <c r="H1319" s="34" t="n">
        <f aca="false">IF(F1319=1,G1319,"")</f>
        <v>189.783</v>
      </c>
    </row>
    <row r="1320" customFormat="false" ht="15" hidden="false" customHeight="false" outlineLevel="0" collapsed="false">
      <c r="A1320" s="31" t="n">
        <v>42790.9166666667</v>
      </c>
      <c r="B1320" s="32" t="n">
        <v>144.862</v>
      </c>
      <c r="D1320" s="33" t="n">
        <f aca="false">WEEKDAY(A1320,2)</f>
        <v>5</v>
      </c>
      <c r="E1320" s="33" t="n">
        <f aca="false">HOUR(A1320)+MINUTE(A1320)/60</f>
        <v>22</v>
      </c>
      <c r="F1320" s="33" t="n">
        <f aca="false">IF(OR(D1320&gt;5,E1320&lt;8,E1320&gt;=18,COUNTIF($K$2:$K$10,INT(A1320))&gt;0),1,0)</f>
        <v>1</v>
      </c>
      <c r="G1320" s="34" t="n">
        <f aca="false">B1320/1</f>
        <v>144.862</v>
      </c>
      <c r="H1320" s="34" t="n">
        <f aca="false">IF(F1320=1,G1320,"")</f>
        <v>144.862</v>
      </c>
    </row>
    <row r="1321" customFormat="false" ht="15" hidden="false" customHeight="false" outlineLevel="0" collapsed="false">
      <c r="A1321" s="31" t="n">
        <v>42790.9583333333</v>
      </c>
      <c r="B1321" s="32" t="n">
        <v>68.907</v>
      </c>
      <c r="D1321" s="33" t="n">
        <f aca="false">WEEKDAY(A1321,2)</f>
        <v>5</v>
      </c>
      <c r="E1321" s="33" t="n">
        <f aca="false">HOUR(A1321)+MINUTE(A1321)/60</f>
        <v>23</v>
      </c>
      <c r="F1321" s="33" t="n">
        <f aca="false">IF(OR(D1321&gt;5,E1321&lt;8,E1321&gt;=18,COUNTIF($K$2:$K$10,INT(A1321))&gt;0),1,0)</f>
        <v>1</v>
      </c>
      <c r="G1321" s="34" t="n">
        <f aca="false">B1321/1</f>
        <v>68.907</v>
      </c>
      <c r="H1321" s="34" t="n">
        <f aca="false">IF(F1321=1,G1321,"")</f>
        <v>68.907</v>
      </c>
    </row>
    <row r="1322" customFormat="false" ht="15" hidden="false" customHeight="false" outlineLevel="0" collapsed="false">
      <c r="A1322" s="31" t="n">
        <v>42791</v>
      </c>
      <c r="B1322" s="32" t="n">
        <v>64.894</v>
      </c>
      <c r="D1322" s="33" t="n">
        <f aca="false">WEEKDAY(A1322,2)</f>
        <v>6</v>
      </c>
      <c r="E1322" s="33" t="n">
        <f aca="false">HOUR(A1322)+MINUTE(A1322)/60</f>
        <v>0</v>
      </c>
      <c r="F1322" s="33" t="n">
        <f aca="false">IF(OR(D1322&gt;5,E1322&lt;8,E1322&gt;=18,COUNTIF($K$2:$K$10,INT(A1322))&gt;0),1,0)</f>
        <v>1</v>
      </c>
      <c r="G1322" s="34" t="n">
        <f aca="false">B1322/1</f>
        <v>64.894</v>
      </c>
      <c r="H1322" s="34" t="n">
        <f aca="false">IF(F1322=1,G1322,"")</f>
        <v>64.894</v>
      </c>
    </row>
    <row r="1323" customFormat="false" ht="15" hidden="false" customHeight="false" outlineLevel="0" collapsed="false">
      <c r="A1323" s="31" t="n">
        <v>42791.0416666667</v>
      </c>
      <c r="B1323" s="32" t="n">
        <v>61.921</v>
      </c>
      <c r="D1323" s="33" t="n">
        <f aca="false">WEEKDAY(A1323,2)</f>
        <v>6</v>
      </c>
      <c r="E1323" s="33" t="n">
        <f aca="false">HOUR(A1323)+MINUTE(A1323)/60</f>
        <v>1</v>
      </c>
      <c r="F1323" s="33" t="n">
        <f aca="false">IF(OR(D1323&gt;5,E1323&lt;8,E1323&gt;=18,COUNTIF($K$2:$K$10,INT(A1323))&gt;0),1,0)</f>
        <v>1</v>
      </c>
      <c r="G1323" s="34" t="n">
        <f aca="false">B1323/1</f>
        <v>61.921</v>
      </c>
      <c r="H1323" s="34" t="n">
        <f aca="false">IF(F1323=1,G1323,"")</f>
        <v>61.921</v>
      </c>
    </row>
    <row r="1324" customFormat="false" ht="15" hidden="false" customHeight="false" outlineLevel="0" collapsed="false">
      <c r="A1324" s="31" t="n">
        <v>42791.0833333333</v>
      </c>
      <c r="B1324" s="32" t="n">
        <v>61.019</v>
      </c>
      <c r="D1324" s="33" t="n">
        <f aca="false">WEEKDAY(A1324,2)</f>
        <v>6</v>
      </c>
      <c r="E1324" s="33" t="n">
        <f aca="false">HOUR(A1324)+MINUTE(A1324)/60</f>
        <v>2</v>
      </c>
      <c r="F1324" s="33" t="n">
        <f aca="false">IF(OR(D1324&gt;5,E1324&lt;8,E1324&gt;=18,COUNTIF($K$2:$K$10,INT(A1324))&gt;0),1,0)</f>
        <v>1</v>
      </c>
      <c r="G1324" s="34" t="n">
        <f aca="false">B1324/1</f>
        <v>61.019</v>
      </c>
      <c r="H1324" s="34" t="n">
        <f aca="false">IF(F1324=1,G1324,"")</f>
        <v>61.019</v>
      </c>
    </row>
    <row r="1325" customFormat="false" ht="15" hidden="false" customHeight="false" outlineLevel="0" collapsed="false">
      <c r="A1325" s="31" t="n">
        <v>42791.125</v>
      </c>
      <c r="B1325" s="32" t="n">
        <v>62.329</v>
      </c>
      <c r="D1325" s="33" t="n">
        <f aca="false">WEEKDAY(A1325,2)</f>
        <v>6</v>
      </c>
      <c r="E1325" s="33" t="n">
        <f aca="false">HOUR(A1325)+MINUTE(A1325)/60</f>
        <v>3</v>
      </c>
      <c r="F1325" s="33" t="n">
        <f aca="false">IF(OR(D1325&gt;5,E1325&lt;8,E1325&gt;=18,COUNTIF($K$2:$K$10,INT(A1325))&gt;0),1,0)</f>
        <v>1</v>
      </c>
      <c r="G1325" s="34" t="n">
        <f aca="false">B1325/1</f>
        <v>62.329</v>
      </c>
      <c r="H1325" s="34" t="n">
        <f aca="false">IF(F1325=1,G1325,"")</f>
        <v>62.329</v>
      </c>
    </row>
    <row r="1326" customFormat="false" ht="15" hidden="false" customHeight="false" outlineLevel="0" collapsed="false">
      <c r="A1326" s="31" t="n">
        <v>42791.1666666667</v>
      </c>
      <c r="B1326" s="32" t="n">
        <v>60.449</v>
      </c>
      <c r="D1326" s="33" t="n">
        <f aca="false">WEEKDAY(A1326,2)</f>
        <v>6</v>
      </c>
      <c r="E1326" s="33" t="n">
        <f aca="false">HOUR(A1326)+MINUTE(A1326)/60</f>
        <v>4</v>
      </c>
      <c r="F1326" s="33" t="n">
        <f aca="false">IF(OR(D1326&gt;5,E1326&lt;8,E1326&gt;=18,COUNTIF($K$2:$K$10,INT(A1326))&gt;0),1,0)</f>
        <v>1</v>
      </c>
      <c r="G1326" s="34" t="n">
        <f aca="false">B1326/1</f>
        <v>60.449</v>
      </c>
      <c r="H1326" s="34" t="n">
        <f aca="false">IF(F1326=1,G1326,"")</f>
        <v>60.449</v>
      </c>
    </row>
    <row r="1327" customFormat="false" ht="15" hidden="false" customHeight="false" outlineLevel="0" collapsed="false">
      <c r="A1327" s="31" t="n">
        <v>42791.2083333333</v>
      </c>
      <c r="B1327" s="32" t="n">
        <v>60.593</v>
      </c>
      <c r="D1327" s="33" t="n">
        <f aca="false">WEEKDAY(A1327,2)</f>
        <v>6</v>
      </c>
      <c r="E1327" s="33" t="n">
        <f aca="false">HOUR(A1327)+MINUTE(A1327)/60</f>
        <v>5</v>
      </c>
      <c r="F1327" s="33" t="n">
        <f aca="false">IF(OR(D1327&gt;5,E1327&lt;8,E1327&gt;=18,COUNTIF($K$2:$K$10,INT(A1327))&gt;0),1,0)</f>
        <v>1</v>
      </c>
      <c r="G1327" s="34" t="n">
        <f aca="false">B1327/1</f>
        <v>60.593</v>
      </c>
      <c r="H1327" s="34" t="n">
        <f aca="false">IF(F1327=1,G1327,"")</f>
        <v>60.593</v>
      </c>
    </row>
    <row r="1328" customFormat="false" ht="15" hidden="false" customHeight="false" outlineLevel="0" collapsed="false">
      <c r="A1328" s="31" t="n">
        <v>42791.25</v>
      </c>
      <c r="B1328" s="32" t="n">
        <v>61.526</v>
      </c>
      <c r="D1328" s="33" t="n">
        <f aca="false">WEEKDAY(A1328,2)</f>
        <v>6</v>
      </c>
      <c r="E1328" s="33" t="n">
        <f aca="false">HOUR(A1328)+MINUTE(A1328)/60</f>
        <v>6</v>
      </c>
      <c r="F1328" s="33" t="n">
        <f aca="false">IF(OR(D1328&gt;5,E1328&lt;8,E1328&gt;=18,COUNTIF($K$2:$K$10,INT(A1328))&gt;0),1,0)</f>
        <v>1</v>
      </c>
      <c r="G1328" s="34" t="n">
        <f aca="false">B1328/1</f>
        <v>61.526</v>
      </c>
      <c r="H1328" s="34" t="n">
        <f aca="false">IF(F1328=1,G1328,"")</f>
        <v>61.526</v>
      </c>
    </row>
    <row r="1329" customFormat="false" ht="15" hidden="false" customHeight="false" outlineLevel="0" collapsed="false">
      <c r="A1329" s="31" t="n">
        <v>42791.2916666667</v>
      </c>
      <c r="B1329" s="32" t="n">
        <v>85.051</v>
      </c>
      <c r="D1329" s="33" t="n">
        <f aca="false">WEEKDAY(A1329,2)</f>
        <v>6</v>
      </c>
      <c r="E1329" s="33" t="n">
        <f aca="false">HOUR(A1329)+MINUTE(A1329)/60</f>
        <v>7</v>
      </c>
      <c r="F1329" s="33" t="n">
        <f aca="false">IF(OR(D1329&gt;5,E1329&lt;8,E1329&gt;=18,COUNTIF($K$2:$K$10,INT(A1329))&gt;0),1,0)</f>
        <v>1</v>
      </c>
      <c r="G1329" s="34" t="n">
        <f aca="false">B1329/1</f>
        <v>85.051</v>
      </c>
      <c r="H1329" s="34" t="n">
        <f aca="false">IF(F1329=1,G1329,"")</f>
        <v>85.051</v>
      </c>
    </row>
    <row r="1330" customFormat="false" ht="15" hidden="false" customHeight="false" outlineLevel="0" collapsed="false">
      <c r="A1330" s="31" t="n">
        <v>42791.3333333333</v>
      </c>
      <c r="B1330" s="32" t="n">
        <v>143.849</v>
      </c>
      <c r="D1330" s="33" t="n">
        <f aca="false">WEEKDAY(A1330,2)</f>
        <v>6</v>
      </c>
      <c r="E1330" s="33" t="n">
        <f aca="false">HOUR(A1330)+MINUTE(A1330)/60</f>
        <v>8</v>
      </c>
      <c r="F1330" s="33" t="n">
        <f aca="false">IF(OR(D1330&gt;5,E1330&lt;8,E1330&gt;=18,COUNTIF($K$2:$K$10,INT(A1330))&gt;0),1,0)</f>
        <v>1</v>
      </c>
      <c r="G1330" s="34" t="n">
        <f aca="false">B1330/1</f>
        <v>143.849</v>
      </c>
      <c r="H1330" s="34" t="n">
        <f aca="false">IF(F1330=1,G1330,"")</f>
        <v>143.849</v>
      </c>
    </row>
    <row r="1331" customFormat="false" ht="15" hidden="false" customHeight="false" outlineLevel="0" collapsed="false">
      <c r="A1331" s="31" t="n">
        <v>42791.375</v>
      </c>
      <c r="B1331" s="32" t="n">
        <v>173.148</v>
      </c>
      <c r="D1331" s="33" t="n">
        <f aca="false">WEEKDAY(A1331,2)</f>
        <v>6</v>
      </c>
      <c r="E1331" s="33" t="n">
        <f aca="false">HOUR(A1331)+MINUTE(A1331)/60</f>
        <v>9</v>
      </c>
      <c r="F1331" s="33" t="n">
        <f aca="false">IF(OR(D1331&gt;5,E1331&lt;8,E1331&gt;=18,COUNTIF($K$2:$K$10,INT(A1331))&gt;0),1,0)</f>
        <v>1</v>
      </c>
      <c r="G1331" s="34" t="n">
        <f aca="false">B1331/1</f>
        <v>173.148</v>
      </c>
      <c r="H1331" s="34" t="n">
        <f aca="false">IF(F1331=1,G1331,"")</f>
        <v>173.148</v>
      </c>
    </row>
    <row r="1332" customFormat="false" ht="15" hidden="false" customHeight="false" outlineLevel="0" collapsed="false">
      <c r="A1332" s="31" t="n">
        <v>42791.4166666667</v>
      </c>
      <c r="B1332" s="32" t="n">
        <v>175.583</v>
      </c>
      <c r="D1332" s="33" t="n">
        <f aca="false">WEEKDAY(A1332,2)</f>
        <v>6</v>
      </c>
      <c r="E1332" s="33" t="n">
        <f aca="false">HOUR(A1332)+MINUTE(A1332)/60</f>
        <v>10</v>
      </c>
      <c r="F1332" s="33" t="n">
        <f aca="false">IF(OR(D1332&gt;5,E1332&lt;8,E1332&gt;=18,COUNTIF($K$2:$K$10,INT(A1332))&gt;0),1,0)</f>
        <v>1</v>
      </c>
      <c r="G1332" s="34" t="n">
        <f aca="false">B1332/1</f>
        <v>175.583</v>
      </c>
      <c r="H1332" s="34" t="n">
        <f aca="false">IF(F1332=1,G1332,"")</f>
        <v>175.583</v>
      </c>
    </row>
    <row r="1333" customFormat="false" ht="15" hidden="false" customHeight="false" outlineLevel="0" collapsed="false">
      <c r="A1333" s="31" t="n">
        <v>42791.4583333333</v>
      </c>
      <c r="B1333" s="32" t="n">
        <v>181.746</v>
      </c>
      <c r="D1333" s="33" t="n">
        <f aca="false">WEEKDAY(A1333,2)</f>
        <v>6</v>
      </c>
      <c r="E1333" s="33" t="n">
        <f aca="false">HOUR(A1333)+MINUTE(A1333)/60</f>
        <v>11</v>
      </c>
      <c r="F1333" s="33" t="n">
        <f aca="false">IF(OR(D1333&gt;5,E1333&lt;8,E1333&gt;=18,COUNTIF($K$2:$K$10,INT(A1333))&gt;0),1,0)</f>
        <v>1</v>
      </c>
      <c r="G1333" s="34" t="n">
        <f aca="false">B1333/1</f>
        <v>181.746</v>
      </c>
      <c r="H1333" s="34" t="n">
        <f aca="false">IF(F1333=1,G1333,"")</f>
        <v>181.746</v>
      </c>
    </row>
    <row r="1334" customFormat="false" ht="15" hidden="false" customHeight="false" outlineLevel="0" collapsed="false">
      <c r="A1334" s="31" t="n">
        <v>42791.5</v>
      </c>
      <c r="B1334" s="32" t="n">
        <v>189.221</v>
      </c>
      <c r="D1334" s="33" t="n">
        <f aca="false">WEEKDAY(A1334,2)</f>
        <v>6</v>
      </c>
      <c r="E1334" s="33" t="n">
        <f aca="false">HOUR(A1334)+MINUTE(A1334)/60</f>
        <v>12</v>
      </c>
      <c r="F1334" s="33" t="n">
        <f aca="false">IF(OR(D1334&gt;5,E1334&lt;8,E1334&gt;=18,COUNTIF($K$2:$K$10,INT(A1334))&gt;0),1,0)</f>
        <v>1</v>
      </c>
      <c r="G1334" s="34" t="n">
        <f aca="false">B1334/1</f>
        <v>189.221</v>
      </c>
      <c r="H1334" s="34" t="n">
        <f aca="false">IF(F1334=1,G1334,"")</f>
        <v>189.221</v>
      </c>
    </row>
    <row r="1335" customFormat="false" ht="15" hidden="false" customHeight="false" outlineLevel="0" collapsed="false">
      <c r="A1335" s="31" t="n">
        <v>42791.5416666667</v>
      </c>
      <c r="B1335" s="32" t="n">
        <v>201.659</v>
      </c>
      <c r="D1335" s="33" t="n">
        <f aca="false">WEEKDAY(A1335,2)</f>
        <v>6</v>
      </c>
      <c r="E1335" s="33" t="n">
        <f aca="false">HOUR(A1335)+MINUTE(A1335)/60</f>
        <v>13</v>
      </c>
      <c r="F1335" s="33" t="n">
        <f aca="false">IF(OR(D1335&gt;5,E1335&lt;8,E1335&gt;=18,COUNTIF($K$2:$K$10,INT(A1335))&gt;0),1,0)</f>
        <v>1</v>
      </c>
      <c r="G1335" s="34" t="n">
        <f aca="false">B1335/1</f>
        <v>201.659</v>
      </c>
      <c r="H1335" s="34" t="n">
        <f aca="false">IF(F1335=1,G1335,"")</f>
        <v>201.659</v>
      </c>
    </row>
    <row r="1336" customFormat="false" ht="15" hidden="false" customHeight="false" outlineLevel="0" collapsed="false">
      <c r="A1336" s="31" t="n">
        <v>42791.5833333333</v>
      </c>
      <c r="B1336" s="32" t="n">
        <v>208.637</v>
      </c>
      <c r="D1336" s="33" t="n">
        <f aca="false">WEEKDAY(A1336,2)</f>
        <v>6</v>
      </c>
      <c r="E1336" s="33" t="n">
        <f aca="false">HOUR(A1336)+MINUTE(A1336)/60</f>
        <v>14</v>
      </c>
      <c r="F1336" s="33" t="n">
        <f aca="false">IF(OR(D1336&gt;5,E1336&lt;8,E1336&gt;=18,COUNTIF($K$2:$K$10,INT(A1336))&gt;0),1,0)</f>
        <v>1</v>
      </c>
      <c r="G1336" s="34" t="n">
        <f aca="false">B1336/1</f>
        <v>208.637</v>
      </c>
      <c r="H1336" s="34" t="n">
        <f aca="false">IF(F1336=1,G1336,"")</f>
        <v>208.637</v>
      </c>
    </row>
    <row r="1337" customFormat="false" ht="15" hidden="false" customHeight="false" outlineLevel="0" collapsed="false">
      <c r="A1337" s="31" t="n">
        <v>42791.625</v>
      </c>
      <c r="B1337" s="32" t="n">
        <v>210.967</v>
      </c>
      <c r="D1337" s="33" t="n">
        <f aca="false">WEEKDAY(A1337,2)</f>
        <v>6</v>
      </c>
      <c r="E1337" s="33" t="n">
        <f aca="false">HOUR(A1337)+MINUTE(A1337)/60</f>
        <v>15</v>
      </c>
      <c r="F1337" s="33" t="n">
        <f aca="false">IF(OR(D1337&gt;5,E1337&lt;8,E1337&gt;=18,COUNTIF($K$2:$K$10,INT(A1337))&gt;0),1,0)</f>
        <v>1</v>
      </c>
      <c r="G1337" s="34" t="n">
        <f aca="false">B1337/1</f>
        <v>210.967</v>
      </c>
      <c r="H1337" s="34" t="n">
        <f aca="false">IF(F1337=1,G1337,"")</f>
        <v>210.967</v>
      </c>
    </row>
    <row r="1338" customFormat="false" ht="15" hidden="false" customHeight="false" outlineLevel="0" collapsed="false">
      <c r="A1338" s="31" t="n">
        <v>42791.6666666667</v>
      </c>
      <c r="B1338" s="32" t="n">
        <v>210.761</v>
      </c>
      <c r="D1338" s="33" t="n">
        <f aca="false">WEEKDAY(A1338,2)</f>
        <v>6</v>
      </c>
      <c r="E1338" s="33" t="n">
        <f aca="false">HOUR(A1338)+MINUTE(A1338)/60</f>
        <v>16</v>
      </c>
      <c r="F1338" s="33" t="n">
        <f aca="false">IF(OR(D1338&gt;5,E1338&lt;8,E1338&gt;=18,COUNTIF($K$2:$K$10,INT(A1338))&gt;0),1,0)</f>
        <v>1</v>
      </c>
      <c r="G1338" s="34" t="n">
        <f aca="false">B1338/1</f>
        <v>210.761</v>
      </c>
      <c r="H1338" s="34" t="n">
        <f aca="false">IF(F1338=1,G1338,"")</f>
        <v>210.761</v>
      </c>
    </row>
    <row r="1339" customFormat="false" ht="15" hidden="false" customHeight="false" outlineLevel="0" collapsed="false">
      <c r="A1339" s="31" t="n">
        <v>42791.7083333333</v>
      </c>
      <c r="B1339" s="32" t="n">
        <v>191.728</v>
      </c>
      <c r="D1339" s="33" t="n">
        <f aca="false">WEEKDAY(A1339,2)</f>
        <v>6</v>
      </c>
      <c r="E1339" s="33" t="n">
        <f aca="false">HOUR(A1339)+MINUTE(A1339)/60</f>
        <v>17</v>
      </c>
      <c r="F1339" s="33" t="n">
        <f aca="false">IF(OR(D1339&gt;5,E1339&lt;8,E1339&gt;=18,COUNTIF($K$2:$K$10,INT(A1339))&gt;0),1,0)</f>
        <v>1</v>
      </c>
      <c r="G1339" s="34" t="n">
        <f aca="false">B1339/1</f>
        <v>191.728</v>
      </c>
      <c r="H1339" s="34" t="n">
        <f aca="false">IF(F1339=1,G1339,"")</f>
        <v>191.728</v>
      </c>
    </row>
    <row r="1340" customFormat="false" ht="15" hidden="false" customHeight="false" outlineLevel="0" collapsed="false">
      <c r="A1340" s="31" t="n">
        <v>42791.75</v>
      </c>
      <c r="B1340" s="32" t="n">
        <v>164.998</v>
      </c>
      <c r="D1340" s="33" t="n">
        <f aca="false">WEEKDAY(A1340,2)</f>
        <v>6</v>
      </c>
      <c r="E1340" s="33" t="n">
        <f aca="false">HOUR(A1340)+MINUTE(A1340)/60</f>
        <v>18</v>
      </c>
      <c r="F1340" s="33" t="n">
        <f aca="false">IF(OR(D1340&gt;5,E1340&lt;8,E1340&gt;=18,COUNTIF($K$2:$K$10,INT(A1340))&gt;0),1,0)</f>
        <v>1</v>
      </c>
      <c r="G1340" s="34" t="n">
        <f aca="false">B1340/1</f>
        <v>164.998</v>
      </c>
      <c r="H1340" s="34" t="n">
        <f aca="false">IF(F1340=1,G1340,"")</f>
        <v>164.998</v>
      </c>
    </row>
    <row r="1341" customFormat="false" ht="15" hidden="false" customHeight="false" outlineLevel="0" collapsed="false">
      <c r="A1341" s="31" t="n">
        <v>42791.7916666667</v>
      </c>
      <c r="B1341" s="32" t="n">
        <v>80.423</v>
      </c>
      <c r="D1341" s="33" t="n">
        <f aca="false">WEEKDAY(A1341,2)</f>
        <v>6</v>
      </c>
      <c r="E1341" s="33" t="n">
        <f aca="false">HOUR(A1341)+MINUTE(A1341)/60</f>
        <v>19</v>
      </c>
      <c r="F1341" s="33" t="n">
        <f aca="false">IF(OR(D1341&gt;5,E1341&lt;8,E1341&gt;=18,COUNTIF($K$2:$K$10,INT(A1341))&gt;0),1,0)</f>
        <v>1</v>
      </c>
      <c r="G1341" s="34" t="n">
        <f aca="false">B1341/1</f>
        <v>80.423</v>
      </c>
      <c r="H1341" s="34" t="n">
        <f aca="false">IF(F1341=1,G1341,"")</f>
        <v>80.423</v>
      </c>
    </row>
    <row r="1342" customFormat="false" ht="15" hidden="false" customHeight="false" outlineLevel="0" collapsed="false">
      <c r="A1342" s="31" t="n">
        <v>42791.8333333333</v>
      </c>
      <c r="B1342" s="32" t="n">
        <v>71.998</v>
      </c>
      <c r="D1342" s="33" t="n">
        <f aca="false">WEEKDAY(A1342,2)</f>
        <v>6</v>
      </c>
      <c r="E1342" s="33" t="n">
        <f aca="false">HOUR(A1342)+MINUTE(A1342)/60</f>
        <v>20</v>
      </c>
      <c r="F1342" s="33" t="n">
        <f aca="false">IF(OR(D1342&gt;5,E1342&lt;8,E1342&gt;=18,COUNTIF($K$2:$K$10,INT(A1342))&gt;0),1,0)</f>
        <v>1</v>
      </c>
      <c r="G1342" s="34" t="n">
        <f aca="false">B1342/1</f>
        <v>71.998</v>
      </c>
      <c r="H1342" s="34" t="n">
        <f aca="false">IF(F1342=1,G1342,"")</f>
        <v>71.998</v>
      </c>
    </row>
    <row r="1343" customFormat="false" ht="15" hidden="false" customHeight="false" outlineLevel="0" collapsed="false">
      <c r="A1343" s="31" t="n">
        <v>42791.875</v>
      </c>
      <c r="B1343" s="32" t="n">
        <v>72.12</v>
      </c>
      <c r="D1343" s="33" t="n">
        <f aca="false">WEEKDAY(A1343,2)</f>
        <v>6</v>
      </c>
      <c r="E1343" s="33" t="n">
        <f aca="false">HOUR(A1343)+MINUTE(A1343)/60</f>
        <v>21</v>
      </c>
      <c r="F1343" s="33" t="n">
        <f aca="false">IF(OR(D1343&gt;5,E1343&lt;8,E1343&gt;=18,COUNTIF($K$2:$K$10,INT(A1343))&gt;0),1,0)</f>
        <v>1</v>
      </c>
      <c r="G1343" s="34" t="n">
        <f aca="false">B1343/1</f>
        <v>72.12</v>
      </c>
      <c r="H1343" s="34" t="n">
        <f aca="false">IF(F1343=1,G1343,"")</f>
        <v>72.12</v>
      </c>
    </row>
    <row r="1344" customFormat="false" ht="15" hidden="false" customHeight="false" outlineLevel="0" collapsed="false">
      <c r="A1344" s="31" t="n">
        <v>42791.9166666667</v>
      </c>
      <c r="B1344" s="32" t="n">
        <v>71.495</v>
      </c>
      <c r="D1344" s="33" t="n">
        <f aca="false">WEEKDAY(A1344,2)</f>
        <v>6</v>
      </c>
      <c r="E1344" s="33" t="n">
        <f aca="false">HOUR(A1344)+MINUTE(A1344)/60</f>
        <v>22</v>
      </c>
      <c r="F1344" s="33" t="n">
        <f aca="false">IF(OR(D1344&gt;5,E1344&lt;8,E1344&gt;=18,COUNTIF($K$2:$K$10,INT(A1344))&gt;0),1,0)</f>
        <v>1</v>
      </c>
      <c r="G1344" s="34" t="n">
        <f aca="false">B1344/1</f>
        <v>71.495</v>
      </c>
      <c r="H1344" s="34" t="n">
        <f aca="false">IF(F1344=1,G1344,"")</f>
        <v>71.495</v>
      </c>
    </row>
    <row r="1345" customFormat="false" ht="15" hidden="false" customHeight="false" outlineLevel="0" collapsed="false">
      <c r="A1345" s="31" t="n">
        <v>42791.9583333333</v>
      </c>
      <c r="B1345" s="32" t="n">
        <v>71.885</v>
      </c>
      <c r="D1345" s="33" t="n">
        <f aca="false">WEEKDAY(A1345,2)</f>
        <v>6</v>
      </c>
      <c r="E1345" s="33" t="n">
        <f aca="false">HOUR(A1345)+MINUTE(A1345)/60</f>
        <v>23</v>
      </c>
      <c r="F1345" s="33" t="n">
        <f aca="false">IF(OR(D1345&gt;5,E1345&lt;8,E1345&gt;=18,COUNTIF($K$2:$K$10,INT(A1345))&gt;0),1,0)</f>
        <v>1</v>
      </c>
      <c r="G1345" s="34" t="n">
        <f aca="false">B1345/1</f>
        <v>71.885</v>
      </c>
      <c r="H1345" s="34" t="n">
        <f aca="false">IF(F1345=1,G1345,"")</f>
        <v>71.885</v>
      </c>
    </row>
    <row r="1346" customFormat="false" ht="15" hidden="false" customHeight="false" outlineLevel="0" collapsed="false">
      <c r="A1346" s="31" t="n">
        <v>42792</v>
      </c>
      <c r="B1346" s="32" t="n">
        <v>72.851</v>
      </c>
      <c r="D1346" s="33" t="n">
        <f aca="false">WEEKDAY(A1346,2)</f>
        <v>7</v>
      </c>
      <c r="E1346" s="33" t="n">
        <f aca="false">HOUR(A1346)+MINUTE(A1346)/60</f>
        <v>0</v>
      </c>
      <c r="F1346" s="33" t="n">
        <f aca="false">IF(OR(D1346&gt;5,E1346&lt;8,E1346&gt;=18,COUNTIF($K$2:$K$10,INT(A1346))&gt;0),1,0)</f>
        <v>1</v>
      </c>
      <c r="G1346" s="34" t="n">
        <f aca="false">B1346/1</f>
        <v>72.851</v>
      </c>
      <c r="H1346" s="34" t="n">
        <f aca="false">IF(F1346=1,G1346,"")</f>
        <v>72.851</v>
      </c>
    </row>
    <row r="1347" customFormat="false" ht="15" hidden="false" customHeight="false" outlineLevel="0" collapsed="false">
      <c r="A1347" s="31" t="n">
        <v>42792.0416666667</v>
      </c>
      <c r="B1347" s="32" t="n">
        <v>72.55</v>
      </c>
      <c r="D1347" s="33" t="n">
        <f aca="false">WEEKDAY(A1347,2)</f>
        <v>7</v>
      </c>
      <c r="E1347" s="33" t="n">
        <f aca="false">HOUR(A1347)+MINUTE(A1347)/60</f>
        <v>1</v>
      </c>
      <c r="F1347" s="33" t="n">
        <f aca="false">IF(OR(D1347&gt;5,E1347&lt;8,E1347&gt;=18,COUNTIF($K$2:$K$10,INT(A1347))&gt;0),1,0)</f>
        <v>1</v>
      </c>
      <c r="G1347" s="34" t="n">
        <f aca="false">B1347/1</f>
        <v>72.55</v>
      </c>
      <c r="H1347" s="34" t="n">
        <f aca="false">IF(F1347=1,G1347,"")</f>
        <v>72.55</v>
      </c>
    </row>
    <row r="1348" customFormat="false" ht="15" hidden="false" customHeight="false" outlineLevel="0" collapsed="false">
      <c r="A1348" s="31" t="n">
        <v>42792.0833333333</v>
      </c>
      <c r="B1348" s="32" t="n">
        <v>71.466</v>
      </c>
      <c r="D1348" s="33" t="n">
        <f aca="false">WEEKDAY(A1348,2)</f>
        <v>7</v>
      </c>
      <c r="E1348" s="33" t="n">
        <f aca="false">HOUR(A1348)+MINUTE(A1348)/60</f>
        <v>2</v>
      </c>
      <c r="F1348" s="33" t="n">
        <f aca="false">IF(OR(D1348&gt;5,E1348&lt;8,E1348&gt;=18,COUNTIF($K$2:$K$10,INT(A1348))&gt;0),1,0)</f>
        <v>1</v>
      </c>
      <c r="G1348" s="34" t="n">
        <f aca="false">B1348/1</f>
        <v>71.466</v>
      </c>
      <c r="H1348" s="34" t="n">
        <f aca="false">IF(F1348=1,G1348,"")</f>
        <v>71.466</v>
      </c>
    </row>
    <row r="1349" customFormat="false" ht="15" hidden="false" customHeight="false" outlineLevel="0" collapsed="false">
      <c r="A1349" s="31" t="n">
        <v>42792.125</v>
      </c>
      <c r="B1349" s="32" t="n">
        <v>70.615</v>
      </c>
      <c r="D1349" s="33" t="n">
        <f aca="false">WEEKDAY(A1349,2)</f>
        <v>7</v>
      </c>
      <c r="E1349" s="33" t="n">
        <f aca="false">HOUR(A1349)+MINUTE(A1349)/60</f>
        <v>3</v>
      </c>
      <c r="F1349" s="33" t="n">
        <f aca="false">IF(OR(D1349&gt;5,E1349&lt;8,E1349&gt;=18,COUNTIF($K$2:$K$10,INT(A1349))&gt;0),1,0)</f>
        <v>1</v>
      </c>
      <c r="G1349" s="34" t="n">
        <f aca="false">B1349/1</f>
        <v>70.615</v>
      </c>
      <c r="H1349" s="34" t="n">
        <f aca="false">IF(F1349=1,G1349,"")</f>
        <v>70.615</v>
      </c>
    </row>
    <row r="1350" customFormat="false" ht="15" hidden="false" customHeight="false" outlineLevel="0" collapsed="false">
      <c r="A1350" s="31" t="n">
        <v>42792.1666666667</v>
      </c>
      <c r="B1350" s="32" t="n">
        <v>68.892</v>
      </c>
      <c r="D1350" s="33" t="n">
        <f aca="false">WEEKDAY(A1350,2)</f>
        <v>7</v>
      </c>
      <c r="E1350" s="33" t="n">
        <f aca="false">HOUR(A1350)+MINUTE(A1350)/60</f>
        <v>4</v>
      </c>
      <c r="F1350" s="33" t="n">
        <f aca="false">IF(OR(D1350&gt;5,E1350&lt;8,E1350&gt;=18,COUNTIF($K$2:$K$10,INT(A1350))&gt;0),1,0)</f>
        <v>1</v>
      </c>
      <c r="G1350" s="34" t="n">
        <f aca="false">B1350/1</f>
        <v>68.892</v>
      </c>
      <c r="H1350" s="34" t="n">
        <f aca="false">IF(F1350=1,G1350,"")</f>
        <v>68.892</v>
      </c>
    </row>
    <row r="1351" customFormat="false" ht="15" hidden="false" customHeight="false" outlineLevel="0" collapsed="false">
      <c r="A1351" s="31" t="n">
        <v>42792.2083333333</v>
      </c>
      <c r="B1351" s="32" t="n">
        <v>69.44</v>
      </c>
      <c r="D1351" s="33" t="n">
        <f aca="false">WEEKDAY(A1351,2)</f>
        <v>7</v>
      </c>
      <c r="E1351" s="33" t="n">
        <f aca="false">HOUR(A1351)+MINUTE(A1351)/60</f>
        <v>5</v>
      </c>
      <c r="F1351" s="33" t="n">
        <f aca="false">IF(OR(D1351&gt;5,E1351&lt;8,E1351&gt;=18,COUNTIF($K$2:$K$10,INT(A1351))&gt;0),1,0)</f>
        <v>1</v>
      </c>
      <c r="G1351" s="34" t="n">
        <f aca="false">B1351/1</f>
        <v>69.44</v>
      </c>
      <c r="H1351" s="34" t="n">
        <f aca="false">IF(F1351=1,G1351,"")</f>
        <v>69.44</v>
      </c>
    </row>
    <row r="1352" customFormat="false" ht="15" hidden="false" customHeight="false" outlineLevel="0" collapsed="false">
      <c r="A1352" s="31" t="n">
        <v>42792.25</v>
      </c>
      <c r="B1352" s="32" t="n">
        <v>69.88</v>
      </c>
      <c r="D1352" s="33" t="n">
        <f aca="false">WEEKDAY(A1352,2)</f>
        <v>7</v>
      </c>
      <c r="E1352" s="33" t="n">
        <f aca="false">HOUR(A1352)+MINUTE(A1352)/60</f>
        <v>6</v>
      </c>
      <c r="F1352" s="33" t="n">
        <f aca="false">IF(OR(D1352&gt;5,E1352&lt;8,E1352&gt;=18,COUNTIF($K$2:$K$10,INT(A1352))&gt;0),1,0)</f>
        <v>1</v>
      </c>
      <c r="G1352" s="34" t="n">
        <f aca="false">B1352/1</f>
        <v>69.88</v>
      </c>
      <c r="H1352" s="34" t="n">
        <f aca="false">IF(F1352=1,G1352,"")</f>
        <v>69.88</v>
      </c>
    </row>
    <row r="1353" customFormat="false" ht="15" hidden="false" customHeight="false" outlineLevel="0" collapsed="false">
      <c r="A1353" s="31" t="n">
        <v>42792.2916666667</v>
      </c>
      <c r="B1353" s="32" t="n">
        <v>69.012</v>
      </c>
      <c r="D1353" s="33" t="n">
        <f aca="false">WEEKDAY(A1353,2)</f>
        <v>7</v>
      </c>
      <c r="E1353" s="33" t="n">
        <f aca="false">HOUR(A1353)+MINUTE(A1353)/60</f>
        <v>7</v>
      </c>
      <c r="F1353" s="33" t="n">
        <f aca="false">IF(OR(D1353&gt;5,E1353&lt;8,E1353&gt;=18,COUNTIF($K$2:$K$10,INT(A1353))&gt;0),1,0)</f>
        <v>1</v>
      </c>
      <c r="G1353" s="34" t="n">
        <f aca="false">B1353/1</f>
        <v>69.012</v>
      </c>
      <c r="H1353" s="34" t="n">
        <f aca="false">IF(F1353=1,G1353,"")</f>
        <v>69.012</v>
      </c>
    </row>
    <row r="1354" customFormat="false" ht="15" hidden="false" customHeight="false" outlineLevel="0" collapsed="false">
      <c r="A1354" s="31" t="n">
        <v>42792.3333333333</v>
      </c>
      <c r="B1354" s="32" t="n">
        <v>68.961</v>
      </c>
      <c r="D1354" s="33" t="n">
        <f aca="false">WEEKDAY(A1354,2)</f>
        <v>7</v>
      </c>
      <c r="E1354" s="33" t="n">
        <f aca="false">HOUR(A1354)+MINUTE(A1354)/60</f>
        <v>8</v>
      </c>
      <c r="F1354" s="33" t="n">
        <f aca="false">IF(OR(D1354&gt;5,E1354&lt;8,E1354&gt;=18,COUNTIF($K$2:$K$10,INT(A1354))&gt;0),1,0)</f>
        <v>1</v>
      </c>
      <c r="G1354" s="34" t="n">
        <f aca="false">B1354/1</f>
        <v>68.961</v>
      </c>
      <c r="H1354" s="34" t="n">
        <f aca="false">IF(F1354=1,G1354,"")</f>
        <v>68.961</v>
      </c>
    </row>
    <row r="1355" customFormat="false" ht="15" hidden="false" customHeight="false" outlineLevel="0" collapsed="false">
      <c r="A1355" s="31" t="n">
        <v>42792.375</v>
      </c>
      <c r="B1355" s="32" t="n">
        <v>68.602</v>
      </c>
      <c r="D1355" s="33" t="n">
        <f aca="false">WEEKDAY(A1355,2)</f>
        <v>7</v>
      </c>
      <c r="E1355" s="33" t="n">
        <f aca="false">HOUR(A1355)+MINUTE(A1355)/60</f>
        <v>9</v>
      </c>
      <c r="F1355" s="33" t="n">
        <f aca="false">IF(OR(D1355&gt;5,E1355&lt;8,E1355&gt;=18,COUNTIF($K$2:$K$10,INT(A1355))&gt;0),1,0)</f>
        <v>1</v>
      </c>
      <c r="G1355" s="34" t="n">
        <f aca="false">B1355/1</f>
        <v>68.602</v>
      </c>
      <c r="H1355" s="34" t="n">
        <f aca="false">IF(F1355=1,G1355,"")</f>
        <v>68.602</v>
      </c>
    </row>
    <row r="1356" customFormat="false" ht="15" hidden="false" customHeight="false" outlineLevel="0" collapsed="false">
      <c r="A1356" s="31" t="n">
        <v>42792.4166666667</v>
      </c>
      <c r="B1356" s="32" t="n">
        <v>69.042</v>
      </c>
      <c r="D1356" s="33" t="n">
        <f aca="false">WEEKDAY(A1356,2)</f>
        <v>7</v>
      </c>
      <c r="E1356" s="33" t="n">
        <f aca="false">HOUR(A1356)+MINUTE(A1356)/60</f>
        <v>10</v>
      </c>
      <c r="F1356" s="33" t="n">
        <f aca="false">IF(OR(D1356&gt;5,E1356&lt;8,E1356&gt;=18,COUNTIF($K$2:$K$10,INT(A1356))&gt;0),1,0)</f>
        <v>1</v>
      </c>
      <c r="G1356" s="34" t="n">
        <f aca="false">B1356/1</f>
        <v>69.042</v>
      </c>
      <c r="H1356" s="34" t="n">
        <f aca="false">IF(F1356=1,G1356,"")</f>
        <v>69.042</v>
      </c>
    </row>
    <row r="1357" customFormat="false" ht="15" hidden="false" customHeight="false" outlineLevel="0" collapsed="false">
      <c r="A1357" s="31" t="n">
        <v>42792.4583333333</v>
      </c>
      <c r="B1357" s="32" t="n">
        <v>68.885</v>
      </c>
      <c r="D1357" s="33" t="n">
        <f aca="false">WEEKDAY(A1357,2)</f>
        <v>7</v>
      </c>
      <c r="E1357" s="33" t="n">
        <f aca="false">HOUR(A1357)+MINUTE(A1357)/60</f>
        <v>11</v>
      </c>
      <c r="F1357" s="33" t="n">
        <f aca="false">IF(OR(D1357&gt;5,E1357&lt;8,E1357&gt;=18,COUNTIF($K$2:$K$10,INT(A1357))&gt;0),1,0)</f>
        <v>1</v>
      </c>
      <c r="G1357" s="34" t="n">
        <f aca="false">B1357/1</f>
        <v>68.885</v>
      </c>
      <c r="H1357" s="34" t="n">
        <f aca="false">IF(F1357=1,G1357,"")</f>
        <v>68.885</v>
      </c>
    </row>
    <row r="1358" customFormat="false" ht="15" hidden="false" customHeight="false" outlineLevel="0" collapsed="false">
      <c r="A1358" s="31" t="n">
        <v>42792.5</v>
      </c>
      <c r="B1358" s="32" t="n">
        <v>69.12</v>
      </c>
      <c r="D1358" s="33" t="n">
        <f aca="false">WEEKDAY(A1358,2)</f>
        <v>7</v>
      </c>
      <c r="E1358" s="33" t="n">
        <f aca="false">HOUR(A1358)+MINUTE(A1358)/60</f>
        <v>12</v>
      </c>
      <c r="F1358" s="33" t="n">
        <f aca="false">IF(OR(D1358&gt;5,E1358&lt;8,E1358&gt;=18,COUNTIF($K$2:$K$10,INT(A1358))&gt;0),1,0)</f>
        <v>1</v>
      </c>
      <c r="G1358" s="34" t="n">
        <f aca="false">B1358/1</f>
        <v>69.12</v>
      </c>
      <c r="H1358" s="34" t="n">
        <f aca="false">IF(F1358=1,G1358,"")</f>
        <v>69.12</v>
      </c>
    </row>
    <row r="1359" customFormat="false" ht="15" hidden="false" customHeight="false" outlineLevel="0" collapsed="false">
      <c r="A1359" s="31" t="n">
        <v>42792.5416666667</v>
      </c>
      <c r="B1359" s="32" t="n">
        <v>117.009</v>
      </c>
      <c r="D1359" s="33" t="n">
        <f aca="false">WEEKDAY(A1359,2)</f>
        <v>7</v>
      </c>
      <c r="E1359" s="33" t="n">
        <f aca="false">HOUR(A1359)+MINUTE(A1359)/60</f>
        <v>13</v>
      </c>
      <c r="F1359" s="33" t="n">
        <f aca="false">IF(OR(D1359&gt;5,E1359&lt;8,E1359&gt;=18,COUNTIF($K$2:$K$10,INT(A1359))&gt;0),1,0)</f>
        <v>1</v>
      </c>
      <c r="G1359" s="34" t="n">
        <f aca="false">B1359/1</f>
        <v>117.009</v>
      </c>
      <c r="H1359" s="34" t="n">
        <f aca="false">IF(F1359=1,G1359,"")</f>
        <v>117.009</v>
      </c>
    </row>
    <row r="1360" customFormat="false" ht="15" hidden="false" customHeight="false" outlineLevel="0" collapsed="false">
      <c r="A1360" s="31" t="n">
        <v>42792.5833333333</v>
      </c>
      <c r="B1360" s="32" t="n">
        <v>149.067</v>
      </c>
      <c r="D1360" s="33" t="n">
        <f aca="false">WEEKDAY(A1360,2)</f>
        <v>7</v>
      </c>
      <c r="E1360" s="33" t="n">
        <f aca="false">HOUR(A1360)+MINUTE(A1360)/60</f>
        <v>14</v>
      </c>
      <c r="F1360" s="33" t="n">
        <f aca="false">IF(OR(D1360&gt;5,E1360&lt;8,E1360&gt;=18,COUNTIF($K$2:$K$10,INT(A1360))&gt;0),1,0)</f>
        <v>1</v>
      </c>
      <c r="G1360" s="34" t="n">
        <f aca="false">B1360/1</f>
        <v>149.067</v>
      </c>
      <c r="H1360" s="34" t="n">
        <f aca="false">IF(F1360=1,G1360,"")</f>
        <v>149.067</v>
      </c>
    </row>
    <row r="1361" customFormat="false" ht="15" hidden="false" customHeight="false" outlineLevel="0" collapsed="false">
      <c r="A1361" s="31" t="n">
        <v>42792.625</v>
      </c>
      <c r="B1361" s="32" t="n">
        <v>152.151</v>
      </c>
      <c r="D1361" s="33" t="n">
        <f aca="false">WEEKDAY(A1361,2)</f>
        <v>7</v>
      </c>
      <c r="E1361" s="33" t="n">
        <f aca="false">HOUR(A1361)+MINUTE(A1361)/60</f>
        <v>15</v>
      </c>
      <c r="F1361" s="33" t="n">
        <f aca="false">IF(OR(D1361&gt;5,E1361&lt;8,E1361&gt;=18,COUNTIF($K$2:$K$10,INT(A1361))&gt;0),1,0)</f>
        <v>1</v>
      </c>
      <c r="G1361" s="34" t="n">
        <f aca="false">B1361/1</f>
        <v>152.151</v>
      </c>
      <c r="H1361" s="34" t="n">
        <f aca="false">IF(F1361=1,G1361,"")</f>
        <v>152.151</v>
      </c>
    </row>
    <row r="1362" customFormat="false" ht="15" hidden="false" customHeight="false" outlineLevel="0" collapsed="false">
      <c r="A1362" s="31" t="n">
        <v>42792.6666666667</v>
      </c>
      <c r="B1362" s="32" t="n">
        <v>152.458</v>
      </c>
      <c r="D1362" s="33" t="n">
        <f aca="false">WEEKDAY(A1362,2)</f>
        <v>7</v>
      </c>
      <c r="E1362" s="33" t="n">
        <f aca="false">HOUR(A1362)+MINUTE(A1362)/60</f>
        <v>16</v>
      </c>
      <c r="F1362" s="33" t="n">
        <f aca="false">IF(OR(D1362&gt;5,E1362&lt;8,E1362&gt;=18,COUNTIF($K$2:$K$10,INT(A1362))&gt;0),1,0)</f>
        <v>1</v>
      </c>
      <c r="G1362" s="34" t="n">
        <f aca="false">B1362/1</f>
        <v>152.458</v>
      </c>
      <c r="H1362" s="34" t="n">
        <f aca="false">IF(F1362=1,G1362,"")</f>
        <v>152.458</v>
      </c>
    </row>
    <row r="1363" customFormat="false" ht="15" hidden="false" customHeight="false" outlineLevel="0" collapsed="false">
      <c r="A1363" s="31" t="n">
        <v>42792.7083333333</v>
      </c>
      <c r="B1363" s="32" t="n">
        <v>153.491</v>
      </c>
      <c r="D1363" s="33" t="n">
        <f aca="false">WEEKDAY(A1363,2)</f>
        <v>7</v>
      </c>
      <c r="E1363" s="33" t="n">
        <f aca="false">HOUR(A1363)+MINUTE(A1363)/60</f>
        <v>17</v>
      </c>
      <c r="F1363" s="33" t="n">
        <f aca="false">IF(OR(D1363&gt;5,E1363&lt;8,E1363&gt;=18,COUNTIF($K$2:$K$10,INT(A1363))&gt;0),1,0)</f>
        <v>1</v>
      </c>
      <c r="G1363" s="34" t="n">
        <f aca="false">B1363/1</f>
        <v>153.491</v>
      </c>
      <c r="H1363" s="34" t="n">
        <f aca="false">IF(F1363=1,G1363,"")</f>
        <v>153.491</v>
      </c>
    </row>
    <row r="1364" customFormat="false" ht="15" hidden="false" customHeight="false" outlineLevel="0" collapsed="false">
      <c r="A1364" s="31" t="n">
        <v>42792.75</v>
      </c>
      <c r="B1364" s="32" t="n">
        <v>84.659</v>
      </c>
      <c r="D1364" s="33" t="n">
        <f aca="false">WEEKDAY(A1364,2)</f>
        <v>7</v>
      </c>
      <c r="E1364" s="33" t="n">
        <f aca="false">HOUR(A1364)+MINUTE(A1364)/60</f>
        <v>18</v>
      </c>
      <c r="F1364" s="33" t="n">
        <f aca="false">IF(OR(D1364&gt;5,E1364&lt;8,E1364&gt;=18,COUNTIF($K$2:$K$10,INT(A1364))&gt;0),1,0)</f>
        <v>1</v>
      </c>
      <c r="G1364" s="34" t="n">
        <f aca="false">B1364/1</f>
        <v>84.659</v>
      </c>
      <c r="H1364" s="34" t="n">
        <f aca="false">IF(F1364=1,G1364,"")</f>
        <v>84.659</v>
      </c>
    </row>
    <row r="1365" customFormat="false" ht="15" hidden="false" customHeight="false" outlineLevel="0" collapsed="false">
      <c r="A1365" s="31" t="n">
        <v>42792.7916666667</v>
      </c>
      <c r="B1365" s="32" t="n">
        <v>77.794</v>
      </c>
      <c r="D1365" s="33" t="n">
        <f aca="false">WEEKDAY(A1365,2)</f>
        <v>7</v>
      </c>
      <c r="E1365" s="33" t="n">
        <f aca="false">HOUR(A1365)+MINUTE(A1365)/60</f>
        <v>19</v>
      </c>
      <c r="F1365" s="33" t="n">
        <f aca="false">IF(OR(D1365&gt;5,E1365&lt;8,E1365&gt;=18,COUNTIF($K$2:$K$10,INT(A1365))&gt;0),1,0)</f>
        <v>1</v>
      </c>
      <c r="G1365" s="34" t="n">
        <f aca="false">B1365/1</f>
        <v>77.794</v>
      </c>
      <c r="H1365" s="34" t="n">
        <f aca="false">IF(F1365=1,G1365,"")</f>
        <v>77.794</v>
      </c>
    </row>
    <row r="1366" customFormat="false" ht="15" hidden="false" customHeight="false" outlineLevel="0" collapsed="false">
      <c r="A1366" s="31" t="n">
        <v>42792.8333333333</v>
      </c>
      <c r="B1366" s="32" t="n">
        <v>77.3</v>
      </c>
      <c r="D1366" s="33" t="n">
        <f aca="false">WEEKDAY(A1366,2)</f>
        <v>7</v>
      </c>
      <c r="E1366" s="33" t="n">
        <f aca="false">HOUR(A1366)+MINUTE(A1366)/60</f>
        <v>20</v>
      </c>
      <c r="F1366" s="33" t="n">
        <f aca="false">IF(OR(D1366&gt;5,E1366&lt;8,E1366&gt;=18,COUNTIF($K$2:$K$10,INT(A1366))&gt;0),1,0)</f>
        <v>1</v>
      </c>
      <c r="G1366" s="34" t="n">
        <f aca="false">B1366/1</f>
        <v>77.3</v>
      </c>
      <c r="H1366" s="34" t="n">
        <f aca="false">IF(F1366=1,G1366,"")</f>
        <v>77.3</v>
      </c>
    </row>
    <row r="1367" customFormat="false" ht="15" hidden="false" customHeight="false" outlineLevel="0" collapsed="false">
      <c r="A1367" s="31" t="n">
        <v>42792.875</v>
      </c>
      <c r="B1367" s="32" t="n">
        <v>77.036</v>
      </c>
      <c r="D1367" s="33" t="n">
        <f aca="false">WEEKDAY(A1367,2)</f>
        <v>7</v>
      </c>
      <c r="E1367" s="33" t="n">
        <f aca="false">HOUR(A1367)+MINUTE(A1367)/60</f>
        <v>21</v>
      </c>
      <c r="F1367" s="33" t="n">
        <f aca="false">IF(OR(D1367&gt;5,E1367&lt;8,E1367&gt;=18,COUNTIF($K$2:$K$10,INT(A1367))&gt;0),1,0)</f>
        <v>1</v>
      </c>
      <c r="G1367" s="34" t="n">
        <f aca="false">B1367/1</f>
        <v>77.036</v>
      </c>
      <c r="H1367" s="34" t="n">
        <f aca="false">IF(F1367=1,G1367,"")</f>
        <v>77.036</v>
      </c>
    </row>
    <row r="1368" customFormat="false" ht="15" hidden="false" customHeight="false" outlineLevel="0" collapsed="false">
      <c r="A1368" s="31" t="n">
        <v>42792.9166666667</v>
      </c>
      <c r="B1368" s="32" t="n">
        <v>76.27</v>
      </c>
      <c r="D1368" s="33" t="n">
        <f aca="false">WEEKDAY(A1368,2)</f>
        <v>7</v>
      </c>
      <c r="E1368" s="33" t="n">
        <f aca="false">HOUR(A1368)+MINUTE(A1368)/60</f>
        <v>22</v>
      </c>
      <c r="F1368" s="33" t="n">
        <f aca="false">IF(OR(D1368&gt;5,E1368&lt;8,E1368&gt;=18,COUNTIF($K$2:$K$10,INT(A1368))&gt;0),1,0)</f>
        <v>1</v>
      </c>
      <c r="G1368" s="34" t="n">
        <f aca="false">B1368/1</f>
        <v>76.27</v>
      </c>
      <c r="H1368" s="34" t="n">
        <f aca="false">IF(F1368=1,G1368,"")</f>
        <v>76.27</v>
      </c>
    </row>
    <row r="1369" customFormat="false" ht="15" hidden="false" customHeight="false" outlineLevel="0" collapsed="false">
      <c r="A1369" s="31" t="n">
        <v>42792.9583333333</v>
      </c>
      <c r="B1369" s="32" t="n">
        <v>74.032</v>
      </c>
      <c r="D1369" s="33" t="n">
        <f aca="false">WEEKDAY(A1369,2)</f>
        <v>7</v>
      </c>
      <c r="E1369" s="33" t="n">
        <f aca="false">HOUR(A1369)+MINUTE(A1369)/60</f>
        <v>23</v>
      </c>
      <c r="F1369" s="33" t="n">
        <f aca="false">IF(OR(D1369&gt;5,E1369&lt;8,E1369&gt;=18,COUNTIF($K$2:$K$10,INT(A1369))&gt;0),1,0)</f>
        <v>1</v>
      </c>
      <c r="G1369" s="34" t="n">
        <f aca="false">B1369/1</f>
        <v>74.032</v>
      </c>
      <c r="H1369" s="34" t="n">
        <f aca="false">IF(F1369=1,G1369,"")</f>
        <v>74.032</v>
      </c>
    </row>
    <row r="1370" customFormat="false" ht="15" hidden="false" customHeight="false" outlineLevel="0" collapsed="false">
      <c r="A1370" s="31" t="n">
        <v>42793</v>
      </c>
      <c r="B1370" s="32" t="n">
        <v>73.863</v>
      </c>
      <c r="D1370" s="33" t="n">
        <f aca="false">WEEKDAY(A1370,2)</f>
        <v>1</v>
      </c>
      <c r="E1370" s="33" t="n">
        <f aca="false">HOUR(A1370)+MINUTE(A1370)/60</f>
        <v>0</v>
      </c>
      <c r="F1370" s="33" t="n">
        <f aca="false">IF(OR(D1370&gt;5,E1370&lt;8,E1370&gt;=18,COUNTIF($K$2:$K$10,INT(A1370))&gt;0),1,0)</f>
        <v>1</v>
      </c>
      <c r="G1370" s="34" t="n">
        <f aca="false">B1370/1</f>
        <v>73.863</v>
      </c>
      <c r="H1370" s="34" t="n">
        <f aca="false">IF(F1370=1,G1370,"")</f>
        <v>73.863</v>
      </c>
    </row>
    <row r="1371" customFormat="false" ht="15" hidden="false" customHeight="false" outlineLevel="0" collapsed="false">
      <c r="A1371" s="31" t="n">
        <v>42793.0416666667</v>
      </c>
      <c r="B1371" s="32" t="n">
        <v>74.656</v>
      </c>
      <c r="D1371" s="33" t="n">
        <f aca="false">WEEKDAY(A1371,2)</f>
        <v>1</v>
      </c>
      <c r="E1371" s="33" t="n">
        <f aca="false">HOUR(A1371)+MINUTE(A1371)/60</f>
        <v>1</v>
      </c>
      <c r="F1371" s="33" t="n">
        <f aca="false">IF(OR(D1371&gt;5,E1371&lt;8,E1371&gt;=18,COUNTIF($K$2:$K$10,INT(A1371))&gt;0),1,0)</f>
        <v>1</v>
      </c>
      <c r="G1371" s="34" t="n">
        <f aca="false">B1371/1</f>
        <v>74.656</v>
      </c>
      <c r="H1371" s="34" t="n">
        <f aca="false">IF(F1371=1,G1371,"")</f>
        <v>74.656</v>
      </c>
    </row>
    <row r="1372" customFormat="false" ht="15" hidden="false" customHeight="false" outlineLevel="0" collapsed="false">
      <c r="A1372" s="31" t="n">
        <v>42793.0833333333</v>
      </c>
      <c r="B1372" s="32" t="n">
        <v>72.708</v>
      </c>
      <c r="D1372" s="33" t="n">
        <f aca="false">WEEKDAY(A1372,2)</f>
        <v>1</v>
      </c>
      <c r="E1372" s="33" t="n">
        <f aca="false">HOUR(A1372)+MINUTE(A1372)/60</f>
        <v>2</v>
      </c>
      <c r="F1372" s="33" t="n">
        <f aca="false">IF(OR(D1372&gt;5,E1372&lt;8,E1372&gt;=18,COUNTIF($K$2:$K$10,INT(A1372))&gt;0),1,0)</f>
        <v>1</v>
      </c>
      <c r="G1372" s="34" t="n">
        <f aca="false">B1372/1</f>
        <v>72.708</v>
      </c>
      <c r="H1372" s="34" t="n">
        <f aca="false">IF(F1372=1,G1372,"")</f>
        <v>72.708</v>
      </c>
    </row>
    <row r="1373" customFormat="false" ht="15" hidden="false" customHeight="false" outlineLevel="0" collapsed="false">
      <c r="A1373" s="31" t="n">
        <v>42793.125</v>
      </c>
      <c r="B1373" s="32" t="n">
        <v>71.891</v>
      </c>
      <c r="D1373" s="33" t="n">
        <f aca="false">WEEKDAY(A1373,2)</f>
        <v>1</v>
      </c>
      <c r="E1373" s="33" t="n">
        <f aca="false">HOUR(A1373)+MINUTE(A1373)/60</f>
        <v>3</v>
      </c>
      <c r="F1373" s="33" t="n">
        <f aca="false">IF(OR(D1373&gt;5,E1373&lt;8,E1373&gt;=18,COUNTIF($K$2:$K$10,INT(A1373))&gt;0),1,0)</f>
        <v>1</v>
      </c>
      <c r="G1373" s="34" t="n">
        <f aca="false">B1373/1</f>
        <v>71.891</v>
      </c>
      <c r="H1373" s="34" t="n">
        <f aca="false">IF(F1373=1,G1373,"")</f>
        <v>71.891</v>
      </c>
    </row>
    <row r="1374" customFormat="false" ht="15" hidden="false" customHeight="false" outlineLevel="0" collapsed="false">
      <c r="A1374" s="31" t="n">
        <v>42793.1666666667</v>
      </c>
      <c r="B1374" s="32" t="n">
        <v>71.928</v>
      </c>
      <c r="D1374" s="33" t="n">
        <f aca="false">WEEKDAY(A1374,2)</f>
        <v>1</v>
      </c>
      <c r="E1374" s="33" t="n">
        <f aca="false">HOUR(A1374)+MINUTE(A1374)/60</f>
        <v>4</v>
      </c>
      <c r="F1374" s="33" t="n">
        <f aca="false">IF(OR(D1374&gt;5,E1374&lt;8,E1374&gt;=18,COUNTIF($K$2:$K$10,INT(A1374))&gt;0),1,0)</f>
        <v>1</v>
      </c>
      <c r="G1374" s="34" t="n">
        <f aca="false">B1374/1</f>
        <v>71.928</v>
      </c>
      <c r="H1374" s="34" t="n">
        <f aca="false">IF(F1374=1,G1374,"")</f>
        <v>71.928</v>
      </c>
    </row>
    <row r="1375" customFormat="false" ht="15" hidden="false" customHeight="false" outlineLevel="0" collapsed="false">
      <c r="A1375" s="31" t="n">
        <v>42793.2083333333</v>
      </c>
      <c r="B1375" s="32" t="n">
        <v>70.095</v>
      </c>
      <c r="D1375" s="33" t="n">
        <f aca="false">WEEKDAY(A1375,2)</f>
        <v>1</v>
      </c>
      <c r="E1375" s="33" t="n">
        <f aca="false">HOUR(A1375)+MINUTE(A1375)/60</f>
        <v>5</v>
      </c>
      <c r="F1375" s="33" t="n">
        <f aca="false">IF(OR(D1375&gt;5,E1375&lt;8,E1375&gt;=18,COUNTIF($K$2:$K$10,INT(A1375))&gt;0),1,0)</f>
        <v>1</v>
      </c>
      <c r="G1375" s="34" t="n">
        <f aca="false">B1375/1</f>
        <v>70.095</v>
      </c>
      <c r="H1375" s="34" t="n">
        <f aca="false">IF(F1375=1,G1375,"")</f>
        <v>70.095</v>
      </c>
    </row>
    <row r="1376" customFormat="false" ht="15" hidden="false" customHeight="false" outlineLevel="0" collapsed="false">
      <c r="A1376" s="31" t="n">
        <v>42793.25</v>
      </c>
      <c r="B1376" s="32" t="n">
        <v>72.024</v>
      </c>
      <c r="D1376" s="33" t="n">
        <f aca="false">WEEKDAY(A1376,2)</f>
        <v>1</v>
      </c>
      <c r="E1376" s="33" t="n">
        <f aca="false">HOUR(A1376)+MINUTE(A1376)/60</f>
        <v>6</v>
      </c>
      <c r="F1376" s="33" t="n">
        <f aca="false">IF(OR(D1376&gt;5,E1376&lt;8,E1376&gt;=18,COUNTIF($K$2:$K$10,INT(A1376))&gt;0),1,0)</f>
        <v>1</v>
      </c>
      <c r="G1376" s="34" t="n">
        <f aca="false">B1376/1</f>
        <v>72.024</v>
      </c>
      <c r="H1376" s="34" t="n">
        <f aca="false">IF(F1376=1,G1376,"")</f>
        <v>72.024</v>
      </c>
    </row>
    <row r="1377" customFormat="false" ht="15" hidden="false" customHeight="false" outlineLevel="0" collapsed="false">
      <c r="A1377" s="31" t="n">
        <v>42793.2916666667</v>
      </c>
      <c r="B1377" s="32" t="n">
        <v>92.745</v>
      </c>
      <c r="D1377" s="33" t="n">
        <f aca="false">WEEKDAY(A1377,2)</f>
        <v>1</v>
      </c>
      <c r="E1377" s="33" t="n">
        <f aca="false">HOUR(A1377)+MINUTE(A1377)/60</f>
        <v>7</v>
      </c>
      <c r="F1377" s="33" t="n">
        <f aca="false">IF(OR(D1377&gt;5,E1377&lt;8,E1377&gt;=18,COUNTIF($K$2:$K$10,INT(A1377))&gt;0),1,0)</f>
        <v>1</v>
      </c>
      <c r="G1377" s="34" t="n">
        <f aca="false">B1377/1</f>
        <v>92.745</v>
      </c>
      <c r="H1377" s="34" t="n">
        <f aca="false">IF(F1377=1,G1377,"")</f>
        <v>92.745</v>
      </c>
    </row>
    <row r="1378" customFormat="false" ht="15" hidden="false" customHeight="false" outlineLevel="0" collapsed="false">
      <c r="A1378" s="31" t="n">
        <v>42793.3333333333</v>
      </c>
      <c r="B1378" s="32" t="n">
        <v>181.89</v>
      </c>
      <c r="D1378" s="33" t="n">
        <f aca="false">WEEKDAY(A1378,2)</f>
        <v>1</v>
      </c>
      <c r="E1378" s="33" t="n">
        <f aca="false">HOUR(A1378)+MINUTE(A1378)/60</f>
        <v>8</v>
      </c>
      <c r="F1378" s="33" t="n">
        <f aca="false">IF(OR(D1378&gt;5,E1378&lt;8,E1378&gt;=18,COUNTIF($K$2:$K$10,INT(A1378))&gt;0),1,0)</f>
        <v>0</v>
      </c>
      <c r="G1378" s="34" t="n">
        <f aca="false">B1378/1</f>
        <v>181.89</v>
      </c>
      <c r="H1378" s="34" t="str">
        <f aca="false">IF(F1378=1,G1378,"")</f>
        <v/>
      </c>
    </row>
    <row r="1379" customFormat="false" ht="15" hidden="false" customHeight="false" outlineLevel="0" collapsed="false">
      <c r="A1379" s="31" t="n">
        <v>42793.375</v>
      </c>
      <c r="B1379" s="32" t="n">
        <v>219.082</v>
      </c>
      <c r="D1379" s="33" t="n">
        <f aca="false">WEEKDAY(A1379,2)</f>
        <v>1</v>
      </c>
      <c r="E1379" s="33" t="n">
        <f aca="false">HOUR(A1379)+MINUTE(A1379)/60</f>
        <v>9</v>
      </c>
      <c r="F1379" s="33" t="n">
        <f aca="false">IF(OR(D1379&gt;5,E1379&lt;8,E1379&gt;=18,COUNTIF($K$2:$K$10,INT(A1379))&gt;0),1,0)</f>
        <v>0</v>
      </c>
      <c r="G1379" s="34" t="n">
        <f aca="false">B1379/1</f>
        <v>219.082</v>
      </c>
      <c r="H1379" s="34" t="str">
        <f aca="false">IF(F1379=1,G1379,"")</f>
        <v/>
      </c>
    </row>
    <row r="1380" customFormat="false" ht="15" hidden="false" customHeight="false" outlineLevel="0" collapsed="false">
      <c r="A1380" s="31" t="n">
        <v>42793.4166666667</v>
      </c>
      <c r="B1380" s="32" t="n">
        <v>235.179</v>
      </c>
      <c r="D1380" s="33" t="n">
        <f aca="false">WEEKDAY(A1380,2)</f>
        <v>1</v>
      </c>
      <c r="E1380" s="33" t="n">
        <f aca="false">HOUR(A1380)+MINUTE(A1380)/60</f>
        <v>10</v>
      </c>
      <c r="F1380" s="33" t="n">
        <f aca="false">IF(OR(D1380&gt;5,E1380&lt;8,E1380&gt;=18,COUNTIF($K$2:$K$10,INT(A1380))&gt;0),1,0)</f>
        <v>0</v>
      </c>
      <c r="G1380" s="34" t="n">
        <f aca="false">B1380/1</f>
        <v>235.179</v>
      </c>
      <c r="H1380" s="34" t="str">
        <f aca="false">IF(F1380=1,G1380,"")</f>
        <v/>
      </c>
    </row>
    <row r="1381" customFormat="false" ht="15" hidden="false" customHeight="false" outlineLevel="0" collapsed="false">
      <c r="A1381" s="31" t="n">
        <v>42793.4583333333</v>
      </c>
      <c r="B1381" s="32" t="n">
        <v>248.732</v>
      </c>
      <c r="D1381" s="33" t="n">
        <f aca="false">WEEKDAY(A1381,2)</f>
        <v>1</v>
      </c>
      <c r="E1381" s="33" t="n">
        <f aca="false">HOUR(A1381)+MINUTE(A1381)/60</f>
        <v>11</v>
      </c>
      <c r="F1381" s="33" t="n">
        <f aca="false">IF(OR(D1381&gt;5,E1381&lt;8,E1381&gt;=18,COUNTIF($K$2:$K$10,INT(A1381))&gt;0),1,0)</f>
        <v>0</v>
      </c>
      <c r="G1381" s="34" t="n">
        <f aca="false">B1381/1</f>
        <v>248.732</v>
      </c>
      <c r="H1381" s="34" t="str">
        <f aca="false">IF(F1381=1,G1381,"")</f>
        <v/>
      </c>
    </row>
    <row r="1382" customFormat="false" ht="15" hidden="false" customHeight="false" outlineLevel="0" collapsed="false">
      <c r="A1382" s="31" t="n">
        <v>42793.5</v>
      </c>
      <c r="B1382" s="32" t="n">
        <v>255.644</v>
      </c>
      <c r="D1382" s="33" t="n">
        <f aca="false">WEEKDAY(A1382,2)</f>
        <v>1</v>
      </c>
      <c r="E1382" s="33" t="n">
        <f aca="false">HOUR(A1382)+MINUTE(A1382)/60</f>
        <v>12</v>
      </c>
      <c r="F1382" s="33" t="n">
        <f aca="false">IF(OR(D1382&gt;5,E1382&lt;8,E1382&gt;=18,COUNTIF($K$2:$K$10,INT(A1382))&gt;0),1,0)</f>
        <v>0</v>
      </c>
      <c r="G1382" s="34" t="n">
        <f aca="false">B1382/1</f>
        <v>255.644</v>
      </c>
      <c r="H1382" s="34" t="str">
        <f aca="false">IF(F1382=1,G1382,"")</f>
        <v/>
      </c>
    </row>
    <row r="1383" customFormat="false" ht="15" hidden="false" customHeight="false" outlineLevel="0" collapsed="false">
      <c r="A1383" s="31" t="n">
        <v>42793.5416666667</v>
      </c>
      <c r="B1383" s="32" t="n">
        <v>254.513</v>
      </c>
      <c r="D1383" s="33" t="n">
        <f aca="false">WEEKDAY(A1383,2)</f>
        <v>1</v>
      </c>
      <c r="E1383" s="33" t="n">
        <f aca="false">HOUR(A1383)+MINUTE(A1383)/60</f>
        <v>13</v>
      </c>
      <c r="F1383" s="33" t="n">
        <f aca="false">IF(OR(D1383&gt;5,E1383&lt;8,E1383&gt;=18,COUNTIF($K$2:$K$10,INT(A1383))&gt;0),1,0)</f>
        <v>0</v>
      </c>
      <c r="G1383" s="34" t="n">
        <f aca="false">B1383/1</f>
        <v>254.513</v>
      </c>
      <c r="H1383" s="34" t="str">
        <f aca="false">IF(F1383=1,G1383,"")</f>
        <v/>
      </c>
    </row>
    <row r="1384" customFormat="false" ht="15" hidden="false" customHeight="false" outlineLevel="0" collapsed="false">
      <c r="A1384" s="31" t="n">
        <v>42793.5833333333</v>
      </c>
      <c r="B1384" s="32" t="n">
        <v>255.166</v>
      </c>
      <c r="D1384" s="33" t="n">
        <f aca="false">WEEKDAY(A1384,2)</f>
        <v>1</v>
      </c>
      <c r="E1384" s="33" t="n">
        <f aca="false">HOUR(A1384)+MINUTE(A1384)/60</f>
        <v>14</v>
      </c>
      <c r="F1384" s="33" t="n">
        <f aca="false">IF(OR(D1384&gt;5,E1384&lt;8,E1384&gt;=18,COUNTIF($K$2:$K$10,INT(A1384))&gt;0),1,0)</f>
        <v>0</v>
      </c>
      <c r="G1384" s="34" t="n">
        <f aca="false">B1384/1</f>
        <v>255.166</v>
      </c>
      <c r="H1384" s="34" t="str">
        <f aca="false">IF(F1384=1,G1384,"")</f>
        <v/>
      </c>
    </row>
    <row r="1385" customFormat="false" ht="15" hidden="false" customHeight="false" outlineLevel="0" collapsed="false">
      <c r="A1385" s="31" t="n">
        <v>42793.625</v>
      </c>
      <c r="B1385" s="32" t="n">
        <v>258.639</v>
      </c>
      <c r="D1385" s="33" t="n">
        <f aca="false">WEEKDAY(A1385,2)</f>
        <v>1</v>
      </c>
      <c r="E1385" s="33" t="n">
        <f aca="false">HOUR(A1385)+MINUTE(A1385)/60</f>
        <v>15</v>
      </c>
      <c r="F1385" s="33" t="n">
        <f aca="false">IF(OR(D1385&gt;5,E1385&lt;8,E1385&gt;=18,COUNTIF($K$2:$K$10,INT(A1385))&gt;0),1,0)</f>
        <v>0</v>
      </c>
      <c r="G1385" s="34" t="n">
        <f aca="false">B1385/1</f>
        <v>258.639</v>
      </c>
      <c r="H1385" s="34" t="str">
        <f aca="false">IF(F1385=1,G1385,"")</f>
        <v/>
      </c>
    </row>
    <row r="1386" customFormat="false" ht="15" hidden="false" customHeight="false" outlineLevel="0" collapsed="false">
      <c r="A1386" s="31" t="n">
        <v>42793.6666666667</v>
      </c>
      <c r="B1386" s="32" t="n">
        <v>252.63</v>
      </c>
      <c r="D1386" s="33" t="n">
        <f aca="false">WEEKDAY(A1386,2)</f>
        <v>1</v>
      </c>
      <c r="E1386" s="33" t="n">
        <f aca="false">HOUR(A1386)+MINUTE(A1386)/60</f>
        <v>16</v>
      </c>
      <c r="F1386" s="33" t="n">
        <f aca="false">IF(OR(D1386&gt;5,E1386&lt;8,E1386&gt;=18,COUNTIF($K$2:$K$10,INT(A1386))&gt;0),1,0)</f>
        <v>0</v>
      </c>
      <c r="G1386" s="34" t="n">
        <f aca="false">B1386/1</f>
        <v>252.63</v>
      </c>
      <c r="H1386" s="34" t="str">
        <f aca="false">IF(F1386=1,G1386,"")</f>
        <v/>
      </c>
    </row>
    <row r="1387" customFormat="false" ht="15" hidden="false" customHeight="false" outlineLevel="0" collapsed="false">
      <c r="A1387" s="31" t="n">
        <v>42793.7083333333</v>
      </c>
      <c r="B1387" s="32" t="n">
        <v>253.975</v>
      </c>
      <c r="D1387" s="33" t="n">
        <f aca="false">WEEKDAY(A1387,2)</f>
        <v>1</v>
      </c>
      <c r="E1387" s="33" t="n">
        <f aca="false">HOUR(A1387)+MINUTE(A1387)/60</f>
        <v>17</v>
      </c>
      <c r="F1387" s="33" t="n">
        <f aca="false">IF(OR(D1387&gt;5,E1387&lt;8,E1387&gt;=18,COUNTIF($K$2:$K$10,INT(A1387))&gt;0),1,0)</f>
        <v>0</v>
      </c>
      <c r="G1387" s="34" t="n">
        <f aca="false">B1387/1</f>
        <v>253.975</v>
      </c>
      <c r="H1387" s="34" t="str">
        <f aca="false">IF(F1387=1,G1387,"")</f>
        <v/>
      </c>
    </row>
    <row r="1388" customFormat="false" ht="15" hidden="false" customHeight="false" outlineLevel="0" collapsed="false">
      <c r="A1388" s="31" t="n">
        <v>42793.75</v>
      </c>
      <c r="B1388" s="32" t="n">
        <v>229.623</v>
      </c>
      <c r="D1388" s="33" t="n">
        <f aca="false">WEEKDAY(A1388,2)</f>
        <v>1</v>
      </c>
      <c r="E1388" s="33" t="n">
        <f aca="false">HOUR(A1388)+MINUTE(A1388)/60</f>
        <v>18</v>
      </c>
      <c r="F1388" s="33" t="n">
        <f aca="false">IF(OR(D1388&gt;5,E1388&lt;8,E1388&gt;=18,COUNTIF($K$2:$K$10,INT(A1388))&gt;0),1,0)</f>
        <v>1</v>
      </c>
      <c r="G1388" s="34" t="n">
        <f aca="false">B1388/1</f>
        <v>229.623</v>
      </c>
      <c r="H1388" s="34" t="n">
        <f aca="false">IF(F1388=1,G1388,"")</f>
        <v>229.623</v>
      </c>
    </row>
    <row r="1389" customFormat="false" ht="15" hidden="false" customHeight="false" outlineLevel="0" collapsed="false">
      <c r="A1389" s="31" t="n">
        <v>42793.7916666667</v>
      </c>
      <c r="B1389" s="32" t="n">
        <v>221.802</v>
      </c>
      <c r="D1389" s="33" t="n">
        <f aca="false">WEEKDAY(A1389,2)</f>
        <v>1</v>
      </c>
      <c r="E1389" s="33" t="n">
        <f aca="false">HOUR(A1389)+MINUTE(A1389)/60</f>
        <v>19</v>
      </c>
      <c r="F1389" s="33" t="n">
        <f aca="false">IF(OR(D1389&gt;5,E1389&lt;8,E1389&gt;=18,COUNTIF($K$2:$K$10,INT(A1389))&gt;0),1,0)</f>
        <v>1</v>
      </c>
      <c r="G1389" s="34" t="n">
        <f aca="false">B1389/1</f>
        <v>221.802</v>
      </c>
      <c r="H1389" s="34" t="n">
        <f aca="false">IF(F1389=1,G1389,"")</f>
        <v>221.802</v>
      </c>
    </row>
    <row r="1390" customFormat="false" ht="15" hidden="false" customHeight="false" outlineLevel="0" collapsed="false">
      <c r="A1390" s="31" t="n">
        <v>42793.8333333333</v>
      </c>
      <c r="B1390" s="32" t="n">
        <v>208.559</v>
      </c>
      <c r="D1390" s="33" t="n">
        <f aca="false">WEEKDAY(A1390,2)</f>
        <v>1</v>
      </c>
      <c r="E1390" s="33" t="n">
        <f aca="false">HOUR(A1390)+MINUTE(A1390)/60</f>
        <v>20</v>
      </c>
      <c r="F1390" s="33" t="n">
        <f aca="false">IF(OR(D1390&gt;5,E1390&lt;8,E1390&gt;=18,COUNTIF($K$2:$K$10,INT(A1390))&gt;0),1,0)</f>
        <v>1</v>
      </c>
      <c r="G1390" s="34" t="n">
        <f aca="false">B1390/1</f>
        <v>208.559</v>
      </c>
      <c r="H1390" s="34" t="n">
        <f aca="false">IF(F1390=1,G1390,"")</f>
        <v>208.559</v>
      </c>
    </row>
    <row r="1391" customFormat="false" ht="15" hidden="false" customHeight="false" outlineLevel="0" collapsed="false">
      <c r="A1391" s="31" t="n">
        <v>42793.875</v>
      </c>
      <c r="B1391" s="32" t="n">
        <v>197.97</v>
      </c>
      <c r="D1391" s="33" t="n">
        <f aca="false">WEEKDAY(A1391,2)</f>
        <v>1</v>
      </c>
      <c r="E1391" s="33" t="n">
        <f aca="false">HOUR(A1391)+MINUTE(A1391)/60</f>
        <v>21</v>
      </c>
      <c r="F1391" s="33" t="n">
        <f aca="false">IF(OR(D1391&gt;5,E1391&lt;8,E1391&gt;=18,COUNTIF($K$2:$K$10,INT(A1391))&gt;0),1,0)</f>
        <v>1</v>
      </c>
      <c r="G1391" s="34" t="n">
        <f aca="false">B1391/1</f>
        <v>197.97</v>
      </c>
      <c r="H1391" s="34" t="n">
        <f aca="false">IF(F1391=1,G1391,"")</f>
        <v>197.97</v>
      </c>
    </row>
    <row r="1392" customFormat="false" ht="15" hidden="false" customHeight="false" outlineLevel="0" collapsed="false">
      <c r="A1392" s="31" t="n">
        <v>42793.9166666667</v>
      </c>
      <c r="B1392" s="32" t="n">
        <v>134.018</v>
      </c>
      <c r="D1392" s="33" t="n">
        <f aca="false">WEEKDAY(A1392,2)</f>
        <v>1</v>
      </c>
      <c r="E1392" s="33" t="n">
        <f aca="false">HOUR(A1392)+MINUTE(A1392)/60</f>
        <v>22</v>
      </c>
      <c r="F1392" s="33" t="n">
        <f aca="false">IF(OR(D1392&gt;5,E1392&lt;8,E1392&gt;=18,COUNTIF($K$2:$K$10,INT(A1392))&gt;0),1,0)</f>
        <v>1</v>
      </c>
      <c r="G1392" s="34" t="n">
        <f aca="false">B1392/1</f>
        <v>134.018</v>
      </c>
      <c r="H1392" s="34" t="n">
        <f aca="false">IF(F1392=1,G1392,"")</f>
        <v>134.018</v>
      </c>
    </row>
    <row r="1393" customFormat="false" ht="15" hidden="false" customHeight="false" outlineLevel="0" collapsed="false">
      <c r="A1393" s="31" t="n">
        <v>42793.9583333333</v>
      </c>
      <c r="B1393" s="32" t="n">
        <v>70.225</v>
      </c>
      <c r="D1393" s="33" t="n">
        <f aca="false">WEEKDAY(A1393,2)</f>
        <v>1</v>
      </c>
      <c r="E1393" s="33" t="n">
        <f aca="false">HOUR(A1393)+MINUTE(A1393)/60</f>
        <v>23</v>
      </c>
      <c r="F1393" s="33" t="n">
        <f aca="false">IF(OR(D1393&gt;5,E1393&lt;8,E1393&gt;=18,COUNTIF($K$2:$K$10,INT(A1393))&gt;0),1,0)</f>
        <v>1</v>
      </c>
      <c r="G1393" s="34" t="n">
        <f aca="false">B1393/1</f>
        <v>70.225</v>
      </c>
      <c r="H1393" s="34" t="n">
        <f aca="false">IF(F1393=1,G1393,"")</f>
        <v>70.225</v>
      </c>
    </row>
    <row r="1394" customFormat="false" ht="15" hidden="false" customHeight="false" outlineLevel="0" collapsed="false">
      <c r="A1394" s="31" t="n">
        <v>42794</v>
      </c>
      <c r="B1394" s="32" t="n">
        <v>64.771</v>
      </c>
      <c r="D1394" s="33" t="n">
        <f aca="false">WEEKDAY(A1394,2)</f>
        <v>2</v>
      </c>
      <c r="E1394" s="33" t="n">
        <f aca="false">HOUR(A1394)+MINUTE(A1394)/60</f>
        <v>0</v>
      </c>
      <c r="F1394" s="33" t="n">
        <f aca="false">IF(OR(D1394&gt;5,E1394&lt;8,E1394&gt;=18,COUNTIF($K$2:$K$10,INT(A1394))&gt;0),1,0)</f>
        <v>1</v>
      </c>
      <c r="G1394" s="34" t="n">
        <f aca="false">B1394/1</f>
        <v>64.771</v>
      </c>
      <c r="H1394" s="34" t="n">
        <f aca="false">IF(F1394=1,G1394,"")</f>
        <v>64.771</v>
      </c>
    </row>
    <row r="1395" customFormat="false" ht="15" hidden="false" customHeight="false" outlineLevel="0" collapsed="false">
      <c r="A1395" s="31" t="n">
        <v>42794.0416666667</v>
      </c>
      <c r="B1395" s="32" t="n">
        <v>62.458</v>
      </c>
      <c r="D1395" s="33" t="n">
        <f aca="false">WEEKDAY(A1395,2)</f>
        <v>2</v>
      </c>
      <c r="E1395" s="33" t="n">
        <f aca="false">HOUR(A1395)+MINUTE(A1395)/60</f>
        <v>1</v>
      </c>
      <c r="F1395" s="33" t="n">
        <f aca="false">IF(OR(D1395&gt;5,E1395&lt;8,E1395&gt;=18,COUNTIF($K$2:$K$10,INT(A1395))&gt;0),1,0)</f>
        <v>1</v>
      </c>
      <c r="G1395" s="34" t="n">
        <f aca="false">B1395/1</f>
        <v>62.458</v>
      </c>
      <c r="H1395" s="34" t="n">
        <f aca="false">IF(F1395=1,G1395,"")</f>
        <v>62.458</v>
      </c>
    </row>
    <row r="1396" customFormat="false" ht="15" hidden="false" customHeight="false" outlineLevel="0" collapsed="false">
      <c r="A1396" s="31" t="n">
        <v>42794.0833333333</v>
      </c>
      <c r="B1396" s="32" t="n">
        <v>60.59</v>
      </c>
      <c r="D1396" s="33" t="n">
        <f aca="false">WEEKDAY(A1396,2)</f>
        <v>2</v>
      </c>
      <c r="E1396" s="33" t="n">
        <f aca="false">HOUR(A1396)+MINUTE(A1396)/60</f>
        <v>2</v>
      </c>
      <c r="F1396" s="33" t="n">
        <f aca="false">IF(OR(D1396&gt;5,E1396&lt;8,E1396&gt;=18,COUNTIF($K$2:$K$10,INT(A1396))&gt;0),1,0)</f>
        <v>1</v>
      </c>
      <c r="G1396" s="34" t="n">
        <f aca="false">B1396/1</f>
        <v>60.59</v>
      </c>
      <c r="H1396" s="34" t="n">
        <f aca="false">IF(F1396=1,G1396,"")</f>
        <v>60.59</v>
      </c>
    </row>
    <row r="1397" customFormat="false" ht="15" hidden="false" customHeight="false" outlineLevel="0" collapsed="false">
      <c r="A1397" s="31" t="n">
        <v>42794.125</v>
      </c>
      <c r="B1397" s="32" t="n">
        <v>60.107</v>
      </c>
      <c r="D1397" s="33" t="n">
        <f aca="false">WEEKDAY(A1397,2)</f>
        <v>2</v>
      </c>
      <c r="E1397" s="33" t="n">
        <f aca="false">HOUR(A1397)+MINUTE(A1397)/60</f>
        <v>3</v>
      </c>
      <c r="F1397" s="33" t="n">
        <f aca="false">IF(OR(D1397&gt;5,E1397&lt;8,E1397&gt;=18,COUNTIF($K$2:$K$10,INT(A1397))&gt;0),1,0)</f>
        <v>1</v>
      </c>
      <c r="G1397" s="34" t="n">
        <f aca="false">B1397/1</f>
        <v>60.107</v>
      </c>
      <c r="H1397" s="34" t="n">
        <f aca="false">IF(F1397=1,G1397,"")</f>
        <v>60.107</v>
      </c>
    </row>
    <row r="1398" customFormat="false" ht="15" hidden="false" customHeight="false" outlineLevel="0" collapsed="false">
      <c r="A1398" s="31" t="n">
        <v>42794.1666666667</v>
      </c>
      <c r="B1398" s="32" t="n">
        <v>62.239</v>
      </c>
      <c r="D1398" s="33" t="n">
        <f aca="false">WEEKDAY(A1398,2)</f>
        <v>2</v>
      </c>
      <c r="E1398" s="33" t="n">
        <f aca="false">HOUR(A1398)+MINUTE(A1398)/60</f>
        <v>4</v>
      </c>
      <c r="F1398" s="33" t="n">
        <f aca="false">IF(OR(D1398&gt;5,E1398&lt;8,E1398&gt;=18,COUNTIF($K$2:$K$10,INT(A1398))&gt;0),1,0)</f>
        <v>1</v>
      </c>
      <c r="G1398" s="34" t="n">
        <f aca="false">B1398/1</f>
        <v>62.239</v>
      </c>
      <c r="H1398" s="34" t="n">
        <f aca="false">IF(F1398=1,G1398,"")</f>
        <v>62.239</v>
      </c>
    </row>
    <row r="1399" customFormat="false" ht="15" hidden="false" customHeight="false" outlineLevel="0" collapsed="false">
      <c r="A1399" s="31" t="n">
        <v>42794.2083333333</v>
      </c>
      <c r="B1399" s="32" t="n">
        <v>62.677</v>
      </c>
      <c r="D1399" s="33" t="n">
        <f aca="false">WEEKDAY(A1399,2)</f>
        <v>2</v>
      </c>
      <c r="E1399" s="33" t="n">
        <f aca="false">HOUR(A1399)+MINUTE(A1399)/60</f>
        <v>5</v>
      </c>
      <c r="F1399" s="33" t="n">
        <f aca="false">IF(OR(D1399&gt;5,E1399&lt;8,E1399&gt;=18,COUNTIF($K$2:$K$10,INT(A1399))&gt;0),1,0)</f>
        <v>1</v>
      </c>
      <c r="G1399" s="34" t="n">
        <f aca="false">B1399/1</f>
        <v>62.677</v>
      </c>
      <c r="H1399" s="34" t="n">
        <f aca="false">IF(F1399=1,G1399,"")</f>
        <v>62.677</v>
      </c>
    </row>
    <row r="1400" customFormat="false" ht="15" hidden="false" customHeight="false" outlineLevel="0" collapsed="false">
      <c r="A1400" s="31" t="n">
        <v>42794.25</v>
      </c>
      <c r="B1400" s="32" t="n">
        <v>63.019</v>
      </c>
      <c r="D1400" s="33" t="n">
        <f aca="false">WEEKDAY(A1400,2)</f>
        <v>2</v>
      </c>
      <c r="E1400" s="33" t="n">
        <f aca="false">HOUR(A1400)+MINUTE(A1400)/60</f>
        <v>6</v>
      </c>
      <c r="F1400" s="33" t="n">
        <f aca="false">IF(OR(D1400&gt;5,E1400&lt;8,E1400&gt;=18,COUNTIF($K$2:$K$10,INT(A1400))&gt;0),1,0)</f>
        <v>1</v>
      </c>
      <c r="G1400" s="34" t="n">
        <f aca="false">B1400/1</f>
        <v>63.019</v>
      </c>
      <c r="H1400" s="34" t="n">
        <f aca="false">IF(F1400=1,G1400,"")</f>
        <v>63.019</v>
      </c>
    </row>
    <row r="1401" customFormat="false" ht="15" hidden="false" customHeight="false" outlineLevel="0" collapsed="false">
      <c r="A1401" s="31" t="n">
        <v>42794.2916666667</v>
      </c>
      <c r="B1401" s="32" t="n">
        <v>66.693</v>
      </c>
      <c r="D1401" s="33" t="n">
        <f aca="false">WEEKDAY(A1401,2)</f>
        <v>2</v>
      </c>
      <c r="E1401" s="33" t="n">
        <f aca="false">HOUR(A1401)+MINUTE(A1401)/60</f>
        <v>7</v>
      </c>
      <c r="F1401" s="33" t="n">
        <f aca="false">IF(OR(D1401&gt;5,E1401&lt;8,E1401&gt;=18,COUNTIF($K$2:$K$10,INT(A1401))&gt;0),1,0)</f>
        <v>1</v>
      </c>
      <c r="G1401" s="34" t="n">
        <f aca="false">B1401/1</f>
        <v>66.693</v>
      </c>
      <c r="H1401" s="34" t="n">
        <f aca="false">IF(F1401=1,G1401,"")</f>
        <v>66.693</v>
      </c>
    </row>
    <row r="1402" customFormat="false" ht="15" hidden="false" customHeight="false" outlineLevel="0" collapsed="false">
      <c r="A1402" s="31" t="n">
        <v>42794.3333333333</v>
      </c>
      <c r="B1402" s="32" t="n">
        <v>171.583</v>
      </c>
      <c r="D1402" s="33" t="n">
        <f aca="false">WEEKDAY(A1402,2)</f>
        <v>2</v>
      </c>
      <c r="E1402" s="33" t="n">
        <f aca="false">HOUR(A1402)+MINUTE(A1402)/60</f>
        <v>8</v>
      </c>
      <c r="F1402" s="33" t="n">
        <f aca="false">IF(OR(D1402&gt;5,E1402&lt;8,E1402&gt;=18,COUNTIF($K$2:$K$10,INT(A1402))&gt;0),1,0)</f>
        <v>0</v>
      </c>
      <c r="G1402" s="34" t="n">
        <f aca="false">B1402/1</f>
        <v>171.583</v>
      </c>
      <c r="H1402" s="34" t="str">
        <f aca="false">IF(F1402=1,G1402,"")</f>
        <v/>
      </c>
    </row>
    <row r="1403" customFormat="false" ht="15" hidden="false" customHeight="false" outlineLevel="0" collapsed="false">
      <c r="A1403" s="31" t="n">
        <v>42794.375</v>
      </c>
      <c r="B1403" s="32" t="n">
        <v>214.473</v>
      </c>
      <c r="D1403" s="33" t="n">
        <f aca="false">WEEKDAY(A1403,2)</f>
        <v>2</v>
      </c>
      <c r="E1403" s="33" t="n">
        <f aca="false">HOUR(A1403)+MINUTE(A1403)/60</f>
        <v>9</v>
      </c>
      <c r="F1403" s="33" t="n">
        <f aca="false">IF(OR(D1403&gt;5,E1403&lt;8,E1403&gt;=18,COUNTIF($K$2:$K$10,INT(A1403))&gt;0),1,0)</f>
        <v>0</v>
      </c>
      <c r="G1403" s="34" t="n">
        <f aca="false">B1403/1</f>
        <v>214.473</v>
      </c>
      <c r="H1403" s="34" t="str">
        <f aca="false">IF(F1403=1,G1403,"")</f>
        <v/>
      </c>
    </row>
    <row r="1404" customFormat="false" ht="15" hidden="false" customHeight="false" outlineLevel="0" collapsed="false">
      <c r="A1404" s="31" t="n">
        <v>42794.4166666667</v>
      </c>
      <c r="B1404" s="32" t="n">
        <v>238.237</v>
      </c>
      <c r="D1404" s="33" t="n">
        <f aca="false">WEEKDAY(A1404,2)</f>
        <v>2</v>
      </c>
      <c r="E1404" s="33" t="n">
        <f aca="false">HOUR(A1404)+MINUTE(A1404)/60</f>
        <v>10</v>
      </c>
      <c r="F1404" s="33" t="n">
        <f aca="false">IF(OR(D1404&gt;5,E1404&lt;8,E1404&gt;=18,COUNTIF($K$2:$K$10,INT(A1404))&gt;0),1,0)</f>
        <v>0</v>
      </c>
      <c r="G1404" s="34" t="n">
        <f aca="false">B1404/1</f>
        <v>238.237</v>
      </c>
      <c r="H1404" s="34" t="str">
        <f aca="false">IF(F1404=1,G1404,"")</f>
        <v/>
      </c>
    </row>
    <row r="1405" customFormat="false" ht="15" hidden="false" customHeight="false" outlineLevel="0" collapsed="false">
      <c r="A1405" s="31" t="n">
        <v>42794.4583333333</v>
      </c>
      <c r="B1405" s="32" t="n">
        <v>247.838</v>
      </c>
      <c r="D1405" s="33" t="n">
        <f aca="false">WEEKDAY(A1405,2)</f>
        <v>2</v>
      </c>
      <c r="E1405" s="33" t="n">
        <f aca="false">HOUR(A1405)+MINUTE(A1405)/60</f>
        <v>11</v>
      </c>
      <c r="F1405" s="33" t="n">
        <f aca="false">IF(OR(D1405&gt;5,E1405&lt;8,E1405&gt;=18,COUNTIF($K$2:$K$10,INT(A1405))&gt;0),1,0)</f>
        <v>0</v>
      </c>
      <c r="G1405" s="34" t="n">
        <f aca="false">B1405/1</f>
        <v>247.838</v>
      </c>
      <c r="H1405" s="34" t="str">
        <f aca="false">IF(F1405=1,G1405,"")</f>
        <v/>
      </c>
    </row>
    <row r="1406" customFormat="false" ht="15" hidden="false" customHeight="false" outlineLevel="0" collapsed="false">
      <c r="A1406" s="31" t="n">
        <v>42794.5</v>
      </c>
      <c r="B1406" s="32" t="n">
        <v>255.317</v>
      </c>
      <c r="D1406" s="33" t="n">
        <f aca="false">WEEKDAY(A1406,2)</f>
        <v>2</v>
      </c>
      <c r="E1406" s="33" t="n">
        <f aca="false">HOUR(A1406)+MINUTE(A1406)/60</f>
        <v>12</v>
      </c>
      <c r="F1406" s="33" t="n">
        <f aca="false">IF(OR(D1406&gt;5,E1406&lt;8,E1406&gt;=18,COUNTIF($K$2:$K$10,INT(A1406))&gt;0),1,0)</f>
        <v>0</v>
      </c>
      <c r="G1406" s="34" t="n">
        <f aca="false">B1406/1</f>
        <v>255.317</v>
      </c>
      <c r="H1406" s="34" t="str">
        <f aca="false">IF(F1406=1,G1406,"")</f>
        <v/>
      </c>
    </row>
    <row r="1407" customFormat="false" ht="15" hidden="false" customHeight="false" outlineLevel="0" collapsed="false">
      <c r="A1407" s="31" t="n">
        <v>42794.5416666667</v>
      </c>
      <c r="B1407" s="32" t="n">
        <v>257.475</v>
      </c>
      <c r="D1407" s="33" t="n">
        <f aca="false">WEEKDAY(A1407,2)</f>
        <v>2</v>
      </c>
      <c r="E1407" s="33" t="n">
        <f aca="false">HOUR(A1407)+MINUTE(A1407)/60</f>
        <v>13</v>
      </c>
      <c r="F1407" s="33" t="n">
        <f aca="false">IF(OR(D1407&gt;5,E1407&lt;8,E1407&gt;=18,COUNTIF($K$2:$K$10,INT(A1407))&gt;0),1,0)</f>
        <v>0</v>
      </c>
      <c r="G1407" s="34" t="n">
        <f aca="false">B1407/1</f>
        <v>257.475</v>
      </c>
      <c r="H1407" s="34" t="str">
        <f aca="false">IF(F1407=1,G1407,"")</f>
        <v/>
      </c>
    </row>
    <row r="1408" customFormat="false" ht="15" hidden="false" customHeight="false" outlineLevel="0" collapsed="false">
      <c r="A1408" s="31" t="n">
        <v>42794.5833333333</v>
      </c>
      <c r="B1408" s="32" t="n">
        <v>253.883</v>
      </c>
      <c r="D1408" s="33" t="n">
        <f aca="false">WEEKDAY(A1408,2)</f>
        <v>2</v>
      </c>
      <c r="E1408" s="33" t="n">
        <f aca="false">HOUR(A1408)+MINUTE(A1408)/60</f>
        <v>14</v>
      </c>
      <c r="F1408" s="33" t="n">
        <f aca="false">IF(OR(D1408&gt;5,E1408&lt;8,E1408&gt;=18,COUNTIF($K$2:$K$10,INT(A1408))&gt;0),1,0)</f>
        <v>0</v>
      </c>
      <c r="G1408" s="34" t="n">
        <f aca="false">B1408/1</f>
        <v>253.883</v>
      </c>
      <c r="H1408" s="34" t="str">
        <f aca="false">IF(F1408=1,G1408,"")</f>
        <v/>
      </c>
    </row>
    <row r="1409" customFormat="false" ht="15" hidden="false" customHeight="false" outlineLevel="0" collapsed="false">
      <c r="A1409" s="31" t="n">
        <v>42794.625</v>
      </c>
      <c r="B1409" s="32" t="n">
        <v>253.313</v>
      </c>
      <c r="D1409" s="33" t="n">
        <f aca="false">WEEKDAY(A1409,2)</f>
        <v>2</v>
      </c>
      <c r="E1409" s="33" t="n">
        <f aca="false">HOUR(A1409)+MINUTE(A1409)/60</f>
        <v>15</v>
      </c>
      <c r="F1409" s="33" t="n">
        <f aca="false">IF(OR(D1409&gt;5,E1409&lt;8,E1409&gt;=18,COUNTIF($K$2:$K$10,INT(A1409))&gt;0),1,0)</f>
        <v>0</v>
      </c>
      <c r="G1409" s="34" t="n">
        <f aca="false">B1409/1</f>
        <v>253.313</v>
      </c>
      <c r="H1409" s="34" t="str">
        <f aca="false">IF(F1409=1,G1409,"")</f>
        <v/>
      </c>
    </row>
    <row r="1410" customFormat="false" ht="15" hidden="false" customHeight="false" outlineLevel="0" collapsed="false">
      <c r="A1410" s="31" t="n">
        <v>42794.6666666667</v>
      </c>
      <c r="B1410" s="32" t="n">
        <v>256.3</v>
      </c>
      <c r="D1410" s="33" t="n">
        <f aca="false">WEEKDAY(A1410,2)</f>
        <v>2</v>
      </c>
      <c r="E1410" s="33" t="n">
        <f aca="false">HOUR(A1410)+MINUTE(A1410)/60</f>
        <v>16</v>
      </c>
      <c r="F1410" s="33" t="n">
        <f aca="false">IF(OR(D1410&gt;5,E1410&lt;8,E1410&gt;=18,COUNTIF($K$2:$K$10,INT(A1410))&gt;0),1,0)</f>
        <v>0</v>
      </c>
      <c r="G1410" s="34" t="n">
        <f aca="false">B1410/1</f>
        <v>256.3</v>
      </c>
      <c r="H1410" s="34" t="str">
        <f aca="false">IF(F1410=1,G1410,"")</f>
        <v/>
      </c>
    </row>
    <row r="1411" customFormat="false" ht="15" hidden="false" customHeight="false" outlineLevel="0" collapsed="false">
      <c r="A1411" s="31" t="n">
        <v>42794.7083333333</v>
      </c>
      <c r="B1411" s="32" t="n">
        <v>246.317</v>
      </c>
      <c r="D1411" s="33" t="n">
        <f aca="false">WEEKDAY(A1411,2)</f>
        <v>2</v>
      </c>
      <c r="E1411" s="33" t="n">
        <f aca="false">HOUR(A1411)+MINUTE(A1411)/60</f>
        <v>17</v>
      </c>
      <c r="F1411" s="33" t="n">
        <f aca="false">IF(OR(D1411&gt;5,E1411&lt;8,E1411&gt;=18,COUNTIF($K$2:$K$10,INT(A1411))&gt;0),1,0)</f>
        <v>0</v>
      </c>
      <c r="G1411" s="34" t="n">
        <f aca="false">B1411/1</f>
        <v>246.317</v>
      </c>
      <c r="H1411" s="34" t="str">
        <f aca="false">IF(F1411=1,G1411,"")</f>
        <v/>
      </c>
    </row>
    <row r="1412" customFormat="false" ht="15" hidden="false" customHeight="false" outlineLevel="0" collapsed="false">
      <c r="A1412" s="31" t="n">
        <v>42794.75</v>
      </c>
      <c r="B1412" s="32" t="n">
        <v>227.885</v>
      </c>
      <c r="D1412" s="33" t="n">
        <f aca="false">WEEKDAY(A1412,2)</f>
        <v>2</v>
      </c>
      <c r="E1412" s="33" t="n">
        <f aca="false">HOUR(A1412)+MINUTE(A1412)/60</f>
        <v>18</v>
      </c>
      <c r="F1412" s="33" t="n">
        <f aca="false">IF(OR(D1412&gt;5,E1412&lt;8,E1412&gt;=18,COUNTIF($K$2:$K$10,INT(A1412))&gt;0),1,0)</f>
        <v>1</v>
      </c>
      <c r="G1412" s="34" t="n">
        <f aca="false">B1412/1</f>
        <v>227.885</v>
      </c>
      <c r="H1412" s="34" t="n">
        <f aca="false">IF(F1412=1,G1412,"")</f>
        <v>227.885</v>
      </c>
    </row>
    <row r="1413" customFormat="false" ht="15" hidden="false" customHeight="false" outlineLevel="0" collapsed="false">
      <c r="A1413" s="31" t="n">
        <v>42794.7916666667</v>
      </c>
      <c r="B1413" s="32" t="n">
        <v>229.04</v>
      </c>
      <c r="D1413" s="33" t="n">
        <f aca="false">WEEKDAY(A1413,2)</f>
        <v>2</v>
      </c>
      <c r="E1413" s="33" t="n">
        <f aca="false">HOUR(A1413)+MINUTE(A1413)/60</f>
        <v>19</v>
      </c>
      <c r="F1413" s="33" t="n">
        <f aca="false">IF(OR(D1413&gt;5,E1413&lt;8,E1413&gt;=18,COUNTIF($K$2:$K$10,INT(A1413))&gt;0),1,0)</f>
        <v>1</v>
      </c>
      <c r="G1413" s="34" t="n">
        <f aca="false">B1413/1</f>
        <v>229.04</v>
      </c>
      <c r="H1413" s="34" t="n">
        <f aca="false">IF(F1413=1,G1413,"")</f>
        <v>229.04</v>
      </c>
    </row>
    <row r="1414" customFormat="false" ht="15" hidden="false" customHeight="false" outlineLevel="0" collapsed="false">
      <c r="A1414" s="31" t="n">
        <v>42794.8333333333</v>
      </c>
      <c r="B1414" s="32" t="n">
        <v>214.667</v>
      </c>
      <c r="D1414" s="33" t="n">
        <f aca="false">WEEKDAY(A1414,2)</f>
        <v>2</v>
      </c>
      <c r="E1414" s="33" t="n">
        <f aca="false">HOUR(A1414)+MINUTE(A1414)/60</f>
        <v>20</v>
      </c>
      <c r="F1414" s="33" t="n">
        <f aca="false">IF(OR(D1414&gt;5,E1414&lt;8,E1414&gt;=18,COUNTIF($K$2:$K$10,INT(A1414))&gt;0),1,0)</f>
        <v>1</v>
      </c>
      <c r="G1414" s="34" t="n">
        <f aca="false">B1414/1</f>
        <v>214.667</v>
      </c>
      <c r="H1414" s="34" t="n">
        <f aca="false">IF(F1414=1,G1414,"")</f>
        <v>214.667</v>
      </c>
    </row>
    <row r="1415" customFormat="false" ht="15" hidden="false" customHeight="false" outlineLevel="0" collapsed="false">
      <c r="A1415" s="31" t="n">
        <v>42794.875</v>
      </c>
      <c r="B1415" s="32" t="n">
        <v>208.201</v>
      </c>
      <c r="D1415" s="33" t="n">
        <f aca="false">WEEKDAY(A1415,2)</f>
        <v>2</v>
      </c>
      <c r="E1415" s="33" t="n">
        <f aca="false">HOUR(A1415)+MINUTE(A1415)/60</f>
        <v>21</v>
      </c>
      <c r="F1415" s="33" t="n">
        <f aca="false">IF(OR(D1415&gt;5,E1415&lt;8,E1415&gt;=18,COUNTIF($K$2:$K$10,INT(A1415))&gt;0),1,0)</f>
        <v>1</v>
      </c>
      <c r="G1415" s="34" t="n">
        <f aca="false">B1415/1</f>
        <v>208.201</v>
      </c>
      <c r="H1415" s="34" t="n">
        <f aca="false">IF(F1415=1,G1415,"")</f>
        <v>208.201</v>
      </c>
    </row>
    <row r="1416" customFormat="false" ht="15" hidden="false" customHeight="false" outlineLevel="0" collapsed="false">
      <c r="A1416" s="31" t="n">
        <v>42794.9166666667</v>
      </c>
      <c r="B1416" s="32" t="n">
        <v>140.071</v>
      </c>
      <c r="D1416" s="33" t="n">
        <f aca="false">WEEKDAY(A1416,2)</f>
        <v>2</v>
      </c>
      <c r="E1416" s="33" t="n">
        <f aca="false">HOUR(A1416)+MINUTE(A1416)/60</f>
        <v>22</v>
      </c>
      <c r="F1416" s="33" t="n">
        <f aca="false">IF(OR(D1416&gt;5,E1416&lt;8,E1416&gt;=18,COUNTIF($K$2:$K$10,INT(A1416))&gt;0),1,0)</f>
        <v>1</v>
      </c>
      <c r="G1416" s="34" t="n">
        <f aca="false">B1416/1</f>
        <v>140.071</v>
      </c>
      <c r="H1416" s="34" t="n">
        <f aca="false">IF(F1416=1,G1416,"")</f>
        <v>140.071</v>
      </c>
    </row>
    <row r="1417" customFormat="false" ht="15" hidden="false" customHeight="false" outlineLevel="0" collapsed="false">
      <c r="A1417" s="31" t="n">
        <v>42794.9583333333</v>
      </c>
      <c r="B1417" s="32" t="n">
        <v>78.336</v>
      </c>
      <c r="D1417" s="33" t="n">
        <f aca="false">WEEKDAY(A1417,2)</f>
        <v>2</v>
      </c>
      <c r="E1417" s="33" t="n">
        <f aca="false">HOUR(A1417)+MINUTE(A1417)/60</f>
        <v>23</v>
      </c>
      <c r="F1417" s="33" t="n">
        <f aca="false">IF(OR(D1417&gt;5,E1417&lt;8,E1417&gt;=18,COUNTIF($K$2:$K$10,INT(A1417))&gt;0),1,0)</f>
        <v>1</v>
      </c>
      <c r="G1417" s="34" t="n">
        <f aca="false">B1417/1</f>
        <v>78.336</v>
      </c>
      <c r="H1417" s="34" t="n">
        <f aca="false">IF(F1417=1,G1417,"")</f>
        <v>78.336</v>
      </c>
    </row>
    <row r="1418" customFormat="false" ht="15" hidden="false" customHeight="false" outlineLevel="0" collapsed="false">
      <c r="A1418" s="31" t="n">
        <v>42795</v>
      </c>
      <c r="B1418" s="32" t="n">
        <v>68.188</v>
      </c>
      <c r="D1418" s="33" t="n">
        <f aca="false">WEEKDAY(A1418,2)</f>
        <v>3</v>
      </c>
      <c r="E1418" s="33" t="n">
        <f aca="false">HOUR(A1418)+MINUTE(A1418)/60</f>
        <v>0</v>
      </c>
      <c r="F1418" s="33" t="n">
        <f aca="false">IF(OR(D1418&gt;5,E1418&lt;8,E1418&gt;=18,COUNTIF($K$2:$K$10,INT(A1418))&gt;0),1,0)</f>
        <v>1</v>
      </c>
      <c r="G1418" s="34" t="n">
        <f aca="false">B1418/1</f>
        <v>68.188</v>
      </c>
      <c r="H1418" s="34" t="n">
        <f aca="false">IF(F1418=1,G1418,"")</f>
        <v>68.188</v>
      </c>
    </row>
    <row r="1419" customFormat="false" ht="15" hidden="false" customHeight="false" outlineLevel="0" collapsed="false">
      <c r="A1419" s="31" t="n">
        <v>42795.0416666667</v>
      </c>
      <c r="B1419" s="32" t="n">
        <v>63.252</v>
      </c>
      <c r="D1419" s="33" t="n">
        <f aca="false">WEEKDAY(A1419,2)</f>
        <v>3</v>
      </c>
      <c r="E1419" s="33" t="n">
        <f aca="false">HOUR(A1419)+MINUTE(A1419)/60</f>
        <v>1</v>
      </c>
      <c r="F1419" s="33" t="n">
        <f aca="false">IF(OR(D1419&gt;5,E1419&lt;8,E1419&gt;=18,COUNTIF($K$2:$K$10,INT(A1419))&gt;0),1,0)</f>
        <v>1</v>
      </c>
      <c r="G1419" s="34" t="n">
        <f aca="false">B1419/1</f>
        <v>63.252</v>
      </c>
      <c r="H1419" s="34" t="n">
        <f aca="false">IF(F1419=1,G1419,"")</f>
        <v>63.252</v>
      </c>
    </row>
    <row r="1420" customFormat="false" ht="15" hidden="false" customHeight="false" outlineLevel="0" collapsed="false">
      <c r="A1420" s="31" t="n">
        <v>42795.0833333333</v>
      </c>
      <c r="B1420" s="32" t="n">
        <v>63.076</v>
      </c>
      <c r="D1420" s="33" t="n">
        <f aca="false">WEEKDAY(A1420,2)</f>
        <v>3</v>
      </c>
      <c r="E1420" s="33" t="n">
        <f aca="false">HOUR(A1420)+MINUTE(A1420)/60</f>
        <v>2</v>
      </c>
      <c r="F1420" s="33" t="n">
        <f aca="false">IF(OR(D1420&gt;5,E1420&lt;8,E1420&gt;=18,COUNTIF($K$2:$K$10,INT(A1420))&gt;0),1,0)</f>
        <v>1</v>
      </c>
      <c r="G1420" s="34" t="n">
        <f aca="false">B1420/1</f>
        <v>63.076</v>
      </c>
      <c r="H1420" s="34" t="n">
        <f aca="false">IF(F1420=1,G1420,"")</f>
        <v>63.076</v>
      </c>
    </row>
    <row r="1421" customFormat="false" ht="15" hidden="false" customHeight="false" outlineLevel="0" collapsed="false">
      <c r="A1421" s="31" t="n">
        <v>42795.125</v>
      </c>
      <c r="B1421" s="32" t="n">
        <v>66.332</v>
      </c>
      <c r="D1421" s="33" t="n">
        <f aca="false">WEEKDAY(A1421,2)</f>
        <v>3</v>
      </c>
      <c r="E1421" s="33" t="n">
        <f aca="false">HOUR(A1421)+MINUTE(A1421)/60</f>
        <v>3</v>
      </c>
      <c r="F1421" s="33" t="n">
        <f aca="false">IF(OR(D1421&gt;5,E1421&lt;8,E1421&gt;=18,COUNTIF($K$2:$K$10,INT(A1421))&gt;0),1,0)</f>
        <v>1</v>
      </c>
      <c r="G1421" s="34" t="n">
        <f aca="false">B1421/1</f>
        <v>66.332</v>
      </c>
      <c r="H1421" s="34" t="n">
        <f aca="false">IF(F1421=1,G1421,"")</f>
        <v>66.332</v>
      </c>
    </row>
    <row r="1422" customFormat="false" ht="15" hidden="false" customHeight="false" outlineLevel="0" collapsed="false">
      <c r="A1422" s="31" t="n">
        <v>42795.1666666667</v>
      </c>
      <c r="B1422" s="32" t="n">
        <v>66.325</v>
      </c>
      <c r="D1422" s="33" t="n">
        <f aca="false">WEEKDAY(A1422,2)</f>
        <v>3</v>
      </c>
      <c r="E1422" s="33" t="n">
        <f aca="false">HOUR(A1422)+MINUTE(A1422)/60</f>
        <v>4</v>
      </c>
      <c r="F1422" s="33" t="n">
        <f aca="false">IF(OR(D1422&gt;5,E1422&lt;8,E1422&gt;=18,COUNTIF($K$2:$K$10,INT(A1422))&gt;0),1,0)</f>
        <v>1</v>
      </c>
      <c r="G1422" s="34" t="n">
        <f aca="false">B1422/1</f>
        <v>66.325</v>
      </c>
      <c r="H1422" s="34" t="n">
        <f aca="false">IF(F1422=1,G1422,"")</f>
        <v>66.325</v>
      </c>
    </row>
    <row r="1423" customFormat="false" ht="15" hidden="false" customHeight="false" outlineLevel="0" collapsed="false">
      <c r="A1423" s="31" t="n">
        <v>42795.2083333333</v>
      </c>
      <c r="B1423" s="32" t="n">
        <v>65.526</v>
      </c>
      <c r="D1423" s="33" t="n">
        <f aca="false">WEEKDAY(A1423,2)</f>
        <v>3</v>
      </c>
      <c r="E1423" s="33" t="n">
        <f aca="false">HOUR(A1423)+MINUTE(A1423)/60</f>
        <v>5</v>
      </c>
      <c r="F1423" s="33" t="n">
        <f aca="false">IF(OR(D1423&gt;5,E1423&lt;8,E1423&gt;=18,COUNTIF($K$2:$K$10,INT(A1423))&gt;0),1,0)</f>
        <v>1</v>
      </c>
      <c r="G1423" s="34" t="n">
        <f aca="false">B1423/1</f>
        <v>65.526</v>
      </c>
      <c r="H1423" s="34" t="n">
        <f aca="false">IF(F1423=1,G1423,"")</f>
        <v>65.526</v>
      </c>
    </row>
    <row r="1424" customFormat="false" ht="15" hidden="false" customHeight="false" outlineLevel="0" collapsed="false">
      <c r="A1424" s="31" t="n">
        <v>42795.25</v>
      </c>
      <c r="B1424" s="32" t="n">
        <v>64.543</v>
      </c>
      <c r="D1424" s="33" t="n">
        <f aca="false">WEEKDAY(A1424,2)</f>
        <v>3</v>
      </c>
      <c r="E1424" s="33" t="n">
        <f aca="false">HOUR(A1424)+MINUTE(A1424)/60</f>
        <v>6</v>
      </c>
      <c r="F1424" s="33" t="n">
        <f aca="false">IF(OR(D1424&gt;5,E1424&lt;8,E1424&gt;=18,COUNTIF($K$2:$K$10,INT(A1424))&gt;0),1,0)</f>
        <v>1</v>
      </c>
      <c r="G1424" s="34" t="n">
        <f aca="false">B1424/1</f>
        <v>64.543</v>
      </c>
      <c r="H1424" s="34" t="n">
        <f aca="false">IF(F1424=1,G1424,"")</f>
        <v>64.543</v>
      </c>
    </row>
    <row r="1425" customFormat="false" ht="15" hidden="false" customHeight="false" outlineLevel="0" collapsed="false">
      <c r="A1425" s="31" t="n">
        <v>42795.2916666667</v>
      </c>
      <c r="B1425" s="32" t="n">
        <v>69.883</v>
      </c>
      <c r="D1425" s="33" t="n">
        <f aca="false">WEEKDAY(A1425,2)</f>
        <v>3</v>
      </c>
      <c r="E1425" s="33" t="n">
        <f aca="false">HOUR(A1425)+MINUTE(A1425)/60</f>
        <v>7</v>
      </c>
      <c r="F1425" s="33" t="n">
        <f aca="false">IF(OR(D1425&gt;5,E1425&lt;8,E1425&gt;=18,COUNTIF($K$2:$K$10,INT(A1425))&gt;0),1,0)</f>
        <v>1</v>
      </c>
      <c r="G1425" s="34" t="n">
        <f aca="false">B1425/1</f>
        <v>69.883</v>
      </c>
      <c r="H1425" s="34" t="n">
        <f aca="false">IF(F1425=1,G1425,"")</f>
        <v>69.883</v>
      </c>
    </row>
    <row r="1426" customFormat="false" ht="15" hidden="false" customHeight="false" outlineLevel="0" collapsed="false">
      <c r="A1426" s="31" t="n">
        <v>42795.3333333333</v>
      </c>
      <c r="B1426" s="32" t="n">
        <v>171.236</v>
      </c>
      <c r="D1426" s="33" t="n">
        <f aca="false">WEEKDAY(A1426,2)</f>
        <v>3</v>
      </c>
      <c r="E1426" s="33" t="n">
        <f aca="false">HOUR(A1426)+MINUTE(A1426)/60</f>
        <v>8</v>
      </c>
      <c r="F1426" s="33" t="n">
        <f aca="false">IF(OR(D1426&gt;5,E1426&lt;8,E1426&gt;=18,COUNTIF($K$2:$K$10,INT(A1426))&gt;0),1,0)</f>
        <v>0</v>
      </c>
      <c r="G1426" s="34" t="n">
        <f aca="false">B1426/1</f>
        <v>171.236</v>
      </c>
      <c r="H1426" s="34" t="str">
        <f aca="false">IF(F1426=1,G1426,"")</f>
        <v/>
      </c>
    </row>
    <row r="1427" customFormat="false" ht="15" hidden="false" customHeight="false" outlineLevel="0" collapsed="false">
      <c r="A1427" s="31" t="n">
        <v>42795.375</v>
      </c>
      <c r="B1427" s="32" t="n">
        <v>212.173</v>
      </c>
      <c r="D1427" s="33" t="n">
        <f aca="false">WEEKDAY(A1427,2)</f>
        <v>3</v>
      </c>
      <c r="E1427" s="33" t="n">
        <f aca="false">HOUR(A1427)+MINUTE(A1427)/60</f>
        <v>9</v>
      </c>
      <c r="F1427" s="33" t="n">
        <f aca="false">IF(OR(D1427&gt;5,E1427&lt;8,E1427&gt;=18,COUNTIF($K$2:$K$10,INT(A1427))&gt;0),1,0)</f>
        <v>0</v>
      </c>
      <c r="G1427" s="34" t="n">
        <f aca="false">B1427/1</f>
        <v>212.173</v>
      </c>
      <c r="H1427" s="34" t="str">
        <f aca="false">IF(F1427=1,G1427,"")</f>
        <v/>
      </c>
    </row>
    <row r="1428" customFormat="false" ht="15" hidden="false" customHeight="false" outlineLevel="0" collapsed="false">
      <c r="A1428" s="31" t="n">
        <v>42795.4166666667</v>
      </c>
      <c r="B1428" s="32" t="n">
        <v>238.719</v>
      </c>
      <c r="D1428" s="33" t="n">
        <f aca="false">WEEKDAY(A1428,2)</f>
        <v>3</v>
      </c>
      <c r="E1428" s="33" t="n">
        <f aca="false">HOUR(A1428)+MINUTE(A1428)/60</f>
        <v>10</v>
      </c>
      <c r="F1428" s="33" t="n">
        <f aca="false">IF(OR(D1428&gt;5,E1428&lt;8,E1428&gt;=18,COUNTIF($K$2:$K$10,INT(A1428))&gt;0),1,0)</f>
        <v>0</v>
      </c>
      <c r="G1428" s="34" t="n">
        <f aca="false">B1428/1</f>
        <v>238.719</v>
      </c>
      <c r="H1428" s="34" t="str">
        <f aca="false">IF(F1428=1,G1428,"")</f>
        <v/>
      </c>
    </row>
    <row r="1429" customFormat="false" ht="15" hidden="false" customHeight="false" outlineLevel="0" collapsed="false">
      <c r="A1429" s="31" t="n">
        <v>42795.4583333333</v>
      </c>
      <c r="B1429" s="32" t="n">
        <v>267.977</v>
      </c>
      <c r="D1429" s="33" t="n">
        <f aca="false">WEEKDAY(A1429,2)</f>
        <v>3</v>
      </c>
      <c r="E1429" s="33" t="n">
        <f aca="false">HOUR(A1429)+MINUTE(A1429)/60</f>
        <v>11</v>
      </c>
      <c r="F1429" s="33" t="n">
        <f aca="false">IF(OR(D1429&gt;5,E1429&lt;8,E1429&gt;=18,COUNTIF($K$2:$K$10,INT(A1429))&gt;0),1,0)</f>
        <v>0</v>
      </c>
      <c r="G1429" s="34" t="n">
        <f aca="false">B1429/1</f>
        <v>267.977</v>
      </c>
      <c r="H1429" s="34" t="str">
        <f aca="false">IF(F1429=1,G1429,"")</f>
        <v/>
      </c>
    </row>
    <row r="1430" customFormat="false" ht="15" hidden="false" customHeight="false" outlineLevel="0" collapsed="false">
      <c r="A1430" s="31" t="n">
        <v>42795.5</v>
      </c>
      <c r="B1430" s="32" t="n">
        <v>267.813</v>
      </c>
      <c r="D1430" s="33" t="n">
        <f aca="false">WEEKDAY(A1430,2)</f>
        <v>3</v>
      </c>
      <c r="E1430" s="33" t="n">
        <f aca="false">HOUR(A1430)+MINUTE(A1430)/60</f>
        <v>12</v>
      </c>
      <c r="F1430" s="33" t="n">
        <f aca="false">IF(OR(D1430&gt;5,E1430&lt;8,E1430&gt;=18,COUNTIF($K$2:$K$10,INT(A1430))&gt;0),1,0)</f>
        <v>0</v>
      </c>
      <c r="G1430" s="34" t="n">
        <f aca="false">B1430/1</f>
        <v>267.813</v>
      </c>
      <c r="H1430" s="34" t="str">
        <f aca="false">IF(F1430=1,G1430,"")</f>
        <v/>
      </c>
    </row>
    <row r="1431" customFormat="false" ht="15" hidden="false" customHeight="false" outlineLevel="0" collapsed="false">
      <c r="A1431" s="31" t="n">
        <v>42795.5416666667</v>
      </c>
      <c r="B1431" s="32" t="n">
        <v>262.917</v>
      </c>
      <c r="D1431" s="33" t="n">
        <f aca="false">WEEKDAY(A1431,2)</f>
        <v>3</v>
      </c>
      <c r="E1431" s="33" t="n">
        <f aca="false">HOUR(A1431)+MINUTE(A1431)/60</f>
        <v>13</v>
      </c>
      <c r="F1431" s="33" t="n">
        <f aca="false">IF(OR(D1431&gt;5,E1431&lt;8,E1431&gt;=18,COUNTIF($K$2:$K$10,INT(A1431))&gt;0),1,0)</f>
        <v>0</v>
      </c>
      <c r="G1431" s="34" t="n">
        <f aca="false">B1431/1</f>
        <v>262.917</v>
      </c>
      <c r="H1431" s="34" t="str">
        <f aca="false">IF(F1431=1,G1431,"")</f>
        <v/>
      </c>
    </row>
    <row r="1432" customFormat="false" ht="15" hidden="false" customHeight="false" outlineLevel="0" collapsed="false">
      <c r="A1432" s="31" t="n">
        <v>42795.5833333333</v>
      </c>
      <c r="B1432" s="32" t="n">
        <v>262.709</v>
      </c>
      <c r="D1432" s="33" t="n">
        <f aca="false">WEEKDAY(A1432,2)</f>
        <v>3</v>
      </c>
      <c r="E1432" s="33" t="n">
        <f aca="false">HOUR(A1432)+MINUTE(A1432)/60</f>
        <v>14</v>
      </c>
      <c r="F1432" s="33" t="n">
        <f aca="false">IF(OR(D1432&gt;5,E1432&lt;8,E1432&gt;=18,COUNTIF($K$2:$K$10,INT(A1432))&gt;0),1,0)</f>
        <v>0</v>
      </c>
      <c r="G1432" s="34" t="n">
        <f aca="false">B1432/1</f>
        <v>262.709</v>
      </c>
      <c r="H1432" s="34" t="str">
        <f aca="false">IF(F1432=1,G1432,"")</f>
        <v/>
      </c>
    </row>
    <row r="1433" customFormat="false" ht="15" hidden="false" customHeight="false" outlineLevel="0" collapsed="false">
      <c r="A1433" s="31" t="n">
        <v>42795.625</v>
      </c>
      <c r="B1433" s="32" t="n">
        <v>264.096</v>
      </c>
      <c r="D1433" s="33" t="n">
        <f aca="false">WEEKDAY(A1433,2)</f>
        <v>3</v>
      </c>
      <c r="E1433" s="33" t="n">
        <f aca="false">HOUR(A1433)+MINUTE(A1433)/60</f>
        <v>15</v>
      </c>
      <c r="F1433" s="33" t="n">
        <f aca="false">IF(OR(D1433&gt;5,E1433&lt;8,E1433&gt;=18,COUNTIF($K$2:$K$10,INT(A1433))&gt;0),1,0)</f>
        <v>0</v>
      </c>
      <c r="G1433" s="34" t="n">
        <f aca="false">B1433/1</f>
        <v>264.096</v>
      </c>
      <c r="H1433" s="34" t="str">
        <f aca="false">IF(F1433=1,G1433,"")</f>
        <v/>
      </c>
    </row>
    <row r="1434" customFormat="false" ht="15" hidden="false" customHeight="false" outlineLevel="0" collapsed="false">
      <c r="A1434" s="31" t="n">
        <v>42795.6666666667</v>
      </c>
      <c r="B1434" s="32" t="n">
        <v>271.596</v>
      </c>
      <c r="D1434" s="33" t="n">
        <f aca="false">WEEKDAY(A1434,2)</f>
        <v>3</v>
      </c>
      <c r="E1434" s="33" t="n">
        <f aca="false">HOUR(A1434)+MINUTE(A1434)/60</f>
        <v>16</v>
      </c>
      <c r="F1434" s="33" t="n">
        <f aca="false">IF(OR(D1434&gt;5,E1434&lt;8,E1434&gt;=18,COUNTIF($K$2:$K$10,INT(A1434))&gt;0),1,0)</f>
        <v>0</v>
      </c>
      <c r="G1434" s="34" t="n">
        <f aca="false">B1434/1</f>
        <v>271.596</v>
      </c>
      <c r="H1434" s="34" t="str">
        <f aca="false">IF(F1434=1,G1434,"")</f>
        <v/>
      </c>
    </row>
    <row r="1435" customFormat="false" ht="15" hidden="false" customHeight="false" outlineLevel="0" collapsed="false">
      <c r="A1435" s="31" t="n">
        <v>42795.7083333333</v>
      </c>
      <c r="B1435" s="32" t="n">
        <v>227.25</v>
      </c>
      <c r="D1435" s="33" t="n">
        <f aca="false">WEEKDAY(A1435,2)</f>
        <v>3</v>
      </c>
      <c r="E1435" s="33" t="n">
        <f aca="false">HOUR(A1435)+MINUTE(A1435)/60</f>
        <v>17</v>
      </c>
      <c r="F1435" s="33" t="n">
        <f aca="false">IF(OR(D1435&gt;5,E1435&lt;8,E1435&gt;=18,COUNTIF($K$2:$K$10,INT(A1435))&gt;0),1,0)</f>
        <v>0</v>
      </c>
      <c r="G1435" s="34" t="n">
        <f aca="false">B1435/1</f>
        <v>227.25</v>
      </c>
      <c r="H1435" s="34" t="str">
        <f aca="false">IF(F1435=1,G1435,"")</f>
        <v/>
      </c>
    </row>
    <row r="1436" customFormat="false" ht="15" hidden="false" customHeight="false" outlineLevel="0" collapsed="false">
      <c r="A1436" s="31" t="n">
        <v>42795.75</v>
      </c>
      <c r="B1436" s="32" t="n">
        <v>225.373</v>
      </c>
      <c r="D1436" s="33" t="n">
        <f aca="false">WEEKDAY(A1436,2)</f>
        <v>3</v>
      </c>
      <c r="E1436" s="33" t="n">
        <f aca="false">HOUR(A1436)+MINUTE(A1436)/60</f>
        <v>18</v>
      </c>
      <c r="F1436" s="33" t="n">
        <f aca="false">IF(OR(D1436&gt;5,E1436&lt;8,E1436&gt;=18,COUNTIF($K$2:$K$10,INT(A1436))&gt;0),1,0)</f>
        <v>1</v>
      </c>
      <c r="G1436" s="34" t="n">
        <f aca="false">B1436/1</f>
        <v>225.373</v>
      </c>
      <c r="H1436" s="34" t="n">
        <f aca="false">IF(F1436=1,G1436,"")</f>
        <v>225.373</v>
      </c>
    </row>
    <row r="1437" customFormat="false" ht="15" hidden="false" customHeight="false" outlineLevel="0" collapsed="false">
      <c r="A1437" s="31" t="n">
        <v>42795.7916666667</v>
      </c>
      <c r="B1437" s="32" t="n">
        <v>214.488</v>
      </c>
      <c r="D1437" s="33" t="n">
        <f aca="false">WEEKDAY(A1437,2)</f>
        <v>3</v>
      </c>
      <c r="E1437" s="33" t="n">
        <f aca="false">HOUR(A1437)+MINUTE(A1437)/60</f>
        <v>19</v>
      </c>
      <c r="F1437" s="33" t="n">
        <f aca="false">IF(OR(D1437&gt;5,E1437&lt;8,E1437&gt;=18,COUNTIF($K$2:$K$10,INT(A1437))&gt;0),1,0)</f>
        <v>1</v>
      </c>
      <c r="G1437" s="34" t="n">
        <f aca="false">B1437/1</f>
        <v>214.488</v>
      </c>
      <c r="H1437" s="34" t="n">
        <f aca="false">IF(F1437=1,G1437,"")</f>
        <v>214.488</v>
      </c>
    </row>
    <row r="1438" customFormat="false" ht="15" hidden="false" customHeight="false" outlineLevel="0" collapsed="false">
      <c r="A1438" s="31" t="n">
        <v>42795.8333333333</v>
      </c>
      <c r="B1438" s="32" t="n">
        <v>207.18</v>
      </c>
      <c r="D1438" s="33" t="n">
        <f aca="false">WEEKDAY(A1438,2)</f>
        <v>3</v>
      </c>
      <c r="E1438" s="33" t="n">
        <f aca="false">HOUR(A1438)+MINUTE(A1438)/60</f>
        <v>20</v>
      </c>
      <c r="F1438" s="33" t="n">
        <f aca="false">IF(OR(D1438&gt;5,E1438&lt;8,E1438&gt;=18,COUNTIF($K$2:$K$10,INT(A1438))&gt;0),1,0)</f>
        <v>1</v>
      </c>
      <c r="G1438" s="34" t="n">
        <f aca="false">B1438/1</f>
        <v>207.18</v>
      </c>
      <c r="H1438" s="34" t="n">
        <f aca="false">IF(F1438=1,G1438,"")</f>
        <v>207.18</v>
      </c>
    </row>
    <row r="1439" customFormat="false" ht="15" hidden="false" customHeight="false" outlineLevel="0" collapsed="false">
      <c r="A1439" s="31" t="n">
        <v>42795.875</v>
      </c>
      <c r="B1439" s="32" t="n">
        <v>196.116</v>
      </c>
      <c r="D1439" s="33" t="n">
        <f aca="false">WEEKDAY(A1439,2)</f>
        <v>3</v>
      </c>
      <c r="E1439" s="33" t="n">
        <f aca="false">HOUR(A1439)+MINUTE(A1439)/60</f>
        <v>21</v>
      </c>
      <c r="F1439" s="33" t="n">
        <f aca="false">IF(OR(D1439&gt;5,E1439&lt;8,E1439&gt;=18,COUNTIF($K$2:$K$10,INT(A1439))&gt;0),1,0)</f>
        <v>1</v>
      </c>
      <c r="G1439" s="34" t="n">
        <f aca="false">B1439/1</f>
        <v>196.116</v>
      </c>
      <c r="H1439" s="34" t="n">
        <f aca="false">IF(F1439=1,G1439,"")</f>
        <v>196.116</v>
      </c>
    </row>
    <row r="1440" customFormat="false" ht="15" hidden="false" customHeight="false" outlineLevel="0" collapsed="false">
      <c r="A1440" s="31" t="n">
        <v>42795.9166666667</v>
      </c>
      <c r="B1440" s="32" t="n">
        <v>137.948</v>
      </c>
      <c r="D1440" s="33" t="n">
        <f aca="false">WEEKDAY(A1440,2)</f>
        <v>3</v>
      </c>
      <c r="E1440" s="33" t="n">
        <f aca="false">HOUR(A1440)+MINUTE(A1440)/60</f>
        <v>22</v>
      </c>
      <c r="F1440" s="33" t="n">
        <f aca="false">IF(OR(D1440&gt;5,E1440&lt;8,E1440&gt;=18,COUNTIF($K$2:$K$10,INT(A1440))&gt;0),1,0)</f>
        <v>1</v>
      </c>
      <c r="G1440" s="34" t="n">
        <f aca="false">B1440/1</f>
        <v>137.948</v>
      </c>
      <c r="H1440" s="34" t="n">
        <f aca="false">IF(F1440=1,G1440,"")</f>
        <v>137.948</v>
      </c>
    </row>
    <row r="1441" customFormat="false" ht="15" hidden="false" customHeight="false" outlineLevel="0" collapsed="false">
      <c r="A1441" s="31" t="n">
        <v>42795.9583333333</v>
      </c>
      <c r="B1441" s="32" t="n">
        <v>74.658</v>
      </c>
      <c r="D1441" s="33" t="n">
        <f aca="false">WEEKDAY(A1441,2)</f>
        <v>3</v>
      </c>
      <c r="E1441" s="33" t="n">
        <f aca="false">HOUR(A1441)+MINUTE(A1441)/60</f>
        <v>23</v>
      </c>
      <c r="F1441" s="33" t="n">
        <f aca="false">IF(OR(D1441&gt;5,E1441&lt;8,E1441&gt;=18,COUNTIF($K$2:$K$10,INT(A1441))&gt;0),1,0)</f>
        <v>1</v>
      </c>
      <c r="G1441" s="34" t="n">
        <f aca="false">B1441/1</f>
        <v>74.658</v>
      </c>
      <c r="H1441" s="34" t="n">
        <f aca="false">IF(F1441=1,G1441,"")</f>
        <v>74.658</v>
      </c>
    </row>
    <row r="1442" customFormat="false" ht="15" hidden="false" customHeight="false" outlineLevel="0" collapsed="false">
      <c r="A1442" s="31" t="n">
        <v>42796</v>
      </c>
      <c r="B1442" s="32" t="n">
        <v>69.918</v>
      </c>
      <c r="D1442" s="33" t="n">
        <f aca="false">WEEKDAY(A1442,2)</f>
        <v>4</v>
      </c>
      <c r="E1442" s="33" t="n">
        <f aca="false">HOUR(A1442)+MINUTE(A1442)/60</f>
        <v>0</v>
      </c>
      <c r="F1442" s="33" t="n">
        <f aca="false">IF(OR(D1442&gt;5,E1442&lt;8,E1442&gt;=18,COUNTIF($K$2:$K$10,INT(A1442))&gt;0),1,0)</f>
        <v>1</v>
      </c>
      <c r="G1442" s="34" t="n">
        <f aca="false">B1442/1</f>
        <v>69.918</v>
      </c>
      <c r="H1442" s="34" t="n">
        <f aca="false">IF(F1442=1,G1442,"")</f>
        <v>69.918</v>
      </c>
    </row>
    <row r="1443" customFormat="false" ht="15" hidden="false" customHeight="false" outlineLevel="0" collapsed="false">
      <c r="A1443" s="31" t="n">
        <v>42796.0416666667</v>
      </c>
      <c r="B1443" s="32" t="n">
        <v>65.968</v>
      </c>
      <c r="D1443" s="33" t="n">
        <f aca="false">WEEKDAY(A1443,2)</f>
        <v>4</v>
      </c>
      <c r="E1443" s="33" t="n">
        <f aca="false">HOUR(A1443)+MINUTE(A1443)/60</f>
        <v>1</v>
      </c>
      <c r="F1443" s="33" t="n">
        <f aca="false">IF(OR(D1443&gt;5,E1443&lt;8,E1443&gt;=18,COUNTIF($K$2:$K$10,INT(A1443))&gt;0),1,0)</f>
        <v>1</v>
      </c>
      <c r="G1443" s="34" t="n">
        <f aca="false">B1443/1</f>
        <v>65.968</v>
      </c>
      <c r="H1443" s="34" t="n">
        <f aca="false">IF(F1443=1,G1443,"")</f>
        <v>65.968</v>
      </c>
    </row>
    <row r="1444" customFormat="false" ht="15" hidden="false" customHeight="false" outlineLevel="0" collapsed="false">
      <c r="A1444" s="31" t="n">
        <v>42796.0833333333</v>
      </c>
      <c r="B1444" s="32" t="n">
        <v>64.137</v>
      </c>
      <c r="D1444" s="33" t="n">
        <f aca="false">WEEKDAY(A1444,2)</f>
        <v>4</v>
      </c>
      <c r="E1444" s="33" t="n">
        <f aca="false">HOUR(A1444)+MINUTE(A1444)/60</f>
        <v>2</v>
      </c>
      <c r="F1444" s="33" t="n">
        <f aca="false">IF(OR(D1444&gt;5,E1444&lt;8,E1444&gt;=18,COUNTIF($K$2:$K$10,INT(A1444))&gt;0),1,0)</f>
        <v>1</v>
      </c>
      <c r="G1444" s="34" t="n">
        <f aca="false">B1444/1</f>
        <v>64.137</v>
      </c>
      <c r="H1444" s="34" t="n">
        <f aca="false">IF(F1444=1,G1444,"")</f>
        <v>64.137</v>
      </c>
    </row>
    <row r="1445" customFormat="false" ht="15" hidden="false" customHeight="false" outlineLevel="0" collapsed="false">
      <c r="A1445" s="31" t="n">
        <v>42796.125</v>
      </c>
      <c r="B1445" s="32" t="n">
        <v>64.325</v>
      </c>
      <c r="D1445" s="33" t="n">
        <f aca="false">WEEKDAY(A1445,2)</f>
        <v>4</v>
      </c>
      <c r="E1445" s="33" t="n">
        <f aca="false">HOUR(A1445)+MINUTE(A1445)/60</f>
        <v>3</v>
      </c>
      <c r="F1445" s="33" t="n">
        <f aca="false">IF(OR(D1445&gt;5,E1445&lt;8,E1445&gt;=18,COUNTIF($K$2:$K$10,INT(A1445))&gt;0),1,0)</f>
        <v>1</v>
      </c>
      <c r="G1445" s="34" t="n">
        <f aca="false">B1445/1</f>
        <v>64.325</v>
      </c>
      <c r="H1445" s="34" t="n">
        <f aca="false">IF(F1445=1,G1445,"")</f>
        <v>64.325</v>
      </c>
    </row>
    <row r="1446" customFormat="false" ht="15" hidden="false" customHeight="false" outlineLevel="0" collapsed="false">
      <c r="A1446" s="31" t="n">
        <v>42796.1666666667</v>
      </c>
      <c r="B1446" s="32" t="n">
        <v>65.099</v>
      </c>
      <c r="D1446" s="33" t="n">
        <f aca="false">WEEKDAY(A1446,2)</f>
        <v>4</v>
      </c>
      <c r="E1446" s="33" t="n">
        <f aca="false">HOUR(A1446)+MINUTE(A1446)/60</f>
        <v>4</v>
      </c>
      <c r="F1446" s="33" t="n">
        <f aca="false">IF(OR(D1446&gt;5,E1446&lt;8,E1446&gt;=18,COUNTIF($K$2:$K$10,INT(A1446))&gt;0),1,0)</f>
        <v>1</v>
      </c>
      <c r="G1446" s="34" t="n">
        <f aca="false">B1446/1</f>
        <v>65.099</v>
      </c>
      <c r="H1446" s="34" t="n">
        <f aca="false">IF(F1446=1,G1446,"")</f>
        <v>65.099</v>
      </c>
    </row>
    <row r="1447" customFormat="false" ht="15" hidden="false" customHeight="false" outlineLevel="0" collapsed="false">
      <c r="A1447" s="31" t="n">
        <v>42796.2083333333</v>
      </c>
      <c r="B1447" s="32" t="n">
        <v>65.677</v>
      </c>
      <c r="D1447" s="33" t="n">
        <f aca="false">WEEKDAY(A1447,2)</f>
        <v>4</v>
      </c>
      <c r="E1447" s="33" t="n">
        <f aca="false">HOUR(A1447)+MINUTE(A1447)/60</f>
        <v>5</v>
      </c>
      <c r="F1447" s="33" t="n">
        <f aca="false">IF(OR(D1447&gt;5,E1447&lt;8,E1447&gt;=18,COUNTIF($K$2:$K$10,INT(A1447))&gt;0),1,0)</f>
        <v>1</v>
      </c>
      <c r="G1447" s="34" t="n">
        <f aca="false">B1447/1</f>
        <v>65.677</v>
      </c>
      <c r="H1447" s="34" t="n">
        <f aca="false">IF(F1447=1,G1447,"")</f>
        <v>65.677</v>
      </c>
    </row>
    <row r="1448" customFormat="false" ht="15" hidden="false" customHeight="false" outlineLevel="0" collapsed="false">
      <c r="A1448" s="31" t="n">
        <v>42796.25</v>
      </c>
      <c r="B1448" s="32" t="n">
        <v>67.46</v>
      </c>
      <c r="D1448" s="33" t="n">
        <f aca="false">WEEKDAY(A1448,2)</f>
        <v>4</v>
      </c>
      <c r="E1448" s="33" t="n">
        <f aca="false">HOUR(A1448)+MINUTE(A1448)/60</f>
        <v>6</v>
      </c>
      <c r="F1448" s="33" t="n">
        <f aca="false">IF(OR(D1448&gt;5,E1448&lt;8,E1448&gt;=18,COUNTIF($K$2:$K$10,INT(A1448))&gt;0),1,0)</f>
        <v>1</v>
      </c>
      <c r="G1448" s="34" t="n">
        <f aca="false">B1448/1</f>
        <v>67.46</v>
      </c>
      <c r="H1448" s="34" t="n">
        <f aca="false">IF(F1448=1,G1448,"")</f>
        <v>67.46</v>
      </c>
    </row>
    <row r="1449" customFormat="false" ht="15" hidden="false" customHeight="false" outlineLevel="0" collapsed="false">
      <c r="A1449" s="31" t="n">
        <v>42796.2916666667</v>
      </c>
      <c r="B1449" s="32" t="n">
        <v>71.71</v>
      </c>
      <c r="D1449" s="33" t="n">
        <f aca="false">WEEKDAY(A1449,2)</f>
        <v>4</v>
      </c>
      <c r="E1449" s="33" t="n">
        <f aca="false">HOUR(A1449)+MINUTE(A1449)/60</f>
        <v>7</v>
      </c>
      <c r="F1449" s="33" t="n">
        <f aca="false">IF(OR(D1449&gt;5,E1449&lt;8,E1449&gt;=18,COUNTIF($K$2:$K$10,INT(A1449))&gt;0),1,0)</f>
        <v>1</v>
      </c>
      <c r="G1449" s="34" t="n">
        <f aca="false">B1449/1</f>
        <v>71.71</v>
      </c>
      <c r="H1449" s="34" t="n">
        <f aca="false">IF(F1449=1,G1449,"")</f>
        <v>71.71</v>
      </c>
    </row>
    <row r="1450" customFormat="false" ht="15" hidden="false" customHeight="false" outlineLevel="0" collapsed="false">
      <c r="A1450" s="31" t="n">
        <v>42796.3333333333</v>
      </c>
      <c r="B1450" s="32" t="n">
        <v>175.374</v>
      </c>
      <c r="D1450" s="33" t="n">
        <f aca="false">WEEKDAY(A1450,2)</f>
        <v>4</v>
      </c>
      <c r="E1450" s="33" t="n">
        <f aca="false">HOUR(A1450)+MINUTE(A1450)/60</f>
        <v>8</v>
      </c>
      <c r="F1450" s="33" t="n">
        <f aca="false">IF(OR(D1450&gt;5,E1450&lt;8,E1450&gt;=18,COUNTIF($K$2:$K$10,INT(A1450))&gt;0),1,0)</f>
        <v>0</v>
      </c>
      <c r="G1450" s="34" t="n">
        <f aca="false">B1450/1</f>
        <v>175.374</v>
      </c>
      <c r="H1450" s="34" t="str">
        <f aca="false">IF(F1450=1,G1450,"")</f>
        <v/>
      </c>
    </row>
    <row r="1451" customFormat="false" ht="15" hidden="false" customHeight="false" outlineLevel="0" collapsed="false">
      <c r="A1451" s="31" t="n">
        <v>42796.375</v>
      </c>
      <c r="B1451" s="32" t="n">
        <v>226.177</v>
      </c>
      <c r="D1451" s="33" t="n">
        <f aca="false">WEEKDAY(A1451,2)</f>
        <v>4</v>
      </c>
      <c r="E1451" s="33" t="n">
        <f aca="false">HOUR(A1451)+MINUTE(A1451)/60</f>
        <v>9</v>
      </c>
      <c r="F1451" s="33" t="n">
        <f aca="false">IF(OR(D1451&gt;5,E1451&lt;8,E1451&gt;=18,COUNTIF($K$2:$K$10,INT(A1451))&gt;0),1,0)</f>
        <v>0</v>
      </c>
      <c r="G1451" s="34" t="n">
        <f aca="false">B1451/1</f>
        <v>226.177</v>
      </c>
      <c r="H1451" s="34" t="str">
        <f aca="false">IF(F1451=1,G1451,"")</f>
        <v/>
      </c>
    </row>
    <row r="1452" customFormat="false" ht="15" hidden="false" customHeight="false" outlineLevel="0" collapsed="false">
      <c r="A1452" s="31" t="n">
        <v>42796.4166666667</v>
      </c>
      <c r="B1452" s="32" t="n">
        <v>248.789</v>
      </c>
      <c r="D1452" s="33" t="n">
        <f aca="false">WEEKDAY(A1452,2)</f>
        <v>4</v>
      </c>
      <c r="E1452" s="33" t="n">
        <f aca="false">HOUR(A1452)+MINUTE(A1452)/60</f>
        <v>10</v>
      </c>
      <c r="F1452" s="33" t="n">
        <f aca="false">IF(OR(D1452&gt;5,E1452&lt;8,E1452&gt;=18,COUNTIF($K$2:$K$10,INT(A1452))&gt;0),1,0)</f>
        <v>0</v>
      </c>
      <c r="G1452" s="34" t="n">
        <f aca="false">B1452/1</f>
        <v>248.789</v>
      </c>
      <c r="H1452" s="34" t="str">
        <f aca="false">IF(F1452=1,G1452,"")</f>
        <v/>
      </c>
    </row>
    <row r="1453" customFormat="false" ht="15" hidden="false" customHeight="false" outlineLevel="0" collapsed="false">
      <c r="A1453" s="31" t="n">
        <v>42796.4583333333</v>
      </c>
      <c r="B1453" s="32" t="n">
        <v>264.143</v>
      </c>
      <c r="D1453" s="33" t="n">
        <f aca="false">WEEKDAY(A1453,2)</f>
        <v>4</v>
      </c>
      <c r="E1453" s="33" t="n">
        <f aca="false">HOUR(A1453)+MINUTE(A1453)/60</f>
        <v>11</v>
      </c>
      <c r="F1453" s="33" t="n">
        <f aca="false">IF(OR(D1453&gt;5,E1453&lt;8,E1453&gt;=18,COUNTIF($K$2:$K$10,INT(A1453))&gt;0),1,0)</f>
        <v>0</v>
      </c>
      <c r="G1453" s="34" t="n">
        <f aca="false">B1453/1</f>
        <v>264.143</v>
      </c>
      <c r="H1453" s="34" t="str">
        <f aca="false">IF(F1453=1,G1453,"")</f>
        <v/>
      </c>
    </row>
    <row r="1454" customFormat="false" ht="15" hidden="false" customHeight="false" outlineLevel="0" collapsed="false">
      <c r="A1454" s="31" t="n">
        <v>42796.5</v>
      </c>
      <c r="B1454" s="32" t="n">
        <v>267.929</v>
      </c>
      <c r="D1454" s="33" t="n">
        <f aca="false">WEEKDAY(A1454,2)</f>
        <v>4</v>
      </c>
      <c r="E1454" s="33" t="n">
        <f aca="false">HOUR(A1454)+MINUTE(A1454)/60</f>
        <v>12</v>
      </c>
      <c r="F1454" s="33" t="n">
        <f aca="false">IF(OR(D1454&gt;5,E1454&lt;8,E1454&gt;=18,COUNTIF($K$2:$K$10,INT(A1454))&gt;0),1,0)</f>
        <v>0</v>
      </c>
      <c r="G1454" s="34" t="n">
        <f aca="false">B1454/1</f>
        <v>267.929</v>
      </c>
      <c r="H1454" s="34" t="str">
        <f aca="false">IF(F1454=1,G1454,"")</f>
        <v/>
      </c>
    </row>
    <row r="1455" customFormat="false" ht="15" hidden="false" customHeight="false" outlineLevel="0" collapsed="false">
      <c r="A1455" s="31" t="n">
        <v>42796.5416666667</v>
      </c>
      <c r="B1455" s="32" t="n">
        <v>267.767</v>
      </c>
      <c r="D1455" s="33" t="n">
        <f aca="false">WEEKDAY(A1455,2)</f>
        <v>4</v>
      </c>
      <c r="E1455" s="33" t="n">
        <f aca="false">HOUR(A1455)+MINUTE(A1455)/60</f>
        <v>13</v>
      </c>
      <c r="F1455" s="33" t="n">
        <f aca="false">IF(OR(D1455&gt;5,E1455&lt;8,E1455&gt;=18,COUNTIF($K$2:$K$10,INT(A1455))&gt;0),1,0)</f>
        <v>0</v>
      </c>
      <c r="G1455" s="34" t="n">
        <f aca="false">B1455/1</f>
        <v>267.767</v>
      </c>
      <c r="H1455" s="34" t="str">
        <f aca="false">IF(F1455=1,G1455,"")</f>
        <v/>
      </c>
    </row>
    <row r="1456" customFormat="false" ht="15" hidden="false" customHeight="false" outlineLevel="0" collapsed="false">
      <c r="A1456" s="31" t="n">
        <v>42796.5833333333</v>
      </c>
      <c r="B1456" s="32" t="n">
        <v>263.766</v>
      </c>
      <c r="D1456" s="33" t="n">
        <f aca="false">WEEKDAY(A1456,2)</f>
        <v>4</v>
      </c>
      <c r="E1456" s="33" t="n">
        <f aca="false">HOUR(A1456)+MINUTE(A1456)/60</f>
        <v>14</v>
      </c>
      <c r="F1456" s="33" t="n">
        <f aca="false">IF(OR(D1456&gt;5,E1456&lt;8,E1456&gt;=18,COUNTIF($K$2:$K$10,INT(A1456))&gt;0),1,0)</f>
        <v>0</v>
      </c>
      <c r="G1456" s="34" t="n">
        <f aca="false">B1456/1</f>
        <v>263.766</v>
      </c>
      <c r="H1456" s="34" t="str">
        <f aca="false">IF(F1456=1,G1456,"")</f>
        <v/>
      </c>
    </row>
    <row r="1457" customFormat="false" ht="15" hidden="false" customHeight="false" outlineLevel="0" collapsed="false">
      <c r="A1457" s="31" t="n">
        <v>42796.625</v>
      </c>
      <c r="B1457" s="32" t="n">
        <v>259.18</v>
      </c>
      <c r="D1457" s="33" t="n">
        <f aca="false">WEEKDAY(A1457,2)</f>
        <v>4</v>
      </c>
      <c r="E1457" s="33" t="n">
        <f aca="false">HOUR(A1457)+MINUTE(A1457)/60</f>
        <v>15</v>
      </c>
      <c r="F1457" s="33" t="n">
        <f aca="false">IF(OR(D1457&gt;5,E1457&lt;8,E1457&gt;=18,COUNTIF($K$2:$K$10,INT(A1457))&gt;0),1,0)</f>
        <v>0</v>
      </c>
      <c r="G1457" s="34" t="n">
        <f aca="false">B1457/1</f>
        <v>259.18</v>
      </c>
      <c r="H1457" s="34" t="str">
        <f aca="false">IF(F1457=1,G1457,"")</f>
        <v/>
      </c>
    </row>
    <row r="1458" customFormat="false" ht="15" hidden="false" customHeight="false" outlineLevel="0" collapsed="false">
      <c r="A1458" s="31" t="n">
        <v>42796.6666666667</v>
      </c>
      <c r="B1458" s="32" t="n">
        <v>265.288</v>
      </c>
      <c r="D1458" s="33" t="n">
        <f aca="false">WEEKDAY(A1458,2)</f>
        <v>4</v>
      </c>
      <c r="E1458" s="33" t="n">
        <f aca="false">HOUR(A1458)+MINUTE(A1458)/60</f>
        <v>16</v>
      </c>
      <c r="F1458" s="33" t="n">
        <f aca="false">IF(OR(D1458&gt;5,E1458&lt;8,E1458&gt;=18,COUNTIF($K$2:$K$10,INT(A1458))&gt;0),1,0)</f>
        <v>0</v>
      </c>
      <c r="G1458" s="34" t="n">
        <f aca="false">B1458/1</f>
        <v>265.288</v>
      </c>
      <c r="H1458" s="34" t="str">
        <f aca="false">IF(F1458=1,G1458,"")</f>
        <v/>
      </c>
    </row>
    <row r="1459" customFormat="false" ht="15" hidden="false" customHeight="false" outlineLevel="0" collapsed="false">
      <c r="A1459" s="31" t="n">
        <v>42796.7083333333</v>
      </c>
      <c r="B1459" s="32" t="n">
        <v>232.063</v>
      </c>
      <c r="D1459" s="33" t="n">
        <f aca="false">WEEKDAY(A1459,2)</f>
        <v>4</v>
      </c>
      <c r="E1459" s="33" t="n">
        <f aca="false">HOUR(A1459)+MINUTE(A1459)/60</f>
        <v>17</v>
      </c>
      <c r="F1459" s="33" t="n">
        <f aca="false">IF(OR(D1459&gt;5,E1459&lt;8,E1459&gt;=18,COUNTIF($K$2:$K$10,INT(A1459))&gt;0),1,0)</f>
        <v>0</v>
      </c>
      <c r="G1459" s="34" t="n">
        <f aca="false">B1459/1</f>
        <v>232.063</v>
      </c>
      <c r="H1459" s="34" t="str">
        <f aca="false">IF(F1459=1,G1459,"")</f>
        <v/>
      </c>
    </row>
    <row r="1460" customFormat="false" ht="15" hidden="false" customHeight="false" outlineLevel="0" collapsed="false">
      <c r="A1460" s="31" t="n">
        <v>42796.75</v>
      </c>
      <c r="B1460" s="32" t="n">
        <v>229.411</v>
      </c>
      <c r="D1460" s="33" t="n">
        <f aca="false">WEEKDAY(A1460,2)</f>
        <v>4</v>
      </c>
      <c r="E1460" s="33" t="n">
        <f aca="false">HOUR(A1460)+MINUTE(A1460)/60</f>
        <v>18</v>
      </c>
      <c r="F1460" s="33" t="n">
        <f aca="false">IF(OR(D1460&gt;5,E1460&lt;8,E1460&gt;=18,COUNTIF($K$2:$K$10,INT(A1460))&gt;0),1,0)</f>
        <v>1</v>
      </c>
      <c r="G1460" s="34" t="n">
        <f aca="false">B1460/1</f>
        <v>229.411</v>
      </c>
      <c r="H1460" s="34" t="n">
        <f aca="false">IF(F1460=1,G1460,"")</f>
        <v>229.411</v>
      </c>
    </row>
    <row r="1461" customFormat="false" ht="15" hidden="false" customHeight="false" outlineLevel="0" collapsed="false">
      <c r="A1461" s="31" t="n">
        <v>42796.7916666667</v>
      </c>
      <c r="B1461" s="32" t="n">
        <v>223.674</v>
      </c>
      <c r="D1461" s="33" t="n">
        <f aca="false">WEEKDAY(A1461,2)</f>
        <v>4</v>
      </c>
      <c r="E1461" s="33" t="n">
        <f aca="false">HOUR(A1461)+MINUTE(A1461)/60</f>
        <v>19</v>
      </c>
      <c r="F1461" s="33" t="n">
        <f aca="false">IF(OR(D1461&gt;5,E1461&lt;8,E1461&gt;=18,COUNTIF($K$2:$K$10,INT(A1461))&gt;0),1,0)</f>
        <v>1</v>
      </c>
      <c r="G1461" s="34" t="n">
        <f aca="false">B1461/1</f>
        <v>223.674</v>
      </c>
      <c r="H1461" s="34" t="n">
        <f aca="false">IF(F1461=1,G1461,"")</f>
        <v>223.674</v>
      </c>
    </row>
    <row r="1462" customFormat="false" ht="15" hidden="false" customHeight="false" outlineLevel="0" collapsed="false">
      <c r="A1462" s="31" t="n">
        <v>42796.8333333333</v>
      </c>
      <c r="B1462" s="32" t="n">
        <v>208.802</v>
      </c>
      <c r="D1462" s="33" t="n">
        <f aca="false">WEEKDAY(A1462,2)</f>
        <v>4</v>
      </c>
      <c r="E1462" s="33" t="n">
        <f aca="false">HOUR(A1462)+MINUTE(A1462)/60</f>
        <v>20</v>
      </c>
      <c r="F1462" s="33" t="n">
        <f aca="false">IF(OR(D1462&gt;5,E1462&lt;8,E1462&gt;=18,COUNTIF($K$2:$K$10,INT(A1462))&gt;0),1,0)</f>
        <v>1</v>
      </c>
      <c r="G1462" s="34" t="n">
        <f aca="false">B1462/1</f>
        <v>208.802</v>
      </c>
      <c r="H1462" s="34" t="n">
        <f aca="false">IF(F1462=1,G1462,"")</f>
        <v>208.802</v>
      </c>
    </row>
    <row r="1463" customFormat="false" ht="15" hidden="false" customHeight="false" outlineLevel="0" collapsed="false">
      <c r="A1463" s="31" t="n">
        <v>42796.875</v>
      </c>
      <c r="B1463" s="32" t="n">
        <v>198.264</v>
      </c>
      <c r="D1463" s="33" t="n">
        <f aca="false">WEEKDAY(A1463,2)</f>
        <v>4</v>
      </c>
      <c r="E1463" s="33" t="n">
        <f aca="false">HOUR(A1463)+MINUTE(A1463)/60</f>
        <v>21</v>
      </c>
      <c r="F1463" s="33" t="n">
        <f aca="false">IF(OR(D1463&gt;5,E1463&lt;8,E1463&gt;=18,COUNTIF($K$2:$K$10,INT(A1463))&gt;0),1,0)</f>
        <v>1</v>
      </c>
      <c r="G1463" s="34" t="n">
        <f aca="false">B1463/1</f>
        <v>198.264</v>
      </c>
      <c r="H1463" s="34" t="n">
        <f aca="false">IF(F1463=1,G1463,"")</f>
        <v>198.264</v>
      </c>
    </row>
    <row r="1464" customFormat="false" ht="15" hidden="false" customHeight="false" outlineLevel="0" collapsed="false">
      <c r="A1464" s="31" t="n">
        <v>42796.9166666667</v>
      </c>
      <c r="B1464" s="32" t="n">
        <v>143.58</v>
      </c>
      <c r="D1464" s="33" t="n">
        <f aca="false">WEEKDAY(A1464,2)</f>
        <v>4</v>
      </c>
      <c r="E1464" s="33" t="n">
        <f aca="false">HOUR(A1464)+MINUTE(A1464)/60</f>
        <v>22</v>
      </c>
      <c r="F1464" s="33" t="n">
        <f aca="false">IF(OR(D1464&gt;5,E1464&lt;8,E1464&gt;=18,COUNTIF($K$2:$K$10,INT(A1464))&gt;0),1,0)</f>
        <v>1</v>
      </c>
      <c r="G1464" s="34" t="n">
        <f aca="false">B1464/1</f>
        <v>143.58</v>
      </c>
      <c r="H1464" s="34" t="n">
        <f aca="false">IF(F1464=1,G1464,"")</f>
        <v>143.58</v>
      </c>
    </row>
    <row r="1465" customFormat="false" ht="15" hidden="false" customHeight="false" outlineLevel="0" collapsed="false">
      <c r="A1465" s="31" t="n">
        <v>42796.9583333333</v>
      </c>
      <c r="B1465" s="32" t="n">
        <v>78.685</v>
      </c>
      <c r="D1465" s="33" t="n">
        <f aca="false">WEEKDAY(A1465,2)</f>
        <v>4</v>
      </c>
      <c r="E1465" s="33" t="n">
        <f aca="false">HOUR(A1465)+MINUTE(A1465)/60</f>
        <v>23</v>
      </c>
      <c r="F1465" s="33" t="n">
        <f aca="false">IF(OR(D1465&gt;5,E1465&lt;8,E1465&gt;=18,COUNTIF($K$2:$K$10,INT(A1465))&gt;0),1,0)</f>
        <v>1</v>
      </c>
      <c r="G1465" s="34" t="n">
        <f aca="false">B1465/1</f>
        <v>78.685</v>
      </c>
      <c r="H1465" s="34" t="n">
        <f aca="false">IF(F1465=1,G1465,"")</f>
        <v>78.685</v>
      </c>
    </row>
    <row r="1466" customFormat="false" ht="15" hidden="false" customHeight="false" outlineLevel="0" collapsed="false">
      <c r="A1466" s="31" t="n">
        <v>42797</v>
      </c>
      <c r="B1466" s="32" t="n">
        <v>72.75</v>
      </c>
      <c r="D1466" s="33" t="n">
        <f aca="false">WEEKDAY(A1466,2)</f>
        <v>5</v>
      </c>
      <c r="E1466" s="33" t="n">
        <f aca="false">HOUR(A1466)+MINUTE(A1466)/60</f>
        <v>0</v>
      </c>
      <c r="F1466" s="33" t="n">
        <f aca="false">IF(OR(D1466&gt;5,E1466&lt;8,E1466&gt;=18,COUNTIF($K$2:$K$10,INT(A1466))&gt;0),1,0)</f>
        <v>1</v>
      </c>
      <c r="G1466" s="34" t="n">
        <f aca="false">B1466/1</f>
        <v>72.75</v>
      </c>
      <c r="H1466" s="34" t="n">
        <f aca="false">IF(F1466=1,G1466,"")</f>
        <v>72.75</v>
      </c>
    </row>
    <row r="1467" customFormat="false" ht="15" hidden="false" customHeight="false" outlineLevel="0" collapsed="false">
      <c r="A1467" s="31" t="n">
        <v>42797.0416666667</v>
      </c>
      <c r="B1467" s="32" t="n">
        <v>71.561</v>
      </c>
      <c r="D1467" s="33" t="n">
        <f aca="false">WEEKDAY(A1467,2)</f>
        <v>5</v>
      </c>
      <c r="E1467" s="33" t="n">
        <f aca="false">HOUR(A1467)+MINUTE(A1467)/60</f>
        <v>1</v>
      </c>
      <c r="F1467" s="33" t="n">
        <f aca="false">IF(OR(D1467&gt;5,E1467&lt;8,E1467&gt;=18,COUNTIF($K$2:$K$10,INT(A1467))&gt;0),1,0)</f>
        <v>1</v>
      </c>
      <c r="G1467" s="34" t="n">
        <f aca="false">B1467/1</f>
        <v>71.561</v>
      </c>
      <c r="H1467" s="34" t="n">
        <f aca="false">IF(F1467=1,G1467,"")</f>
        <v>71.561</v>
      </c>
    </row>
    <row r="1468" customFormat="false" ht="15" hidden="false" customHeight="false" outlineLevel="0" collapsed="false">
      <c r="A1468" s="31" t="n">
        <v>42797.0833333333</v>
      </c>
      <c r="B1468" s="32" t="n">
        <v>69.551</v>
      </c>
      <c r="D1468" s="33" t="n">
        <f aca="false">WEEKDAY(A1468,2)</f>
        <v>5</v>
      </c>
      <c r="E1468" s="33" t="n">
        <f aca="false">HOUR(A1468)+MINUTE(A1468)/60</f>
        <v>2</v>
      </c>
      <c r="F1468" s="33" t="n">
        <f aca="false">IF(OR(D1468&gt;5,E1468&lt;8,E1468&gt;=18,COUNTIF($K$2:$K$10,INT(A1468))&gt;0),1,0)</f>
        <v>1</v>
      </c>
      <c r="G1468" s="34" t="n">
        <f aca="false">B1468/1</f>
        <v>69.551</v>
      </c>
      <c r="H1468" s="34" t="n">
        <f aca="false">IF(F1468=1,G1468,"")</f>
        <v>69.551</v>
      </c>
    </row>
    <row r="1469" customFormat="false" ht="15" hidden="false" customHeight="false" outlineLevel="0" collapsed="false">
      <c r="A1469" s="31" t="n">
        <v>42797.125</v>
      </c>
      <c r="B1469" s="32" t="n">
        <v>67.382</v>
      </c>
      <c r="D1469" s="33" t="n">
        <f aca="false">WEEKDAY(A1469,2)</f>
        <v>5</v>
      </c>
      <c r="E1469" s="33" t="n">
        <f aca="false">HOUR(A1469)+MINUTE(A1469)/60</f>
        <v>3</v>
      </c>
      <c r="F1469" s="33" t="n">
        <f aca="false">IF(OR(D1469&gt;5,E1469&lt;8,E1469&gt;=18,COUNTIF($K$2:$K$10,INT(A1469))&gt;0),1,0)</f>
        <v>1</v>
      </c>
      <c r="G1469" s="34" t="n">
        <f aca="false">B1469/1</f>
        <v>67.382</v>
      </c>
      <c r="H1469" s="34" t="n">
        <f aca="false">IF(F1469=1,G1469,"")</f>
        <v>67.382</v>
      </c>
    </row>
    <row r="1470" customFormat="false" ht="15" hidden="false" customHeight="false" outlineLevel="0" collapsed="false">
      <c r="A1470" s="31" t="n">
        <v>42797.1666666667</v>
      </c>
      <c r="B1470" s="32" t="n">
        <v>68.236</v>
      </c>
      <c r="D1470" s="33" t="n">
        <f aca="false">WEEKDAY(A1470,2)</f>
        <v>5</v>
      </c>
      <c r="E1470" s="33" t="n">
        <f aca="false">HOUR(A1470)+MINUTE(A1470)/60</f>
        <v>4</v>
      </c>
      <c r="F1470" s="33" t="n">
        <f aca="false">IF(OR(D1470&gt;5,E1470&lt;8,E1470&gt;=18,COUNTIF($K$2:$K$10,INT(A1470))&gt;0),1,0)</f>
        <v>1</v>
      </c>
      <c r="G1470" s="34" t="n">
        <f aca="false">B1470/1</f>
        <v>68.236</v>
      </c>
      <c r="H1470" s="34" t="n">
        <f aca="false">IF(F1470=1,G1470,"")</f>
        <v>68.236</v>
      </c>
    </row>
    <row r="1471" customFormat="false" ht="15" hidden="false" customHeight="false" outlineLevel="0" collapsed="false">
      <c r="A1471" s="31" t="n">
        <v>42797.2083333333</v>
      </c>
      <c r="B1471" s="32" t="n">
        <v>66.848</v>
      </c>
      <c r="D1471" s="33" t="n">
        <f aca="false">WEEKDAY(A1471,2)</f>
        <v>5</v>
      </c>
      <c r="E1471" s="33" t="n">
        <f aca="false">HOUR(A1471)+MINUTE(A1471)/60</f>
        <v>5</v>
      </c>
      <c r="F1471" s="33" t="n">
        <f aca="false">IF(OR(D1471&gt;5,E1471&lt;8,E1471&gt;=18,COUNTIF($K$2:$K$10,INT(A1471))&gt;0),1,0)</f>
        <v>1</v>
      </c>
      <c r="G1471" s="34" t="n">
        <f aca="false">B1471/1</f>
        <v>66.848</v>
      </c>
      <c r="H1471" s="34" t="n">
        <f aca="false">IF(F1471=1,G1471,"")</f>
        <v>66.848</v>
      </c>
    </row>
    <row r="1472" customFormat="false" ht="15" hidden="false" customHeight="false" outlineLevel="0" collapsed="false">
      <c r="A1472" s="31" t="n">
        <v>42797.25</v>
      </c>
      <c r="B1472" s="32" t="n">
        <v>66.919</v>
      </c>
      <c r="D1472" s="33" t="n">
        <f aca="false">WEEKDAY(A1472,2)</f>
        <v>5</v>
      </c>
      <c r="E1472" s="33" t="n">
        <f aca="false">HOUR(A1472)+MINUTE(A1472)/60</f>
        <v>6</v>
      </c>
      <c r="F1472" s="33" t="n">
        <f aca="false">IF(OR(D1472&gt;5,E1472&lt;8,E1472&gt;=18,COUNTIF($K$2:$K$10,INT(A1472))&gt;0),1,0)</f>
        <v>1</v>
      </c>
      <c r="G1472" s="34" t="n">
        <f aca="false">B1472/1</f>
        <v>66.919</v>
      </c>
      <c r="H1472" s="34" t="n">
        <f aca="false">IF(F1472=1,G1472,"")</f>
        <v>66.919</v>
      </c>
    </row>
    <row r="1473" customFormat="false" ht="15" hidden="false" customHeight="false" outlineLevel="0" collapsed="false">
      <c r="A1473" s="31" t="n">
        <v>42797.2916666667</v>
      </c>
      <c r="B1473" s="32" t="n">
        <v>72.797</v>
      </c>
      <c r="D1473" s="33" t="n">
        <f aca="false">WEEKDAY(A1473,2)</f>
        <v>5</v>
      </c>
      <c r="E1473" s="33" t="n">
        <f aca="false">HOUR(A1473)+MINUTE(A1473)/60</f>
        <v>7</v>
      </c>
      <c r="F1473" s="33" t="n">
        <f aca="false">IF(OR(D1473&gt;5,E1473&lt;8,E1473&gt;=18,COUNTIF($K$2:$K$10,INT(A1473))&gt;0),1,0)</f>
        <v>1</v>
      </c>
      <c r="G1473" s="34" t="n">
        <f aca="false">B1473/1</f>
        <v>72.797</v>
      </c>
      <c r="H1473" s="34" t="n">
        <f aca="false">IF(F1473=1,G1473,"")</f>
        <v>72.797</v>
      </c>
    </row>
    <row r="1474" customFormat="false" ht="15" hidden="false" customHeight="false" outlineLevel="0" collapsed="false">
      <c r="A1474" s="31" t="n">
        <v>42797.3333333333</v>
      </c>
      <c r="B1474" s="32" t="n">
        <v>177.539</v>
      </c>
      <c r="D1474" s="33" t="n">
        <f aca="false">WEEKDAY(A1474,2)</f>
        <v>5</v>
      </c>
      <c r="E1474" s="33" t="n">
        <f aca="false">HOUR(A1474)+MINUTE(A1474)/60</f>
        <v>8</v>
      </c>
      <c r="F1474" s="33" t="n">
        <f aca="false">IF(OR(D1474&gt;5,E1474&lt;8,E1474&gt;=18,COUNTIF($K$2:$K$10,INT(A1474))&gt;0),1,0)</f>
        <v>0</v>
      </c>
      <c r="G1474" s="34" t="n">
        <f aca="false">B1474/1</f>
        <v>177.539</v>
      </c>
      <c r="H1474" s="34" t="str">
        <f aca="false">IF(F1474=1,G1474,"")</f>
        <v/>
      </c>
    </row>
    <row r="1475" customFormat="false" ht="15" hidden="false" customHeight="false" outlineLevel="0" collapsed="false">
      <c r="A1475" s="31" t="n">
        <v>42797.375</v>
      </c>
      <c r="B1475" s="32" t="n">
        <v>209.765</v>
      </c>
      <c r="D1475" s="33" t="n">
        <f aca="false">WEEKDAY(A1475,2)</f>
        <v>5</v>
      </c>
      <c r="E1475" s="33" t="n">
        <f aca="false">HOUR(A1475)+MINUTE(A1475)/60</f>
        <v>9</v>
      </c>
      <c r="F1475" s="33" t="n">
        <f aca="false">IF(OR(D1475&gt;5,E1475&lt;8,E1475&gt;=18,COUNTIF($K$2:$K$10,INT(A1475))&gt;0),1,0)</f>
        <v>0</v>
      </c>
      <c r="G1475" s="34" t="n">
        <f aca="false">B1475/1</f>
        <v>209.765</v>
      </c>
      <c r="H1475" s="34" t="str">
        <f aca="false">IF(F1475=1,G1475,"")</f>
        <v/>
      </c>
    </row>
    <row r="1476" customFormat="false" ht="15" hidden="false" customHeight="false" outlineLevel="0" collapsed="false">
      <c r="A1476" s="31" t="n">
        <v>42797.4166666667</v>
      </c>
      <c r="B1476" s="32" t="n">
        <v>234.628</v>
      </c>
      <c r="D1476" s="33" t="n">
        <f aca="false">WEEKDAY(A1476,2)</f>
        <v>5</v>
      </c>
      <c r="E1476" s="33" t="n">
        <f aca="false">HOUR(A1476)+MINUTE(A1476)/60</f>
        <v>10</v>
      </c>
      <c r="F1476" s="33" t="n">
        <f aca="false">IF(OR(D1476&gt;5,E1476&lt;8,E1476&gt;=18,COUNTIF($K$2:$K$10,INT(A1476))&gt;0),1,0)</f>
        <v>0</v>
      </c>
      <c r="G1476" s="34" t="n">
        <f aca="false">B1476/1</f>
        <v>234.628</v>
      </c>
      <c r="H1476" s="34" t="str">
        <f aca="false">IF(F1476=1,G1476,"")</f>
        <v/>
      </c>
    </row>
    <row r="1477" customFormat="false" ht="15" hidden="false" customHeight="false" outlineLevel="0" collapsed="false">
      <c r="A1477" s="31" t="n">
        <v>42797.4583333333</v>
      </c>
      <c r="B1477" s="32" t="n">
        <v>243.347</v>
      </c>
      <c r="D1477" s="33" t="n">
        <f aca="false">WEEKDAY(A1477,2)</f>
        <v>5</v>
      </c>
      <c r="E1477" s="33" t="n">
        <f aca="false">HOUR(A1477)+MINUTE(A1477)/60</f>
        <v>11</v>
      </c>
      <c r="F1477" s="33" t="n">
        <f aca="false">IF(OR(D1477&gt;5,E1477&lt;8,E1477&gt;=18,COUNTIF($K$2:$K$10,INT(A1477))&gt;0),1,0)</f>
        <v>0</v>
      </c>
      <c r="G1477" s="34" t="n">
        <f aca="false">B1477/1</f>
        <v>243.347</v>
      </c>
      <c r="H1477" s="34" t="str">
        <f aca="false">IF(F1477=1,G1477,"")</f>
        <v/>
      </c>
    </row>
    <row r="1478" customFormat="false" ht="15" hidden="false" customHeight="false" outlineLevel="0" collapsed="false">
      <c r="A1478" s="31" t="n">
        <v>42797.5</v>
      </c>
      <c r="B1478" s="32" t="n">
        <v>258.312</v>
      </c>
      <c r="D1478" s="33" t="n">
        <f aca="false">WEEKDAY(A1478,2)</f>
        <v>5</v>
      </c>
      <c r="E1478" s="33" t="n">
        <f aca="false">HOUR(A1478)+MINUTE(A1478)/60</f>
        <v>12</v>
      </c>
      <c r="F1478" s="33" t="n">
        <f aca="false">IF(OR(D1478&gt;5,E1478&lt;8,E1478&gt;=18,COUNTIF($K$2:$K$10,INT(A1478))&gt;0),1,0)</f>
        <v>0</v>
      </c>
      <c r="G1478" s="34" t="n">
        <f aca="false">B1478/1</f>
        <v>258.312</v>
      </c>
      <c r="H1478" s="34" t="str">
        <f aca="false">IF(F1478=1,G1478,"")</f>
        <v/>
      </c>
    </row>
    <row r="1479" customFormat="false" ht="15" hidden="false" customHeight="false" outlineLevel="0" collapsed="false">
      <c r="A1479" s="31" t="n">
        <v>42797.5416666667</v>
      </c>
      <c r="B1479" s="32" t="n">
        <v>249.299</v>
      </c>
      <c r="D1479" s="33" t="n">
        <f aca="false">WEEKDAY(A1479,2)</f>
        <v>5</v>
      </c>
      <c r="E1479" s="33" t="n">
        <f aca="false">HOUR(A1479)+MINUTE(A1479)/60</f>
        <v>13</v>
      </c>
      <c r="F1479" s="33" t="n">
        <f aca="false">IF(OR(D1479&gt;5,E1479&lt;8,E1479&gt;=18,COUNTIF($K$2:$K$10,INT(A1479))&gt;0),1,0)</f>
        <v>0</v>
      </c>
      <c r="G1479" s="34" t="n">
        <f aca="false">B1479/1</f>
        <v>249.299</v>
      </c>
      <c r="H1479" s="34" t="str">
        <f aca="false">IF(F1479=1,G1479,"")</f>
        <v/>
      </c>
    </row>
    <row r="1480" customFormat="false" ht="15" hidden="false" customHeight="false" outlineLevel="0" collapsed="false">
      <c r="A1480" s="31" t="n">
        <v>42797.5833333333</v>
      </c>
      <c r="B1480" s="32" t="n">
        <v>240.936</v>
      </c>
      <c r="D1480" s="33" t="n">
        <f aca="false">WEEKDAY(A1480,2)</f>
        <v>5</v>
      </c>
      <c r="E1480" s="33" t="n">
        <f aca="false">HOUR(A1480)+MINUTE(A1480)/60</f>
        <v>14</v>
      </c>
      <c r="F1480" s="33" t="n">
        <f aca="false">IF(OR(D1480&gt;5,E1480&lt;8,E1480&gt;=18,COUNTIF($K$2:$K$10,INT(A1480))&gt;0),1,0)</f>
        <v>0</v>
      </c>
      <c r="G1480" s="34" t="n">
        <f aca="false">B1480/1</f>
        <v>240.936</v>
      </c>
      <c r="H1480" s="34" t="str">
        <f aca="false">IF(F1480=1,G1480,"")</f>
        <v/>
      </c>
    </row>
    <row r="1481" customFormat="false" ht="15" hidden="false" customHeight="false" outlineLevel="0" collapsed="false">
      <c r="A1481" s="31" t="n">
        <v>42797.625</v>
      </c>
      <c r="B1481" s="32" t="n">
        <v>236.037</v>
      </c>
      <c r="D1481" s="33" t="n">
        <f aca="false">WEEKDAY(A1481,2)</f>
        <v>5</v>
      </c>
      <c r="E1481" s="33" t="n">
        <f aca="false">HOUR(A1481)+MINUTE(A1481)/60</f>
        <v>15</v>
      </c>
      <c r="F1481" s="33" t="n">
        <f aca="false">IF(OR(D1481&gt;5,E1481&lt;8,E1481&gt;=18,COUNTIF($K$2:$K$10,INT(A1481))&gt;0),1,0)</f>
        <v>0</v>
      </c>
      <c r="G1481" s="34" t="n">
        <f aca="false">B1481/1</f>
        <v>236.037</v>
      </c>
      <c r="H1481" s="34" t="str">
        <f aca="false">IF(F1481=1,G1481,"")</f>
        <v/>
      </c>
    </row>
    <row r="1482" customFormat="false" ht="15" hidden="false" customHeight="false" outlineLevel="0" collapsed="false">
      <c r="A1482" s="31" t="n">
        <v>42797.6666666667</v>
      </c>
      <c r="B1482" s="32" t="n">
        <v>232.087</v>
      </c>
      <c r="D1482" s="33" t="n">
        <f aca="false">WEEKDAY(A1482,2)</f>
        <v>5</v>
      </c>
      <c r="E1482" s="33" t="n">
        <f aca="false">HOUR(A1482)+MINUTE(A1482)/60</f>
        <v>16</v>
      </c>
      <c r="F1482" s="33" t="n">
        <f aca="false">IF(OR(D1482&gt;5,E1482&lt;8,E1482&gt;=18,COUNTIF($K$2:$K$10,INT(A1482))&gt;0),1,0)</f>
        <v>0</v>
      </c>
      <c r="G1482" s="34" t="n">
        <f aca="false">B1482/1</f>
        <v>232.087</v>
      </c>
      <c r="H1482" s="34" t="str">
        <f aca="false">IF(F1482=1,G1482,"")</f>
        <v/>
      </c>
    </row>
    <row r="1483" customFormat="false" ht="15" hidden="false" customHeight="false" outlineLevel="0" collapsed="false">
      <c r="A1483" s="31" t="n">
        <v>42797.7083333333</v>
      </c>
      <c r="B1483" s="32" t="n">
        <v>220.586</v>
      </c>
      <c r="D1483" s="33" t="n">
        <f aca="false">WEEKDAY(A1483,2)</f>
        <v>5</v>
      </c>
      <c r="E1483" s="33" t="n">
        <f aca="false">HOUR(A1483)+MINUTE(A1483)/60</f>
        <v>17</v>
      </c>
      <c r="F1483" s="33" t="n">
        <f aca="false">IF(OR(D1483&gt;5,E1483&lt;8,E1483&gt;=18,COUNTIF($K$2:$K$10,INT(A1483))&gt;0),1,0)</f>
        <v>0</v>
      </c>
      <c r="G1483" s="34" t="n">
        <f aca="false">B1483/1</f>
        <v>220.586</v>
      </c>
      <c r="H1483" s="34" t="str">
        <f aca="false">IF(F1483=1,G1483,"")</f>
        <v/>
      </c>
    </row>
    <row r="1484" customFormat="false" ht="15" hidden="false" customHeight="false" outlineLevel="0" collapsed="false">
      <c r="A1484" s="31" t="n">
        <v>42797.75</v>
      </c>
      <c r="B1484" s="32" t="n">
        <v>202.02</v>
      </c>
      <c r="D1484" s="33" t="n">
        <f aca="false">WEEKDAY(A1484,2)</f>
        <v>5</v>
      </c>
      <c r="E1484" s="33" t="n">
        <f aca="false">HOUR(A1484)+MINUTE(A1484)/60</f>
        <v>18</v>
      </c>
      <c r="F1484" s="33" t="n">
        <f aca="false">IF(OR(D1484&gt;5,E1484&lt;8,E1484&gt;=18,COUNTIF($K$2:$K$10,INT(A1484))&gt;0),1,0)</f>
        <v>1</v>
      </c>
      <c r="G1484" s="34" t="n">
        <f aca="false">B1484/1</f>
        <v>202.02</v>
      </c>
      <c r="H1484" s="34" t="n">
        <f aca="false">IF(F1484=1,G1484,"")</f>
        <v>202.02</v>
      </c>
    </row>
    <row r="1485" customFormat="false" ht="15" hidden="false" customHeight="false" outlineLevel="0" collapsed="false">
      <c r="A1485" s="31" t="n">
        <v>42797.7916666667</v>
      </c>
      <c r="B1485" s="32" t="n">
        <v>201.386</v>
      </c>
      <c r="D1485" s="33" t="n">
        <f aca="false">WEEKDAY(A1485,2)</f>
        <v>5</v>
      </c>
      <c r="E1485" s="33" t="n">
        <f aca="false">HOUR(A1485)+MINUTE(A1485)/60</f>
        <v>19</v>
      </c>
      <c r="F1485" s="33" t="n">
        <f aca="false">IF(OR(D1485&gt;5,E1485&lt;8,E1485&gt;=18,COUNTIF($K$2:$K$10,INT(A1485))&gt;0),1,0)</f>
        <v>1</v>
      </c>
      <c r="G1485" s="34" t="n">
        <f aca="false">B1485/1</f>
        <v>201.386</v>
      </c>
      <c r="H1485" s="34" t="n">
        <f aca="false">IF(F1485=1,G1485,"")</f>
        <v>201.386</v>
      </c>
    </row>
    <row r="1486" customFormat="false" ht="15" hidden="false" customHeight="false" outlineLevel="0" collapsed="false">
      <c r="A1486" s="31" t="n">
        <v>42797.8333333333</v>
      </c>
      <c r="B1486" s="32" t="n">
        <v>198.264</v>
      </c>
      <c r="D1486" s="33" t="n">
        <f aca="false">WEEKDAY(A1486,2)</f>
        <v>5</v>
      </c>
      <c r="E1486" s="33" t="n">
        <f aca="false">HOUR(A1486)+MINUTE(A1486)/60</f>
        <v>20</v>
      </c>
      <c r="F1486" s="33" t="n">
        <f aca="false">IF(OR(D1486&gt;5,E1486&lt;8,E1486&gt;=18,COUNTIF($K$2:$K$10,INT(A1486))&gt;0),1,0)</f>
        <v>1</v>
      </c>
      <c r="G1486" s="34" t="n">
        <f aca="false">B1486/1</f>
        <v>198.264</v>
      </c>
      <c r="H1486" s="34" t="n">
        <f aca="false">IF(F1486=1,G1486,"")</f>
        <v>198.264</v>
      </c>
    </row>
    <row r="1487" customFormat="false" ht="15" hidden="false" customHeight="false" outlineLevel="0" collapsed="false">
      <c r="A1487" s="31" t="n">
        <v>42797.875</v>
      </c>
      <c r="B1487" s="32" t="n">
        <v>193.843</v>
      </c>
      <c r="D1487" s="33" t="n">
        <f aca="false">WEEKDAY(A1487,2)</f>
        <v>5</v>
      </c>
      <c r="E1487" s="33" t="n">
        <f aca="false">HOUR(A1487)+MINUTE(A1487)/60</f>
        <v>21</v>
      </c>
      <c r="F1487" s="33" t="n">
        <f aca="false">IF(OR(D1487&gt;5,E1487&lt;8,E1487&gt;=18,COUNTIF($K$2:$K$10,INT(A1487))&gt;0),1,0)</f>
        <v>1</v>
      </c>
      <c r="G1487" s="34" t="n">
        <f aca="false">B1487/1</f>
        <v>193.843</v>
      </c>
      <c r="H1487" s="34" t="n">
        <f aca="false">IF(F1487=1,G1487,"")</f>
        <v>193.843</v>
      </c>
    </row>
    <row r="1488" customFormat="false" ht="15" hidden="false" customHeight="false" outlineLevel="0" collapsed="false">
      <c r="A1488" s="31" t="n">
        <v>42797.9166666667</v>
      </c>
      <c r="B1488" s="32" t="n">
        <v>133.132</v>
      </c>
      <c r="D1488" s="33" t="n">
        <f aca="false">WEEKDAY(A1488,2)</f>
        <v>5</v>
      </c>
      <c r="E1488" s="33" t="n">
        <f aca="false">HOUR(A1488)+MINUTE(A1488)/60</f>
        <v>22</v>
      </c>
      <c r="F1488" s="33" t="n">
        <f aca="false">IF(OR(D1488&gt;5,E1488&lt;8,E1488&gt;=18,COUNTIF($K$2:$K$10,INT(A1488))&gt;0),1,0)</f>
        <v>1</v>
      </c>
      <c r="G1488" s="34" t="n">
        <f aca="false">B1488/1</f>
        <v>133.132</v>
      </c>
      <c r="H1488" s="34" t="n">
        <f aca="false">IF(F1488=1,G1488,"")</f>
        <v>133.132</v>
      </c>
    </row>
    <row r="1489" customFormat="false" ht="15" hidden="false" customHeight="false" outlineLevel="0" collapsed="false">
      <c r="A1489" s="31" t="n">
        <v>42797.9583333333</v>
      </c>
      <c r="B1489" s="32" t="n">
        <v>71.374</v>
      </c>
      <c r="D1489" s="33" t="n">
        <f aca="false">WEEKDAY(A1489,2)</f>
        <v>5</v>
      </c>
      <c r="E1489" s="33" t="n">
        <f aca="false">HOUR(A1489)+MINUTE(A1489)/60</f>
        <v>23</v>
      </c>
      <c r="F1489" s="33" t="n">
        <f aca="false">IF(OR(D1489&gt;5,E1489&lt;8,E1489&gt;=18,COUNTIF($K$2:$K$10,INT(A1489))&gt;0),1,0)</f>
        <v>1</v>
      </c>
      <c r="G1489" s="34" t="n">
        <f aca="false">B1489/1</f>
        <v>71.374</v>
      </c>
      <c r="H1489" s="34" t="n">
        <f aca="false">IF(F1489=1,G1489,"")</f>
        <v>71.374</v>
      </c>
    </row>
    <row r="1490" customFormat="false" ht="15" hidden="false" customHeight="false" outlineLevel="0" collapsed="false">
      <c r="A1490" s="31" t="n">
        <v>42798</v>
      </c>
      <c r="B1490" s="32" t="n">
        <v>66.116</v>
      </c>
      <c r="D1490" s="33" t="n">
        <f aca="false">WEEKDAY(A1490,2)</f>
        <v>6</v>
      </c>
      <c r="E1490" s="33" t="n">
        <f aca="false">HOUR(A1490)+MINUTE(A1490)/60</f>
        <v>0</v>
      </c>
      <c r="F1490" s="33" t="n">
        <f aca="false">IF(OR(D1490&gt;5,E1490&lt;8,E1490&gt;=18,COUNTIF($K$2:$K$10,INT(A1490))&gt;0),1,0)</f>
        <v>1</v>
      </c>
      <c r="G1490" s="34" t="n">
        <f aca="false">B1490/1</f>
        <v>66.116</v>
      </c>
      <c r="H1490" s="34" t="n">
        <f aca="false">IF(F1490=1,G1490,"")</f>
        <v>66.116</v>
      </c>
    </row>
    <row r="1491" customFormat="false" ht="15" hidden="false" customHeight="false" outlineLevel="0" collapsed="false">
      <c r="A1491" s="31" t="n">
        <v>42798.0416666667</v>
      </c>
      <c r="B1491" s="32" t="n">
        <v>63.016</v>
      </c>
      <c r="D1491" s="33" t="n">
        <f aca="false">WEEKDAY(A1491,2)</f>
        <v>6</v>
      </c>
      <c r="E1491" s="33" t="n">
        <f aca="false">HOUR(A1491)+MINUTE(A1491)/60</f>
        <v>1</v>
      </c>
      <c r="F1491" s="33" t="n">
        <f aca="false">IF(OR(D1491&gt;5,E1491&lt;8,E1491&gt;=18,COUNTIF($K$2:$K$10,INT(A1491))&gt;0),1,0)</f>
        <v>1</v>
      </c>
      <c r="G1491" s="34" t="n">
        <f aca="false">B1491/1</f>
        <v>63.016</v>
      </c>
      <c r="H1491" s="34" t="n">
        <f aca="false">IF(F1491=1,G1491,"")</f>
        <v>63.016</v>
      </c>
    </row>
    <row r="1492" customFormat="false" ht="15" hidden="false" customHeight="false" outlineLevel="0" collapsed="false">
      <c r="A1492" s="31" t="n">
        <v>42798.0833333333</v>
      </c>
      <c r="B1492" s="32" t="n">
        <v>62.238</v>
      </c>
      <c r="D1492" s="33" t="n">
        <f aca="false">WEEKDAY(A1492,2)</f>
        <v>6</v>
      </c>
      <c r="E1492" s="33" t="n">
        <f aca="false">HOUR(A1492)+MINUTE(A1492)/60</f>
        <v>2</v>
      </c>
      <c r="F1492" s="33" t="n">
        <f aca="false">IF(OR(D1492&gt;5,E1492&lt;8,E1492&gt;=18,COUNTIF($K$2:$K$10,INT(A1492))&gt;0),1,0)</f>
        <v>1</v>
      </c>
      <c r="G1492" s="34" t="n">
        <f aca="false">B1492/1</f>
        <v>62.238</v>
      </c>
      <c r="H1492" s="34" t="n">
        <f aca="false">IF(F1492=1,G1492,"")</f>
        <v>62.238</v>
      </c>
    </row>
    <row r="1493" customFormat="false" ht="15" hidden="false" customHeight="false" outlineLevel="0" collapsed="false">
      <c r="A1493" s="31" t="n">
        <v>42798.125</v>
      </c>
      <c r="B1493" s="32" t="n">
        <v>63.166</v>
      </c>
      <c r="D1493" s="33" t="n">
        <f aca="false">WEEKDAY(A1493,2)</f>
        <v>6</v>
      </c>
      <c r="E1493" s="33" t="n">
        <f aca="false">HOUR(A1493)+MINUTE(A1493)/60</f>
        <v>3</v>
      </c>
      <c r="F1493" s="33" t="n">
        <f aca="false">IF(OR(D1493&gt;5,E1493&lt;8,E1493&gt;=18,COUNTIF($K$2:$K$10,INT(A1493))&gt;0),1,0)</f>
        <v>1</v>
      </c>
      <c r="G1493" s="34" t="n">
        <f aca="false">B1493/1</f>
        <v>63.166</v>
      </c>
      <c r="H1493" s="34" t="n">
        <f aca="false">IF(F1493=1,G1493,"")</f>
        <v>63.166</v>
      </c>
    </row>
    <row r="1494" customFormat="false" ht="15" hidden="false" customHeight="false" outlineLevel="0" collapsed="false">
      <c r="A1494" s="31" t="n">
        <v>42798.1666666667</v>
      </c>
      <c r="B1494" s="32" t="n">
        <v>61.944</v>
      </c>
      <c r="D1494" s="33" t="n">
        <f aca="false">WEEKDAY(A1494,2)</f>
        <v>6</v>
      </c>
      <c r="E1494" s="33" t="n">
        <f aca="false">HOUR(A1494)+MINUTE(A1494)/60</f>
        <v>4</v>
      </c>
      <c r="F1494" s="33" t="n">
        <f aca="false">IF(OR(D1494&gt;5,E1494&lt;8,E1494&gt;=18,COUNTIF($K$2:$K$10,INT(A1494))&gt;0),1,0)</f>
        <v>1</v>
      </c>
      <c r="G1494" s="34" t="n">
        <f aca="false">B1494/1</f>
        <v>61.944</v>
      </c>
      <c r="H1494" s="34" t="n">
        <f aca="false">IF(F1494=1,G1494,"")</f>
        <v>61.944</v>
      </c>
    </row>
    <row r="1495" customFormat="false" ht="15" hidden="false" customHeight="false" outlineLevel="0" collapsed="false">
      <c r="A1495" s="31" t="n">
        <v>42798.2083333333</v>
      </c>
      <c r="B1495" s="32" t="n">
        <v>61.67</v>
      </c>
      <c r="D1495" s="33" t="n">
        <f aca="false">WEEKDAY(A1495,2)</f>
        <v>6</v>
      </c>
      <c r="E1495" s="33" t="n">
        <f aca="false">HOUR(A1495)+MINUTE(A1495)/60</f>
        <v>5</v>
      </c>
      <c r="F1495" s="33" t="n">
        <f aca="false">IF(OR(D1495&gt;5,E1495&lt;8,E1495&gt;=18,COUNTIF($K$2:$K$10,INT(A1495))&gt;0),1,0)</f>
        <v>1</v>
      </c>
      <c r="G1495" s="34" t="n">
        <f aca="false">B1495/1</f>
        <v>61.67</v>
      </c>
      <c r="H1495" s="34" t="n">
        <f aca="false">IF(F1495=1,G1495,"")</f>
        <v>61.67</v>
      </c>
    </row>
    <row r="1496" customFormat="false" ht="15" hidden="false" customHeight="false" outlineLevel="0" collapsed="false">
      <c r="A1496" s="31" t="n">
        <v>42798.25</v>
      </c>
      <c r="B1496" s="32" t="n">
        <v>63.051</v>
      </c>
      <c r="D1496" s="33" t="n">
        <f aca="false">WEEKDAY(A1496,2)</f>
        <v>6</v>
      </c>
      <c r="E1496" s="33" t="n">
        <f aca="false">HOUR(A1496)+MINUTE(A1496)/60</f>
        <v>6</v>
      </c>
      <c r="F1496" s="33" t="n">
        <f aca="false">IF(OR(D1496&gt;5,E1496&lt;8,E1496&gt;=18,COUNTIF($K$2:$K$10,INT(A1496))&gt;0),1,0)</f>
        <v>1</v>
      </c>
      <c r="G1496" s="34" t="n">
        <f aca="false">B1496/1</f>
        <v>63.051</v>
      </c>
      <c r="H1496" s="34" t="n">
        <f aca="false">IF(F1496=1,G1496,"")</f>
        <v>63.051</v>
      </c>
    </row>
    <row r="1497" customFormat="false" ht="15" hidden="false" customHeight="false" outlineLevel="0" collapsed="false">
      <c r="A1497" s="31" t="n">
        <v>42798.2916666667</v>
      </c>
      <c r="B1497" s="32" t="n">
        <v>62.022</v>
      </c>
      <c r="D1497" s="33" t="n">
        <f aca="false">WEEKDAY(A1497,2)</f>
        <v>6</v>
      </c>
      <c r="E1497" s="33" t="n">
        <f aca="false">HOUR(A1497)+MINUTE(A1497)/60</f>
        <v>7</v>
      </c>
      <c r="F1497" s="33" t="n">
        <f aca="false">IF(OR(D1497&gt;5,E1497&lt;8,E1497&gt;=18,COUNTIF($K$2:$K$10,INT(A1497))&gt;0),1,0)</f>
        <v>1</v>
      </c>
      <c r="G1497" s="34" t="n">
        <f aca="false">B1497/1</f>
        <v>62.022</v>
      </c>
      <c r="H1497" s="34" t="n">
        <f aca="false">IF(F1497=1,G1497,"")</f>
        <v>62.022</v>
      </c>
    </row>
    <row r="1498" customFormat="false" ht="15" hidden="false" customHeight="false" outlineLevel="0" collapsed="false">
      <c r="A1498" s="31" t="n">
        <v>42798.3333333333</v>
      </c>
      <c r="B1498" s="32" t="n">
        <v>124.695</v>
      </c>
      <c r="D1498" s="33" t="n">
        <f aca="false">WEEKDAY(A1498,2)</f>
        <v>6</v>
      </c>
      <c r="E1498" s="33" t="n">
        <f aca="false">HOUR(A1498)+MINUTE(A1498)/60</f>
        <v>8</v>
      </c>
      <c r="F1498" s="33" t="n">
        <f aca="false">IF(OR(D1498&gt;5,E1498&lt;8,E1498&gt;=18,COUNTIF($K$2:$K$10,INT(A1498))&gt;0),1,0)</f>
        <v>1</v>
      </c>
      <c r="G1498" s="34" t="n">
        <f aca="false">B1498/1</f>
        <v>124.695</v>
      </c>
      <c r="H1498" s="34" t="n">
        <f aca="false">IF(F1498=1,G1498,"")</f>
        <v>124.695</v>
      </c>
    </row>
    <row r="1499" customFormat="false" ht="15" hidden="false" customHeight="false" outlineLevel="0" collapsed="false">
      <c r="A1499" s="31" t="n">
        <v>42798.375</v>
      </c>
      <c r="B1499" s="32" t="n">
        <v>167.64</v>
      </c>
      <c r="D1499" s="33" t="n">
        <f aca="false">WEEKDAY(A1499,2)</f>
        <v>6</v>
      </c>
      <c r="E1499" s="33" t="n">
        <f aca="false">HOUR(A1499)+MINUTE(A1499)/60</f>
        <v>9</v>
      </c>
      <c r="F1499" s="33" t="n">
        <f aca="false">IF(OR(D1499&gt;5,E1499&lt;8,E1499&gt;=18,COUNTIF($K$2:$K$10,INT(A1499))&gt;0),1,0)</f>
        <v>1</v>
      </c>
      <c r="G1499" s="34" t="n">
        <f aca="false">B1499/1</f>
        <v>167.64</v>
      </c>
      <c r="H1499" s="34" t="n">
        <f aca="false">IF(F1499=1,G1499,"")</f>
        <v>167.64</v>
      </c>
    </row>
    <row r="1500" customFormat="false" ht="15" hidden="false" customHeight="false" outlineLevel="0" collapsed="false">
      <c r="A1500" s="31" t="n">
        <v>42798.4166666667</v>
      </c>
      <c r="B1500" s="32" t="n">
        <v>171.024</v>
      </c>
      <c r="D1500" s="33" t="n">
        <f aca="false">WEEKDAY(A1500,2)</f>
        <v>6</v>
      </c>
      <c r="E1500" s="33" t="n">
        <f aca="false">HOUR(A1500)+MINUTE(A1500)/60</f>
        <v>10</v>
      </c>
      <c r="F1500" s="33" t="n">
        <f aca="false">IF(OR(D1500&gt;5,E1500&lt;8,E1500&gt;=18,COUNTIF($K$2:$K$10,INT(A1500))&gt;0),1,0)</f>
        <v>1</v>
      </c>
      <c r="G1500" s="34" t="n">
        <f aca="false">B1500/1</f>
        <v>171.024</v>
      </c>
      <c r="H1500" s="34" t="n">
        <f aca="false">IF(F1500=1,G1500,"")</f>
        <v>171.024</v>
      </c>
    </row>
    <row r="1501" customFormat="false" ht="15" hidden="false" customHeight="false" outlineLevel="0" collapsed="false">
      <c r="A1501" s="31" t="n">
        <v>42798.4583333333</v>
      </c>
      <c r="B1501" s="32" t="n">
        <v>178.034</v>
      </c>
      <c r="D1501" s="33" t="n">
        <f aca="false">WEEKDAY(A1501,2)</f>
        <v>6</v>
      </c>
      <c r="E1501" s="33" t="n">
        <f aca="false">HOUR(A1501)+MINUTE(A1501)/60</f>
        <v>11</v>
      </c>
      <c r="F1501" s="33" t="n">
        <f aca="false">IF(OR(D1501&gt;5,E1501&lt;8,E1501&gt;=18,COUNTIF($K$2:$K$10,INT(A1501))&gt;0),1,0)</f>
        <v>1</v>
      </c>
      <c r="G1501" s="34" t="n">
        <f aca="false">B1501/1</f>
        <v>178.034</v>
      </c>
      <c r="H1501" s="34" t="n">
        <f aca="false">IF(F1501=1,G1501,"")</f>
        <v>178.034</v>
      </c>
    </row>
    <row r="1502" customFormat="false" ht="15" hidden="false" customHeight="false" outlineLevel="0" collapsed="false">
      <c r="A1502" s="31" t="n">
        <v>42798.5</v>
      </c>
      <c r="B1502" s="32" t="n">
        <v>182.389</v>
      </c>
      <c r="D1502" s="33" t="n">
        <f aca="false">WEEKDAY(A1502,2)</f>
        <v>6</v>
      </c>
      <c r="E1502" s="33" t="n">
        <f aca="false">HOUR(A1502)+MINUTE(A1502)/60</f>
        <v>12</v>
      </c>
      <c r="F1502" s="33" t="n">
        <f aca="false">IF(OR(D1502&gt;5,E1502&lt;8,E1502&gt;=18,COUNTIF($K$2:$K$10,INT(A1502))&gt;0),1,0)</f>
        <v>1</v>
      </c>
      <c r="G1502" s="34" t="n">
        <f aca="false">B1502/1</f>
        <v>182.389</v>
      </c>
      <c r="H1502" s="34" t="n">
        <f aca="false">IF(F1502=1,G1502,"")</f>
        <v>182.389</v>
      </c>
    </row>
    <row r="1503" customFormat="false" ht="15" hidden="false" customHeight="false" outlineLevel="0" collapsed="false">
      <c r="A1503" s="31" t="n">
        <v>42798.5416666667</v>
      </c>
      <c r="B1503" s="32" t="n">
        <v>184.58</v>
      </c>
      <c r="D1503" s="33" t="n">
        <f aca="false">WEEKDAY(A1503,2)</f>
        <v>6</v>
      </c>
      <c r="E1503" s="33" t="n">
        <f aca="false">HOUR(A1503)+MINUTE(A1503)/60</f>
        <v>13</v>
      </c>
      <c r="F1503" s="33" t="n">
        <f aca="false">IF(OR(D1503&gt;5,E1503&lt;8,E1503&gt;=18,COUNTIF($K$2:$K$10,INT(A1503))&gt;0),1,0)</f>
        <v>1</v>
      </c>
      <c r="G1503" s="34" t="n">
        <f aca="false">B1503/1</f>
        <v>184.58</v>
      </c>
      <c r="H1503" s="34" t="n">
        <f aca="false">IF(F1503=1,G1503,"")</f>
        <v>184.58</v>
      </c>
    </row>
    <row r="1504" customFormat="false" ht="15" hidden="false" customHeight="false" outlineLevel="0" collapsed="false">
      <c r="A1504" s="31" t="n">
        <v>42798.5833333333</v>
      </c>
      <c r="B1504" s="32" t="n">
        <v>185.709</v>
      </c>
      <c r="D1504" s="33" t="n">
        <f aca="false">WEEKDAY(A1504,2)</f>
        <v>6</v>
      </c>
      <c r="E1504" s="33" t="n">
        <f aca="false">HOUR(A1504)+MINUTE(A1504)/60</f>
        <v>14</v>
      </c>
      <c r="F1504" s="33" t="n">
        <f aca="false">IF(OR(D1504&gt;5,E1504&lt;8,E1504&gt;=18,COUNTIF($K$2:$K$10,INT(A1504))&gt;0),1,0)</f>
        <v>1</v>
      </c>
      <c r="G1504" s="34" t="n">
        <f aca="false">B1504/1</f>
        <v>185.709</v>
      </c>
      <c r="H1504" s="34" t="n">
        <f aca="false">IF(F1504=1,G1504,"")</f>
        <v>185.709</v>
      </c>
    </row>
    <row r="1505" customFormat="false" ht="15" hidden="false" customHeight="false" outlineLevel="0" collapsed="false">
      <c r="A1505" s="31" t="n">
        <v>42798.625</v>
      </c>
      <c r="B1505" s="32" t="n">
        <v>194.095</v>
      </c>
      <c r="D1505" s="33" t="n">
        <f aca="false">WEEKDAY(A1505,2)</f>
        <v>6</v>
      </c>
      <c r="E1505" s="33" t="n">
        <f aca="false">HOUR(A1505)+MINUTE(A1505)/60</f>
        <v>15</v>
      </c>
      <c r="F1505" s="33" t="n">
        <f aca="false">IF(OR(D1505&gt;5,E1505&lt;8,E1505&gt;=18,COUNTIF($K$2:$K$10,INT(A1505))&gt;0),1,0)</f>
        <v>1</v>
      </c>
      <c r="G1505" s="34" t="n">
        <f aca="false">B1505/1</f>
        <v>194.095</v>
      </c>
      <c r="H1505" s="34" t="n">
        <f aca="false">IF(F1505=1,G1505,"")</f>
        <v>194.095</v>
      </c>
    </row>
    <row r="1506" customFormat="false" ht="15" hidden="false" customHeight="false" outlineLevel="0" collapsed="false">
      <c r="A1506" s="31" t="n">
        <v>42798.6666666667</v>
      </c>
      <c r="B1506" s="32" t="n">
        <v>191.491</v>
      </c>
      <c r="D1506" s="33" t="n">
        <f aca="false">WEEKDAY(A1506,2)</f>
        <v>6</v>
      </c>
      <c r="E1506" s="33" t="n">
        <f aca="false">HOUR(A1506)+MINUTE(A1506)/60</f>
        <v>16</v>
      </c>
      <c r="F1506" s="33" t="n">
        <f aca="false">IF(OR(D1506&gt;5,E1506&lt;8,E1506&gt;=18,COUNTIF($K$2:$K$10,INT(A1506))&gt;0),1,0)</f>
        <v>1</v>
      </c>
      <c r="G1506" s="34" t="n">
        <f aca="false">B1506/1</f>
        <v>191.491</v>
      </c>
      <c r="H1506" s="34" t="n">
        <f aca="false">IF(F1506=1,G1506,"")</f>
        <v>191.491</v>
      </c>
    </row>
    <row r="1507" customFormat="false" ht="15" hidden="false" customHeight="false" outlineLevel="0" collapsed="false">
      <c r="A1507" s="31" t="n">
        <v>42798.7083333333</v>
      </c>
      <c r="B1507" s="32" t="n">
        <v>157.005</v>
      </c>
      <c r="D1507" s="33" t="n">
        <f aca="false">WEEKDAY(A1507,2)</f>
        <v>6</v>
      </c>
      <c r="E1507" s="33" t="n">
        <f aca="false">HOUR(A1507)+MINUTE(A1507)/60</f>
        <v>17</v>
      </c>
      <c r="F1507" s="33" t="n">
        <f aca="false">IF(OR(D1507&gt;5,E1507&lt;8,E1507&gt;=18,COUNTIF($K$2:$K$10,INT(A1507))&gt;0),1,0)</f>
        <v>1</v>
      </c>
      <c r="G1507" s="34" t="n">
        <f aca="false">B1507/1</f>
        <v>157.005</v>
      </c>
      <c r="H1507" s="34" t="n">
        <f aca="false">IF(F1507=1,G1507,"")</f>
        <v>157.005</v>
      </c>
    </row>
    <row r="1508" customFormat="false" ht="15" hidden="false" customHeight="false" outlineLevel="0" collapsed="false">
      <c r="A1508" s="31" t="n">
        <v>42798.75</v>
      </c>
      <c r="B1508" s="32" t="n">
        <v>82.551</v>
      </c>
      <c r="D1508" s="33" t="n">
        <f aca="false">WEEKDAY(A1508,2)</f>
        <v>6</v>
      </c>
      <c r="E1508" s="33" t="n">
        <f aca="false">HOUR(A1508)+MINUTE(A1508)/60</f>
        <v>18</v>
      </c>
      <c r="F1508" s="33" t="n">
        <f aca="false">IF(OR(D1508&gt;5,E1508&lt;8,E1508&gt;=18,COUNTIF($K$2:$K$10,INT(A1508))&gt;0),1,0)</f>
        <v>1</v>
      </c>
      <c r="G1508" s="34" t="n">
        <f aca="false">B1508/1</f>
        <v>82.551</v>
      </c>
      <c r="H1508" s="34" t="n">
        <f aca="false">IF(F1508=1,G1508,"")</f>
        <v>82.551</v>
      </c>
    </row>
    <row r="1509" customFormat="false" ht="15" hidden="false" customHeight="false" outlineLevel="0" collapsed="false">
      <c r="A1509" s="31" t="n">
        <v>42798.7916666667</v>
      </c>
      <c r="B1509" s="32" t="n">
        <v>70.682</v>
      </c>
      <c r="D1509" s="33" t="n">
        <f aca="false">WEEKDAY(A1509,2)</f>
        <v>6</v>
      </c>
      <c r="E1509" s="33" t="n">
        <f aca="false">HOUR(A1509)+MINUTE(A1509)/60</f>
        <v>19</v>
      </c>
      <c r="F1509" s="33" t="n">
        <f aca="false">IF(OR(D1509&gt;5,E1509&lt;8,E1509&gt;=18,COUNTIF($K$2:$K$10,INT(A1509))&gt;0),1,0)</f>
        <v>1</v>
      </c>
      <c r="G1509" s="34" t="n">
        <f aca="false">B1509/1</f>
        <v>70.682</v>
      </c>
      <c r="H1509" s="34" t="n">
        <f aca="false">IF(F1509=1,G1509,"")</f>
        <v>70.682</v>
      </c>
    </row>
    <row r="1510" customFormat="false" ht="15" hidden="false" customHeight="false" outlineLevel="0" collapsed="false">
      <c r="A1510" s="31" t="n">
        <v>42798.8333333333</v>
      </c>
      <c r="B1510" s="32" t="n">
        <v>69.69</v>
      </c>
      <c r="D1510" s="33" t="n">
        <f aca="false">WEEKDAY(A1510,2)</f>
        <v>6</v>
      </c>
      <c r="E1510" s="33" t="n">
        <f aca="false">HOUR(A1510)+MINUTE(A1510)/60</f>
        <v>20</v>
      </c>
      <c r="F1510" s="33" t="n">
        <f aca="false">IF(OR(D1510&gt;5,E1510&lt;8,E1510&gt;=18,COUNTIF($K$2:$K$10,INT(A1510))&gt;0),1,0)</f>
        <v>1</v>
      </c>
      <c r="G1510" s="34" t="n">
        <f aca="false">B1510/1</f>
        <v>69.69</v>
      </c>
      <c r="H1510" s="34" t="n">
        <f aca="false">IF(F1510=1,G1510,"")</f>
        <v>69.69</v>
      </c>
    </row>
    <row r="1511" customFormat="false" ht="15" hidden="false" customHeight="false" outlineLevel="0" collapsed="false">
      <c r="A1511" s="31" t="n">
        <v>42798.875</v>
      </c>
      <c r="B1511" s="32" t="n">
        <v>67.999</v>
      </c>
      <c r="D1511" s="33" t="n">
        <f aca="false">WEEKDAY(A1511,2)</f>
        <v>6</v>
      </c>
      <c r="E1511" s="33" t="n">
        <f aca="false">HOUR(A1511)+MINUTE(A1511)/60</f>
        <v>21</v>
      </c>
      <c r="F1511" s="33" t="n">
        <f aca="false">IF(OR(D1511&gt;5,E1511&lt;8,E1511&gt;=18,COUNTIF($K$2:$K$10,INT(A1511))&gt;0),1,0)</f>
        <v>1</v>
      </c>
      <c r="G1511" s="34" t="n">
        <f aca="false">B1511/1</f>
        <v>67.999</v>
      </c>
      <c r="H1511" s="34" t="n">
        <f aca="false">IF(F1511=1,G1511,"")</f>
        <v>67.999</v>
      </c>
    </row>
    <row r="1512" customFormat="false" ht="15" hidden="false" customHeight="false" outlineLevel="0" collapsed="false">
      <c r="A1512" s="31" t="n">
        <v>42798.9166666667</v>
      </c>
      <c r="B1512" s="32" t="n">
        <v>68.63</v>
      </c>
      <c r="D1512" s="33" t="n">
        <f aca="false">WEEKDAY(A1512,2)</f>
        <v>6</v>
      </c>
      <c r="E1512" s="33" t="n">
        <f aca="false">HOUR(A1512)+MINUTE(A1512)/60</f>
        <v>22</v>
      </c>
      <c r="F1512" s="33" t="n">
        <f aca="false">IF(OR(D1512&gt;5,E1512&lt;8,E1512&gt;=18,COUNTIF($K$2:$K$10,INT(A1512))&gt;0),1,0)</f>
        <v>1</v>
      </c>
      <c r="G1512" s="34" t="n">
        <f aca="false">B1512/1</f>
        <v>68.63</v>
      </c>
      <c r="H1512" s="34" t="n">
        <f aca="false">IF(F1512=1,G1512,"")</f>
        <v>68.63</v>
      </c>
    </row>
    <row r="1513" customFormat="false" ht="15" hidden="false" customHeight="false" outlineLevel="0" collapsed="false">
      <c r="A1513" s="31" t="n">
        <v>42798.9583333333</v>
      </c>
      <c r="B1513" s="32" t="n">
        <v>68.741</v>
      </c>
      <c r="D1513" s="33" t="n">
        <f aca="false">WEEKDAY(A1513,2)</f>
        <v>6</v>
      </c>
      <c r="E1513" s="33" t="n">
        <f aca="false">HOUR(A1513)+MINUTE(A1513)/60</f>
        <v>23</v>
      </c>
      <c r="F1513" s="33" t="n">
        <f aca="false">IF(OR(D1513&gt;5,E1513&lt;8,E1513&gt;=18,COUNTIF($K$2:$K$10,INT(A1513))&gt;0),1,0)</f>
        <v>1</v>
      </c>
      <c r="G1513" s="34" t="n">
        <f aca="false">B1513/1</f>
        <v>68.741</v>
      </c>
      <c r="H1513" s="34" t="n">
        <f aca="false">IF(F1513=1,G1513,"")</f>
        <v>68.741</v>
      </c>
    </row>
    <row r="1514" customFormat="false" ht="15" hidden="false" customHeight="false" outlineLevel="0" collapsed="false">
      <c r="A1514" s="31" t="n">
        <v>42799</v>
      </c>
      <c r="B1514" s="32" t="n">
        <v>67.615</v>
      </c>
      <c r="D1514" s="33" t="n">
        <f aca="false">WEEKDAY(A1514,2)</f>
        <v>7</v>
      </c>
      <c r="E1514" s="33" t="n">
        <f aca="false">HOUR(A1514)+MINUTE(A1514)/60</f>
        <v>0</v>
      </c>
      <c r="F1514" s="33" t="n">
        <f aca="false">IF(OR(D1514&gt;5,E1514&lt;8,E1514&gt;=18,COUNTIF($K$2:$K$10,INT(A1514))&gt;0),1,0)</f>
        <v>1</v>
      </c>
      <c r="G1514" s="34" t="n">
        <f aca="false">B1514/1</f>
        <v>67.615</v>
      </c>
      <c r="H1514" s="34" t="n">
        <f aca="false">IF(F1514=1,G1514,"")</f>
        <v>67.615</v>
      </c>
    </row>
    <row r="1515" customFormat="false" ht="15" hidden="false" customHeight="false" outlineLevel="0" collapsed="false">
      <c r="A1515" s="31" t="n">
        <v>42799.0416666667</v>
      </c>
      <c r="B1515" s="32" t="n">
        <v>66.316</v>
      </c>
      <c r="D1515" s="33" t="n">
        <f aca="false">WEEKDAY(A1515,2)</f>
        <v>7</v>
      </c>
      <c r="E1515" s="33" t="n">
        <f aca="false">HOUR(A1515)+MINUTE(A1515)/60</f>
        <v>1</v>
      </c>
      <c r="F1515" s="33" t="n">
        <f aca="false">IF(OR(D1515&gt;5,E1515&lt;8,E1515&gt;=18,COUNTIF($K$2:$K$10,INT(A1515))&gt;0),1,0)</f>
        <v>1</v>
      </c>
      <c r="G1515" s="34" t="n">
        <f aca="false">B1515/1</f>
        <v>66.316</v>
      </c>
      <c r="H1515" s="34" t="n">
        <f aca="false">IF(F1515=1,G1515,"")</f>
        <v>66.316</v>
      </c>
    </row>
    <row r="1516" customFormat="false" ht="15" hidden="false" customHeight="false" outlineLevel="0" collapsed="false">
      <c r="A1516" s="31" t="n">
        <v>42799.0833333333</v>
      </c>
      <c r="B1516" s="32" t="n">
        <v>63.155</v>
      </c>
      <c r="D1516" s="33" t="n">
        <f aca="false">WEEKDAY(A1516,2)</f>
        <v>7</v>
      </c>
      <c r="E1516" s="33" t="n">
        <f aca="false">HOUR(A1516)+MINUTE(A1516)/60</f>
        <v>2</v>
      </c>
      <c r="F1516" s="33" t="n">
        <f aca="false">IF(OR(D1516&gt;5,E1516&lt;8,E1516&gt;=18,COUNTIF($K$2:$K$10,INT(A1516))&gt;0),1,0)</f>
        <v>1</v>
      </c>
      <c r="G1516" s="34" t="n">
        <f aca="false">B1516/1</f>
        <v>63.155</v>
      </c>
      <c r="H1516" s="34" t="n">
        <f aca="false">IF(F1516=1,G1516,"")</f>
        <v>63.155</v>
      </c>
    </row>
    <row r="1517" customFormat="false" ht="15" hidden="false" customHeight="false" outlineLevel="0" collapsed="false">
      <c r="A1517" s="31" t="n">
        <v>42799.125</v>
      </c>
      <c r="B1517" s="32" t="n">
        <v>62.609</v>
      </c>
      <c r="D1517" s="33" t="n">
        <f aca="false">WEEKDAY(A1517,2)</f>
        <v>7</v>
      </c>
      <c r="E1517" s="33" t="n">
        <f aca="false">HOUR(A1517)+MINUTE(A1517)/60</f>
        <v>3</v>
      </c>
      <c r="F1517" s="33" t="n">
        <f aca="false">IF(OR(D1517&gt;5,E1517&lt;8,E1517&gt;=18,COUNTIF($K$2:$K$10,INT(A1517))&gt;0),1,0)</f>
        <v>1</v>
      </c>
      <c r="G1517" s="34" t="n">
        <f aca="false">B1517/1</f>
        <v>62.609</v>
      </c>
      <c r="H1517" s="34" t="n">
        <f aca="false">IF(F1517=1,G1517,"")</f>
        <v>62.609</v>
      </c>
    </row>
    <row r="1518" customFormat="false" ht="15" hidden="false" customHeight="false" outlineLevel="0" collapsed="false">
      <c r="A1518" s="31" t="n">
        <v>42799.1666666667</v>
      </c>
      <c r="B1518" s="32" t="n">
        <v>62.385</v>
      </c>
      <c r="D1518" s="33" t="n">
        <f aca="false">WEEKDAY(A1518,2)</f>
        <v>7</v>
      </c>
      <c r="E1518" s="33" t="n">
        <f aca="false">HOUR(A1518)+MINUTE(A1518)/60</f>
        <v>4</v>
      </c>
      <c r="F1518" s="33" t="n">
        <f aca="false">IF(OR(D1518&gt;5,E1518&lt;8,E1518&gt;=18,COUNTIF($K$2:$K$10,INT(A1518))&gt;0),1,0)</f>
        <v>1</v>
      </c>
      <c r="G1518" s="34" t="n">
        <f aca="false">B1518/1</f>
        <v>62.385</v>
      </c>
      <c r="H1518" s="34" t="n">
        <f aca="false">IF(F1518=1,G1518,"")</f>
        <v>62.385</v>
      </c>
    </row>
    <row r="1519" customFormat="false" ht="15" hidden="false" customHeight="false" outlineLevel="0" collapsed="false">
      <c r="A1519" s="31" t="n">
        <v>42799.2083333333</v>
      </c>
      <c r="B1519" s="32" t="n">
        <v>62.915</v>
      </c>
      <c r="D1519" s="33" t="n">
        <f aca="false">WEEKDAY(A1519,2)</f>
        <v>7</v>
      </c>
      <c r="E1519" s="33" t="n">
        <f aca="false">HOUR(A1519)+MINUTE(A1519)/60</f>
        <v>5</v>
      </c>
      <c r="F1519" s="33" t="n">
        <f aca="false">IF(OR(D1519&gt;5,E1519&lt;8,E1519&gt;=18,COUNTIF($K$2:$K$10,INT(A1519))&gt;0),1,0)</f>
        <v>1</v>
      </c>
      <c r="G1519" s="34" t="n">
        <f aca="false">B1519/1</f>
        <v>62.915</v>
      </c>
      <c r="H1519" s="34" t="n">
        <f aca="false">IF(F1519=1,G1519,"")</f>
        <v>62.915</v>
      </c>
    </row>
    <row r="1520" customFormat="false" ht="15" hidden="false" customHeight="false" outlineLevel="0" collapsed="false">
      <c r="A1520" s="31" t="n">
        <v>42799.25</v>
      </c>
      <c r="B1520" s="32" t="n">
        <v>61.558</v>
      </c>
      <c r="D1520" s="33" t="n">
        <f aca="false">WEEKDAY(A1520,2)</f>
        <v>7</v>
      </c>
      <c r="E1520" s="33" t="n">
        <f aca="false">HOUR(A1520)+MINUTE(A1520)/60</f>
        <v>6</v>
      </c>
      <c r="F1520" s="33" t="n">
        <f aca="false">IF(OR(D1520&gt;5,E1520&lt;8,E1520&gt;=18,COUNTIF($K$2:$K$10,INT(A1520))&gt;0),1,0)</f>
        <v>1</v>
      </c>
      <c r="G1520" s="34" t="n">
        <f aca="false">B1520/1</f>
        <v>61.558</v>
      </c>
      <c r="H1520" s="34" t="n">
        <f aca="false">IF(F1520=1,G1520,"")</f>
        <v>61.558</v>
      </c>
    </row>
    <row r="1521" customFormat="false" ht="15" hidden="false" customHeight="false" outlineLevel="0" collapsed="false">
      <c r="A1521" s="31" t="n">
        <v>42799.2916666667</v>
      </c>
      <c r="B1521" s="32" t="n">
        <v>63.327</v>
      </c>
      <c r="D1521" s="33" t="n">
        <f aca="false">WEEKDAY(A1521,2)</f>
        <v>7</v>
      </c>
      <c r="E1521" s="33" t="n">
        <f aca="false">HOUR(A1521)+MINUTE(A1521)/60</f>
        <v>7</v>
      </c>
      <c r="F1521" s="33" t="n">
        <f aca="false">IF(OR(D1521&gt;5,E1521&lt;8,E1521&gt;=18,COUNTIF($K$2:$K$10,INT(A1521))&gt;0),1,0)</f>
        <v>1</v>
      </c>
      <c r="G1521" s="34" t="n">
        <f aca="false">B1521/1</f>
        <v>63.327</v>
      </c>
      <c r="H1521" s="34" t="n">
        <f aca="false">IF(F1521=1,G1521,"")</f>
        <v>63.327</v>
      </c>
    </row>
    <row r="1522" customFormat="false" ht="15" hidden="false" customHeight="false" outlineLevel="0" collapsed="false">
      <c r="A1522" s="31" t="n">
        <v>42799.3333333333</v>
      </c>
      <c r="B1522" s="32" t="n">
        <v>63.329</v>
      </c>
      <c r="D1522" s="33" t="n">
        <f aca="false">WEEKDAY(A1522,2)</f>
        <v>7</v>
      </c>
      <c r="E1522" s="33" t="n">
        <f aca="false">HOUR(A1522)+MINUTE(A1522)/60</f>
        <v>8</v>
      </c>
      <c r="F1522" s="33" t="n">
        <f aca="false">IF(OR(D1522&gt;5,E1522&lt;8,E1522&gt;=18,COUNTIF($K$2:$K$10,INT(A1522))&gt;0),1,0)</f>
        <v>1</v>
      </c>
      <c r="G1522" s="34" t="n">
        <f aca="false">B1522/1</f>
        <v>63.329</v>
      </c>
      <c r="H1522" s="34" t="n">
        <f aca="false">IF(F1522=1,G1522,"")</f>
        <v>63.329</v>
      </c>
    </row>
    <row r="1523" customFormat="false" ht="15" hidden="false" customHeight="false" outlineLevel="0" collapsed="false">
      <c r="A1523" s="31" t="n">
        <v>42799.375</v>
      </c>
      <c r="B1523" s="32" t="n">
        <v>62.335</v>
      </c>
      <c r="D1523" s="33" t="n">
        <f aca="false">WEEKDAY(A1523,2)</f>
        <v>7</v>
      </c>
      <c r="E1523" s="33" t="n">
        <f aca="false">HOUR(A1523)+MINUTE(A1523)/60</f>
        <v>9</v>
      </c>
      <c r="F1523" s="33" t="n">
        <f aca="false">IF(OR(D1523&gt;5,E1523&lt;8,E1523&gt;=18,COUNTIF($K$2:$K$10,INT(A1523))&gt;0),1,0)</f>
        <v>1</v>
      </c>
      <c r="G1523" s="34" t="n">
        <f aca="false">B1523/1</f>
        <v>62.335</v>
      </c>
      <c r="H1523" s="34" t="n">
        <f aca="false">IF(F1523=1,G1523,"")</f>
        <v>62.335</v>
      </c>
    </row>
    <row r="1524" customFormat="false" ht="15" hidden="false" customHeight="false" outlineLevel="0" collapsed="false">
      <c r="A1524" s="31" t="n">
        <v>42799.4166666667</v>
      </c>
      <c r="B1524" s="32" t="n">
        <v>60.79</v>
      </c>
      <c r="D1524" s="33" t="n">
        <f aca="false">WEEKDAY(A1524,2)</f>
        <v>7</v>
      </c>
      <c r="E1524" s="33" t="n">
        <f aca="false">HOUR(A1524)+MINUTE(A1524)/60</f>
        <v>10</v>
      </c>
      <c r="F1524" s="33" t="n">
        <f aca="false">IF(OR(D1524&gt;5,E1524&lt;8,E1524&gt;=18,COUNTIF($K$2:$K$10,INT(A1524))&gt;0),1,0)</f>
        <v>1</v>
      </c>
      <c r="G1524" s="34" t="n">
        <f aca="false">B1524/1</f>
        <v>60.79</v>
      </c>
      <c r="H1524" s="34" t="n">
        <f aca="false">IF(F1524=1,G1524,"")</f>
        <v>60.79</v>
      </c>
    </row>
    <row r="1525" customFormat="false" ht="15" hidden="false" customHeight="false" outlineLevel="0" collapsed="false">
      <c r="A1525" s="31" t="n">
        <v>42799.4583333333</v>
      </c>
      <c r="B1525" s="32" t="n">
        <v>60.339</v>
      </c>
      <c r="D1525" s="33" t="n">
        <f aca="false">WEEKDAY(A1525,2)</f>
        <v>7</v>
      </c>
      <c r="E1525" s="33" t="n">
        <f aca="false">HOUR(A1525)+MINUTE(A1525)/60</f>
        <v>11</v>
      </c>
      <c r="F1525" s="33" t="n">
        <f aca="false">IF(OR(D1525&gt;5,E1525&lt;8,E1525&gt;=18,COUNTIF($K$2:$K$10,INT(A1525))&gt;0),1,0)</f>
        <v>1</v>
      </c>
      <c r="G1525" s="34" t="n">
        <f aca="false">B1525/1</f>
        <v>60.339</v>
      </c>
      <c r="H1525" s="34" t="n">
        <f aca="false">IF(F1525=1,G1525,"")</f>
        <v>60.339</v>
      </c>
    </row>
    <row r="1526" customFormat="false" ht="15" hidden="false" customHeight="false" outlineLevel="0" collapsed="false">
      <c r="A1526" s="31" t="n">
        <v>42799.5</v>
      </c>
      <c r="B1526" s="32" t="n">
        <v>58.686</v>
      </c>
      <c r="D1526" s="33" t="n">
        <f aca="false">WEEKDAY(A1526,2)</f>
        <v>7</v>
      </c>
      <c r="E1526" s="33" t="n">
        <f aca="false">HOUR(A1526)+MINUTE(A1526)/60</f>
        <v>12</v>
      </c>
      <c r="F1526" s="33" t="n">
        <f aca="false">IF(OR(D1526&gt;5,E1526&lt;8,E1526&gt;=18,COUNTIF($K$2:$K$10,INT(A1526))&gt;0),1,0)</f>
        <v>1</v>
      </c>
      <c r="G1526" s="34" t="n">
        <f aca="false">B1526/1</f>
        <v>58.686</v>
      </c>
      <c r="H1526" s="34" t="n">
        <f aca="false">IF(F1526=1,G1526,"")</f>
        <v>58.686</v>
      </c>
    </row>
    <row r="1527" customFormat="false" ht="15" hidden="false" customHeight="false" outlineLevel="0" collapsed="false">
      <c r="A1527" s="31" t="n">
        <v>42799.5416666667</v>
      </c>
      <c r="B1527" s="32" t="n">
        <v>112.097</v>
      </c>
      <c r="D1527" s="33" t="n">
        <f aca="false">WEEKDAY(A1527,2)</f>
        <v>7</v>
      </c>
      <c r="E1527" s="33" t="n">
        <f aca="false">HOUR(A1527)+MINUTE(A1527)/60</f>
        <v>13</v>
      </c>
      <c r="F1527" s="33" t="n">
        <f aca="false">IF(OR(D1527&gt;5,E1527&lt;8,E1527&gt;=18,COUNTIF($K$2:$K$10,INT(A1527))&gt;0),1,0)</f>
        <v>1</v>
      </c>
      <c r="G1527" s="34" t="n">
        <f aca="false">B1527/1</f>
        <v>112.097</v>
      </c>
      <c r="H1527" s="34" t="n">
        <f aca="false">IF(F1527=1,G1527,"")</f>
        <v>112.097</v>
      </c>
    </row>
    <row r="1528" customFormat="false" ht="15" hidden="false" customHeight="false" outlineLevel="0" collapsed="false">
      <c r="A1528" s="31" t="n">
        <v>42799.5833333333</v>
      </c>
      <c r="B1528" s="32" t="n">
        <v>145.47</v>
      </c>
      <c r="D1528" s="33" t="n">
        <f aca="false">WEEKDAY(A1528,2)</f>
        <v>7</v>
      </c>
      <c r="E1528" s="33" t="n">
        <f aca="false">HOUR(A1528)+MINUTE(A1528)/60</f>
        <v>14</v>
      </c>
      <c r="F1528" s="33" t="n">
        <f aca="false">IF(OR(D1528&gt;5,E1528&lt;8,E1528&gt;=18,COUNTIF($K$2:$K$10,INT(A1528))&gt;0),1,0)</f>
        <v>1</v>
      </c>
      <c r="G1528" s="34" t="n">
        <f aca="false">B1528/1</f>
        <v>145.47</v>
      </c>
      <c r="H1528" s="34" t="n">
        <f aca="false">IF(F1528=1,G1528,"")</f>
        <v>145.47</v>
      </c>
    </row>
    <row r="1529" customFormat="false" ht="15" hidden="false" customHeight="false" outlineLevel="0" collapsed="false">
      <c r="A1529" s="31" t="n">
        <v>42799.625</v>
      </c>
      <c r="B1529" s="32" t="n">
        <v>149.978</v>
      </c>
      <c r="D1529" s="33" t="n">
        <f aca="false">WEEKDAY(A1529,2)</f>
        <v>7</v>
      </c>
      <c r="E1529" s="33" t="n">
        <f aca="false">HOUR(A1529)+MINUTE(A1529)/60</f>
        <v>15</v>
      </c>
      <c r="F1529" s="33" t="n">
        <f aca="false">IF(OR(D1529&gt;5,E1529&lt;8,E1529&gt;=18,COUNTIF($K$2:$K$10,INT(A1529))&gt;0),1,0)</f>
        <v>1</v>
      </c>
      <c r="G1529" s="34" t="n">
        <f aca="false">B1529/1</f>
        <v>149.978</v>
      </c>
      <c r="H1529" s="34" t="n">
        <f aca="false">IF(F1529=1,G1529,"")</f>
        <v>149.978</v>
      </c>
    </row>
    <row r="1530" customFormat="false" ht="15" hidden="false" customHeight="false" outlineLevel="0" collapsed="false">
      <c r="A1530" s="31" t="n">
        <v>42799.6666666667</v>
      </c>
      <c r="B1530" s="32" t="n">
        <v>151.978</v>
      </c>
      <c r="D1530" s="33" t="n">
        <f aca="false">WEEKDAY(A1530,2)</f>
        <v>7</v>
      </c>
      <c r="E1530" s="33" t="n">
        <f aca="false">HOUR(A1530)+MINUTE(A1530)/60</f>
        <v>16</v>
      </c>
      <c r="F1530" s="33" t="n">
        <f aca="false">IF(OR(D1530&gt;5,E1530&lt;8,E1530&gt;=18,COUNTIF($K$2:$K$10,INT(A1530))&gt;0),1,0)</f>
        <v>1</v>
      </c>
      <c r="G1530" s="34" t="n">
        <f aca="false">B1530/1</f>
        <v>151.978</v>
      </c>
      <c r="H1530" s="34" t="n">
        <f aca="false">IF(F1530=1,G1530,"")</f>
        <v>151.978</v>
      </c>
    </row>
    <row r="1531" customFormat="false" ht="15" hidden="false" customHeight="false" outlineLevel="0" collapsed="false">
      <c r="A1531" s="31" t="n">
        <v>42799.7083333333</v>
      </c>
      <c r="B1531" s="32" t="n">
        <v>151.889</v>
      </c>
      <c r="D1531" s="33" t="n">
        <f aca="false">WEEKDAY(A1531,2)</f>
        <v>7</v>
      </c>
      <c r="E1531" s="33" t="n">
        <f aca="false">HOUR(A1531)+MINUTE(A1531)/60</f>
        <v>17</v>
      </c>
      <c r="F1531" s="33" t="n">
        <f aca="false">IF(OR(D1531&gt;5,E1531&lt;8,E1531&gt;=18,COUNTIF($K$2:$K$10,INT(A1531))&gt;0),1,0)</f>
        <v>1</v>
      </c>
      <c r="G1531" s="34" t="n">
        <f aca="false">B1531/1</f>
        <v>151.889</v>
      </c>
      <c r="H1531" s="34" t="n">
        <f aca="false">IF(F1531=1,G1531,"")</f>
        <v>151.889</v>
      </c>
    </row>
    <row r="1532" customFormat="false" ht="15" hidden="false" customHeight="false" outlineLevel="0" collapsed="false">
      <c r="A1532" s="31" t="n">
        <v>42799.75</v>
      </c>
      <c r="B1532" s="32" t="n">
        <v>77.838</v>
      </c>
      <c r="D1532" s="33" t="n">
        <f aca="false">WEEKDAY(A1532,2)</f>
        <v>7</v>
      </c>
      <c r="E1532" s="33" t="n">
        <f aca="false">HOUR(A1532)+MINUTE(A1532)/60</f>
        <v>18</v>
      </c>
      <c r="F1532" s="33" t="n">
        <f aca="false">IF(OR(D1532&gt;5,E1532&lt;8,E1532&gt;=18,COUNTIF($K$2:$K$10,INT(A1532))&gt;0),1,0)</f>
        <v>1</v>
      </c>
      <c r="G1532" s="34" t="n">
        <f aca="false">B1532/1</f>
        <v>77.838</v>
      </c>
      <c r="H1532" s="34" t="n">
        <f aca="false">IF(F1532=1,G1532,"")</f>
        <v>77.838</v>
      </c>
    </row>
    <row r="1533" customFormat="false" ht="15" hidden="false" customHeight="false" outlineLevel="0" collapsed="false">
      <c r="A1533" s="31" t="n">
        <v>42799.7916666667</v>
      </c>
      <c r="B1533" s="32" t="n">
        <v>71.601</v>
      </c>
      <c r="D1533" s="33" t="n">
        <f aca="false">WEEKDAY(A1533,2)</f>
        <v>7</v>
      </c>
      <c r="E1533" s="33" t="n">
        <f aca="false">HOUR(A1533)+MINUTE(A1533)/60</f>
        <v>19</v>
      </c>
      <c r="F1533" s="33" t="n">
        <f aca="false">IF(OR(D1533&gt;5,E1533&lt;8,E1533&gt;=18,COUNTIF($K$2:$K$10,INT(A1533))&gt;0),1,0)</f>
        <v>1</v>
      </c>
      <c r="G1533" s="34" t="n">
        <f aca="false">B1533/1</f>
        <v>71.601</v>
      </c>
      <c r="H1533" s="34" t="n">
        <f aca="false">IF(F1533=1,G1533,"")</f>
        <v>71.601</v>
      </c>
    </row>
    <row r="1534" customFormat="false" ht="15" hidden="false" customHeight="false" outlineLevel="0" collapsed="false">
      <c r="A1534" s="31" t="n">
        <v>42799.8333333333</v>
      </c>
      <c r="B1534" s="32" t="n">
        <v>75.821</v>
      </c>
      <c r="D1534" s="33" t="n">
        <f aca="false">WEEKDAY(A1534,2)</f>
        <v>7</v>
      </c>
      <c r="E1534" s="33" t="n">
        <f aca="false">HOUR(A1534)+MINUTE(A1534)/60</f>
        <v>20</v>
      </c>
      <c r="F1534" s="33" t="n">
        <f aca="false">IF(OR(D1534&gt;5,E1534&lt;8,E1534&gt;=18,COUNTIF($K$2:$K$10,INT(A1534))&gt;0),1,0)</f>
        <v>1</v>
      </c>
      <c r="G1534" s="34" t="n">
        <f aca="false">B1534/1</f>
        <v>75.821</v>
      </c>
      <c r="H1534" s="34" t="n">
        <f aca="false">IF(F1534=1,G1534,"")</f>
        <v>75.821</v>
      </c>
    </row>
    <row r="1535" customFormat="false" ht="15" hidden="false" customHeight="false" outlineLevel="0" collapsed="false">
      <c r="A1535" s="31" t="n">
        <v>42799.875</v>
      </c>
      <c r="B1535" s="32" t="n">
        <v>71.816</v>
      </c>
      <c r="D1535" s="33" t="n">
        <f aca="false">WEEKDAY(A1535,2)</f>
        <v>7</v>
      </c>
      <c r="E1535" s="33" t="n">
        <f aca="false">HOUR(A1535)+MINUTE(A1535)/60</f>
        <v>21</v>
      </c>
      <c r="F1535" s="33" t="n">
        <f aca="false">IF(OR(D1535&gt;5,E1535&lt;8,E1535&gt;=18,COUNTIF($K$2:$K$10,INT(A1535))&gt;0),1,0)</f>
        <v>1</v>
      </c>
      <c r="G1535" s="34" t="n">
        <f aca="false">B1535/1</f>
        <v>71.816</v>
      </c>
      <c r="H1535" s="34" t="n">
        <f aca="false">IF(F1535=1,G1535,"")</f>
        <v>71.816</v>
      </c>
    </row>
    <row r="1536" customFormat="false" ht="15" hidden="false" customHeight="false" outlineLevel="0" collapsed="false">
      <c r="A1536" s="31" t="n">
        <v>42799.9166666667</v>
      </c>
      <c r="B1536" s="32" t="n">
        <v>69.489</v>
      </c>
      <c r="D1536" s="33" t="n">
        <f aca="false">WEEKDAY(A1536,2)</f>
        <v>7</v>
      </c>
      <c r="E1536" s="33" t="n">
        <f aca="false">HOUR(A1536)+MINUTE(A1536)/60</f>
        <v>22</v>
      </c>
      <c r="F1536" s="33" t="n">
        <f aca="false">IF(OR(D1536&gt;5,E1536&lt;8,E1536&gt;=18,COUNTIF($K$2:$K$10,INT(A1536))&gt;0),1,0)</f>
        <v>1</v>
      </c>
      <c r="G1536" s="34" t="n">
        <f aca="false">B1536/1</f>
        <v>69.489</v>
      </c>
      <c r="H1536" s="34" t="n">
        <f aca="false">IF(F1536=1,G1536,"")</f>
        <v>69.489</v>
      </c>
    </row>
    <row r="1537" customFormat="false" ht="15" hidden="false" customHeight="false" outlineLevel="0" collapsed="false">
      <c r="A1537" s="31" t="n">
        <v>42799.9583333333</v>
      </c>
      <c r="B1537" s="32" t="n">
        <v>70.056</v>
      </c>
      <c r="D1537" s="33" t="n">
        <f aca="false">WEEKDAY(A1537,2)</f>
        <v>7</v>
      </c>
      <c r="E1537" s="33" t="n">
        <f aca="false">HOUR(A1537)+MINUTE(A1537)/60</f>
        <v>23</v>
      </c>
      <c r="F1537" s="33" t="n">
        <f aca="false">IF(OR(D1537&gt;5,E1537&lt;8,E1537&gt;=18,COUNTIF($K$2:$K$10,INT(A1537))&gt;0),1,0)</f>
        <v>1</v>
      </c>
      <c r="G1537" s="34" t="n">
        <f aca="false">B1537/1</f>
        <v>70.056</v>
      </c>
      <c r="H1537" s="34" t="n">
        <f aca="false">IF(F1537=1,G1537,"")</f>
        <v>70.056</v>
      </c>
    </row>
    <row r="1538" customFormat="false" ht="15" hidden="false" customHeight="false" outlineLevel="0" collapsed="false">
      <c r="A1538" s="31" t="n">
        <v>42800</v>
      </c>
      <c r="B1538" s="32" t="n">
        <v>63.682</v>
      </c>
      <c r="D1538" s="33" t="n">
        <f aca="false">WEEKDAY(A1538,2)</f>
        <v>1</v>
      </c>
      <c r="E1538" s="33" t="n">
        <f aca="false">HOUR(A1538)+MINUTE(A1538)/60</f>
        <v>0</v>
      </c>
      <c r="F1538" s="33" t="n">
        <f aca="false">IF(OR(D1538&gt;5,E1538&lt;8,E1538&gt;=18,COUNTIF($K$2:$K$10,INT(A1538))&gt;0),1,0)</f>
        <v>1</v>
      </c>
      <c r="G1538" s="34" t="n">
        <f aca="false">B1538/1</f>
        <v>63.682</v>
      </c>
      <c r="H1538" s="34" t="n">
        <f aca="false">IF(F1538=1,G1538,"")</f>
        <v>63.682</v>
      </c>
    </row>
    <row r="1539" customFormat="false" ht="15" hidden="false" customHeight="false" outlineLevel="0" collapsed="false">
      <c r="A1539" s="31" t="n">
        <v>42800.0416666667</v>
      </c>
      <c r="B1539" s="32" t="n">
        <v>67.96</v>
      </c>
      <c r="D1539" s="33" t="n">
        <f aca="false">WEEKDAY(A1539,2)</f>
        <v>1</v>
      </c>
      <c r="E1539" s="33" t="n">
        <f aca="false">HOUR(A1539)+MINUTE(A1539)/60</f>
        <v>1</v>
      </c>
      <c r="F1539" s="33" t="n">
        <f aca="false">IF(OR(D1539&gt;5,E1539&lt;8,E1539&gt;=18,COUNTIF($K$2:$K$10,INT(A1539))&gt;0),1,0)</f>
        <v>1</v>
      </c>
      <c r="G1539" s="34" t="n">
        <f aca="false">B1539/1</f>
        <v>67.96</v>
      </c>
      <c r="H1539" s="34" t="n">
        <f aca="false">IF(F1539=1,G1539,"")</f>
        <v>67.96</v>
      </c>
    </row>
    <row r="1540" customFormat="false" ht="15" hidden="false" customHeight="false" outlineLevel="0" collapsed="false">
      <c r="A1540" s="31" t="n">
        <v>42800.0833333333</v>
      </c>
      <c r="B1540" s="32" t="n">
        <v>66.817</v>
      </c>
      <c r="D1540" s="33" t="n">
        <f aca="false">WEEKDAY(A1540,2)</f>
        <v>1</v>
      </c>
      <c r="E1540" s="33" t="n">
        <f aca="false">HOUR(A1540)+MINUTE(A1540)/60</f>
        <v>2</v>
      </c>
      <c r="F1540" s="33" t="n">
        <f aca="false">IF(OR(D1540&gt;5,E1540&lt;8,E1540&gt;=18,COUNTIF($K$2:$K$10,INT(A1540))&gt;0),1,0)</f>
        <v>1</v>
      </c>
      <c r="G1540" s="34" t="n">
        <f aca="false">B1540/1</f>
        <v>66.817</v>
      </c>
      <c r="H1540" s="34" t="n">
        <f aca="false">IF(F1540=1,G1540,"")</f>
        <v>66.817</v>
      </c>
    </row>
    <row r="1541" customFormat="false" ht="15" hidden="false" customHeight="false" outlineLevel="0" collapsed="false">
      <c r="A1541" s="31" t="n">
        <v>42800.125</v>
      </c>
      <c r="B1541" s="32" t="n">
        <v>62.671</v>
      </c>
      <c r="D1541" s="33" t="n">
        <f aca="false">WEEKDAY(A1541,2)</f>
        <v>1</v>
      </c>
      <c r="E1541" s="33" t="n">
        <f aca="false">HOUR(A1541)+MINUTE(A1541)/60</f>
        <v>3</v>
      </c>
      <c r="F1541" s="33" t="n">
        <f aca="false">IF(OR(D1541&gt;5,E1541&lt;8,E1541&gt;=18,COUNTIF($K$2:$K$10,INT(A1541))&gt;0),1,0)</f>
        <v>1</v>
      </c>
      <c r="G1541" s="34" t="n">
        <f aca="false">B1541/1</f>
        <v>62.671</v>
      </c>
      <c r="H1541" s="34" t="n">
        <f aca="false">IF(F1541=1,G1541,"")</f>
        <v>62.671</v>
      </c>
    </row>
    <row r="1542" customFormat="false" ht="15" hidden="false" customHeight="false" outlineLevel="0" collapsed="false">
      <c r="A1542" s="31" t="n">
        <v>42800.1666666667</v>
      </c>
      <c r="B1542" s="32" t="n">
        <v>67.281</v>
      </c>
      <c r="D1542" s="33" t="n">
        <f aca="false">WEEKDAY(A1542,2)</f>
        <v>1</v>
      </c>
      <c r="E1542" s="33" t="n">
        <f aca="false">HOUR(A1542)+MINUTE(A1542)/60</f>
        <v>4</v>
      </c>
      <c r="F1542" s="33" t="n">
        <f aca="false">IF(OR(D1542&gt;5,E1542&lt;8,E1542&gt;=18,COUNTIF($K$2:$K$10,INT(A1542))&gt;0),1,0)</f>
        <v>1</v>
      </c>
      <c r="G1542" s="34" t="n">
        <f aca="false">B1542/1</f>
        <v>67.281</v>
      </c>
      <c r="H1542" s="34" t="n">
        <f aca="false">IF(F1542=1,G1542,"")</f>
        <v>67.281</v>
      </c>
    </row>
    <row r="1543" customFormat="false" ht="15" hidden="false" customHeight="false" outlineLevel="0" collapsed="false">
      <c r="A1543" s="31" t="n">
        <v>42800.2083333333</v>
      </c>
      <c r="B1543" s="32" t="n">
        <v>63.283</v>
      </c>
      <c r="D1543" s="33" t="n">
        <f aca="false">WEEKDAY(A1543,2)</f>
        <v>1</v>
      </c>
      <c r="E1543" s="33" t="n">
        <f aca="false">HOUR(A1543)+MINUTE(A1543)/60</f>
        <v>5</v>
      </c>
      <c r="F1543" s="33" t="n">
        <f aca="false">IF(OR(D1543&gt;5,E1543&lt;8,E1543&gt;=18,COUNTIF($K$2:$K$10,INT(A1543))&gt;0),1,0)</f>
        <v>1</v>
      </c>
      <c r="G1543" s="34" t="n">
        <f aca="false">B1543/1</f>
        <v>63.283</v>
      </c>
      <c r="H1543" s="34" t="n">
        <f aca="false">IF(F1543=1,G1543,"")</f>
        <v>63.283</v>
      </c>
    </row>
    <row r="1544" customFormat="false" ht="15" hidden="false" customHeight="false" outlineLevel="0" collapsed="false">
      <c r="A1544" s="31" t="n">
        <v>42800.25</v>
      </c>
      <c r="B1544" s="32" t="n">
        <v>59.905</v>
      </c>
      <c r="D1544" s="33" t="n">
        <f aca="false">WEEKDAY(A1544,2)</f>
        <v>1</v>
      </c>
      <c r="E1544" s="33" t="n">
        <f aca="false">HOUR(A1544)+MINUTE(A1544)/60</f>
        <v>6</v>
      </c>
      <c r="F1544" s="33" t="n">
        <f aca="false">IF(OR(D1544&gt;5,E1544&lt;8,E1544&gt;=18,COUNTIF($K$2:$K$10,INT(A1544))&gt;0),1,0)</f>
        <v>1</v>
      </c>
      <c r="G1544" s="34" t="n">
        <f aca="false">B1544/1</f>
        <v>59.905</v>
      </c>
      <c r="H1544" s="34" t="n">
        <f aca="false">IF(F1544=1,G1544,"")</f>
        <v>59.905</v>
      </c>
    </row>
    <row r="1545" customFormat="false" ht="15" hidden="false" customHeight="false" outlineLevel="0" collapsed="false">
      <c r="A1545" s="31" t="n">
        <v>42800.2916666667</v>
      </c>
      <c r="B1545" s="32" t="n">
        <v>86.824</v>
      </c>
      <c r="D1545" s="33" t="n">
        <f aca="false">WEEKDAY(A1545,2)</f>
        <v>1</v>
      </c>
      <c r="E1545" s="33" t="n">
        <f aca="false">HOUR(A1545)+MINUTE(A1545)/60</f>
        <v>7</v>
      </c>
      <c r="F1545" s="33" t="n">
        <f aca="false">IF(OR(D1545&gt;5,E1545&lt;8,E1545&gt;=18,COUNTIF($K$2:$K$10,INT(A1545))&gt;0),1,0)</f>
        <v>1</v>
      </c>
      <c r="G1545" s="34" t="n">
        <f aca="false">B1545/1</f>
        <v>86.824</v>
      </c>
      <c r="H1545" s="34" t="n">
        <f aca="false">IF(F1545=1,G1545,"")</f>
        <v>86.824</v>
      </c>
    </row>
    <row r="1546" customFormat="false" ht="15" hidden="false" customHeight="false" outlineLevel="0" collapsed="false">
      <c r="A1546" s="31" t="n">
        <v>42800.3333333333</v>
      </c>
      <c r="B1546" s="32" t="n">
        <v>176.908</v>
      </c>
      <c r="D1546" s="33" t="n">
        <f aca="false">WEEKDAY(A1546,2)</f>
        <v>1</v>
      </c>
      <c r="E1546" s="33" t="n">
        <f aca="false">HOUR(A1546)+MINUTE(A1546)/60</f>
        <v>8</v>
      </c>
      <c r="F1546" s="33" t="n">
        <f aca="false">IF(OR(D1546&gt;5,E1546&lt;8,E1546&gt;=18,COUNTIF($K$2:$K$10,INT(A1546))&gt;0),1,0)</f>
        <v>0</v>
      </c>
      <c r="G1546" s="34" t="n">
        <f aca="false">B1546/1</f>
        <v>176.908</v>
      </c>
      <c r="H1546" s="34" t="str">
        <f aca="false">IF(F1546=1,G1546,"")</f>
        <v/>
      </c>
    </row>
    <row r="1547" customFormat="false" ht="15" hidden="false" customHeight="false" outlineLevel="0" collapsed="false">
      <c r="A1547" s="31" t="n">
        <v>42800.375</v>
      </c>
      <c r="B1547" s="32" t="n">
        <v>216.512</v>
      </c>
      <c r="D1547" s="33" t="n">
        <f aca="false">WEEKDAY(A1547,2)</f>
        <v>1</v>
      </c>
      <c r="E1547" s="33" t="n">
        <f aca="false">HOUR(A1547)+MINUTE(A1547)/60</f>
        <v>9</v>
      </c>
      <c r="F1547" s="33" t="n">
        <f aca="false">IF(OR(D1547&gt;5,E1547&lt;8,E1547&gt;=18,COUNTIF($K$2:$K$10,INT(A1547))&gt;0),1,0)</f>
        <v>0</v>
      </c>
      <c r="G1547" s="34" t="n">
        <f aca="false">B1547/1</f>
        <v>216.512</v>
      </c>
      <c r="H1547" s="34" t="str">
        <f aca="false">IF(F1547=1,G1547,"")</f>
        <v/>
      </c>
    </row>
    <row r="1548" customFormat="false" ht="15" hidden="false" customHeight="false" outlineLevel="0" collapsed="false">
      <c r="A1548" s="31" t="n">
        <v>42800.4166666667</v>
      </c>
      <c r="B1548" s="32" t="n">
        <v>243.285</v>
      </c>
      <c r="D1548" s="33" t="n">
        <f aca="false">WEEKDAY(A1548,2)</f>
        <v>1</v>
      </c>
      <c r="E1548" s="33" t="n">
        <f aca="false">HOUR(A1548)+MINUTE(A1548)/60</f>
        <v>10</v>
      </c>
      <c r="F1548" s="33" t="n">
        <f aca="false">IF(OR(D1548&gt;5,E1548&lt;8,E1548&gt;=18,COUNTIF($K$2:$K$10,INT(A1548))&gt;0),1,0)</f>
        <v>0</v>
      </c>
      <c r="G1548" s="34" t="n">
        <f aca="false">B1548/1</f>
        <v>243.285</v>
      </c>
      <c r="H1548" s="34" t="str">
        <f aca="false">IF(F1548=1,G1548,"")</f>
        <v/>
      </c>
    </row>
    <row r="1549" customFormat="false" ht="15" hidden="false" customHeight="false" outlineLevel="0" collapsed="false">
      <c r="A1549" s="31" t="n">
        <v>42800.4583333333</v>
      </c>
      <c r="B1549" s="32" t="n">
        <v>262.233</v>
      </c>
      <c r="D1549" s="33" t="n">
        <f aca="false">WEEKDAY(A1549,2)</f>
        <v>1</v>
      </c>
      <c r="E1549" s="33" t="n">
        <f aca="false">HOUR(A1549)+MINUTE(A1549)/60</f>
        <v>11</v>
      </c>
      <c r="F1549" s="33" t="n">
        <f aca="false">IF(OR(D1549&gt;5,E1549&lt;8,E1549&gt;=18,COUNTIF($K$2:$K$10,INT(A1549))&gt;0),1,0)</f>
        <v>0</v>
      </c>
      <c r="G1549" s="34" t="n">
        <f aca="false">B1549/1</f>
        <v>262.233</v>
      </c>
      <c r="H1549" s="34" t="str">
        <f aca="false">IF(F1549=1,G1549,"")</f>
        <v/>
      </c>
    </row>
    <row r="1550" customFormat="false" ht="15" hidden="false" customHeight="false" outlineLevel="0" collapsed="false">
      <c r="A1550" s="31" t="n">
        <v>42800.5</v>
      </c>
      <c r="B1550" s="32" t="n">
        <v>267.141</v>
      </c>
      <c r="D1550" s="33" t="n">
        <f aca="false">WEEKDAY(A1550,2)</f>
        <v>1</v>
      </c>
      <c r="E1550" s="33" t="n">
        <f aca="false">HOUR(A1550)+MINUTE(A1550)/60</f>
        <v>12</v>
      </c>
      <c r="F1550" s="33" t="n">
        <f aca="false">IF(OR(D1550&gt;5,E1550&lt;8,E1550&gt;=18,COUNTIF($K$2:$K$10,INT(A1550))&gt;0),1,0)</f>
        <v>0</v>
      </c>
      <c r="G1550" s="34" t="n">
        <f aca="false">B1550/1</f>
        <v>267.141</v>
      </c>
      <c r="H1550" s="34" t="str">
        <f aca="false">IF(F1550=1,G1550,"")</f>
        <v/>
      </c>
    </row>
    <row r="1551" customFormat="false" ht="15" hidden="false" customHeight="false" outlineLevel="0" collapsed="false">
      <c r="A1551" s="31" t="n">
        <v>42800.5416666667</v>
      </c>
      <c r="B1551" s="32" t="n">
        <v>248.987</v>
      </c>
      <c r="D1551" s="33" t="n">
        <f aca="false">WEEKDAY(A1551,2)</f>
        <v>1</v>
      </c>
      <c r="E1551" s="33" t="n">
        <f aca="false">HOUR(A1551)+MINUTE(A1551)/60</f>
        <v>13</v>
      </c>
      <c r="F1551" s="33" t="n">
        <f aca="false">IF(OR(D1551&gt;5,E1551&lt;8,E1551&gt;=18,COUNTIF($K$2:$K$10,INT(A1551))&gt;0),1,0)</f>
        <v>0</v>
      </c>
      <c r="G1551" s="34" t="n">
        <f aca="false">B1551/1</f>
        <v>248.987</v>
      </c>
      <c r="H1551" s="34" t="str">
        <f aca="false">IF(F1551=1,G1551,"")</f>
        <v/>
      </c>
    </row>
    <row r="1552" customFormat="false" ht="15" hidden="false" customHeight="false" outlineLevel="0" collapsed="false">
      <c r="A1552" s="31" t="n">
        <v>42800.5833333333</v>
      </c>
      <c r="B1552" s="32" t="n">
        <v>246.271</v>
      </c>
      <c r="D1552" s="33" t="n">
        <f aca="false">WEEKDAY(A1552,2)</f>
        <v>1</v>
      </c>
      <c r="E1552" s="33" t="n">
        <f aca="false">HOUR(A1552)+MINUTE(A1552)/60</f>
        <v>14</v>
      </c>
      <c r="F1552" s="33" t="n">
        <f aca="false">IF(OR(D1552&gt;5,E1552&lt;8,E1552&gt;=18,COUNTIF($K$2:$K$10,INT(A1552))&gt;0),1,0)</f>
        <v>0</v>
      </c>
      <c r="G1552" s="34" t="n">
        <f aca="false">B1552/1</f>
        <v>246.271</v>
      </c>
      <c r="H1552" s="34" t="str">
        <f aca="false">IF(F1552=1,G1552,"")</f>
        <v/>
      </c>
    </row>
    <row r="1553" customFormat="false" ht="15" hidden="false" customHeight="false" outlineLevel="0" collapsed="false">
      <c r="A1553" s="31" t="n">
        <v>42800.625</v>
      </c>
      <c r="B1553" s="32" t="n">
        <v>254.061</v>
      </c>
      <c r="D1553" s="33" t="n">
        <f aca="false">WEEKDAY(A1553,2)</f>
        <v>1</v>
      </c>
      <c r="E1553" s="33" t="n">
        <f aca="false">HOUR(A1553)+MINUTE(A1553)/60</f>
        <v>15</v>
      </c>
      <c r="F1553" s="33" t="n">
        <f aca="false">IF(OR(D1553&gt;5,E1553&lt;8,E1553&gt;=18,COUNTIF($K$2:$K$10,INT(A1553))&gt;0),1,0)</f>
        <v>0</v>
      </c>
      <c r="G1553" s="34" t="n">
        <f aca="false">B1553/1</f>
        <v>254.061</v>
      </c>
      <c r="H1553" s="34" t="str">
        <f aca="false">IF(F1553=1,G1553,"")</f>
        <v/>
      </c>
    </row>
    <row r="1554" customFormat="false" ht="15" hidden="false" customHeight="false" outlineLevel="0" collapsed="false">
      <c r="A1554" s="31" t="n">
        <v>42800.6666666667</v>
      </c>
      <c r="B1554" s="32" t="n">
        <v>262.025</v>
      </c>
      <c r="D1554" s="33" t="n">
        <f aca="false">WEEKDAY(A1554,2)</f>
        <v>1</v>
      </c>
      <c r="E1554" s="33" t="n">
        <f aca="false">HOUR(A1554)+MINUTE(A1554)/60</f>
        <v>16</v>
      </c>
      <c r="F1554" s="33" t="n">
        <f aca="false">IF(OR(D1554&gt;5,E1554&lt;8,E1554&gt;=18,COUNTIF($K$2:$K$10,INT(A1554))&gt;0),1,0)</f>
        <v>0</v>
      </c>
      <c r="G1554" s="34" t="n">
        <f aca="false">B1554/1</f>
        <v>262.025</v>
      </c>
      <c r="H1554" s="34" t="str">
        <f aca="false">IF(F1554=1,G1554,"")</f>
        <v/>
      </c>
    </row>
    <row r="1555" customFormat="false" ht="15" hidden="false" customHeight="false" outlineLevel="0" collapsed="false">
      <c r="A1555" s="31" t="n">
        <v>42800.7083333333</v>
      </c>
      <c r="B1555" s="32" t="n">
        <v>255.522</v>
      </c>
      <c r="D1555" s="33" t="n">
        <f aca="false">WEEKDAY(A1555,2)</f>
        <v>1</v>
      </c>
      <c r="E1555" s="33" t="n">
        <f aca="false">HOUR(A1555)+MINUTE(A1555)/60</f>
        <v>17</v>
      </c>
      <c r="F1555" s="33" t="n">
        <f aca="false">IF(OR(D1555&gt;5,E1555&lt;8,E1555&gt;=18,COUNTIF($K$2:$K$10,INT(A1555))&gt;0),1,0)</f>
        <v>0</v>
      </c>
      <c r="G1555" s="34" t="n">
        <f aca="false">B1555/1</f>
        <v>255.522</v>
      </c>
      <c r="H1555" s="34" t="str">
        <f aca="false">IF(F1555=1,G1555,"")</f>
        <v/>
      </c>
    </row>
    <row r="1556" customFormat="false" ht="15" hidden="false" customHeight="false" outlineLevel="0" collapsed="false">
      <c r="A1556" s="31" t="n">
        <v>42800.75</v>
      </c>
      <c r="B1556" s="32" t="n">
        <v>246.772</v>
      </c>
      <c r="D1556" s="33" t="n">
        <f aca="false">WEEKDAY(A1556,2)</f>
        <v>1</v>
      </c>
      <c r="E1556" s="33" t="n">
        <f aca="false">HOUR(A1556)+MINUTE(A1556)/60</f>
        <v>18</v>
      </c>
      <c r="F1556" s="33" t="n">
        <f aca="false">IF(OR(D1556&gt;5,E1556&lt;8,E1556&gt;=18,COUNTIF($K$2:$K$10,INT(A1556))&gt;0),1,0)</f>
        <v>1</v>
      </c>
      <c r="G1556" s="34" t="n">
        <f aca="false">B1556/1</f>
        <v>246.772</v>
      </c>
      <c r="H1556" s="34" t="n">
        <f aca="false">IF(F1556=1,G1556,"")</f>
        <v>246.772</v>
      </c>
    </row>
    <row r="1557" customFormat="false" ht="15" hidden="false" customHeight="false" outlineLevel="0" collapsed="false">
      <c r="A1557" s="31" t="n">
        <v>42800.7916666667</v>
      </c>
      <c r="B1557" s="32" t="n">
        <v>217.723</v>
      </c>
      <c r="D1557" s="33" t="n">
        <f aca="false">WEEKDAY(A1557,2)</f>
        <v>1</v>
      </c>
      <c r="E1557" s="33" t="n">
        <f aca="false">HOUR(A1557)+MINUTE(A1557)/60</f>
        <v>19</v>
      </c>
      <c r="F1557" s="33" t="n">
        <f aca="false">IF(OR(D1557&gt;5,E1557&lt;8,E1557&gt;=18,COUNTIF($K$2:$K$10,INT(A1557))&gt;0),1,0)</f>
        <v>1</v>
      </c>
      <c r="G1557" s="34" t="n">
        <f aca="false">B1557/1</f>
        <v>217.723</v>
      </c>
      <c r="H1557" s="34" t="n">
        <f aca="false">IF(F1557=1,G1557,"")</f>
        <v>217.723</v>
      </c>
    </row>
    <row r="1558" customFormat="false" ht="15" hidden="false" customHeight="false" outlineLevel="0" collapsed="false">
      <c r="A1558" s="31" t="n">
        <v>42800.8333333333</v>
      </c>
      <c r="B1558" s="32" t="n">
        <v>202.299</v>
      </c>
      <c r="D1558" s="33" t="n">
        <f aca="false">WEEKDAY(A1558,2)</f>
        <v>1</v>
      </c>
      <c r="E1558" s="33" t="n">
        <f aca="false">HOUR(A1558)+MINUTE(A1558)/60</f>
        <v>20</v>
      </c>
      <c r="F1558" s="33" t="n">
        <f aca="false">IF(OR(D1558&gt;5,E1558&lt;8,E1558&gt;=18,COUNTIF($K$2:$K$10,INT(A1558))&gt;0),1,0)</f>
        <v>1</v>
      </c>
      <c r="G1558" s="34" t="n">
        <f aca="false">B1558/1</f>
        <v>202.299</v>
      </c>
      <c r="H1558" s="34" t="n">
        <f aca="false">IF(F1558=1,G1558,"")</f>
        <v>202.299</v>
      </c>
    </row>
    <row r="1559" customFormat="false" ht="15" hidden="false" customHeight="false" outlineLevel="0" collapsed="false">
      <c r="A1559" s="31" t="n">
        <v>42800.875</v>
      </c>
      <c r="B1559" s="32" t="n">
        <v>192.564</v>
      </c>
      <c r="D1559" s="33" t="n">
        <f aca="false">WEEKDAY(A1559,2)</f>
        <v>1</v>
      </c>
      <c r="E1559" s="33" t="n">
        <f aca="false">HOUR(A1559)+MINUTE(A1559)/60</f>
        <v>21</v>
      </c>
      <c r="F1559" s="33" t="n">
        <f aca="false">IF(OR(D1559&gt;5,E1559&lt;8,E1559&gt;=18,COUNTIF($K$2:$K$10,INT(A1559))&gt;0),1,0)</f>
        <v>1</v>
      </c>
      <c r="G1559" s="34" t="n">
        <f aca="false">B1559/1</f>
        <v>192.564</v>
      </c>
      <c r="H1559" s="34" t="n">
        <f aca="false">IF(F1559=1,G1559,"")</f>
        <v>192.564</v>
      </c>
    </row>
    <row r="1560" customFormat="false" ht="15" hidden="false" customHeight="false" outlineLevel="0" collapsed="false">
      <c r="A1560" s="31" t="n">
        <v>42800.9166666667</v>
      </c>
      <c r="B1560" s="32" t="n">
        <v>143.466</v>
      </c>
      <c r="D1560" s="33" t="n">
        <f aca="false">WEEKDAY(A1560,2)</f>
        <v>1</v>
      </c>
      <c r="E1560" s="33" t="n">
        <f aca="false">HOUR(A1560)+MINUTE(A1560)/60</f>
        <v>22</v>
      </c>
      <c r="F1560" s="33" t="n">
        <f aca="false">IF(OR(D1560&gt;5,E1560&lt;8,E1560&gt;=18,COUNTIF($K$2:$K$10,INT(A1560))&gt;0),1,0)</f>
        <v>1</v>
      </c>
      <c r="G1560" s="34" t="n">
        <f aca="false">B1560/1</f>
        <v>143.466</v>
      </c>
      <c r="H1560" s="34" t="n">
        <f aca="false">IF(F1560=1,G1560,"")</f>
        <v>143.466</v>
      </c>
    </row>
    <row r="1561" customFormat="false" ht="15" hidden="false" customHeight="false" outlineLevel="0" collapsed="false">
      <c r="A1561" s="31" t="n">
        <v>42800.9583333333</v>
      </c>
      <c r="B1561" s="32" t="n">
        <v>77.624</v>
      </c>
      <c r="D1561" s="33" t="n">
        <f aca="false">WEEKDAY(A1561,2)</f>
        <v>1</v>
      </c>
      <c r="E1561" s="33" t="n">
        <f aca="false">HOUR(A1561)+MINUTE(A1561)/60</f>
        <v>23</v>
      </c>
      <c r="F1561" s="33" t="n">
        <f aca="false">IF(OR(D1561&gt;5,E1561&lt;8,E1561&gt;=18,COUNTIF($K$2:$K$10,INT(A1561))&gt;0),1,0)</f>
        <v>1</v>
      </c>
      <c r="G1561" s="34" t="n">
        <f aca="false">B1561/1</f>
        <v>77.624</v>
      </c>
      <c r="H1561" s="34" t="n">
        <f aca="false">IF(F1561=1,G1561,"")</f>
        <v>77.624</v>
      </c>
    </row>
    <row r="1562" customFormat="false" ht="15" hidden="false" customHeight="false" outlineLevel="0" collapsed="false">
      <c r="A1562" s="31" t="n">
        <v>42801</v>
      </c>
      <c r="B1562" s="32" t="n">
        <v>69.755</v>
      </c>
      <c r="D1562" s="33" t="n">
        <f aca="false">WEEKDAY(A1562,2)</f>
        <v>2</v>
      </c>
      <c r="E1562" s="33" t="n">
        <f aca="false">HOUR(A1562)+MINUTE(A1562)/60</f>
        <v>0</v>
      </c>
      <c r="F1562" s="33" t="n">
        <f aca="false">IF(OR(D1562&gt;5,E1562&lt;8,E1562&gt;=18,COUNTIF($K$2:$K$10,INT(A1562))&gt;0),1,0)</f>
        <v>1</v>
      </c>
      <c r="G1562" s="34" t="n">
        <f aca="false">B1562/1</f>
        <v>69.755</v>
      </c>
      <c r="H1562" s="34" t="n">
        <f aca="false">IF(F1562=1,G1562,"")</f>
        <v>69.755</v>
      </c>
    </row>
    <row r="1563" customFormat="false" ht="15" hidden="false" customHeight="false" outlineLevel="0" collapsed="false">
      <c r="A1563" s="31" t="n">
        <v>42801.0416666667</v>
      </c>
      <c r="B1563" s="32" t="n">
        <v>63.819</v>
      </c>
      <c r="D1563" s="33" t="n">
        <f aca="false">WEEKDAY(A1563,2)</f>
        <v>2</v>
      </c>
      <c r="E1563" s="33" t="n">
        <f aca="false">HOUR(A1563)+MINUTE(A1563)/60</f>
        <v>1</v>
      </c>
      <c r="F1563" s="33" t="n">
        <f aca="false">IF(OR(D1563&gt;5,E1563&lt;8,E1563&gt;=18,COUNTIF($K$2:$K$10,INT(A1563))&gt;0),1,0)</f>
        <v>1</v>
      </c>
      <c r="G1563" s="34" t="n">
        <f aca="false">B1563/1</f>
        <v>63.819</v>
      </c>
      <c r="H1563" s="34" t="n">
        <f aca="false">IF(F1563=1,G1563,"")</f>
        <v>63.819</v>
      </c>
    </row>
    <row r="1564" customFormat="false" ht="15" hidden="false" customHeight="false" outlineLevel="0" collapsed="false">
      <c r="A1564" s="31" t="n">
        <v>42801.0833333333</v>
      </c>
      <c r="B1564" s="32" t="n">
        <v>68.811</v>
      </c>
      <c r="D1564" s="33" t="n">
        <f aca="false">WEEKDAY(A1564,2)</f>
        <v>2</v>
      </c>
      <c r="E1564" s="33" t="n">
        <f aca="false">HOUR(A1564)+MINUTE(A1564)/60</f>
        <v>2</v>
      </c>
      <c r="F1564" s="33" t="n">
        <f aca="false">IF(OR(D1564&gt;5,E1564&lt;8,E1564&gt;=18,COUNTIF($K$2:$K$10,INT(A1564))&gt;0),1,0)</f>
        <v>1</v>
      </c>
      <c r="G1564" s="34" t="n">
        <f aca="false">B1564/1</f>
        <v>68.811</v>
      </c>
      <c r="H1564" s="34" t="n">
        <f aca="false">IF(F1564=1,G1564,"")</f>
        <v>68.811</v>
      </c>
    </row>
    <row r="1565" customFormat="false" ht="15" hidden="false" customHeight="false" outlineLevel="0" collapsed="false">
      <c r="A1565" s="31" t="n">
        <v>42801.125</v>
      </c>
      <c r="B1565" s="32" t="n">
        <v>67.42</v>
      </c>
      <c r="D1565" s="33" t="n">
        <f aca="false">WEEKDAY(A1565,2)</f>
        <v>2</v>
      </c>
      <c r="E1565" s="33" t="n">
        <f aca="false">HOUR(A1565)+MINUTE(A1565)/60</f>
        <v>3</v>
      </c>
      <c r="F1565" s="33" t="n">
        <f aca="false">IF(OR(D1565&gt;5,E1565&lt;8,E1565&gt;=18,COUNTIF($K$2:$K$10,INT(A1565))&gt;0),1,0)</f>
        <v>1</v>
      </c>
      <c r="G1565" s="34" t="n">
        <f aca="false">B1565/1</f>
        <v>67.42</v>
      </c>
      <c r="H1565" s="34" t="n">
        <f aca="false">IF(F1565=1,G1565,"")</f>
        <v>67.42</v>
      </c>
    </row>
    <row r="1566" customFormat="false" ht="15" hidden="false" customHeight="false" outlineLevel="0" collapsed="false">
      <c r="A1566" s="31" t="n">
        <v>42801.1666666667</v>
      </c>
      <c r="B1566" s="32" t="n">
        <v>64.004</v>
      </c>
      <c r="D1566" s="33" t="n">
        <f aca="false">WEEKDAY(A1566,2)</f>
        <v>2</v>
      </c>
      <c r="E1566" s="33" t="n">
        <f aca="false">HOUR(A1566)+MINUTE(A1566)/60</f>
        <v>4</v>
      </c>
      <c r="F1566" s="33" t="n">
        <f aca="false">IF(OR(D1566&gt;5,E1566&lt;8,E1566&gt;=18,COUNTIF($K$2:$K$10,INT(A1566))&gt;0),1,0)</f>
        <v>1</v>
      </c>
      <c r="G1566" s="34" t="n">
        <f aca="false">B1566/1</f>
        <v>64.004</v>
      </c>
      <c r="H1566" s="34" t="n">
        <f aca="false">IF(F1566=1,G1566,"")</f>
        <v>64.004</v>
      </c>
    </row>
    <row r="1567" customFormat="false" ht="15" hidden="false" customHeight="false" outlineLevel="0" collapsed="false">
      <c r="A1567" s="31" t="n">
        <v>42801.2083333333</v>
      </c>
      <c r="B1567" s="32" t="n">
        <v>69.275</v>
      </c>
      <c r="D1567" s="33" t="n">
        <f aca="false">WEEKDAY(A1567,2)</f>
        <v>2</v>
      </c>
      <c r="E1567" s="33" t="n">
        <f aca="false">HOUR(A1567)+MINUTE(A1567)/60</f>
        <v>5</v>
      </c>
      <c r="F1567" s="33" t="n">
        <f aca="false">IF(OR(D1567&gt;5,E1567&lt;8,E1567&gt;=18,COUNTIF($K$2:$K$10,INT(A1567))&gt;0),1,0)</f>
        <v>1</v>
      </c>
      <c r="G1567" s="34" t="n">
        <f aca="false">B1567/1</f>
        <v>69.275</v>
      </c>
      <c r="H1567" s="34" t="n">
        <f aca="false">IF(F1567=1,G1567,"")</f>
        <v>69.275</v>
      </c>
    </row>
    <row r="1568" customFormat="false" ht="15" hidden="false" customHeight="false" outlineLevel="0" collapsed="false">
      <c r="A1568" s="31" t="n">
        <v>42801.25</v>
      </c>
      <c r="B1568" s="32" t="n">
        <v>68.448</v>
      </c>
      <c r="D1568" s="33" t="n">
        <f aca="false">WEEKDAY(A1568,2)</f>
        <v>2</v>
      </c>
      <c r="E1568" s="33" t="n">
        <f aca="false">HOUR(A1568)+MINUTE(A1568)/60</f>
        <v>6</v>
      </c>
      <c r="F1568" s="33" t="n">
        <f aca="false">IF(OR(D1568&gt;5,E1568&lt;8,E1568&gt;=18,COUNTIF($K$2:$K$10,INT(A1568))&gt;0),1,0)</f>
        <v>1</v>
      </c>
      <c r="G1568" s="34" t="n">
        <f aca="false">B1568/1</f>
        <v>68.448</v>
      </c>
      <c r="H1568" s="34" t="n">
        <f aca="false">IF(F1568=1,G1568,"")</f>
        <v>68.448</v>
      </c>
    </row>
    <row r="1569" customFormat="false" ht="15" hidden="false" customHeight="false" outlineLevel="0" collapsed="false">
      <c r="A1569" s="31" t="n">
        <v>42801.2916666667</v>
      </c>
      <c r="B1569" s="32" t="n">
        <v>72.244</v>
      </c>
      <c r="D1569" s="33" t="n">
        <f aca="false">WEEKDAY(A1569,2)</f>
        <v>2</v>
      </c>
      <c r="E1569" s="33" t="n">
        <f aca="false">HOUR(A1569)+MINUTE(A1569)/60</f>
        <v>7</v>
      </c>
      <c r="F1569" s="33" t="n">
        <f aca="false">IF(OR(D1569&gt;5,E1569&lt;8,E1569&gt;=18,COUNTIF($K$2:$K$10,INT(A1569))&gt;0),1,0)</f>
        <v>1</v>
      </c>
      <c r="G1569" s="34" t="n">
        <f aca="false">B1569/1</f>
        <v>72.244</v>
      </c>
      <c r="H1569" s="34" t="n">
        <f aca="false">IF(F1569=1,G1569,"")</f>
        <v>72.244</v>
      </c>
    </row>
    <row r="1570" customFormat="false" ht="15" hidden="false" customHeight="false" outlineLevel="0" collapsed="false">
      <c r="A1570" s="31" t="n">
        <v>42801.3333333333</v>
      </c>
      <c r="B1570" s="32" t="n">
        <v>182.637</v>
      </c>
      <c r="D1570" s="33" t="n">
        <f aca="false">WEEKDAY(A1570,2)</f>
        <v>2</v>
      </c>
      <c r="E1570" s="33" t="n">
        <f aca="false">HOUR(A1570)+MINUTE(A1570)/60</f>
        <v>8</v>
      </c>
      <c r="F1570" s="33" t="n">
        <f aca="false">IF(OR(D1570&gt;5,E1570&lt;8,E1570&gt;=18,COUNTIF($K$2:$K$10,INT(A1570))&gt;0),1,0)</f>
        <v>0</v>
      </c>
      <c r="G1570" s="34" t="n">
        <f aca="false">B1570/1</f>
        <v>182.637</v>
      </c>
      <c r="H1570" s="34" t="str">
        <f aca="false">IF(F1570=1,G1570,"")</f>
        <v/>
      </c>
    </row>
    <row r="1571" customFormat="false" ht="15" hidden="false" customHeight="false" outlineLevel="0" collapsed="false">
      <c r="A1571" s="31" t="n">
        <v>42801.375</v>
      </c>
      <c r="B1571" s="32" t="n">
        <v>226.757</v>
      </c>
      <c r="D1571" s="33" t="n">
        <f aca="false">WEEKDAY(A1571,2)</f>
        <v>2</v>
      </c>
      <c r="E1571" s="33" t="n">
        <f aca="false">HOUR(A1571)+MINUTE(A1571)/60</f>
        <v>9</v>
      </c>
      <c r="F1571" s="33" t="n">
        <f aca="false">IF(OR(D1571&gt;5,E1571&lt;8,E1571&gt;=18,COUNTIF($K$2:$K$10,INT(A1571))&gt;0),1,0)</f>
        <v>0</v>
      </c>
      <c r="G1571" s="34" t="n">
        <f aca="false">B1571/1</f>
        <v>226.757</v>
      </c>
      <c r="H1571" s="34" t="str">
        <f aca="false">IF(F1571=1,G1571,"")</f>
        <v/>
      </c>
    </row>
    <row r="1572" customFormat="false" ht="15" hidden="false" customHeight="false" outlineLevel="0" collapsed="false">
      <c r="A1572" s="31" t="n">
        <v>42801.4166666667</v>
      </c>
      <c r="B1572" s="32" t="n">
        <v>256.123</v>
      </c>
      <c r="D1572" s="33" t="n">
        <f aca="false">WEEKDAY(A1572,2)</f>
        <v>2</v>
      </c>
      <c r="E1572" s="33" t="n">
        <f aca="false">HOUR(A1572)+MINUTE(A1572)/60</f>
        <v>10</v>
      </c>
      <c r="F1572" s="33" t="n">
        <f aca="false">IF(OR(D1572&gt;5,E1572&lt;8,E1572&gt;=18,COUNTIF($K$2:$K$10,INT(A1572))&gt;0),1,0)</f>
        <v>0</v>
      </c>
      <c r="G1572" s="34" t="n">
        <f aca="false">B1572/1</f>
        <v>256.123</v>
      </c>
      <c r="H1572" s="34" t="str">
        <f aca="false">IF(F1572=1,G1572,"")</f>
        <v/>
      </c>
    </row>
    <row r="1573" customFormat="false" ht="15" hidden="false" customHeight="false" outlineLevel="0" collapsed="false">
      <c r="A1573" s="31" t="n">
        <v>42801.4583333333</v>
      </c>
      <c r="B1573" s="32" t="n">
        <v>277.001</v>
      </c>
      <c r="D1573" s="33" t="n">
        <f aca="false">WEEKDAY(A1573,2)</f>
        <v>2</v>
      </c>
      <c r="E1573" s="33" t="n">
        <f aca="false">HOUR(A1573)+MINUTE(A1573)/60</f>
        <v>11</v>
      </c>
      <c r="F1573" s="33" t="n">
        <f aca="false">IF(OR(D1573&gt;5,E1573&lt;8,E1573&gt;=18,COUNTIF($K$2:$K$10,INT(A1573))&gt;0),1,0)</f>
        <v>0</v>
      </c>
      <c r="G1573" s="34" t="n">
        <f aca="false">B1573/1</f>
        <v>277.001</v>
      </c>
      <c r="H1573" s="34" t="str">
        <f aca="false">IF(F1573=1,G1573,"")</f>
        <v/>
      </c>
    </row>
    <row r="1574" customFormat="false" ht="15" hidden="false" customHeight="false" outlineLevel="0" collapsed="false">
      <c r="A1574" s="31" t="n">
        <v>42801.5</v>
      </c>
      <c r="B1574" s="32" t="n">
        <v>273.955</v>
      </c>
      <c r="D1574" s="33" t="n">
        <f aca="false">WEEKDAY(A1574,2)</f>
        <v>2</v>
      </c>
      <c r="E1574" s="33" t="n">
        <f aca="false">HOUR(A1574)+MINUTE(A1574)/60</f>
        <v>12</v>
      </c>
      <c r="F1574" s="33" t="n">
        <f aca="false">IF(OR(D1574&gt;5,E1574&lt;8,E1574&gt;=18,COUNTIF($K$2:$K$10,INT(A1574))&gt;0),1,0)</f>
        <v>0</v>
      </c>
      <c r="G1574" s="34" t="n">
        <f aca="false">B1574/1</f>
        <v>273.955</v>
      </c>
      <c r="H1574" s="34" t="str">
        <f aca="false">IF(F1574=1,G1574,"")</f>
        <v/>
      </c>
    </row>
    <row r="1575" customFormat="false" ht="15" hidden="false" customHeight="false" outlineLevel="0" collapsed="false">
      <c r="A1575" s="31" t="n">
        <v>42801.5416666667</v>
      </c>
      <c r="B1575" s="32" t="n">
        <v>281.103</v>
      </c>
      <c r="D1575" s="33" t="n">
        <f aca="false">WEEKDAY(A1575,2)</f>
        <v>2</v>
      </c>
      <c r="E1575" s="33" t="n">
        <f aca="false">HOUR(A1575)+MINUTE(A1575)/60</f>
        <v>13</v>
      </c>
      <c r="F1575" s="33" t="n">
        <f aca="false">IF(OR(D1575&gt;5,E1575&lt;8,E1575&gt;=18,COUNTIF($K$2:$K$10,INT(A1575))&gt;0),1,0)</f>
        <v>0</v>
      </c>
      <c r="G1575" s="34" t="n">
        <f aca="false">B1575/1</f>
        <v>281.103</v>
      </c>
      <c r="H1575" s="34" t="str">
        <f aca="false">IF(F1575=1,G1575,"")</f>
        <v/>
      </c>
    </row>
    <row r="1576" customFormat="false" ht="15" hidden="false" customHeight="false" outlineLevel="0" collapsed="false">
      <c r="A1576" s="31" t="n">
        <v>42801.5833333333</v>
      </c>
      <c r="B1576" s="32" t="n">
        <v>271.548</v>
      </c>
      <c r="D1576" s="33" t="n">
        <f aca="false">WEEKDAY(A1576,2)</f>
        <v>2</v>
      </c>
      <c r="E1576" s="33" t="n">
        <f aca="false">HOUR(A1576)+MINUTE(A1576)/60</f>
        <v>14</v>
      </c>
      <c r="F1576" s="33" t="n">
        <f aca="false">IF(OR(D1576&gt;5,E1576&lt;8,E1576&gt;=18,COUNTIF($K$2:$K$10,INT(A1576))&gt;0),1,0)</f>
        <v>0</v>
      </c>
      <c r="G1576" s="34" t="n">
        <f aca="false">B1576/1</f>
        <v>271.548</v>
      </c>
      <c r="H1576" s="34" t="str">
        <f aca="false">IF(F1576=1,G1576,"")</f>
        <v/>
      </c>
    </row>
    <row r="1577" customFormat="false" ht="15" hidden="false" customHeight="false" outlineLevel="0" collapsed="false">
      <c r="A1577" s="31" t="n">
        <v>42801.625</v>
      </c>
      <c r="B1577" s="32" t="n">
        <v>269.988</v>
      </c>
      <c r="D1577" s="33" t="n">
        <f aca="false">WEEKDAY(A1577,2)</f>
        <v>2</v>
      </c>
      <c r="E1577" s="33" t="n">
        <f aca="false">HOUR(A1577)+MINUTE(A1577)/60</f>
        <v>15</v>
      </c>
      <c r="F1577" s="33" t="n">
        <f aca="false">IF(OR(D1577&gt;5,E1577&lt;8,E1577&gt;=18,COUNTIF($K$2:$K$10,INT(A1577))&gt;0),1,0)</f>
        <v>0</v>
      </c>
      <c r="G1577" s="34" t="n">
        <f aca="false">B1577/1</f>
        <v>269.988</v>
      </c>
      <c r="H1577" s="34" t="str">
        <f aca="false">IF(F1577=1,G1577,"")</f>
        <v/>
      </c>
    </row>
    <row r="1578" customFormat="false" ht="15" hidden="false" customHeight="false" outlineLevel="0" collapsed="false">
      <c r="A1578" s="31" t="n">
        <v>42801.6666666667</v>
      </c>
      <c r="B1578" s="32" t="n">
        <v>260.224</v>
      </c>
      <c r="D1578" s="33" t="n">
        <f aca="false">WEEKDAY(A1578,2)</f>
        <v>2</v>
      </c>
      <c r="E1578" s="33" t="n">
        <f aca="false">HOUR(A1578)+MINUTE(A1578)/60</f>
        <v>16</v>
      </c>
      <c r="F1578" s="33" t="n">
        <f aca="false">IF(OR(D1578&gt;5,E1578&lt;8,E1578&gt;=18,COUNTIF($K$2:$K$10,INT(A1578))&gt;0),1,0)</f>
        <v>0</v>
      </c>
      <c r="G1578" s="34" t="n">
        <f aca="false">B1578/1</f>
        <v>260.224</v>
      </c>
      <c r="H1578" s="34" t="str">
        <f aca="false">IF(F1578=1,G1578,"")</f>
        <v/>
      </c>
    </row>
    <row r="1579" customFormat="false" ht="15" hidden="false" customHeight="false" outlineLevel="0" collapsed="false">
      <c r="A1579" s="31" t="n">
        <v>42801.7083333333</v>
      </c>
      <c r="B1579" s="32" t="n">
        <v>243.788</v>
      </c>
      <c r="D1579" s="33" t="n">
        <f aca="false">WEEKDAY(A1579,2)</f>
        <v>2</v>
      </c>
      <c r="E1579" s="33" t="n">
        <f aca="false">HOUR(A1579)+MINUTE(A1579)/60</f>
        <v>17</v>
      </c>
      <c r="F1579" s="33" t="n">
        <f aca="false">IF(OR(D1579&gt;5,E1579&lt;8,E1579&gt;=18,COUNTIF($K$2:$K$10,INT(A1579))&gt;0),1,0)</f>
        <v>0</v>
      </c>
      <c r="G1579" s="34" t="n">
        <f aca="false">B1579/1</f>
        <v>243.788</v>
      </c>
      <c r="H1579" s="34" t="str">
        <f aca="false">IF(F1579=1,G1579,"")</f>
        <v/>
      </c>
    </row>
    <row r="1580" customFormat="false" ht="15" hidden="false" customHeight="false" outlineLevel="0" collapsed="false">
      <c r="A1580" s="31" t="n">
        <v>42801.75</v>
      </c>
      <c r="B1580" s="32" t="n">
        <v>222.498</v>
      </c>
      <c r="D1580" s="33" t="n">
        <f aca="false">WEEKDAY(A1580,2)</f>
        <v>2</v>
      </c>
      <c r="E1580" s="33" t="n">
        <f aca="false">HOUR(A1580)+MINUTE(A1580)/60</f>
        <v>18</v>
      </c>
      <c r="F1580" s="33" t="n">
        <f aca="false">IF(OR(D1580&gt;5,E1580&lt;8,E1580&gt;=18,COUNTIF($K$2:$K$10,INT(A1580))&gt;0),1,0)</f>
        <v>1</v>
      </c>
      <c r="G1580" s="34" t="n">
        <f aca="false">B1580/1</f>
        <v>222.498</v>
      </c>
      <c r="H1580" s="34" t="n">
        <f aca="false">IF(F1580=1,G1580,"")</f>
        <v>222.498</v>
      </c>
    </row>
    <row r="1581" customFormat="false" ht="15" hidden="false" customHeight="false" outlineLevel="0" collapsed="false">
      <c r="A1581" s="31" t="n">
        <v>42801.7916666667</v>
      </c>
      <c r="B1581" s="32" t="n">
        <v>211.174</v>
      </c>
      <c r="D1581" s="33" t="n">
        <f aca="false">WEEKDAY(A1581,2)</f>
        <v>2</v>
      </c>
      <c r="E1581" s="33" t="n">
        <f aca="false">HOUR(A1581)+MINUTE(A1581)/60</f>
        <v>19</v>
      </c>
      <c r="F1581" s="33" t="n">
        <f aca="false">IF(OR(D1581&gt;5,E1581&lt;8,E1581&gt;=18,COUNTIF($K$2:$K$10,INT(A1581))&gt;0),1,0)</f>
        <v>1</v>
      </c>
      <c r="G1581" s="34" t="n">
        <f aca="false">B1581/1</f>
        <v>211.174</v>
      </c>
      <c r="H1581" s="34" t="n">
        <f aca="false">IF(F1581=1,G1581,"")</f>
        <v>211.174</v>
      </c>
    </row>
    <row r="1582" customFormat="false" ht="15" hidden="false" customHeight="false" outlineLevel="0" collapsed="false">
      <c r="A1582" s="31" t="n">
        <v>42801.8333333333</v>
      </c>
      <c r="B1582" s="32" t="n">
        <v>208.89</v>
      </c>
      <c r="D1582" s="33" t="n">
        <f aca="false">WEEKDAY(A1582,2)</f>
        <v>2</v>
      </c>
      <c r="E1582" s="33" t="n">
        <f aca="false">HOUR(A1582)+MINUTE(A1582)/60</f>
        <v>20</v>
      </c>
      <c r="F1582" s="33" t="n">
        <f aca="false">IF(OR(D1582&gt;5,E1582&lt;8,E1582&gt;=18,COUNTIF($K$2:$K$10,INT(A1582))&gt;0),1,0)</f>
        <v>1</v>
      </c>
      <c r="G1582" s="34" t="n">
        <f aca="false">B1582/1</f>
        <v>208.89</v>
      </c>
      <c r="H1582" s="34" t="n">
        <f aca="false">IF(F1582=1,G1582,"")</f>
        <v>208.89</v>
      </c>
    </row>
    <row r="1583" customFormat="false" ht="15" hidden="false" customHeight="false" outlineLevel="0" collapsed="false">
      <c r="A1583" s="31" t="n">
        <v>42801.875</v>
      </c>
      <c r="B1583" s="32" t="n">
        <v>203.296</v>
      </c>
      <c r="D1583" s="33" t="n">
        <f aca="false">WEEKDAY(A1583,2)</f>
        <v>2</v>
      </c>
      <c r="E1583" s="33" t="n">
        <f aca="false">HOUR(A1583)+MINUTE(A1583)/60</f>
        <v>21</v>
      </c>
      <c r="F1583" s="33" t="n">
        <f aca="false">IF(OR(D1583&gt;5,E1583&lt;8,E1583&gt;=18,COUNTIF($K$2:$K$10,INT(A1583))&gt;0),1,0)</f>
        <v>1</v>
      </c>
      <c r="G1583" s="34" t="n">
        <f aca="false">B1583/1</f>
        <v>203.296</v>
      </c>
      <c r="H1583" s="34" t="n">
        <f aca="false">IF(F1583=1,G1583,"")</f>
        <v>203.296</v>
      </c>
    </row>
    <row r="1584" customFormat="false" ht="15" hidden="false" customHeight="false" outlineLevel="0" collapsed="false">
      <c r="A1584" s="31" t="n">
        <v>42801.9166666667</v>
      </c>
      <c r="B1584" s="32" t="n">
        <v>141.887</v>
      </c>
      <c r="D1584" s="33" t="n">
        <f aca="false">WEEKDAY(A1584,2)</f>
        <v>2</v>
      </c>
      <c r="E1584" s="33" t="n">
        <f aca="false">HOUR(A1584)+MINUTE(A1584)/60</f>
        <v>22</v>
      </c>
      <c r="F1584" s="33" t="n">
        <f aca="false">IF(OR(D1584&gt;5,E1584&lt;8,E1584&gt;=18,COUNTIF($K$2:$K$10,INT(A1584))&gt;0),1,0)</f>
        <v>1</v>
      </c>
      <c r="G1584" s="34" t="n">
        <f aca="false">B1584/1</f>
        <v>141.887</v>
      </c>
      <c r="H1584" s="34" t="n">
        <f aca="false">IF(F1584=1,G1584,"")</f>
        <v>141.887</v>
      </c>
    </row>
    <row r="1585" customFormat="false" ht="15" hidden="false" customHeight="false" outlineLevel="0" collapsed="false">
      <c r="A1585" s="31" t="n">
        <v>42801.9583333333</v>
      </c>
      <c r="B1585" s="32" t="n">
        <v>77.353</v>
      </c>
      <c r="D1585" s="33" t="n">
        <f aca="false">WEEKDAY(A1585,2)</f>
        <v>2</v>
      </c>
      <c r="E1585" s="33" t="n">
        <f aca="false">HOUR(A1585)+MINUTE(A1585)/60</f>
        <v>23</v>
      </c>
      <c r="F1585" s="33" t="n">
        <f aca="false">IF(OR(D1585&gt;5,E1585&lt;8,E1585&gt;=18,COUNTIF($K$2:$K$10,INT(A1585))&gt;0),1,0)</f>
        <v>1</v>
      </c>
      <c r="G1585" s="34" t="n">
        <f aca="false">B1585/1</f>
        <v>77.353</v>
      </c>
      <c r="H1585" s="34" t="n">
        <f aca="false">IF(F1585=1,G1585,"")</f>
        <v>77.353</v>
      </c>
    </row>
    <row r="1586" customFormat="false" ht="15" hidden="false" customHeight="false" outlineLevel="0" collapsed="false">
      <c r="A1586" s="31" t="n">
        <v>42802</v>
      </c>
      <c r="B1586" s="32" t="n">
        <v>72.217</v>
      </c>
      <c r="D1586" s="33" t="n">
        <f aca="false">WEEKDAY(A1586,2)</f>
        <v>3</v>
      </c>
      <c r="E1586" s="33" t="n">
        <f aca="false">HOUR(A1586)+MINUTE(A1586)/60</f>
        <v>0</v>
      </c>
      <c r="F1586" s="33" t="n">
        <f aca="false">IF(OR(D1586&gt;5,E1586&lt;8,E1586&gt;=18,COUNTIF($K$2:$K$10,INT(A1586))&gt;0),1,0)</f>
        <v>1</v>
      </c>
      <c r="G1586" s="34" t="n">
        <f aca="false">B1586/1</f>
        <v>72.217</v>
      </c>
      <c r="H1586" s="34" t="n">
        <f aca="false">IF(F1586=1,G1586,"")</f>
        <v>72.217</v>
      </c>
    </row>
    <row r="1587" customFormat="false" ht="15" hidden="false" customHeight="false" outlineLevel="0" collapsed="false">
      <c r="A1587" s="31" t="n">
        <v>42802.0416666667</v>
      </c>
      <c r="B1587" s="32" t="n">
        <v>69.031</v>
      </c>
      <c r="D1587" s="33" t="n">
        <f aca="false">WEEKDAY(A1587,2)</f>
        <v>3</v>
      </c>
      <c r="E1587" s="33" t="n">
        <f aca="false">HOUR(A1587)+MINUTE(A1587)/60</f>
        <v>1</v>
      </c>
      <c r="F1587" s="33" t="n">
        <f aca="false">IF(OR(D1587&gt;5,E1587&lt;8,E1587&gt;=18,COUNTIF($K$2:$K$10,INT(A1587))&gt;0),1,0)</f>
        <v>1</v>
      </c>
      <c r="G1587" s="34" t="n">
        <f aca="false">B1587/1</f>
        <v>69.031</v>
      </c>
      <c r="H1587" s="34" t="n">
        <f aca="false">IF(F1587=1,G1587,"")</f>
        <v>69.031</v>
      </c>
    </row>
    <row r="1588" customFormat="false" ht="15" hidden="false" customHeight="false" outlineLevel="0" collapsed="false">
      <c r="A1588" s="31" t="n">
        <v>42802.0833333333</v>
      </c>
      <c r="B1588" s="32" t="n">
        <v>69.498</v>
      </c>
      <c r="D1588" s="33" t="n">
        <f aca="false">WEEKDAY(A1588,2)</f>
        <v>3</v>
      </c>
      <c r="E1588" s="33" t="n">
        <f aca="false">HOUR(A1588)+MINUTE(A1588)/60</f>
        <v>2</v>
      </c>
      <c r="F1588" s="33" t="n">
        <f aca="false">IF(OR(D1588&gt;5,E1588&lt;8,E1588&gt;=18,COUNTIF($K$2:$K$10,INT(A1588))&gt;0),1,0)</f>
        <v>1</v>
      </c>
      <c r="G1588" s="34" t="n">
        <f aca="false">B1588/1</f>
        <v>69.498</v>
      </c>
      <c r="H1588" s="34" t="n">
        <f aca="false">IF(F1588=1,G1588,"")</f>
        <v>69.498</v>
      </c>
    </row>
    <row r="1589" customFormat="false" ht="15" hidden="false" customHeight="false" outlineLevel="0" collapsed="false">
      <c r="A1589" s="31" t="n">
        <v>42802.125</v>
      </c>
      <c r="B1589" s="32" t="n">
        <v>70.685</v>
      </c>
      <c r="D1589" s="33" t="n">
        <f aca="false">WEEKDAY(A1589,2)</f>
        <v>3</v>
      </c>
      <c r="E1589" s="33" t="n">
        <f aca="false">HOUR(A1589)+MINUTE(A1589)/60</f>
        <v>3</v>
      </c>
      <c r="F1589" s="33" t="n">
        <f aca="false">IF(OR(D1589&gt;5,E1589&lt;8,E1589&gt;=18,COUNTIF($K$2:$K$10,INT(A1589))&gt;0),1,0)</f>
        <v>1</v>
      </c>
      <c r="G1589" s="34" t="n">
        <f aca="false">B1589/1</f>
        <v>70.685</v>
      </c>
      <c r="H1589" s="34" t="n">
        <f aca="false">IF(F1589=1,G1589,"")</f>
        <v>70.685</v>
      </c>
    </row>
    <row r="1590" customFormat="false" ht="15" hidden="false" customHeight="false" outlineLevel="0" collapsed="false">
      <c r="A1590" s="31" t="n">
        <v>42802.1666666667</v>
      </c>
      <c r="B1590" s="32" t="n">
        <v>69.275</v>
      </c>
      <c r="D1590" s="33" t="n">
        <f aca="false">WEEKDAY(A1590,2)</f>
        <v>3</v>
      </c>
      <c r="E1590" s="33" t="n">
        <f aca="false">HOUR(A1590)+MINUTE(A1590)/60</f>
        <v>4</v>
      </c>
      <c r="F1590" s="33" t="n">
        <f aca="false">IF(OR(D1590&gt;5,E1590&lt;8,E1590&gt;=18,COUNTIF($K$2:$K$10,INT(A1590))&gt;0),1,0)</f>
        <v>1</v>
      </c>
      <c r="G1590" s="34" t="n">
        <f aca="false">B1590/1</f>
        <v>69.275</v>
      </c>
      <c r="H1590" s="34" t="n">
        <f aca="false">IF(F1590=1,G1590,"")</f>
        <v>69.275</v>
      </c>
    </row>
    <row r="1591" customFormat="false" ht="15" hidden="false" customHeight="false" outlineLevel="0" collapsed="false">
      <c r="A1591" s="31" t="n">
        <v>42802.2083333333</v>
      </c>
      <c r="B1591" s="32" t="n">
        <v>68.952</v>
      </c>
      <c r="D1591" s="33" t="n">
        <f aca="false">WEEKDAY(A1591,2)</f>
        <v>3</v>
      </c>
      <c r="E1591" s="33" t="n">
        <f aca="false">HOUR(A1591)+MINUTE(A1591)/60</f>
        <v>5</v>
      </c>
      <c r="F1591" s="33" t="n">
        <f aca="false">IF(OR(D1591&gt;5,E1591&lt;8,E1591&gt;=18,COUNTIF($K$2:$K$10,INT(A1591))&gt;0),1,0)</f>
        <v>1</v>
      </c>
      <c r="G1591" s="34" t="n">
        <f aca="false">B1591/1</f>
        <v>68.952</v>
      </c>
      <c r="H1591" s="34" t="n">
        <f aca="false">IF(F1591=1,G1591,"")</f>
        <v>68.952</v>
      </c>
    </row>
    <row r="1592" customFormat="false" ht="15" hidden="false" customHeight="false" outlineLevel="0" collapsed="false">
      <c r="A1592" s="31" t="n">
        <v>42802.25</v>
      </c>
      <c r="B1592" s="32" t="n">
        <v>70.406</v>
      </c>
      <c r="D1592" s="33" t="n">
        <f aca="false">WEEKDAY(A1592,2)</f>
        <v>3</v>
      </c>
      <c r="E1592" s="33" t="n">
        <f aca="false">HOUR(A1592)+MINUTE(A1592)/60</f>
        <v>6</v>
      </c>
      <c r="F1592" s="33" t="n">
        <f aca="false">IF(OR(D1592&gt;5,E1592&lt;8,E1592&gt;=18,COUNTIF($K$2:$K$10,INT(A1592))&gt;0),1,0)</f>
        <v>1</v>
      </c>
      <c r="G1592" s="34" t="n">
        <f aca="false">B1592/1</f>
        <v>70.406</v>
      </c>
      <c r="H1592" s="34" t="n">
        <f aca="false">IF(F1592=1,G1592,"")</f>
        <v>70.406</v>
      </c>
    </row>
    <row r="1593" customFormat="false" ht="15" hidden="false" customHeight="false" outlineLevel="0" collapsed="false">
      <c r="A1593" s="31" t="n">
        <v>42802.2916666667</v>
      </c>
      <c r="B1593" s="32" t="n">
        <v>75.148</v>
      </c>
      <c r="D1593" s="33" t="n">
        <f aca="false">WEEKDAY(A1593,2)</f>
        <v>3</v>
      </c>
      <c r="E1593" s="33" t="n">
        <f aca="false">HOUR(A1593)+MINUTE(A1593)/60</f>
        <v>7</v>
      </c>
      <c r="F1593" s="33" t="n">
        <f aca="false">IF(OR(D1593&gt;5,E1593&lt;8,E1593&gt;=18,COUNTIF($K$2:$K$10,INT(A1593))&gt;0),1,0)</f>
        <v>1</v>
      </c>
      <c r="G1593" s="34" t="n">
        <f aca="false">B1593/1</f>
        <v>75.148</v>
      </c>
      <c r="H1593" s="34" t="n">
        <f aca="false">IF(F1593=1,G1593,"")</f>
        <v>75.148</v>
      </c>
    </row>
    <row r="1594" customFormat="false" ht="15" hidden="false" customHeight="false" outlineLevel="0" collapsed="false">
      <c r="A1594" s="31" t="n">
        <v>42802.3333333333</v>
      </c>
      <c r="B1594" s="32" t="n">
        <v>179.455</v>
      </c>
      <c r="D1594" s="33" t="n">
        <f aca="false">WEEKDAY(A1594,2)</f>
        <v>3</v>
      </c>
      <c r="E1594" s="33" t="n">
        <f aca="false">HOUR(A1594)+MINUTE(A1594)/60</f>
        <v>8</v>
      </c>
      <c r="F1594" s="33" t="n">
        <f aca="false">IF(OR(D1594&gt;5,E1594&lt;8,E1594&gt;=18,COUNTIF($K$2:$K$10,INT(A1594))&gt;0),1,0)</f>
        <v>0</v>
      </c>
      <c r="G1594" s="34" t="n">
        <f aca="false">B1594/1</f>
        <v>179.455</v>
      </c>
      <c r="H1594" s="34" t="str">
        <f aca="false">IF(F1594=1,G1594,"")</f>
        <v/>
      </c>
    </row>
    <row r="1595" customFormat="false" ht="15" hidden="false" customHeight="false" outlineLevel="0" collapsed="false">
      <c r="A1595" s="31" t="n">
        <v>42802.375</v>
      </c>
      <c r="B1595" s="32" t="n">
        <v>225.906</v>
      </c>
      <c r="D1595" s="33" t="n">
        <f aca="false">WEEKDAY(A1595,2)</f>
        <v>3</v>
      </c>
      <c r="E1595" s="33" t="n">
        <f aca="false">HOUR(A1595)+MINUTE(A1595)/60</f>
        <v>9</v>
      </c>
      <c r="F1595" s="33" t="n">
        <f aca="false">IF(OR(D1595&gt;5,E1595&lt;8,E1595&gt;=18,COUNTIF($K$2:$K$10,INT(A1595))&gt;0),1,0)</f>
        <v>0</v>
      </c>
      <c r="G1595" s="34" t="n">
        <f aca="false">B1595/1</f>
        <v>225.906</v>
      </c>
      <c r="H1595" s="34" t="str">
        <f aca="false">IF(F1595=1,G1595,"")</f>
        <v/>
      </c>
    </row>
    <row r="1596" customFormat="false" ht="15" hidden="false" customHeight="false" outlineLevel="0" collapsed="false">
      <c r="A1596" s="31" t="n">
        <v>42802.4166666667</v>
      </c>
      <c r="B1596" s="32" t="n">
        <v>245.58</v>
      </c>
      <c r="D1596" s="33" t="n">
        <f aca="false">WEEKDAY(A1596,2)</f>
        <v>3</v>
      </c>
      <c r="E1596" s="33" t="n">
        <f aca="false">HOUR(A1596)+MINUTE(A1596)/60</f>
        <v>10</v>
      </c>
      <c r="F1596" s="33" t="n">
        <f aca="false">IF(OR(D1596&gt;5,E1596&lt;8,E1596&gt;=18,COUNTIF($K$2:$K$10,INT(A1596))&gt;0),1,0)</f>
        <v>0</v>
      </c>
      <c r="G1596" s="34" t="n">
        <f aca="false">B1596/1</f>
        <v>245.58</v>
      </c>
      <c r="H1596" s="34" t="str">
        <f aca="false">IF(F1596=1,G1596,"")</f>
        <v/>
      </c>
    </row>
    <row r="1597" customFormat="false" ht="15" hidden="false" customHeight="false" outlineLevel="0" collapsed="false">
      <c r="A1597" s="31" t="n">
        <v>42802.4583333333</v>
      </c>
      <c r="B1597" s="32" t="n">
        <v>263.189</v>
      </c>
      <c r="D1597" s="33" t="n">
        <f aca="false">WEEKDAY(A1597,2)</f>
        <v>3</v>
      </c>
      <c r="E1597" s="33" t="n">
        <f aca="false">HOUR(A1597)+MINUTE(A1597)/60</f>
        <v>11</v>
      </c>
      <c r="F1597" s="33" t="n">
        <f aca="false">IF(OR(D1597&gt;5,E1597&lt;8,E1597&gt;=18,COUNTIF($K$2:$K$10,INT(A1597))&gt;0),1,0)</f>
        <v>0</v>
      </c>
      <c r="G1597" s="34" t="n">
        <f aca="false">B1597/1</f>
        <v>263.189</v>
      </c>
      <c r="H1597" s="34" t="str">
        <f aca="false">IF(F1597=1,G1597,"")</f>
        <v/>
      </c>
    </row>
    <row r="1598" customFormat="false" ht="15" hidden="false" customHeight="false" outlineLevel="0" collapsed="false">
      <c r="A1598" s="31" t="n">
        <v>42802.5</v>
      </c>
      <c r="B1598" s="32" t="n">
        <v>265.179</v>
      </c>
      <c r="D1598" s="33" t="n">
        <f aca="false">WEEKDAY(A1598,2)</f>
        <v>3</v>
      </c>
      <c r="E1598" s="33" t="n">
        <f aca="false">HOUR(A1598)+MINUTE(A1598)/60</f>
        <v>12</v>
      </c>
      <c r="F1598" s="33" t="n">
        <f aca="false">IF(OR(D1598&gt;5,E1598&lt;8,E1598&gt;=18,COUNTIF($K$2:$K$10,INT(A1598))&gt;0),1,0)</f>
        <v>0</v>
      </c>
      <c r="G1598" s="34" t="n">
        <f aca="false">B1598/1</f>
        <v>265.179</v>
      </c>
      <c r="H1598" s="34" t="str">
        <f aca="false">IF(F1598=1,G1598,"")</f>
        <v/>
      </c>
    </row>
    <row r="1599" customFormat="false" ht="15" hidden="false" customHeight="false" outlineLevel="0" collapsed="false">
      <c r="A1599" s="31" t="n">
        <v>42802.5416666667</v>
      </c>
      <c r="B1599" s="32" t="n">
        <v>263.289</v>
      </c>
      <c r="D1599" s="33" t="n">
        <f aca="false">WEEKDAY(A1599,2)</f>
        <v>3</v>
      </c>
      <c r="E1599" s="33" t="n">
        <f aca="false">HOUR(A1599)+MINUTE(A1599)/60</f>
        <v>13</v>
      </c>
      <c r="F1599" s="33" t="n">
        <f aca="false">IF(OR(D1599&gt;5,E1599&lt;8,E1599&gt;=18,COUNTIF($K$2:$K$10,INT(A1599))&gt;0),1,0)</f>
        <v>0</v>
      </c>
      <c r="G1599" s="34" t="n">
        <f aca="false">B1599/1</f>
        <v>263.289</v>
      </c>
      <c r="H1599" s="34" t="str">
        <f aca="false">IF(F1599=1,G1599,"")</f>
        <v/>
      </c>
    </row>
    <row r="1600" customFormat="false" ht="15" hidden="false" customHeight="false" outlineLevel="0" collapsed="false">
      <c r="A1600" s="31" t="n">
        <v>42802.5833333333</v>
      </c>
      <c r="B1600" s="32" t="n">
        <v>260.676</v>
      </c>
      <c r="D1600" s="33" t="n">
        <f aca="false">WEEKDAY(A1600,2)</f>
        <v>3</v>
      </c>
      <c r="E1600" s="33" t="n">
        <f aca="false">HOUR(A1600)+MINUTE(A1600)/60</f>
        <v>14</v>
      </c>
      <c r="F1600" s="33" t="n">
        <f aca="false">IF(OR(D1600&gt;5,E1600&lt;8,E1600&gt;=18,COUNTIF($K$2:$K$10,INT(A1600))&gt;0),1,0)</f>
        <v>0</v>
      </c>
      <c r="G1600" s="34" t="n">
        <f aca="false">B1600/1</f>
        <v>260.676</v>
      </c>
      <c r="H1600" s="34" t="str">
        <f aca="false">IF(F1600=1,G1600,"")</f>
        <v/>
      </c>
    </row>
    <row r="1601" customFormat="false" ht="15" hidden="false" customHeight="false" outlineLevel="0" collapsed="false">
      <c r="A1601" s="31" t="n">
        <v>42802.625</v>
      </c>
      <c r="B1601" s="32" t="n">
        <v>261.056</v>
      </c>
      <c r="D1601" s="33" t="n">
        <f aca="false">WEEKDAY(A1601,2)</f>
        <v>3</v>
      </c>
      <c r="E1601" s="33" t="n">
        <f aca="false">HOUR(A1601)+MINUTE(A1601)/60</f>
        <v>15</v>
      </c>
      <c r="F1601" s="33" t="n">
        <f aca="false">IF(OR(D1601&gt;5,E1601&lt;8,E1601&gt;=18,COUNTIF($K$2:$K$10,INT(A1601))&gt;0),1,0)</f>
        <v>0</v>
      </c>
      <c r="G1601" s="34" t="n">
        <f aca="false">B1601/1</f>
        <v>261.056</v>
      </c>
      <c r="H1601" s="34" t="str">
        <f aca="false">IF(F1601=1,G1601,"")</f>
        <v/>
      </c>
    </row>
    <row r="1602" customFormat="false" ht="15" hidden="false" customHeight="false" outlineLevel="0" collapsed="false">
      <c r="A1602" s="31" t="n">
        <v>42802.6666666667</v>
      </c>
      <c r="B1602" s="32" t="n">
        <v>264.857</v>
      </c>
      <c r="D1602" s="33" t="n">
        <f aca="false">WEEKDAY(A1602,2)</f>
        <v>3</v>
      </c>
      <c r="E1602" s="33" t="n">
        <f aca="false">HOUR(A1602)+MINUTE(A1602)/60</f>
        <v>16</v>
      </c>
      <c r="F1602" s="33" t="n">
        <f aca="false">IF(OR(D1602&gt;5,E1602&lt;8,E1602&gt;=18,COUNTIF($K$2:$K$10,INT(A1602))&gt;0),1,0)</f>
        <v>0</v>
      </c>
      <c r="G1602" s="34" t="n">
        <f aca="false">B1602/1</f>
        <v>264.857</v>
      </c>
      <c r="H1602" s="34" t="str">
        <f aca="false">IF(F1602=1,G1602,"")</f>
        <v/>
      </c>
    </row>
    <row r="1603" customFormat="false" ht="15" hidden="false" customHeight="false" outlineLevel="0" collapsed="false">
      <c r="A1603" s="31" t="n">
        <v>42802.7083333333</v>
      </c>
      <c r="B1603" s="32" t="n">
        <v>253.265</v>
      </c>
      <c r="D1603" s="33" t="n">
        <f aca="false">WEEKDAY(A1603,2)</f>
        <v>3</v>
      </c>
      <c r="E1603" s="33" t="n">
        <f aca="false">HOUR(A1603)+MINUTE(A1603)/60</f>
        <v>17</v>
      </c>
      <c r="F1603" s="33" t="n">
        <f aca="false">IF(OR(D1603&gt;5,E1603&lt;8,E1603&gt;=18,COUNTIF($K$2:$K$10,INT(A1603))&gt;0),1,0)</f>
        <v>0</v>
      </c>
      <c r="G1603" s="34" t="n">
        <f aca="false">B1603/1</f>
        <v>253.265</v>
      </c>
      <c r="H1603" s="34" t="str">
        <f aca="false">IF(F1603=1,G1603,"")</f>
        <v/>
      </c>
    </row>
    <row r="1604" customFormat="false" ht="15" hidden="false" customHeight="false" outlineLevel="0" collapsed="false">
      <c r="A1604" s="31" t="n">
        <v>42802.75</v>
      </c>
      <c r="B1604" s="32" t="n">
        <v>245.557</v>
      </c>
      <c r="D1604" s="33" t="n">
        <f aca="false">WEEKDAY(A1604,2)</f>
        <v>3</v>
      </c>
      <c r="E1604" s="33" t="n">
        <f aca="false">HOUR(A1604)+MINUTE(A1604)/60</f>
        <v>18</v>
      </c>
      <c r="F1604" s="33" t="n">
        <f aca="false">IF(OR(D1604&gt;5,E1604&lt;8,E1604&gt;=18,COUNTIF($K$2:$K$10,INT(A1604))&gt;0),1,0)</f>
        <v>1</v>
      </c>
      <c r="G1604" s="34" t="n">
        <f aca="false">B1604/1</f>
        <v>245.557</v>
      </c>
      <c r="H1604" s="34" t="n">
        <f aca="false">IF(F1604=1,G1604,"")</f>
        <v>245.557</v>
      </c>
    </row>
    <row r="1605" customFormat="false" ht="15" hidden="false" customHeight="false" outlineLevel="0" collapsed="false">
      <c r="A1605" s="31" t="n">
        <v>42802.7916666667</v>
      </c>
      <c r="B1605" s="32" t="n">
        <v>232.942</v>
      </c>
      <c r="D1605" s="33" t="n">
        <f aca="false">WEEKDAY(A1605,2)</f>
        <v>3</v>
      </c>
      <c r="E1605" s="33" t="n">
        <f aca="false">HOUR(A1605)+MINUTE(A1605)/60</f>
        <v>19</v>
      </c>
      <c r="F1605" s="33" t="n">
        <f aca="false">IF(OR(D1605&gt;5,E1605&lt;8,E1605&gt;=18,COUNTIF($K$2:$K$10,INT(A1605))&gt;0),1,0)</f>
        <v>1</v>
      </c>
      <c r="G1605" s="34" t="n">
        <f aca="false">B1605/1</f>
        <v>232.942</v>
      </c>
      <c r="H1605" s="34" t="n">
        <f aca="false">IF(F1605=1,G1605,"")</f>
        <v>232.942</v>
      </c>
    </row>
    <row r="1606" customFormat="false" ht="15" hidden="false" customHeight="false" outlineLevel="0" collapsed="false">
      <c r="A1606" s="31" t="n">
        <v>42802.8333333333</v>
      </c>
      <c r="B1606" s="32" t="n">
        <v>217.443</v>
      </c>
      <c r="D1606" s="33" t="n">
        <f aca="false">WEEKDAY(A1606,2)</f>
        <v>3</v>
      </c>
      <c r="E1606" s="33" t="n">
        <f aca="false">HOUR(A1606)+MINUTE(A1606)/60</f>
        <v>20</v>
      </c>
      <c r="F1606" s="33" t="n">
        <f aca="false">IF(OR(D1606&gt;5,E1606&lt;8,E1606&gt;=18,COUNTIF($K$2:$K$10,INT(A1606))&gt;0),1,0)</f>
        <v>1</v>
      </c>
      <c r="G1606" s="34" t="n">
        <f aca="false">B1606/1</f>
        <v>217.443</v>
      </c>
      <c r="H1606" s="34" t="n">
        <f aca="false">IF(F1606=1,G1606,"")</f>
        <v>217.443</v>
      </c>
    </row>
    <row r="1607" customFormat="false" ht="15" hidden="false" customHeight="false" outlineLevel="0" collapsed="false">
      <c r="A1607" s="31" t="n">
        <v>42802.875</v>
      </c>
      <c r="B1607" s="32" t="n">
        <v>208.113</v>
      </c>
      <c r="D1607" s="33" t="n">
        <f aca="false">WEEKDAY(A1607,2)</f>
        <v>3</v>
      </c>
      <c r="E1607" s="33" t="n">
        <f aca="false">HOUR(A1607)+MINUTE(A1607)/60</f>
        <v>21</v>
      </c>
      <c r="F1607" s="33" t="n">
        <f aca="false">IF(OR(D1607&gt;5,E1607&lt;8,E1607&gt;=18,COUNTIF($K$2:$K$10,INT(A1607))&gt;0),1,0)</f>
        <v>1</v>
      </c>
      <c r="G1607" s="34" t="n">
        <f aca="false">B1607/1</f>
        <v>208.113</v>
      </c>
      <c r="H1607" s="34" t="n">
        <f aca="false">IF(F1607=1,G1607,"")</f>
        <v>208.113</v>
      </c>
    </row>
    <row r="1608" customFormat="false" ht="15" hidden="false" customHeight="false" outlineLevel="0" collapsed="false">
      <c r="A1608" s="31" t="n">
        <v>42802.9166666667</v>
      </c>
      <c r="B1608" s="32" t="n">
        <v>145.195</v>
      </c>
      <c r="D1608" s="33" t="n">
        <f aca="false">WEEKDAY(A1608,2)</f>
        <v>3</v>
      </c>
      <c r="E1608" s="33" t="n">
        <f aca="false">HOUR(A1608)+MINUTE(A1608)/60</f>
        <v>22</v>
      </c>
      <c r="F1608" s="33" t="n">
        <f aca="false">IF(OR(D1608&gt;5,E1608&lt;8,E1608&gt;=18,COUNTIF($K$2:$K$10,INT(A1608))&gt;0),1,0)</f>
        <v>1</v>
      </c>
      <c r="G1608" s="34" t="n">
        <f aca="false">B1608/1</f>
        <v>145.195</v>
      </c>
      <c r="H1608" s="34" t="n">
        <f aca="false">IF(F1608=1,G1608,"")</f>
        <v>145.195</v>
      </c>
    </row>
    <row r="1609" customFormat="false" ht="15" hidden="false" customHeight="false" outlineLevel="0" collapsed="false">
      <c r="A1609" s="31" t="n">
        <v>42802.9583333333</v>
      </c>
      <c r="B1609" s="32" t="n">
        <v>75.724</v>
      </c>
      <c r="D1609" s="33" t="n">
        <f aca="false">WEEKDAY(A1609,2)</f>
        <v>3</v>
      </c>
      <c r="E1609" s="33" t="n">
        <f aca="false">HOUR(A1609)+MINUTE(A1609)/60</f>
        <v>23</v>
      </c>
      <c r="F1609" s="33" t="n">
        <f aca="false">IF(OR(D1609&gt;5,E1609&lt;8,E1609&gt;=18,COUNTIF($K$2:$K$10,INT(A1609))&gt;0),1,0)</f>
        <v>1</v>
      </c>
      <c r="G1609" s="34" t="n">
        <f aca="false">B1609/1</f>
        <v>75.724</v>
      </c>
      <c r="H1609" s="34" t="n">
        <f aca="false">IF(F1609=1,G1609,"")</f>
        <v>75.724</v>
      </c>
    </row>
    <row r="1610" customFormat="false" ht="15" hidden="false" customHeight="false" outlineLevel="0" collapsed="false">
      <c r="A1610" s="31" t="n">
        <v>42803</v>
      </c>
      <c r="B1610" s="32" t="n">
        <v>71.715</v>
      </c>
      <c r="D1610" s="33" t="n">
        <f aca="false">WEEKDAY(A1610,2)</f>
        <v>4</v>
      </c>
      <c r="E1610" s="33" t="n">
        <f aca="false">HOUR(A1610)+MINUTE(A1610)/60</f>
        <v>0</v>
      </c>
      <c r="F1610" s="33" t="n">
        <f aca="false">IF(OR(D1610&gt;5,E1610&lt;8,E1610&gt;=18,COUNTIF($K$2:$K$10,INT(A1610))&gt;0),1,0)</f>
        <v>1</v>
      </c>
      <c r="G1610" s="34" t="n">
        <f aca="false">B1610/1</f>
        <v>71.715</v>
      </c>
      <c r="H1610" s="34" t="n">
        <f aca="false">IF(F1610=1,G1610,"")</f>
        <v>71.715</v>
      </c>
    </row>
    <row r="1611" customFormat="false" ht="15" hidden="false" customHeight="false" outlineLevel="0" collapsed="false">
      <c r="A1611" s="31" t="n">
        <v>42803.0416666667</v>
      </c>
      <c r="B1611" s="32" t="n">
        <v>69.174</v>
      </c>
      <c r="D1611" s="33" t="n">
        <f aca="false">WEEKDAY(A1611,2)</f>
        <v>4</v>
      </c>
      <c r="E1611" s="33" t="n">
        <f aca="false">HOUR(A1611)+MINUTE(A1611)/60</f>
        <v>1</v>
      </c>
      <c r="F1611" s="33" t="n">
        <f aca="false">IF(OR(D1611&gt;5,E1611&lt;8,E1611&gt;=18,COUNTIF($K$2:$K$10,INT(A1611))&gt;0),1,0)</f>
        <v>1</v>
      </c>
      <c r="G1611" s="34" t="n">
        <f aca="false">B1611/1</f>
        <v>69.174</v>
      </c>
      <c r="H1611" s="34" t="n">
        <f aca="false">IF(F1611=1,G1611,"")</f>
        <v>69.174</v>
      </c>
    </row>
    <row r="1612" customFormat="false" ht="15" hidden="false" customHeight="false" outlineLevel="0" collapsed="false">
      <c r="A1612" s="31" t="n">
        <v>42803.0833333333</v>
      </c>
      <c r="B1612" s="32" t="n">
        <v>68.77</v>
      </c>
      <c r="D1612" s="33" t="n">
        <f aca="false">WEEKDAY(A1612,2)</f>
        <v>4</v>
      </c>
      <c r="E1612" s="33" t="n">
        <f aca="false">HOUR(A1612)+MINUTE(A1612)/60</f>
        <v>2</v>
      </c>
      <c r="F1612" s="33" t="n">
        <f aca="false">IF(OR(D1612&gt;5,E1612&lt;8,E1612&gt;=18,COUNTIF($K$2:$K$10,INT(A1612))&gt;0),1,0)</f>
        <v>1</v>
      </c>
      <c r="G1612" s="34" t="n">
        <f aca="false">B1612/1</f>
        <v>68.77</v>
      </c>
      <c r="H1612" s="34" t="n">
        <f aca="false">IF(F1612=1,G1612,"")</f>
        <v>68.77</v>
      </c>
    </row>
    <row r="1613" customFormat="false" ht="15" hidden="false" customHeight="false" outlineLevel="0" collapsed="false">
      <c r="A1613" s="31" t="n">
        <v>42803.125</v>
      </c>
      <c r="B1613" s="32" t="n">
        <v>68.475</v>
      </c>
      <c r="D1613" s="33" t="n">
        <f aca="false">WEEKDAY(A1613,2)</f>
        <v>4</v>
      </c>
      <c r="E1613" s="33" t="n">
        <f aca="false">HOUR(A1613)+MINUTE(A1613)/60</f>
        <v>3</v>
      </c>
      <c r="F1613" s="33" t="n">
        <f aca="false">IF(OR(D1613&gt;5,E1613&lt;8,E1613&gt;=18,COUNTIF($K$2:$K$10,INT(A1613))&gt;0),1,0)</f>
        <v>1</v>
      </c>
      <c r="G1613" s="34" t="n">
        <f aca="false">B1613/1</f>
        <v>68.475</v>
      </c>
      <c r="H1613" s="34" t="n">
        <f aca="false">IF(F1613=1,G1613,"")</f>
        <v>68.475</v>
      </c>
    </row>
    <row r="1614" customFormat="false" ht="15" hidden="false" customHeight="false" outlineLevel="0" collapsed="false">
      <c r="A1614" s="31" t="n">
        <v>42803.1666666667</v>
      </c>
      <c r="B1614" s="32" t="n">
        <v>68.487</v>
      </c>
      <c r="D1614" s="33" t="n">
        <f aca="false">WEEKDAY(A1614,2)</f>
        <v>4</v>
      </c>
      <c r="E1614" s="33" t="n">
        <f aca="false">HOUR(A1614)+MINUTE(A1614)/60</f>
        <v>4</v>
      </c>
      <c r="F1614" s="33" t="n">
        <f aca="false">IF(OR(D1614&gt;5,E1614&lt;8,E1614&gt;=18,COUNTIF($K$2:$K$10,INT(A1614))&gt;0),1,0)</f>
        <v>1</v>
      </c>
      <c r="G1614" s="34" t="n">
        <f aca="false">B1614/1</f>
        <v>68.487</v>
      </c>
      <c r="H1614" s="34" t="n">
        <f aca="false">IF(F1614=1,G1614,"")</f>
        <v>68.487</v>
      </c>
    </row>
    <row r="1615" customFormat="false" ht="15" hidden="false" customHeight="false" outlineLevel="0" collapsed="false">
      <c r="A1615" s="31" t="n">
        <v>42803.2083333333</v>
      </c>
      <c r="B1615" s="32" t="n">
        <v>68.633</v>
      </c>
      <c r="D1615" s="33" t="n">
        <f aca="false">WEEKDAY(A1615,2)</f>
        <v>4</v>
      </c>
      <c r="E1615" s="33" t="n">
        <f aca="false">HOUR(A1615)+MINUTE(A1615)/60</f>
        <v>5</v>
      </c>
      <c r="F1615" s="33" t="n">
        <f aca="false">IF(OR(D1615&gt;5,E1615&lt;8,E1615&gt;=18,COUNTIF($K$2:$K$10,INT(A1615))&gt;0),1,0)</f>
        <v>1</v>
      </c>
      <c r="G1615" s="34" t="n">
        <f aca="false">B1615/1</f>
        <v>68.633</v>
      </c>
      <c r="H1615" s="34" t="n">
        <f aca="false">IF(F1615=1,G1615,"")</f>
        <v>68.633</v>
      </c>
    </row>
    <row r="1616" customFormat="false" ht="15" hidden="false" customHeight="false" outlineLevel="0" collapsed="false">
      <c r="A1616" s="31" t="n">
        <v>42803.25</v>
      </c>
      <c r="B1616" s="32" t="n">
        <v>69.577</v>
      </c>
      <c r="D1616" s="33" t="n">
        <f aca="false">WEEKDAY(A1616,2)</f>
        <v>4</v>
      </c>
      <c r="E1616" s="33" t="n">
        <f aca="false">HOUR(A1616)+MINUTE(A1616)/60</f>
        <v>6</v>
      </c>
      <c r="F1616" s="33" t="n">
        <f aca="false">IF(OR(D1616&gt;5,E1616&lt;8,E1616&gt;=18,COUNTIF($K$2:$K$10,INT(A1616))&gt;0),1,0)</f>
        <v>1</v>
      </c>
      <c r="G1616" s="34" t="n">
        <f aca="false">B1616/1</f>
        <v>69.577</v>
      </c>
      <c r="H1616" s="34" t="n">
        <f aca="false">IF(F1616=1,G1616,"")</f>
        <v>69.577</v>
      </c>
    </row>
    <row r="1617" customFormat="false" ht="15" hidden="false" customHeight="false" outlineLevel="0" collapsed="false">
      <c r="A1617" s="31" t="n">
        <v>42803.2916666667</v>
      </c>
      <c r="B1617" s="32" t="n">
        <v>74.754</v>
      </c>
      <c r="D1617" s="33" t="n">
        <f aca="false">WEEKDAY(A1617,2)</f>
        <v>4</v>
      </c>
      <c r="E1617" s="33" t="n">
        <f aca="false">HOUR(A1617)+MINUTE(A1617)/60</f>
        <v>7</v>
      </c>
      <c r="F1617" s="33" t="n">
        <f aca="false">IF(OR(D1617&gt;5,E1617&lt;8,E1617&gt;=18,COUNTIF($K$2:$K$10,INT(A1617))&gt;0),1,0)</f>
        <v>1</v>
      </c>
      <c r="G1617" s="34" t="n">
        <f aca="false">B1617/1</f>
        <v>74.754</v>
      </c>
      <c r="H1617" s="34" t="n">
        <f aca="false">IF(F1617=1,G1617,"")</f>
        <v>74.754</v>
      </c>
    </row>
    <row r="1618" customFormat="false" ht="15" hidden="false" customHeight="false" outlineLevel="0" collapsed="false">
      <c r="A1618" s="31" t="n">
        <v>42803.3333333333</v>
      </c>
      <c r="B1618" s="32" t="n">
        <v>182.319</v>
      </c>
      <c r="D1618" s="33" t="n">
        <f aca="false">WEEKDAY(A1618,2)</f>
        <v>4</v>
      </c>
      <c r="E1618" s="33" t="n">
        <f aca="false">HOUR(A1618)+MINUTE(A1618)/60</f>
        <v>8</v>
      </c>
      <c r="F1618" s="33" t="n">
        <f aca="false">IF(OR(D1618&gt;5,E1618&lt;8,E1618&gt;=18,COUNTIF($K$2:$K$10,INT(A1618))&gt;0),1,0)</f>
        <v>0</v>
      </c>
      <c r="G1618" s="34" t="n">
        <f aca="false">B1618/1</f>
        <v>182.319</v>
      </c>
      <c r="H1618" s="34" t="str">
        <f aca="false">IF(F1618=1,G1618,"")</f>
        <v/>
      </c>
    </row>
    <row r="1619" customFormat="false" ht="15" hidden="false" customHeight="false" outlineLevel="0" collapsed="false">
      <c r="A1619" s="31" t="n">
        <v>42803.375</v>
      </c>
      <c r="B1619" s="32" t="n">
        <v>228.861</v>
      </c>
      <c r="D1619" s="33" t="n">
        <f aca="false">WEEKDAY(A1619,2)</f>
        <v>4</v>
      </c>
      <c r="E1619" s="33" t="n">
        <f aca="false">HOUR(A1619)+MINUTE(A1619)/60</f>
        <v>9</v>
      </c>
      <c r="F1619" s="33" t="n">
        <f aca="false">IF(OR(D1619&gt;5,E1619&lt;8,E1619&gt;=18,COUNTIF($K$2:$K$10,INT(A1619))&gt;0),1,0)</f>
        <v>0</v>
      </c>
      <c r="G1619" s="34" t="n">
        <f aca="false">B1619/1</f>
        <v>228.861</v>
      </c>
      <c r="H1619" s="34" t="str">
        <f aca="false">IF(F1619=1,G1619,"")</f>
        <v/>
      </c>
    </row>
    <row r="1620" customFormat="false" ht="15" hidden="false" customHeight="false" outlineLevel="0" collapsed="false">
      <c r="A1620" s="31" t="n">
        <v>42803.4166666667</v>
      </c>
      <c r="B1620" s="32" t="n">
        <v>260.039</v>
      </c>
      <c r="D1620" s="33" t="n">
        <f aca="false">WEEKDAY(A1620,2)</f>
        <v>4</v>
      </c>
      <c r="E1620" s="33" t="n">
        <f aca="false">HOUR(A1620)+MINUTE(A1620)/60</f>
        <v>10</v>
      </c>
      <c r="F1620" s="33" t="n">
        <f aca="false">IF(OR(D1620&gt;5,E1620&lt;8,E1620&gt;=18,COUNTIF($K$2:$K$10,INT(A1620))&gt;0),1,0)</f>
        <v>0</v>
      </c>
      <c r="G1620" s="34" t="n">
        <f aca="false">B1620/1</f>
        <v>260.039</v>
      </c>
      <c r="H1620" s="34" t="str">
        <f aca="false">IF(F1620=1,G1620,"")</f>
        <v/>
      </c>
    </row>
    <row r="1621" customFormat="false" ht="15" hidden="false" customHeight="false" outlineLevel="0" collapsed="false">
      <c r="A1621" s="31" t="n">
        <v>42803.4583333333</v>
      </c>
      <c r="B1621" s="32" t="n">
        <v>272.059</v>
      </c>
      <c r="D1621" s="33" t="n">
        <f aca="false">WEEKDAY(A1621,2)</f>
        <v>4</v>
      </c>
      <c r="E1621" s="33" t="n">
        <f aca="false">HOUR(A1621)+MINUTE(A1621)/60</f>
        <v>11</v>
      </c>
      <c r="F1621" s="33" t="n">
        <f aca="false">IF(OR(D1621&gt;5,E1621&lt;8,E1621&gt;=18,COUNTIF($K$2:$K$10,INT(A1621))&gt;0),1,0)</f>
        <v>0</v>
      </c>
      <c r="G1621" s="34" t="n">
        <f aca="false">B1621/1</f>
        <v>272.059</v>
      </c>
      <c r="H1621" s="34" t="str">
        <f aca="false">IF(F1621=1,G1621,"")</f>
        <v/>
      </c>
    </row>
    <row r="1622" customFormat="false" ht="15" hidden="false" customHeight="false" outlineLevel="0" collapsed="false">
      <c r="A1622" s="31" t="n">
        <v>42803.5</v>
      </c>
      <c r="B1622" s="32" t="n">
        <v>270.154</v>
      </c>
      <c r="D1622" s="33" t="n">
        <f aca="false">WEEKDAY(A1622,2)</f>
        <v>4</v>
      </c>
      <c r="E1622" s="33" t="n">
        <f aca="false">HOUR(A1622)+MINUTE(A1622)/60</f>
        <v>12</v>
      </c>
      <c r="F1622" s="33" t="n">
        <f aca="false">IF(OR(D1622&gt;5,E1622&lt;8,E1622&gt;=18,COUNTIF($K$2:$K$10,INT(A1622))&gt;0),1,0)</f>
        <v>0</v>
      </c>
      <c r="G1622" s="34" t="n">
        <f aca="false">B1622/1</f>
        <v>270.154</v>
      </c>
      <c r="H1622" s="34" t="str">
        <f aca="false">IF(F1622=1,G1622,"")</f>
        <v/>
      </c>
    </row>
    <row r="1623" customFormat="false" ht="15" hidden="false" customHeight="false" outlineLevel="0" collapsed="false">
      <c r="A1623" s="31" t="n">
        <v>42803.5416666667</v>
      </c>
      <c r="B1623" s="32" t="n">
        <v>262.891</v>
      </c>
      <c r="D1623" s="33" t="n">
        <f aca="false">WEEKDAY(A1623,2)</f>
        <v>4</v>
      </c>
      <c r="E1623" s="33" t="n">
        <f aca="false">HOUR(A1623)+MINUTE(A1623)/60</f>
        <v>13</v>
      </c>
      <c r="F1623" s="33" t="n">
        <f aca="false">IF(OR(D1623&gt;5,E1623&lt;8,E1623&gt;=18,COUNTIF($K$2:$K$10,INT(A1623))&gt;0),1,0)</f>
        <v>0</v>
      </c>
      <c r="G1623" s="34" t="n">
        <f aca="false">B1623/1</f>
        <v>262.891</v>
      </c>
      <c r="H1623" s="34" t="str">
        <f aca="false">IF(F1623=1,G1623,"")</f>
        <v/>
      </c>
    </row>
    <row r="1624" customFormat="false" ht="15" hidden="false" customHeight="false" outlineLevel="0" collapsed="false">
      <c r="A1624" s="31" t="n">
        <v>42803.5833333333</v>
      </c>
      <c r="B1624" s="32" t="n">
        <v>260.228</v>
      </c>
      <c r="D1624" s="33" t="n">
        <f aca="false">WEEKDAY(A1624,2)</f>
        <v>4</v>
      </c>
      <c r="E1624" s="33" t="n">
        <f aca="false">HOUR(A1624)+MINUTE(A1624)/60</f>
        <v>14</v>
      </c>
      <c r="F1624" s="33" t="n">
        <f aca="false">IF(OR(D1624&gt;5,E1624&lt;8,E1624&gt;=18,COUNTIF($K$2:$K$10,INT(A1624))&gt;0),1,0)</f>
        <v>0</v>
      </c>
      <c r="G1624" s="34" t="n">
        <f aca="false">B1624/1</f>
        <v>260.228</v>
      </c>
      <c r="H1624" s="34" t="str">
        <f aca="false">IF(F1624=1,G1624,"")</f>
        <v/>
      </c>
    </row>
    <row r="1625" customFormat="false" ht="15" hidden="false" customHeight="false" outlineLevel="0" collapsed="false">
      <c r="A1625" s="31" t="n">
        <v>42803.625</v>
      </c>
      <c r="B1625" s="32" t="n">
        <v>258.248</v>
      </c>
      <c r="D1625" s="33" t="n">
        <f aca="false">WEEKDAY(A1625,2)</f>
        <v>4</v>
      </c>
      <c r="E1625" s="33" t="n">
        <f aca="false">HOUR(A1625)+MINUTE(A1625)/60</f>
        <v>15</v>
      </c>
      <c r="F1625" s="33" t="n">
        <f aca="false">IF(OR(D1625&gt;5,E1625&lt;8,E1625&gt;=18,COUNTIF($K$2:$K$10,INT(A1625))&gt;0),1,0)</f>
        <v>0</v>
      </c>
      <c r="G1625" s="34" t="n">
        <f aca="false">B1625/1</f>
        <v>258.248</v>
      </c>
      <c r="H1625" s="34" t="str">
        <f aca="false">IF(F1625=1,G1625,"")</f>
        <v/>
      </c>
    </row>
    <row r="1626" customFormat="false" ht="15" hidden="false" customHeight="false" outlineLevel="0" collapsed="false">
      <c r="A1626" s="31" t="n">
        <v>42803.6666666667</v>
      </c>
      <c r="B1626" s="32" t="n">
        <v>246.846</v>
      </c>
      <c r="D1626" s="33" t="n">
        <f aca="false">WEEKDAY(A1626,2)</f>
        <v>4</v>
      </c>
      <c r="E1626" s="33" t="n">
        <f aca="false">HOUR(A1626)+MINUTE(A1626)/60</f>
        <v>16</v>
      </c>
      <c r="F1626" s="33" t="n">
        <f aca="false">IF(OR(D1626&gt;5,E1626&lt;8,E1626&gt;=18,COUNTIF($K$2:$K$10,INT(A1626))&gt;0),1,0)</f>
        <v>0</v>
      </c>
      <c r="G1626" s="34" t="n">
        <f aca="false">B1626/1</f>
        <v>246.846</v>
      </c>
      <c r="H1626" s="34" t="str">
        <f aca="false">IF(F1626=1,G1626,"")</f>
        <v/>
      </c>
    </row>
    <row r="1627" customFormat="false" ht="15" hidden="false" customHeight="false" outlineLevel="0" collapsed="false">
      <c r="A1627" s="31" t="n">
        <v>42803.7083333333</v>
      </c>
      <c r="B1627" s="32" t="n">
        <v>235.574</v>
      </c>
      <c r="D1627" s="33" t="n">
        <f aca="false">WEEKDAY(A1627,2)</f>
        <v>4</v>
      </c>
      <c r="E1627" s="33" t="n">
        <f aca="false">HOUR(A1627)+MINUTE(A1627)/60</f>
        <v>17</v>
      </c>
      <c r="F1627" s="33" t="n">
        <f aca="false">IF(OR(D1627&gt;5,E1627&lt;8,E1627&gt;=18,COUNTIF($K$2:$K$10,INT(A1627))&gt;0),1,0)</f>
        <v>0</v>
      </c>
      <c r="G1627" s="34" t="n">
        <f aca="false">B1627/1</f>
        <v>235.574</v>
      </c>
      <c r="H1627" s="34" t="str">
        <f aca="false">IF(F1627=1,G1627,"")</f>
        <v/>
      </c>
    </row>
    <row r="1628" customFormat="false" ht="15" hidden="false" customHeight="false" outlineLevel="0" collapsed="false">
      <c r="A1628" s="31" t="n">
        <v>42803.75</v>
      </c>
      <c r="B1628" s="32" t="n">
        <v>225.013</v>
      </c>
      <c r="D1628" s="33" t="n">
        <f aca="false">WEEKDAY(A1628,2)</f>
        <v>4</v>
      </c>
      <c r="E1628" s="33" t="n">
        <f aca="false">HOUR(A1628)+MINUTE(A1628)/60</f>
        <v>18</v>
      </c>
      <c r="F1628" s="33" t="n">
        <f aca="false">IF(OR(D1628&gt;5,E1628&lt;8,E1628&gt;=18,COUNTIF($K$2:$K$10,INT(A1628))&gt;0),1,0)</f>
        <v>1</v>
      </c>
      <c r="G1628" s="34" t="n">
        <f aca="false">B1628/1</f>
        <v>225.013</v>
      </c>
      <c r="H1628" s="34" t="n">
        <f aca="false">IF(F1628=1,G1628,"")</f>
        <v>225.013</v>
      </c>
    </row>
    <row r="1629" customFormat="false" ht="15" hidden="false" customHeight="false" outlineLevel="0" collapsed="false">
      <c r="A1629" s="31" t="n">
        <v>42803.7916666667</v>
      </c>
      <c r="B1629" s="32" t="n">
        <v>216.463</v>
      </c>
      <c r="D1629" s="33" t="n">
        <f aca="false">WEEKDAY(A1629,2)</f>
        <v>4</v>
      </c>
      <c r="E1629" s="33" t="n">
        <f aca="false">HOUR(A1629)+MINUTE(A1629)/60</f>
        <v>19</v>
      </c>
      <c r="F1629" s="33" t="n">
        <f aca="false">IF(OR(D1629&gt;5,E1629&lt;8,E1629&gt;=18,COUNTIF($K$2:$K$10,INT(A1629))&gt;0),1,0)</f>
        <v>1</v>
      </c>
      <c r="G1629" s="34" t="n">
        <f aca="false">B1629/1</f>
        <v>216.463</v>
      </c>
      <c r="H1629" s="34" t="n">
        <f aca="false">IF(F1629=1,G1629,"")</f>
        <v>216.463</v>
      </c>
    </row>
    <row r="1630" customFormat="false" ht="15" hidden="false" customHeight="false" outlineLevel="0" collapsed="false">
      <c r="A1630" s="31" t="n">
        <v>42803.8333333333</v>
      </c>
      <c r="B1630" s="32" t="n">
        <v>202.648</v>
      </c>
      <c r="D1630" s="33" t="n">
        <f aca="false">WEEKDAY(A1630,2)</f>
        <v>4</v>
      </c>
      <c r="E1630" s="33" t="n">
        <f aca="false">HOUR(A1630)+MINUTE(A1630)/60</f>
        <v>20</v>
      </c>
      <c r="F1630" s="33" t="n">
        <f aca="false">IF(OR(D1630&gt;5,E1630&lt;8,E1630&gt;=18,COUNTIF($K$2:$K$10,INT(A1630))&gt;0),1,0)</f>
        <v>1</v>
      </c>
      <c r="G1630" s="34" t="n">
        <f aca="false">B1630/1</f>
        <v>202.648</v>
      </c>
      <c r="H1630" s="34" t="n">
        <f aca="false">IF(F1630=1,G1630,"")</f>
        <v>202.648</v>
      </c>
    </row>
    <row r="1631" customFormat="false" ht="15" hidden="false" customHeight="false" outlineLevel="0" collapsed="false">
      <c r="A1631" s="31" t="n">
        <v>42803.875</v>
      </c>
      <c r="B1631" s="32" t="n">
        <v>194.545</v>
      </c>
      <c r="D1631" s="33" t="n">
        <f aca="false">WEEKDAY(A1631,2)</f>
        <v>4</v>
      </c>
      <c r="E1631" s="33" t="n">
        <f aca="false">HOUR(A1631)+MINUTE(A1631)/60</f>
        <v>21</v>
      </c>
      <c r="F1631" s="33" t="n">
        <f aca="false">IF(OR(D1631&gt;5,E1631&lt;8,E1631&gt;=18,COUNTIF($K$2:$K$10,INT(A1631))&gt;0),1,0)</f>
        <v>1</v>
      </c>
      <c r="G1631" s="34" t="n">
        <f aca="false">B1631/1</f>
        <v>194.545</v>
      </c>
      <c r="H1631" s="34" t="n">
        <f aca="false">IF(F1631=1,G1631,"")</f>
        <v>194.545</v>
      </c>
    </row>
    <row r="1632" customFormat="false" ht="15" hidden="false" customHeight="false" outlineLevel="0" collapsed="false">
      <c r="A1632" s="31" t="n">
        <v>42803.9166666667</v>
      </c>
      <c r="B1632" s="32" t="n">
        <v>137.26</v>
      </c>
      <c r="D1632" s="33" t="n">
        <f aca="false">WEEKDAY(A1632,2)</f>
        <v>4</v>
      </c>
      <c r="E1632" s="33" t="n">
        <f aca="false">HOUR(A1632)+MINUTE(A1632)/60</f>
        <v>22</v>
      </c>
      <c r="F1632" s="33" t="n">
        <f aca="false">IF(OR(D1632&gt;5,E1632&lt;8,E1632&gt;=18,COUNTIF($K$2:$K$10,INT(A1632))&gt;0),1,0)</f>
        <v>1</v>
      </c>
      <c r="G1632" s="34" t="n">
        <f aca="false">B1632/1</f>
        <v>137.26</v>
      </c>
      <c r="H1632" s="34" t="n">
        <f aca="false">IF(F1632=1,G1632,"")</f>
        <v>137.26</v>
      </c>
    </row>
    <row r="1633" customFormat="false" ht="15" hidden="false" customHeight="false" outlineLevel="0" collapsed="false">
      <c r="A1633" s="31" t="n">
        <v>42803.9583333333</v>
      </c>
      <c r="B1633" s="32" t="n">
        <v>73.021</v>
      </c>
      <c r="D1633" s="33" t="n">
        <f aca="false">WEEKDAY(A1633,2)</f>
        <v>4</v>
      </c>
      <c r="E1633" s="33" t="n">
        <f aca="false">HOUR(A1633)+MINUTE(A1633)/60</f>
        <v>23</v>
      </c>
      <c r="F1633" s="33" t="n">
        <f aca="false">IF(OR(D1633&gt;5,E1633&lt;8,E1633&gt;=18,COUNTIF($K$2:$K$10,INT(A1633))&gt;0),1,0)</f>
        <v>1</v>
      </c>
      <c r="G1633" s="34" t="n">
        <f aca="false">B1633/1</f>
        <v>73.021</v>
      </c>
      <c r="H1633" s="34" t="n">
        <f aca="false">IF(F1633=1,G1633,"")</f>
        <v>73.021</v>
      </c>
    </row>
    <row r="1634" customFormat="false" ht="15" hidden="false" customHeight="false" outlineLevel="0" collapsed="false">
      <c r="A1634" s="31" t="n">
        <v>42804</v>
      </c>
      <c r="B1634" s="32" t="n">
        <v>69.331</v>
      </c>
      <c r="D1634" s="33" t="n">
        <f aca="false">WEEKDAY(A1634,2)</f>
        <v>5</v>
      </c>
      <c r="E1634" s="33" t="n">
        <f aca="false">HOUR(A1634)+MINUTE(A1634)/60</f>
        <v>0</v>
      </c>
      <c r="F1634" s="33" t="n">
        <f aca="false">IF(OR(D1634&gt;5,E1634&lt;8,E1634&gt;=18,COUNTIF($K$2:$K$10,INT(A1634))&gt;0),1,0)</f>
        <v>1</v>
      </c>
      <c r="G1634" s="34" t="n">
        <f aca="false">B1634/1</f>
        <v>69.331</v>
      </c>
      <c r="H1634" s="34" t="n">
        <f aca="false">IF(F1634=1,G1634,"")</f>
        <v>69.331</v>
      </c>
    </row>
    <row r="1635" customFormat="false" ht="15" hidden="false" customHeight="false" outlineLevel="0" collapsed="false">
      <c r="A1635" s="31" t="n">
        <v>42804.0416666667</v>
      </c>
      <c r="B1635" s="32" t="n">
        <v>66.004</v>
      </c>
      <c r="D1635" s="33" t="n">
        <f aca="false">WEEKDAY(A1635,2)</f>
        <v>5</v>
      </c>
      <c r="E1635" s="33" t="n">
        <f aca="false">HOUR(A1635)+MINUTE(A1635)/60</f>
        <v>1</v>
      </c>
      <c r="F1635" s="33" t="n">
        <f aca="false">IF(OR(D1635&gt;5,E1635&lt;8,E1635&gt;=18,COUNTIF($K$2:$K$10,INT(A1635))&gt;0),1,0)</f>
        <v>1</v>
      </c>
      <c r="G1635" s="34" t="n">
        <f aca="false">B1635/1</f>
        <v>66.004</v>
      </c>
      <c r="H1635" s="34" t="n">
        <f aca="false">IF(F1635=1,G1635,"")</f>
        <v>66.004</v>
      </c>
    </row>
    <row r="1636" customFormat="false" ht="15" hidden="false" customHeight="false" outlineLevel="0" collapsed="false">
      <c r="A1636" s="31" t="n">
        <v>42804.0833333333</v>
      </c>
      <c r="B1636" s="32" t="n">
        <v>64.6</v>
      </c>
      <c r="D1636" s="33" t="n">
        <f aca="false">WEEKDAY(A1636,2)</f>
        <v>5</v>
      </c>
      <c r="E1636" s="33" t="n">
        <f aca="false">HOUR(A1636)+MINUTE(A1636)/60</f>
        <v>2</v>
      </c>
      <c r="F1636" s="33" t="n">
        <f aca="false">IF(OR(D1636&gt;5,E1636&lt;8,E1636&gt;=18,COUNTIF($K$2:$K$10,INT(A1636))&gt;0),1,0)</f>
        <v>1</v>
      </c>
      <c r="G1636" s="34" t="n">
        <f aca="false">B1636/1</f>
        <v>64.6</v>
      </c>
      <c r="H1636" s="34" t="n">
        <f aca="false">IF(F1636=1,G1636,"")</f>
        <v>64.6</v>
      </c>
    </row>
    <row r="1637" customFormat="false" ht="15" hidden="false" customHeight="false" outlineLevel="0" collapsed="false">
      <c r="A1637" s="31" t="n">
        <v>42804.125</v>
      </c>
      <c r="B1637" s="32" t="n">
        <v>65.296</v>
      </c>
      <c r="D1637" s="33" t="n">
        <f aca="false">WEEKDAY(A1637,2)</f>
        <v>5</v>
      </c>
      <c r="E1637" s="33" t="n">
        <f aca="false">HOUR(A1637)+MINUTE(A1637)/60</f>
        <v>3</v>
      </c>
      <c r="F1637" s="33" t="n">
        <f aca="false">IF(OR(D1637&gt;5,E1637&lt;8,E1637&gt;=18,COUNTIF($K$2:$K$10,INT(A1637))&gt;0),1,0)</f>
        <v>1</v>
      </c>
      <c r="G1637" s="34" t="n">
        <f aca="false">B1637/1</f>
        <v>65.296</v>
      </c>
      <c r="H1637" s="34" t="n">
        <f aca="false">IF(F1637=1,G1637,"")</f>
        <v>65.296</v>
      </c>
    </row>
    <row r="1638" customFormat="false" ht="15" hidden="false" customHeight="false" outlineLevel="0" collapsed="false">
      <c r="A1638" s="31" t="n">
        <v>42804.1666666667</v>
      </c>
      <c r="B1638" s="32" t="n">
        <v>68.093</v>
      </c>
      <c r="D1638" s="33" t="n">
        <f aca="false">WEEKDAY(A1638,2)</f>
        <v>5</v>
      </c>
      <c r="E1638" s="33" t="n">
        <f aca="false">HOUR(A1638)+MINUTE(A1638)/60</f>
        <v>4</v>
      </c>
      <c r="F1638" s="33" t="n">
        <f aca="false">IF(OR(D1638&gt;5,E1638&lt;8,E1638&gt;=18,COUNTIF($K$2:$K$10,INT(A1638))&gt;0),1,0)</f>
        <v>1</v>
      </c>
      <c r="G1638" s="34" t="n">
        <f aca="false">B1638/1</f>
        <v>68.093</v>
      </c>
      <c r="H1638" s="34" t="n">
        <f aca="false">IF(F1638=1,G1638,"")</f>
        <v>68.093</v>
      </c>
    </row>
    <row r="1639" customFormat="false" ht="15" hidden="false" customHeight="false" outlineLevel="0" collapsed="false">
      <c r="A1639" s="31" t="n">
        <v>42804.2083333333</v>
      </c>
      <c r="B1639" s="32" t="n">
        <v>65.72</v>
      </c>
      <c r="D1639" s="33" t="n">
        <f aca="false">WEEKDAY(A1639,2)</f>
        <v>5</v>
      </c>
      <c r="E1639" s="33" t="n">
        <f aca="false">HOUR(A1639)+MINUTE(A1639)/60</f>
        <v>5</v>
      </c>
      <c r="F1639" s="33" t="n">
        <f aca="false">IF(OR(D1639&gt;5,E1639&lt;8,E1639&gt;=18,COUNTIF($K$2:$K$10,INT(A1639))&gt;0),1,0)</f>
        <v>1</v>
      </c>
      <c r="G1639" s="34" t="n">
        <f aca="false">B1639/1</f>
        <v>65.72</v>
      </c>
      <c r="H1639" s="34" t="n">
        <f aca="false">IF(F1639=1,G1639,"")</f>
        <v>65.72</v>
      </c>
    </row>
    <row r="1640" customFormat="false" ht="15" hidden="false" customHeight="false" outlineLevel="0" collapsed="false">
      <c r="A1640" s="31" t="n">
        <v>42804.25</v>
      </c>
      <c r="B1640" s="32" t="n">
        <v>67.135</v>
      </c>
      <c r="D1640" s="33" t="n">
        <f aca="false">WEEKDAY(A1640,2)</f>
        <v>5</v>
      </c>
      <c r="E1640" s="33" t="n">
        <f aca="false">HOUR(A1640)+MINUTE(A1640)/60</f>
        <v>6</v>
      </c>
      <c r="F1640" s="33" t="n">
        <f aca="false">IF(OR(D1640&gt;5,E1640&lt;8,E1640&gt;=18,COUNTIF($K$2:$K$10,INT(A1640))&gt;0),1,0)</f>
        <v>1</v>
      </c>
      <c r="G1640" s="34" t="n">
        <f aca="false">B1640/1</f>
        <v>67.135</v>
      </c>
      <c r="H1640" s="34" t="n">
        <f aca="false">IF(F1640=1,G1640,"")</f>
        <v>67.135</v>
      </c>
    </row>
    <row r="1641" customFormat="false" ht="15" hidden="false" customHeight="false" outlineLevel="0" collapsed="false">
      <c r="A1641" s="31" t="n">
        <v>42804.2916666667</v>
      </c>
      <c r="B1641" s="32" t="n">
        <v>72.117</v>
      </c>
      <c r="D1641" s="33" t="n">
        <f aca="false">WEEKDAY(A1641,2)</f>
        <v>5</v>
      </c>
      <c r="E1641" s="33" t="n">
        <f aca="false">HOUR(A1641)+MINUTE(A1641)/60</f>
        <v>7</v>
      </c>
      <c r="F1641" s="33" t="n">
        <f aca="false">IF(OR(D1641&gt;5,E1641&lt;8,E1641&gt;=18,COUNTIF($K$2:$K$10,INT(A1641))&gt;0),1,0)</f>
        <v>1</v>
      </c>
      <c r="G1641" s="34" t="n">
        <f aca="false">B1641/1</f>
        <v>72.117</v>
      </c>
      <c r="H1641" s="34" t="n">
        <f aca="false">IF(F1641=1,G1641,"")</f>
        <v>72.117</v>
      </c>
    </row>
    <row r="1642" customFormat="false" ht="15" hidden="false" customHeight="false" outlineLevel="0" collapsed="false">
      <c r="A1642" s="31" t="n">
        <v>42804.3333333333</v>
      </c>
      <c r="B1642" s="32" t="n">
        <v>176.817</v>
      </c>
      <c r="D1642" s="33" t="n">
        <f aca="false">WEEKDAY(A1642,2)</f>
        <v>5</v>
      </c>
      <c r="E1642" s="33" t="n">
        <f aca="false">HOUR(A1642)+MINUTE(A1642)/60</f>
        <v>8</v>
      </c>
      <c r="F1642" s="33" t="n">
        <f aca="false">IF(OR(D1642&gt;5,E1642&lt;8,E1642&gt;=18,COUNTIF($K$2:$K$10,INT(A1642))&gt;0),1,0)</f>
        <v>0</v>
      </c>
      <c r="G1642" s="34" t="n">
        <f aca="false">B1642/1</f>
        <v>176.817</v>
      </c>
      <c r="H1642" s="34" t="str">
        <f aca="false">IF(F1642=1,G1642,"")</f>
        <v/>
      </c>
    </row>
    <row r="1643" customFormat="false" ht="15" hidden="false" customHeight="false" outlineLevel="0" collapsed="false">
      <c r="A1643" s="31" t="n">
        <v>42804.375</v>
      </c>
      <c r="B1643" s="32" t="n">
        <v>213.546</v>
      </c>
      <c r="D1643" s="33" t="n">
        <f aca="false">WEEKDAY(A1643,2)</f>
        <v>5</v>
      </c>
      <c r="E1643" s="33" t="n">
        <f aca="false">HOUR(A1643)+MINUTE(A1643)/60</f>
        <v>9</v>
      </c>
      <c r="F1643" s="33" t="n">
        <f aca="false">IF(OR(D1643&gt;5,E1643&lt;8,E1643&gt;=18,COUNTIF($K$2:$K$10,INT(A1643))&gt;0),1,0)</f>
        <v>0</v>
      </c>
      <c r="G1643" s="34" t="n">
        <f aca="false">B1643/1</f>
        <v>213.546</v>
      </c>
      <c r="H1643" s="34" t="str">
        <f aca="false">IF(F1643=1,G1643,"")</f>
        <v/>
      </c>
    </row>
    <row r="1644" customFormat="false" ht="15" hidden="false" customHeight="false" outlineLevel="0" collapsed="false">
      <c r="A1644" s="31" t="n">
        <v>42804.4166666667</v>
      </c>
      <c r="B1644" s="32" t="n">
        <v>238.695</v>
      </c>
      <c r="D1644" s="33" t="n">
        <f aca="false">WEEKDAY(A1644,2)</f>
        <v>5</v>
      </c>
      <c r="E1644" s="33" t="n">
        <f aca="false">HOUR(A1644)+MINUTE(A1644)/60</f>
        <v>10</v>
      </c>
      <c r="F1644" s="33" t="n">
        <f aca="false">IF(OR(D1644&gt;5,E1644&lt;8,E1644&gt;=18,COUNTIF($K$2:$K$10,INT(A1644))&gt;0),1,0)</f>
        <v>0</v>
      </c>
      <c r="G1644" s="34" t="n">
        <f aca="false">B1644/1</f>
        <v>238.695</v>
      </c>
      <c r="H1644" s="34" t="str">
        <f aca="false">IF(F1644=1,G1644,"")</f>
        <v/>
      </c>
    </row>
    <row r="1645" customFormat="false" ht="15" hidden="false" customHeight="false" outlineLevel="0" collapsed="false">
      <c r="A1645" s="31" t="n">
        <v>42804.4583333333</v>
      </c>
      <c r="B1645" s="32" t="n">
        <v>254.092</v>
      </c>
      <c r="D1645" s="33" t="n">
        <f aca="false">WEEKDAY(A1645,2)</f>
        <v>5</v>
      </c>
      <c r="E1645" s="33" t="n">
        <f aca="false">HOUR(A1645)+MINUTE(A1645)/60</f>
        <v>11</v>
      </c>
      <c r="F1645" s="33" t="n">
        <f aca="false">IF(OR(D1645&gt;5,E1645&lt;8,E1645&gt;=18,COUNTIF($K$2:$K$10,INT(A1645))&gt;0),1,0)</f>
        <v>0</v>
      </c>
      <c r="G1645" s="34" t="n">
        <f aca="false">B1645/1</f>
        <v>254.092</v>
      </c>
      <c r="H1645" s="34" t="str">
        <f aca="false">IF(F1645=1,G1645,"")</f>
        <v/>
      </c>
    </row>
    <row r="1646" customFormat="false" ht="15" hidden="false" customHeight="false" outlineLevel="0" collapsed="false">
      <c r="A1646" s="31" t="n">
        <v>42804.5</v>
      </c>
      <c r="B1646" s="32" t="n">
        <v>255.239</v>
      </c>
      <c r="D1646" s="33" t="n">
        <f aca="false">WEEKDAY(A1646,2)</f>
        <v>5</v>
      </c>
      <c r="E1646" s="33" t="n">
        <f aca="false">HOUR(A1646)+MINUTE(A1646)/60</f>
        <v>12</v>
      </c>
      <c r="F1646" s="33" t="n">
        <f aca="false">IF(OR(D1646&gt;5,E1646&lt;8,E1646&gt;=18,COUNTIF($K$2:$K$10,INT(A1646))&gt;0),1,0)</f>
        <v>0</v>
      </c>
      <c r="G1646" s="34" t="n">
        <f aca="false">B1646/1</f>
        <v>255.239</v>
      </c>
      <c r="H1646" s="34" t="str">
        <f aca="false">IF(F1646=1,G1646,"")</f>
        <v/>
      </c>
    </row>
    <row r="1647" customFormat="false" ht="15" hidden="false" customHeight="false" outlineLevel="0" collapsed="false">
      <c r="A1647" s="31" t="n">
        <v>42804.5416666667</v>
      </c>
      <c r="B1647" s="32" t="n">
        <v>257.276</v>
      </c>
      <c r="D1647" s="33" t="n">
        <f aca="false">WEEKDAY(A1647,2)</f>
        <v>5</v>
      </c>
      <c r="E1647" s="33" t="n">
        <f aca="false">HOUR(A1647)+MINUTE(A1647)/60</f>
        <v>13</v>
      </c>
      <c r="F1647" s="33" t="n">
        <f aca="false">IF(OR(D1647&gt;5,E1647&lt;8,E1647&gt;=18,COUNTIF($K$2:$K$10,INT(A1647))&gt;0),1,0)</f>
        <v>0</v>
      </c>
      <c r="G1647" s="34" t="n">
        <f aca="false">B1647/1</f>
        <v>257.276</v>
      </c>
      <c r="H1647" s="34" t="str">
        <f aca="false">IF(F1647=1,G1647,"")</f>
        <v/>
      </c>
    </row>
    <row r="1648" customFormat="false" ht="15" hidden="false" customHeight="false" outlineLevel="0" collapsed="false">
      <c r="A1648" s="31" t="n">
        <v>42804.5833333333</v>
      </c>
      <c r="B1648" s="32" t="n">
        <v>238.506</v>
      </c>
      <c r="D1648" s="33" t="n">
        <f aca="false">WEEKDAY(A1648,2)</f>
        <v>5</v>
      </c>
      <c r="E1648" s="33" t="n">
        <f aca="false">HOUR(A1648)+MINUTE(A1648)/60</f>
        <v>14</v>
      </c>
      <c r="F1648" s="33" t="n">
        <f aca="false">IF(OR(D1648&gt;5,E1648&lt;8,E1648&gt;=18,COUNTIF($K$2:$K$10,INT(A1648))&gt;0),1,0)</f>
        <v>0</v>
      </c>
      <c r="G1648" s="34" t="n">
        <f aca="false">B1648/1</f>
        <v>238.506</v>
      </c>
      <c r="H1648" s="34" t="str">
        <f aca="false">IF(F1648=1,G1648,"")</f>
        <v/>
      </c>
    </row>
    <row r="1649" customFormat="false" ht="15" hidden="false" customHeight="false" outlineLevel="0" collapsed="false">
      <c r="A1649" s="31" t="n">
        <v>42804.625</v>
      </c>
      <c r="B1649" s="32" t="n">
        <v>235.391</v>
      </c>
      <c r="D1649" s="33" t="n">
        <f aca="false">WEEKDAY(A1649,2)</f>
        <v>5</v>
      </c>
      <c r="E1649" s="33" t="n">
        <f aca="false">HOUR(A1649)+MINUTE(A1649)/60</f>
        <v>15</v>
      </c>
      <c r="F1649" s="33" t="n">
        <f aca="false">IF(OR(D1649&gt;5,E1649&lt;8,E1649&gt;=18,COUNTIF($K$2:$K$10,INT(A1649))&gt;0),1,0)</f>
        <v>0</v>
      </c>
      <c r="G1649" s="34" t="n">
        <f aca="false">B1649/1</f>
        <v>235.391</v>
      </c>
      <c r="H1649" s="34" t="str">
        <f aca="false">IF(F1649=1,G1649,"")</f>
        <v/>
      </c>
    </row>
    <row r="1650" customFormat="false" ht="15" hidden="false" customHeight="false" outlineLevel="0" collapsed="false">
      <c r="A1650" s="31" t="n">
        <v>42804.6666666667</v>
      </c>
      <c r="B1650" s="32" t="n">
        <v>228.808</v>
      </c>
      <c r="D1650" s="33" t="n">
        <f aca="false">WEEKDAY(A1650,2)</f>
        <v>5</v>
      </c>
      <c r="E1650" s="33" t="n">
        <f aca="false">HOUR(A1650)+MINUTE(A1650)/60</f>
        <v>16</v>
      </c>
      <c r="F1650" s="33" t="n">
        <f aca="false">IF(OR(D1650&gt;5,E1650&lt;8,E1650&gt;=18,COUNTIF($K$2:$K$10,INT(A1650))&gt;0),1,0)</f>
        <v>0</v>
      </c>
      <c r="G1650" s="34" t="n">
        <f aca="false">B1650/1</f>
        <v>228.808</v>
      </c>
      <c r="H1650" s="34" t="str">
        <f aca="false">IF(F1650=1,G1650,"")</f>
        <v/>
      </c>
    </row>
    <row r="1651" customFormat="false" ht="15" hidden="false" customHeight="false" outlineLevel="0" collapsed="false">
      <c r="A1651" s="31" t="n">
        <v>42804.7083333333</v>
      </c>
      <c r="B1651" s="32" t="n">
        <v>219.011</v>
      </c>
      <c r="D1651" s="33" t="n">
        <f aca="false">WEEKDAY(A1651,2)</f>
        <v>5</v>
      </c>
      <c r="E1651" s="33" t="n">
        <f aca="false">HOUR(A1651)+MINUTE(A1651)/60</f>
        <v>17</v>
      </c>
      <c r="F1651" s="33" t="n">
        <f aca="false">IF(OR(D1651&gt;5,E1651&lt;8,E1651&gt;=18,COUNTIF($K$2:$K$10,INT(A1651))&gt;0),1,0)</f>
        <v>0</v>
      </c>
      <c r="G1651" s="34" t="n">
        <f aca="false">B1651/1</f>
        <v>219.011</v>
      </c>
      <c r="H1651" s="34" t="str">
        <f aca="false">IF(F1651=1,G1651,"")</f>
        <v/>
      </c>
    </row>
    <row r="1652" customFormat="false" ht="15" hidden="false" customHeight="false" outlineLevel="0" collapsed="false">
      <c r="A1652" s="31" t="n">
        <v>42804.75</v>
      </c>
      <c r="B1652" s="32" t="n">
        <v>196.088</v>
      </c>
      <c r="D1652" s="33" t="n">
        <f aca="false">WEEKDAY(A1652,2)</f>
        <v>5</v>
      </c>
      <c r="E1652" s="33" t="n">
        <f aca="false">HOUR(A1652)+MINUTE(A1652)/60</f>
        <v>18</v>
      </c>
      <c r="F1652" s="33" t="n">
        <f aca="false">IF(OR(D1652&gt;5,E1652&lt;8,E1652&gt;=18,COUNTIF($K$2:$K$10,INT(A1652))&gt;0),1,0)</f>
        <v>1</v>
      </c>
      <c r="G1652" s="34" t="n">
        <f aca="false">B1652/1</f>
        <v>196.088</v>
      </c>
      <c r="H1652" s="34" t="n">
        <f aca="false">IF(F1652=1,G1652,"")</f>
        <v>196.088</v>
      </c>
    </row>
    <row r="1653" customFormat="false" ht="15" hidden="false" customHeight="false" outlineLevel="0" collapsed="false">
      <c r="A1653" s="31" t="n">
        <v>42804.7916666667</v>
      </c>
      <c r="B1653" s="32" t="n">
        <v>191.106</v>
      </c>
      <c r="D1653" s="33" t="n">
        <f aca="false">WEEKDAY(A1653,2)</f>
        <v>5</v>
      </c>
      <c r="E1653" s="33" t="n">
        <f aca="false">HOUR(A1653)+MINUTE(A1653)/60</f>
        <v>19</v>
      </c>
      <c r="F1653" s="33" t="n">
        <f aca="false">IF(OR(D1653&gt;5,E1653&lt;8,E1653&gt;=18,COUNTIF($K$2:$K$10,INT(A1653))&gt;0),1,0)</f>
        <v>1</v>
      </c>
      <c r="G1653" s="34" t="n">
        <f aca="false">B1653/1</f>
        <v>191.106</v>
      </c>
      <c r="H1653" s="34" t="n">
        <f aca="false">IF(F1653=1,G1653,"")</f>
        <v>191.106</v>
      </c>
    </row>
    <row r="1654" customFormat="false" ht="15" hidden="false" customHeight="false" outlineLevel="0" collapsed="false">
      <c r="A1654" s="31" t="n">
        <v>42804.8333333333</v>
      </c>
      <c r="B1654" s="32" t="n">
        <v>187.036</v>
      </c>
      <c r="D1654" s="33" t="n">
        <f aca="false">WEEKDAY(A1654,2)</f>
        <v>5</v>
      </c>
      <c r="E1654" s="33" t="n">
        <f aca="false">HOUR(A1654)+MINUTE(A1654)/60</f>
        <v>20</v>
      </c>
      <c r="F1654" s="33" t="n">
        <f aca="false">IF(OR(D1654&gt;5,E1654&lt;8,E1654&gt;=18,COUNTIF($K$2:$K$10,INT(A1654))&gt;0),1,0)</f>
        <v>1</v>
      </c>
      <c r="G1654" s="34" t="n">
        <f aca="false">B1654/1</f>
        <v>187.036</v>
      </c>
      <c r="H1654" s="34" t="n">
        <f aca="false">IF(F1654=1,G1654,"")</f>
        <v>187.036</v>
      </c>
    </row>
    <row r="1655" customFormat="false" ht="15" hidden="false" customHeight="false" outlineLevel="0" collapsed="false">
      <c r="A1655" s="31" t="n">
        <v>42804.875</v>
      </c>
      <c r="B1655" s="32" t="n">
        <v>184.638</v>
      </c>
      <c r="D1655" s="33" t="n">
        <f aca="false">WEEKDAY(A1655,2)</f>
        <v>5</v>
      </c>
      <c r="E1655" s="33" t="n">
        <f aca="false">HOUR(A1655)+MINUTE(A1655)/60</f>
        <v>21</v>
      </c>
      <c r="F1655" s="33" t="n">
        <f aca="false">IF(OR(D1655&gt;5,E1655&lt;8,E1655&gt;=18,COUNTIF($K$2:$K$10,INT(A1655))&gt;0),1,0)</f>
        <v>1</v>
      </c>
      <c r="G1655" s="34" t="n">
        <f aca="false">B1655/1</f>
        <v>184.638</v>
      </c>
      <c r="H1655" s="34" t="n">
        <f aca="false">IF(F1655=1,G1655,"")</f>
        <v>184.638</v>
      </c>
    </row>
    <row r="1656" customFormat="false" ht="15" hidden="false" customHeight="false" outlineLevel="0" collapsed="false">
      <c r="A1656" s="31" t="n">
        <v>42804.9166666667</v>
      </c>
      <c r="B1656" s="32" t="n">
        <v>131.289</v>
      </c>
      <c r="D1656" s="33" t="n">
        <f aca="false">WEEKDAY(A1656,2)</f>
        <v>5</v>
      </c>
      <c r="E1656" s="33" t="n">
        <f aca="false">HOUR(A1656)+MINUTE(A1656)/60</f>
        <v>22</v>
      </c>
      <c r="F1656" s="33" t="n">
        <f aca="false">IF(OR(D1656&gt;5,E1656&lt;8,E1656&gt;=18,COUNTIF($K$2:$K$10,INT(A1656))&gt;0),1,0)</f>
        <v>1</v>
      </c>
      <c r="G1656" s="34" t="n">
        <f aca="false">B1656/1</f>
        <v>131.289</v>
      </c>
      <c r="H1656" s="34" t="n">
        <f aca="false">IF(F1656=1,G1656,"")</f>
        <v>131.289</v>
      </c>
    </row>
    <row r="1657" customFormat="false" ht="15" hidden="false" customHeight="false" outlineLevel="0" collapsed="false">
      <c r="A1657" s="31" t="n">
        <v>42804.9583333333</v>
      </c>
      <c r="B1657" s="32" t="n">
        <v>71.311</v>
      </c>
      <c r="D1657" s="33" t="n">
        <f aca="false">WEEKDAY(A1657,2)</f>
        <v>5</v>
      </c>
      <c r="E1657" s="33" t="n">
        <f aca="false">HOUR(A1657)+MINUTE(A1657)/60</f>
        <v>23</v>
      </c>
      <c r="F1657" s="33" t="n">
        <f aca="false">IF(OR(D1657&gt;5,E1657&lt;8,E1657&gt;=18,COUNTIF($K$2:$K$10,INT(A1657))&gt;0),1,0)</f>
        <v>1</v>
      </c>
      <c r="G1657" s="34" t="n">
        <f aca="false">B1657/1</f>
        <v>71.311</v>
      </c>
      <c r="H1657" s="34" t="n">
        <f aca="false">IF(F1657=1,G1657,"")</f>
        <v>71.311</v>
      </c>
    </row>
    <row r="1658" customFormat="false" ht="15" hidden="false" customHeight="false" outlineLevel="0" collapsed="false">
      <c r="A1658" s="31" t="n">
        <v>42805</v>
      </c>
      <c r="B1658" s="32" t="n">
        <v>68.017</v>
      </c>
      <c r="D1658" s="33" t="n">
        <f aca="false">WEEKDAY(A1658,2)</f>
        <v>6</v>
      </c>
      <c r="E1658" s="33" t="n">
        <f aca="false">HOUR(A1658)+MINUTE(A1658)/60</f>
        <v>0</v>
      </c>
      <c r="F1658" s="33" t="n">
        <f aca="false">IF(OR(D1658&gt;5,E1658&lt;8,E1658&gt;=18,COUNTIF($K$2:$K$10,INT(A1658))&gt;0),1,0)</f>
        <v>1</v>
      </c>
      <c r="G1658" s="34" t="n">
        <f aca="false">B1658/1</f>
        <v>68.017</v>
      </c>
      <c r="H1658" s="34" t="n">
        <f aca="false">IF(F1658=1,G1658,"")</f>
        <v>68.017</v>
      </c>
    </row>
    <row r="1659" customFormat="false" ht="15" hidden="false" customHeight="false" outlineLevel="0" collapsed="false">
      <c r="A1659" s="31" t="n">
        <v>42805.0416666667</v>
      </c>
      <c r="B1659" s="32" t="n">
        <v>64.719</v>
      </c>
      <c r="D1659" s="33" t="n">
        <f aca="false">WEEKDAY(A1659,2)</f>
        <v>6</v>
      </c>
      <c r="E1659" s="33" t="n">
        <f aca="false">HOUR(A1659)+MINUTE(A1659)/60</f>
        <v>1</v>
      </c>
      <c r="F1659" s="33" t="n">
        <f aca="false">IF(OR(D1659&gt;5,E1659&lt;8,E1659&gt;=18,COUNTIF($K$2:$K$10,INT(A1659))&gt;0),1,0)</f>
        <v>1</v>
      </c>
      <c r="G1659" s="34" t="n">
        <f aca="false">B1659/1</f>
        <v>64.719</v>
      </c>
      <c r="H1659" s="34" t="n">
        <f aca="false">IF(F1659=1,G1659,"")</f>
        <v>64.719</v>
      </c>
    </row>
    <row r="1660" customFormat="false" ht="15" hidden="false" customHeight="false" outlineLevel="0" collapsed="false">
      <c r="A1660" s="31" t="n">
        <v>42805.0833333333</v>
      </c>
      <c r="B1660" s="32" t="n">
        <v>65.312</v>
      </c>
      <c r="D1660" s="33" t="n">
        <f aca="false">WEEKDAY(A1660,2)</f>
        <v>6</v>
      </c>
      <c r="E1660" s="33" t="n">
        <f aca="false">HOUR(A1660)+MINUTE(A1660)/60</f>
        <v>2</v>
      </c>
      <c r="F1660" s="33" t="n">
        <f aca="false">IF(OR(D1660&gt;5,E1660&lt;8,E1660&gt;=18,COUNTIF($K$2:$K$10,INT(A1660))&gt;0),1,0)</f>
        <v>1</v>
      </c>
      <c r="G1660" s="34" t="n">
        <f aca="false">B1660/1</f>
        <v>65.312</v>
      </c>
      <c r="H1660" s="34" t="n">
        <f aca="false">IF(F1660=1,G1660,"")</f>
        <v>65.312</v>
      </c>
    </row>
    <row r="1661" customFormat="false" ht="15" hidden="false" customHeight="false" outlineLevel="0" collapsed="false">
      <c r="A1661" s="31" t="n">
        <v>42805.125</v>
      </c>
      <c r="B1661" s="32" t="n">
        <v>66.392</v>
      </c>
      <c r="D1661" s="33" t="n">
        <f aca="false">WEEKDAY(A1661,2)</f>
        <v>6</v>
      </c>
      <c r="E1661" s="33" t="n">
        <f aca="false">HOUR(A1661)+MINUTE(A1661)/60</f>
        <v>3</v>
      </c>
      <c r="F1661" s="33" t="n">
        <f aca="false">IF(OR(D1661&gt;5,E1661&lt;8,E1661&gt;=18,COUNTIF($K$2:$K$10,INT(A1661))&gt;0),1,0)</f>
        <v>1</v>
      </c>
      <c r="G1661" s="34" t="n">
        <f aca="false">B1661/1</f>
        <v>66.392</v>
      </c>
      <c r="H1661" s="34" t="n">
        <f aca="false">IF(F1661=1,G1661,"")</f>
        <v>66.392</v>
      </c>
    </row>
    <row r="1662" customFormat="false" ht="15" hidden="false" customHeight="false" outlineLevel="0" collapsed="false">
      <c r="A1662" s="31" t="n">
        <v>42805.1666666667</v>
      </c>
      <c r="B1662" s="32" t="n">
        <v>66.283</v>
      </c>
      <c r="D1662" s="33" t="n">
        <f aca="false">WEEKDAY(A1662,2)</f>
        <v>6</v>
      </c>
      <c r="E1662" s="33" t="n">
        <f aca="false">HOUR(A1662)+MINUTE(A1662)/60</f>
        <v>4</v>
      </c>
      <c r="F1662" s="33" t="n">
        <f aca="false">IF(OR(D1662&gt;5,E1662&lt;8,E1662&gt;=18,COUNTIF($K$2:$K$10,INT(A1662))&gt;0),1,0)</f>
        <v>1</v>
      </c>
      <c r="G1662" s="34" t="n">
        <f aca="false">B1662/1</f>
        <v>66.283</v>
      </c>
      <c r="H1662" s="34" t="n">
        <f aca="false">IF(F1662=1,G1662,"")</f>
        <v>66.283</v>
      </c>
    </row>
    <row r="1663" customFormat="false" ht="15" hidden="false" customHeight="false" outlineLevel="0" collapsed="false">
      <c r="A1663" s="31" t="n">
        <v>42805.2083333333</v>
      </c>
      <c r="B1663" s="32" t="n">
        <v>65.256</v>
      </c>
      <c r="D1663" s="33" t="n">
        <f aca="false">WEEKDAY(A1663,2)</f>
        <v>6</v>
      </c>
      <c r="E1663" s="33" t="n">
        <f aca="false">HOUR(A1663)+MINUTE(A1663)/60</f>
        <v>5</v>
      </c>
      <c r="F1663" s="33" t="n">
        <f aca="false">IF(OR(D1663&gt;5,E1663&lt;8,E1663&gt;=18,COUNTIF($K$2:$K$10,INT(A1663))&gt;0),1,0)</f>
        <v>1</v>
      </c>
      <c r="G1663" s="34" t="n">
        <f aca="false">B1663/1</f>
        <v>65.256</v>
      </c>
      <c r="H1663" s="34" t="n">
        <f aca="false">IF(F1663=1,G1663,"")</f>
        <v>65.256</v>
      </c>
    </row>
    <row r="1664" customFormat="false" ht="15" hidden="false" customHeight="false" outlineLevel="0" collapsed="false">
      <c r="A1664" s="31" t="n">
        <v>42805.25</v>
      </c>
      <c r="B1664" s="32" t="n">
        <v>64.563</v>
      </c>
      <c r="D1664" s="33" t="n">
        <f aca="false">WEEKDAY(A1664,2)</f>
        <v>6</v>
      </c>
      <c r="E1664" s="33" t="n">
        <f aca="false">HOUR(A1664)+MINUTE(A1664)/60</f>
        <v>6</v>
      </c>
      <c r="F1664" s="33" t="n">
        <f aca="false">IF(OR(D1664&gt;5,E1664&lt;8,E1664&gt;=18,COUNTIF($K$2:$K$10,INT(A1664))&gt;0),1,0)</f>
        <v>1</v>
      </c>
      <c r="G1664" s="34" t="n">
        <f aca="false">B1664/1</f>
        <v>64.563</v>
      </c>
      <c r="H1664" s="34" t="n">
        <f aca="false">IF(F1664=1,G1664,"")</f>
        <v>64.563</v>
      </c>
    </row>
    <row r="1665" customFormat="false" ht="15" hidden="false" customHeight="false" outlineLevel="0" collapsed="false">
      <c r="A1665" s="31" t="n">
        <v>42805.2916666667</v>
      </c>
      <c r="B1665" s="32" t="n">
        <v>64.922</v>
      </c>
      <c r="D1665" s="33" t="n">
        <f aca="false">WEEKDAY(A1665,2)</f>
        <v>6</v>
      </c>
      <c r="E1665" s="33" t="n">
        <f aca="false">HOUR(A1665)+MINUTE(A1665)/60</f>
        <v>7</v>
      </c>
      <c r="F1665" s="33" t="n">
        <f aca="false">IF(OR(D1665&gt;5,E1665&lt;8,E1665&gt;=18,COUNTIF($K$2:$K$10,INT(A1665))&gt;0),1,0)</f>
        <v>1</v>
      </c>
      <c r="G1665" s="34" t="n">
        <f aca="false">B1665/1</f>
        <v>64.922</v>
      </c>
      <c r="H1665" s="34" t="n">
        <f aca="false">IF(F1665=1,G1665,"")</f>
        <v>64.922</v>
      </c>
    </row>
    <row r="1666" customFormat="false" ht="15" hidden="false" customHeight="false" outlineLevel="0" collapsed="false">
      <c r="A1666" s="31" t="n">
        <v>42805.3333333333</v>
      </c>
      <c r="B1666" s="32" t="n">
        <v>129.253</v>
      </c>
      <c r="D1666" s="33" t="n">
        <f aca="false">WEEKDAY(A1666,2)</f>
        <v>6</v>
      </c>
      <c r="E1666" s="33" t="n">
        <f aca="false">HOUR(A1666)+MINUTE(A1666)/60</f>
        <v>8</v>
      </c>
      <c r="F1666" s="33" t="n">
        <f aca="false">IF(OR(D1666&gt;5,E1666&lt;8,E1666&gt;=18,COUNTIF($K$2:$K$10,INT(A1666))&gt;0),1,0)</f>
        <v>1</v>
      </c>
      <c r="G1666" s="34" t="n">
        <f aca="false">B1666/1</f>
        <v>129.253</v>
      </c>
      <c r="H1666" s="34" t="n">
        <f aca="false">IF(F1666=1,G1666,"")</f>
        <v>129.253</v>
      </c>
    </row>
    <row r="1667" customFormat="false" ht="15" hidden="false" customHeight="false" outlineLevel="0" collapsed="false">
      <c r="A1667" s="31" t="n">
        <v>42805.375</v>
      </c>
      <c r="B1667" s="32" t="n">
        <v>169.424</v>
      </c>
      <c r="D1667" s="33" t="n">
        <f aca="false">WEEKDAY(A1667,2)</f>
        <v>6</v>
      </c>
      <c r="E1667" s="33" t="n">
        <f aca="false">HOUR(A1667)+MINUTE(A1667)/60</f>
        <v>9</v>
      </c>
      <c r="F1667" s="33" t="n">
        <f aca="false">IF(OR(D1667&gt;5,E1667&lt;8,E1667&gt;=18,COUNTIF($K$2:$K$10,INT(A1667))&gt;0),1,0)</f>
        <v>1</v>
      </c>
      <c r="G1667" s="34" t="n">
        <f aca="false">B1667/1</f>
        <v>169.424</v>
      </c>
      <c r="H1667" s="34" t="n">
        <f aca="false">IF(F1667=1,G1667,"")</f>
        <v>169.424</v>
      </c>
    </row>
    <row r="1668" customFormat="false" ht="15" hidden="false" customHeight="false" outlineLevel="0" collapsed="false">
      <c r="A1668" s="31" t="n">
        <v>42805.4166666667</v>
      </c>
      <c r="B1668" s="32" t="n">
        <v>176.355</v>
      </c>
      <c r="D1668" s="33" t="n">
        <f aca="false">WEEKDAY(A1668,2)</f>
        <v>6</v>
      </c>
      <c r="E1668" s="33" t="n">
        <f aca="false">HOUR(A1668)+MINUTE(A1668)/60</f>
        <v>10</v>
      </c>
      <c r="F1668" s="33" t="n">
        <f aca="false">IF(OR(D1668&gt;5,E1668&lt;8,E1668&gt;=18,COUNTIF($K$2:$K$10,INT(A1668))&gt;0),1,0)</f>
        <v>1</v>
      </c>
      <c r="G1668" s="34" t="n">
        <f aca="false">B1668/1</f>
        <v>176.355</v>
      </c>
      <c r="H1668" s="34" t="n">
        <f aca="false">IF(F1668=1,G1668,"")</f>
        <v>176.355</v>
      </c>
    </row>
    <row r="1669" customFormat="false" ht="15" hidden="false" customHeight="false" outlineLevel="0" collapsed="false">
      <c r="A1669" s="31" t="n">
        <v>42805.4583333333</v>
      </c>
      <c r="B1669" s="32" t="n">
        <v>178.817</v>
      </c>
      <c r="D1669" s="33" t="n">
        <f aca="false">WEEKDAY(A1669,2)</f>
        <v>6</v>
      </c>
      <c r="E1669" s="33" t="n">
        <f aca="false">HOUR(A1669)+MINUTE(A1669)/60</f>
        <v>11</v>
      </c>
      <c r="F1669" s="33" t="n">
        <f aca="false">IF(OR(D1669&gt;5,E1669&lt;8,E1669&gt;=18,COUNTIF($K$2:$K$10,INT(A1669))&gt;0),1,0)</f>
        <v>1</v>
      </c>
      <c r="G1669" s="34" t="n">
        <f aca="false">B1669/1</f>
        <v>178.817</v>
      </c>
      <c r="H1669" s="34" t="n">
        <f aca="false">IF(F1669=1,G1669,"")</f>
        <v>178.817</v>
      </c>
    </row>
    <row r="1670" customFormat="false" ht="15" hidden="false" customHeight="false" outlineLevel="0" collapsed="false">
      <c r="A1670" s="31" t="n">
        <v>42805.5</v>
      </c>
      <c r="B1670" s="32" t="n">
        <v>179.343</v>
      </c>
      <c r="D1670" s="33" t="n">
        <f aca="false">WEEKDAY(A1670,2)</f>
        <v>6</v>
      </c>
      <c r="E1670" s="33" t="n">
        <f aca="false">HOUR(A1670)+MINUTE(A1670)/60</f>
        <v>12</v>
      </c>
      <c r="F1670" s="33" t="n">
        <f aca="false">IF(OR(D1670&gt;5,E1670&lt;8,E1670&gt;=18,COUNTIF($K$2:$K$10,INT(A1670))&gt;0),1,0)</f>
        <v>1</v>
      </c>
      <c r="G1670" s="34" t="n">
        <f aca="false">B1670/1</f>
        <v>179.343</v>
      </c>
      <c r="H1670" s="34" t="n">
        <f aca="false">IF(F1670=1,G1670,"")</f>
        <v>179.343</v>
      </c>
    </row>
    <row r="1671" customFormat="false" ht="15" hidden="false" customHeight="false" outlineLevel="0" collapsed="false">
      <c r="A1671" s="31" t="n">
        <v>42805.5416666667</v>
      </c>
      <c r="B1671" s="32" t="n">
        <v>178.546</v>
      </c>
      <c r="D1671" s="33" t="n">
        <f aca="false">WEEKDAY(A1671,2)</f>
        <v>6</v>
      </c>
      <c r="E1671" s="33" t="n">
        <f aca="false">HOUR(A1671)+MINUTE(A1671)/60</f>
        <v>13</v>
      </c>
      <c r="F1671" s="33" t="n">
        <f aca="false">IF(OR(D1671&gt;5,E1671&lt;8,E1671&gt;=18,COUNTIF($K$2:$K$10,INT(A1671))&gt;0),1,0)</f>
        <v>1</v>
      </c>
      <c r="G1671" s="34" t="n">
        <f aca="false">B1671/1</f>
        <v>178.546</v>
      </c>
      <c r="H1671" s="34" t="n">
        <f aca="false">IF(F1671=1,G1671,"")</f>
        <v>178.546</v>
      </c>
    </row>
    <row r="1672" customFormat="false" ht="15" hidden="false" customHeight="false" outlineLevel="0" collapsed="false">
      <c r="A1672" s="31" t="n">
        <v>42805.5833333333</v>
      </c>
      <c r="B1672" s="32" t="n">
        <v>173.357</v>
      </c>
      <c r="D1672" s="33" t="n">
        <f aca="false">WEEKDAY(A1672,2)</f>
        <v>6</v>
      </c>
      <c r="E1672" s="33" t="n">
        <f aca="false">HOUR(A1672)+MINUTE(A1672)/60</f>
        <v>14</v>
      </c>
      <c r="F1672" s="33" t="n">
        <f aca="false">IF(OR(D1672&gt;5,E1672&lt;8,E1672&gt;=18,COUNTIF($K$2:$K$10,INT(A1672))&gt;0),1,0)</f>
        <v>1</v>
      </c>
      <c r="G1672" s="34" t="n">
        <f aca="false">B1672/1</f>
        <v>173.357</v>
      </c>
      <c r="H1672" s="34" t="n">
        <f aca="false">IF(F1672=1,G1672,"")</f>
        <v>173.357</v>
      </c>
    </row>
    <row r="1673" customFormat="false" ht="15" hidden="false" customHeight="false" outlineLevel="0" collapsed="false">
      <c r="A1673" s="31" t="n">
        <v>42805.625</v>
      </c>
      <c r="B1673" s="32" t="n">
        <v>175.193</v>
      </c>
      <c r="D1673" s="33" t="n">
        <f aca="false">WEEKDAY(A1673,2)</f>
        <v>6</v>
      </c>
      <c r="E1673" s="33" t="n">
        <f aca="false">HOUR(A1673)+MINUTE(A1673)/60</f>
        <v>15</v>
      </c>
      <c r="F1673" s="33" t="n">
        <f aca="false">IF(OR(D1673&gt;5,E1673&lt;8,E1673&gt;=18,COUNTIF($K$2:$K$10,INT(A1673))&gt;0),1,0)</f>
        <v>1</v>
      </c>
      <c r="G1673" s="34" t="n">
        <f aca="false">B1673/1</f>
        <v>175.193</v>
      </c>
      <c r="H1673" s="34" t="n">
        <f aca="false">IF(F1673=1,G1673,"")</f>
        <v>175.193</v>
      </c>
    </row>
    <row r="1674" customFormat="false" ht="15" hidden="false" customHeight="false" outlineLevel="0" collapsed="false">
      <c r="A1674" s="31" t="n">
        <v>42805.6666666667</v>
      </c>
      <c r="B1674" s="32" t="n">
        <v>176.723</v>
      </c>
      <c r="D1674" s="33" t="n">
        <f aca="false">WEEKDAY(A1674,2)</f>
        <v>6</v>
      </c>
      <c r="E1674" s="33" t="n">
        <f aca="false">HOUR(A1674)+MINUTE(A1674)/60</f>
        <v>16</v>
      </c>
      <c r="F1674" s="33" t="n">
        <f aca="false">IF(OR(D1674&gt;5,E1674&lt;8,E1674&gt;=18,COUNTIF($K$2:$K$10,INT(A1674))&gt;0),1,0)</f>
        <v>1</v>
      </c>
      <c r="G1674" s="34" t="n">
        <f aca="false">B1674/1</f>
        <v>176.723</v>
      </c>
      <c r="H1674" s="34" t="n">
        <f aca="false">IF(F1674=1,G1674,"")</f>
        <v>176.723</v>
      </c>
    </row>
    <row r="1675" customFormat="false" ht="15" hidden="false" customHeight="false" outlineLevel="0" collapsed="false">
      <c r="A1675" s="31" t="n">
        <v>42805.7083333333</v>
      </c>
      <c r="B1675" s="32" t="n">
        <v>148.437</v>
      </c>
      <c r="D1675" s="33" t="n">
        <f aca="false">WEEKDAY(A1675,2)</f>
        <v>6</v>
      </c>
      <c r="E1675" s="33" t="n">
        <f aca="false">HOUR(A1675)+MINUTE(A1675)/60</f>
        <v>17</v>
      </c>
      <c r="F1675" s="33" t="n">
        <f aca="false">IF(OR(D1675&gt;5,E1675&lt;8,E1675&gt;=18,COUNTIF($K$2:$K$10,INT(A1675))&gt;0),1,0)</f>
        <v>1</v>
      </c>
      <c r="G1675" s="34" t="n">
        <f aca="false">B1675/1</f>
        <v>148.437</v>
      </c>
      <c r="H1675" s="34" t="n">
        <f aca="false">IF(F1675=1,G1675,"")</f>
        <v>148.437</v>
      </c>
    </row>
    <row r="1676" customFormat="false" ht="15" hidden="false" customHeight="false" outlineLevel="0" collapsed="false">
      <c r="A1676" s="31" t="n">
        <v>42805.75</v>
      </c>
      <c r="B1676" s="32" t="n">
        <v>77.099</v>
      </c>
      <c r="D1676" s="33" t="n">
        <f aca="false">WEEKDAY(A1676,2)</f>
        <v>6</v>
      </c>
      <c r="E1676" s="33" t="n">
        <f aca="false">HOUR(A1676)+MINUTE(A1676)/60</f>
        <v>18</v>
      </c>
      <c r="F1676" s="33" t="n">
        <f aca="false">IF(OR(D1676&gt;5,E1676&lt;8,E1676&gt;=18,COUNTIF($K$2:$K$10,INT(A1676))&gt;0),1,0)</f>
        <v>1</v>
      </c>
      <c r="G1676" s="34" t="n">
        <f aca="false">B1676/1</f>
        <v>77.099</v>
      </c>
      <c r="H1676" s="34" t="n">
        <f aca="false">IF(F1676=1,G1676,"")</f>
        <v>77.099</v>
      </c>
    </row>
    <row r="1677" customFormat="false" ht="15" hidden="false" customHeight="false" outlineLevel="0" collapsed="false">
      <c r="A1677" s="31" t="n">
        <v>42805.7916666667</v>
      </c>
      <c r="B1677" s="32" t="n">
        <v>65.296</v>
      </c>
      <c r="D1677" s="33" t="n">
        <f aca="false">WEEKDAY(A1677,2)</f>
        <v>6</v>
      </c>
      <c r="E1677" s="33" t="n">
        <f aca="false">HOUR(A1677)+MINUTE(A1677)/60</f>
        <v>19</v>
      </c>
      <c r="F1677" s="33" t="n">
        <f aca="false">IF(OR(D1677&gt;5,E1677&lt;8,E1677&gt;=18,COUNTIF($K$2:$K$10,INT(A1677))&gt;0),1,0)</f>
        <v>1</v>
      </c>
      <c r="G1677" s="34" t="n">
        <f aca="false">B1677/1</f>
        <v>65.296</v>
      </c>
      <c r="H1677" s="34" t="n">
        <f aca="false">IF(F1677=1,G1677,"")</f>
        <v>65.296</v>
      </c>
    </row>
    <row r="1678" customFormat="false" ht="15" hidden="false" customHeight="false" outlineLevel="0" collapsed="false">
      <c r="A1678" s="31" t="n">
        <v>42805.8333333333</v>
      </c>
      <c r="B1678" s="32" t="n">
        <v>65.234</v>
      </c>
      <c r="D1678" s="33" t="n">
        <f aca="false">WEEKDAY(A1678,2)</f>
        <v>6</v>
      </c>
      <c r="E1678" s="33" t="n">
        <f aca="false">HOUR(A1678)+MINUTE(A1678)/60</f>
        <v>20</v>
      </c>
      <c r="F1678" s="33" t="n">
        <f aca="false">IF(OR(D1678&gt;5,E1678&lt;8,E1678&gt;=18,COUNTIF($K$2:$K$10,INT(A1678))&gt;0),1,0)</f>
        <v>1</v>
      </c>
      <c r="G1678" s="34" t="n">
        <f aca="false">B1678/1</f>
        <v>65.234</v>
      </c>
      <c r="H1678" s="34" t="n">
        <f aca="false">IF(F1678=1,G1678,"")</f>
        <v>65.234</v>
      </c>
    </row>
    <row r="1679" customFormat="false" ht="15" hidden="false" customHeight="false" outlineLevel="0" collapsed="false">
      <c r="A1679" s="31" t="n">
        <v>42805.875</v>
      </c>
      <c r="B1679" s="32" t="n">
        <v>64.635</v>
      </c>
      <c r="D1679" s="33" t="n">
        <f aca="false">WEEKDAY(A1679,2)</f>
        <v>6</v>
      </c>
      <c r="E1679" s="33" t="n">
        <f aca="false">HOUR(A1679)+MINUTE(A1679)/60</f>
        <v>21</v>
      </c>
      <c r="F1679" s="33" t="n">
        <f aca="false">IF(OR(D1679&gt;5,E1679&lt;8,E1679&gt;=18,COUNTIF($K$2:$K$10,INT(A1679))&gt;0),1,0)</f>
        <v>1</v>
      </c>
      <c r="G1679" s="34" t="n">
        <f aca="false">B1679/1</f>
        <v>64.635</v>
      </c>
      <c r="H1679" s="34" t="n">
        <f aca="false">IF(F1679=1,G1679,"")</f>
        <v>64.635</v>
      </c>
    </row>
    <row r="1680" customFormat="false" ht="15" hidden="false" customHeight="false" outlineLevel="0" collapsed="false">
      <c r="A1680" s="31" t="n">
        <v>42805.9166666667</v>
      </c>
      <c r="B1680" s="32" t="n">
        <v>61.779</v>
      </c>
      <c r="D1680" s="33" t="n">
        <f aca="false">WEEKDAY(A1680,2)</f>
        <v>6</v>
      </c>
      <c r="E1680" s="33" t="n">
        <f aca="false">HOUR(A1680)+MINUTE(A1680)/60</f>
        <v>22</v>
      </c>
      <c r="F1680" s="33" t="n">
        <f aca="false">IF(OR(D1680&gt;5,E1680&lt;8,E1680&gt;=18,COUNTIF($K$2:$K$10,INT(A1680))&gt;0),1,0)</f>
        <v>1</v>
      </c>
      <c r="G1680" s="34" t="n">
        <f aca="false">B1680/1</f>
        <v>61.779</v>
      </c>
      <c r="H1680" s="34" t="n">
        <f aca="false">IF(F1680=1,G1680,"")</f>
        <v>61.779</v>
      </c>
    </row>
    <row r="1681" customFormat="false" ht="15" hidden="false" customHeight="false" outlineLevel="0" collapsed="false">
      <c r="A1681" s="31" t="n">
        <v>42805.9583333333</v>
      </c>
      <c r="B1681" s="32" t="n">
        <v>61.395</v>
      </c>
      <c r="D1681" s="33" t="n">
        <f aca="false">WEEKDAY(A1681,2)</f>
        <v>6</v>
      </c>
      <c r="E1681" s="33" t="n">
        <f aca="false">HOUR(A1681)+MINUTE(A1681)/60</f>
        <v>23</v>
      </c>
      <c r="F1681" s="33" t="n">
        <f aca="false">IF(OR(D1681&gt;5,E1681&lt;8,E1681&gt;=18,COUNTIF($K$2:$K$10,INT(A1681))&gt;0),1,0)</f>
        <v>1</v>
      </c>
      <c r="G1681" s="34" t="n">
        <f aca="false">B1681/1</f>
        <v>61.395</v>
      </c>
      <c r="H1681" s="34" t="n">
        <f aca="false">IF(F1681=1,G1681,"")</f>
        <v>61.395</v>
      </c>
    </row>
    <row r="1682" customFormat="false" ht="15" hidden="false" customHeight="false" outlineLevel="0" collapsed="false">
      <c r="A1682" s="31" t="n">
        <v>42806</v>
      </c>
      <c r="B1682" s="32" t="n">
        <v>60.961</v>
      </c>
      <c r="D1682" s="33" t="n">
        <f aca="false">WEEKDAY(A1682,2)</f>
        <v>7</v>
      </c>
      <c r="E1682" s="33" t="n">
        <f aca="false">HOUR(A1682)+MINUTE(A1682)/60</f>
        <v>0</v>
      </c>
      <c r="F1682" s="33" t="n">
        <f aca="false">IF(OR(D1682&gt;5,E1682&lt;8,E1682&gt;=18,COUNTIF($K$2:$K$10,INT(A1682))&gt;0),1,0)</f>
        <v>1</v>
      </c>
      <c r="G1682" s="34" t="n">
        <f aca="false">B1682/1</f>
        <v>60.961</v>
      </c>
      <c r="H1682" s="34" t="n">
        <f aca="false">IF(F1682=1,G1682,"")</f>
        <v>60.961</v>
      </c>
    </row>
    <row r="1683" customFormat="false" ht="15" hidden="false" customHeight="false" outlineLevel="0" collapsed="false">
      <c r="A1683" s="31" t="n">
        <v>42806.0416666667</v>
      </c>
      <c r="B1683" s="32" t="n">
        <v>61.404</v>
      </c>
      <c r="D1683" s="33" t="n">
        <f aca="false">WEEKDAY(A1683,2)</f>
        <v>7</v>
      </c>
      <c r="E1683" s="33" t="n">
        <f aca="false">HOUR(A1683)+MINUTE(A1683)/60</f>
        <v>1</v>
      </c>
      <c r="F1683" s="33" t="n">
        <f aca="false">IF(OR(D1683&gt;5,E1683&lt;8,E1683&gt;=18,COUNTIF($K$2:$K$10,INT(A1683))&gt;0),1,0)</f>
        <v>1</v>
      </c>
      <c r="G1683" s="34" t="n">
        <f aca="false">B1683/1</f>
        <v>61.404</v>
      </c>
      <c r="H1683" s="34" t="n">
        <f aca="false">IF(F1683=1,G1683,"")</f>
        <v>61.404</v>
      </c>
    </row>
    <row r="1684" customFormat="false" ht="15" hidden="false" customHeight="false" outlineLevel="0" collapsed="false">
      <c r="A1684" s="31" t="n">
        <v>42806.0833333333</v>
      </c>
      <c r="B1684" s="32" t="n">
        <v>31.0655</v>
      </c>
      <c r="D1684" s="33" t="n">
        <f aca="false">WEEKDAY(A1684,2)</f>
        <v>7</v>
      </c>
      <c r="E1684" s="33" t="n">
        <f aca="false">HOUR(A1684)+MINUTE(A1684)/60</f>
        <v>2</v>
      </c>
      <c r="F1684" s="33" t="n">
        <f aca="false">IF(OR(D1684&gt;5,E1684&lt;8,E1684&gt;=18,COUNTIF($K$2:$K$10,INT(A1684))&gt;0),1,0)</f>
        <v>1</v>
      </c>
      <c r="G1684" s="34" t="n">
        <f aca="false">B1684/1</f>
        <v>31.0655</v>
      </c>
      <c r="H1684" s="34" t="n">
        <f aca="false">IF(F1684=1,G1684,"")</f>
        <v>31.0655</v>
      </c>
    </row>
    <row r="1685" customFormat="false" ht="15" hidden="false" customHeight="false" outlineLevel="0" collapsed="false">
      <c r="A1685" s="31" t="n">
        <v>42806.125</v>
      </c>
      <c r="B1685" s="32" t="n">
        <v>31.0655</v>
      </c>
      <c r="D1685" s="33" t="n">
        <f aca="false">WEEKDAY(A1685,2)</f>
        <v>7</v>
      </c>
      <c r="E1685" s="33" t="n">
        <f aca="false">HOUR(A1685)+MINUTE(A1685)/60</f>
        <v>3</v>
      </c>
      <c r="F1685" s="33" t="n">
        <f aca="false">IF(OR(D1685&gt;5,E1685&lt;8,E1685&gt;=18,COUNTIF($K$2:$K$10,INT(A1685))&gt;0),1,0)</f>
        <v>1</v>
      </c>
      <c r="G1685" s="34" t="n">
        <f aca="false">B1685/1</f>
        <v>31.0655</v>
      </c>
      <c r="H1685" s="34" t="n">
        <f aca="false">IF(F1685=1,G1685,"")</f>
        <v>31.0655</v>
      </c>
    </row>
    <row r="1686" customFormat="false" ht="15" hidden="false" customHeight="false" outlineLevel="0" collapsed="false">
      <c r="A1686" s="31" t="n">
        <v>42806.1666666667</v>
      </c>
      <c r="B1686" s="32" t="n">
        <v>61.929</v>
      </c>
      <c r="D1686" s="33" t="n">
        <f aca="false">WEEKDAY(A1686,2)</f>
        <v>7</v>
      </c>
      <c r="E1686" s="33" t="n">
        <f aca="false">HOUR(A1686)+MINUTE(A1686)/60</f>
        <v>4</v>
      </c>
      <c r="F1686" s="33" t="n">
        <f aca="false">IF(OR(D1686&gt;5,E1686&lt;8,E1686&gt;=18,COUNTIF($K$2:$K$10,INT(A1686))&gt;0),1,0)</f>
        <v>1</v>
      </c>
      <c r="G1686" s="34" t="n">
        <f aca="false">B1686/1</f>
        <v>61.929</v>
      </c>
      <c r="H1686" s="34" t="n">
        <f aca="false">IF(F1686=1,G1686,"")</f>
        <v>61.929</v>
      </c>
    </row>
    <row r="1687" customFormat="false" ht="15" hidden="false" customHeight="false" outlineLevel="0" collapsed="false">
      <c r="A1687" s="31" t="n">
        <v>42806.2083333333</v>
      </c>
      <c r="B1687" s="32" t="n">
        <v>61.978</v>
      </c>
      <c r="D1687" s="33" t="n">
        <f aca="false">WEEKDAY(A1687,2)</f>
        <v>7</v>
      </c>
      <c r="E1687" s="33" t="n">
        <f aca="false">HOUR(A1687)+MINUTE(A1687)/60</f>
        <v>5</v>
      </c>
      <c r="F1687" s="33" t="n">
        <f aca="false">IF(OR(D1687&gt;5,E1687&lt;8,E1687&gt;=18,COUNTIF($K$2:$K$10,INT(A1687))&gt;0),1,0)</f>
        <v>1</v>
      </c>
      <c r="G1687" s="34" t="n">
        <f aca="false">B1687/1</f>
        <v>61.978</v>
      </c>
      <c r="H1687" s="34" t="n">
        <f aca="false">IF(F1687=1,G1687,"")</f>
        <v>61.978</v>
      </c>
    </row>
    <row r="1688" customFormat="false" ht="15" hidden="false" customHeight="false" outlineLevel="0" collapsed="false">
      <c r="A1688" s="31" t="n">
        <v>42806.25</v>
      </c>
      <c r="B1688" s="32" t="n">
        <v>61.868</v>
      </c>
      <c r="D1688" s="33" t="n">
        <f aca="false">WEEKDAY(A1688,2)</f>
        <v>7</v>
      </c>
      <c r="E1688" s="33" t="n">
        <f aca="false">HOUR(A1688)+MINUTE(A1688)/60</f>
        <v>6</v>
      </c>
      <c r="F1688" s="33" t="n">
        <f aca="false">IF(OR(D1688&gt;5,E1688&lt;8,E1688&gt;=18,COUNTIF($K$2:$K$10,INT(A1688))&gt;0),1,0)</f>
        <v>1</v>
      </c>
      <c r="G1688" s="34" t="n">
        <f aca="false">B1688/1</f>
        <v>61.868</v>
      </c>
      <c r="H1688" s="34" t="n">
        <f aca="false">IF(F1688=1,G1688,"")</f>
        <v>61.868</v>
      </c>
    </row>
    <row r="1689" customFormat="false" ht="15" hidden="false" customHeight="false" outlineLevel="0" collapsed="false">
      <c r="A1689" s="31" t="n">
        <v>42806.2916666667</v>
      </c>
      <c r="B1689" s="32" t="n">
        <v>61.505</v>
      </c>
      <c r="D1689" s="33" t="n">
        <f aca="false">WEEKDAY(A1689,2)</f>
        <v>7</v>
      </c>
      <c r="E1689" s="33" t="n">
        <f aca="false">HOUR(A1689)+MINUTE(A1689)/60</f>
        <v>7</v>
      </c>
      <c r="F1689" s="33" t="n">
        <f aca="false">IF(OR(D1689&gt;5,E1689&lt;8,E1689&gt;=18,COUNTIF($K$2:$K$10,INT(A1689))&gt;0),1,0)</f>
        <v>1</v>
      </c>
      <c r="G1689" s="34" t="n">
        <f aca="false">B1689/1</f>
        <v>61.505</v>
      </c>
      <c r="H1689" s="34" t="n">
        <f aca="false">IF(F1689=1,G1689,"")</f>
        <v>61.505</v>
      </c>
    </row>
    <row r="1690" customFormat="false" ht="15" hidden="false" customHeight="false" outlineLevel="0" collapsed="false">
      <c r="A1690" s="31" t="n">
        <v>42806.3333333333</v>
      </c>
      <c r="B1690" s="32" t="n">
        <v>60.759</v>
      </c>
      <c r="D1690" s="33" t="n">
        <f aca="false">WEEKDAY(A1690,2)</f>
        <v>7</v>
      </c>
      <c r="E1690" s="33" t="n">
        <f aca="false">HOUR(A1690)+MINUTE(A1690)/60</f>
        <v>8</v>
      </c>
      <c r="F1690" s="33" t="n">
        <f aca="false">IF(OR(D1690&gt;5,E1690&lt;8,E1690&gt;=18,COUNTIF($K$2:$K$10,INT(A1690))&gt;0),1,0)</f>
        <v>1</v>
      </c>
      <c r="G1690" s="34" t="n">
        <f aca="false">B1690/1</f>
        <v>60.759</v>
      </c>
      <c r="H1690" s="34" t="n">
        <f aca="false">IF(F1690=1,G1690,"")</f>
        <v>60.759</v>
      </c>
    </row>
    <row r="1691" customFormat="false" ht="15" hidden="false" customHeight="false" outlineLevel="0" collapsed="false">
      <c r="A1691" s="31" t="n">
        <v>42806.375</v>
      </c>
      <c r="B1691" s="32" t="n">
        <v>59.156</v>
      </c>
      <c r="D1691" s="33" t="n">
        <f aca="false">WEEKDAY(A1691,2)</f>
        <v>7</v>
      </c>
      <c r="E1691" s="33" t="n">
        <f aca="false">HOUR(A1691)+MINUTE(A1691)/60</f>
        <v>9</v>
      </c>
      <c r="F1691" s="33" t="n">
        <f aca="false">IF(OR(D1691&gt;5,E1691&lt;8,E1691&gt;=18,COUNTIF($K$2:$K$10,INT(A1691))&gt;0),1,0)</f>
        <v>1</v>
      </c>
      <c r="G1691" s="34" t="n">
        <f aca="false">B1691/1</f>
        <v>59.156</v>
      </c>
      <c r="H1691" s="34" t="n">
        <f aca="false">IF(F1691=1,G1691,"")</f>
        <v>59.156</v>
      </c>
    </row>
    <row r="1692" customFormat="false" ht="15" hidden="false" customHeight="false" outlineLevel="0" collapsed="false">
      <c r="A1692" s="31" t="n">
        <v>42806.4166666667</v>
      </c>
      <c r="B1692" s="32" t="n">
        <v>58.546</v>
      </c>
      <c r="D1692" s="33" t="n">
        <f aca="false">WEEKDAY(A1692,2)</f>
        <v>7</v>
      </c>
      <c r="E1692" s="33" t="n">
        <f aca="false">HOUR(A1692)+MINUTE(A1692)/60</f>
        <v>10</v>
      </c>
      <c r="F1692" s="33" t="n">
        <f aca="false">IF(OR(D1692&gt;5,E1692&lt;8,E1692&gt;=18,COUNTIF($K$2:$K$10,INT(A1692))&gt;0),1,0)</f>
        <v>1</v>
      </c>
      <c r="G1692" s="34" t="n">
        <f aca="false">B1692/1</f>
        <v>58.546</v>
      </c>
      <c r="H1692" s="34" t="n">
        <f aca="false">IF(F1692=1,G1692,"")</f>
        <v>58.546</v>
      </c>
    </row>
    <row r="1693" customFormat="false" ht="15" hidden="false" customHeight="false" outlineLevel="0" collapsed="false">
      <c r="A1693" s="31" t="n">
        <v>42806.4583333333</v>
      </c>
      <c r="B1693" s="32" t="n">
        <v>58.513</v>
      </c>
      <c r="D1693" s="33" t="n">
        <f aca="false">WEEKDAY(A1693,2)</f>
        <v>7</v>
      </c>
      <c r="E1693" s="33" t="n">
        <f aca="false">HOUR(A1693)+MINUTE(A1693)/60</f>
        <v>11</v>
      </c>
      <c r="F1693" s="33" t="n">
        <f aca="false">IF(OR(D1693&gt;5,E1693&lt;8,E1693&gt;=18,COUNTIF($K$2:$K$10,INT(A1693))&gt;0),1,0)</f>
        <v>1</v>
      </c>
      <c r="G1693" s="34" t="n">
        <f aca="false">B1693/1</f>
        <v>58.513</v>
      </c>
      <c r="H1693" s="34" t="n">
        <f aca="false">IF(F1693=1,G1693,"")</f>
        <v>58.513</v>
      </c>
    </row>
    <row r="1694" customFormat="false" ht="15" hidden="false" customHeight="false" outlineLevel="0" collapsed="false">
      <c r="A1694" s="31" t="n">
        <v>42806.5</v>
      </c>
      <c r="B1694" s="32" t="n">
        <v>59.582</v>
      </c>
      <c r="D1694" s="33" t="n">
        <f aca="false">WEEKDAY(A1694,2)</f>
        <v>7</v>
      </c>
      <c r="E1694" s="33" t="n">
        <f aca="false">HOUR(A1694)+MINUTE(A1694)/60</f>
        <v>12</v>
      </c>
      <c r="F1694" s="33" t="n">
        <f aca="false">IF(OR(D1694&gt;5,E1694&lt;8,E1694&gt;=18,COUNTIF($K$2:$K$10,INT(A1694))&gt;0),1,0)</f>
        <v>1</v>
      </c>
      <c r="G1694" s="34" t="n">
        <f aca="false">B1694/1</f>
        <v>59.582</v>
      </c>
      <c r="H1694" s="34" t="n">
        <f aca="false">IF(F1694=1,G1694,"")</f>
        <v>59.582</v>
      </c>
    </row>
    <row r="1695" customFormat="false" ht="15" hidden="false" customHeight="false" outlineLevel="0" collapsed="false">
      <c r="A1695" s="31" t="n">
        <v>42806.5416666667</v>
      </c>
      <c r="B1695" s="32" t="n">
        <v>104.097</v>
      </c>
      <c r="D1695" s="33" t="n">
        <f aca="false">WEEKDAY(A1695,2)</f>
        <v>7</v>
      </c>
      <c r="E1695" s="33" t="n">
        <f aca="false">HOUR(A1695)+MINUTE(A1695)/60</f>
        <v>13</v>
      </c>
      <c r="F1695" s="33" t="n">
        <f aca="false">IF(OR(D1695&gt;5,E1695&lt;8,E1695&gt;=18,COUNTIF($K$2:$K$10,INT(A1695))&gt;0),1,0)</f>
        <v>1</v>
      </c>
      <c r="G1695" s="34" t="n">
        <f aca="false">B1695/1</f>
        <v>104.097</v>
      </c>
      <c r="H1695" s="34" t="n">
        <f aca="false">IF(F1695=1,G1695,"")</f>
        <v>104.097</v>
      </c>
    </row>
    <row r="1696" customFormat="false" ht="15" hidden="false" customHeight="false" outlineLevel="0" collapsed="false">
      <c r="A1696" s="31" t="n">
        <v>42806.5833333333</v>
      </c>
      <c r="B1696" s="32" t="n">
        <v>135.252</v>
      </c>
      <c r="D1696" s="33" t="n">
        <f aca="false">WEEKDAY(A1696,2)</f>
        <v>7</v>
      </c>
      <c r="E1696" s="33" t="n">
        <f aca="false">HOUR(A1696)+MINUTE(A1696)/60</f>
        <v>14</v>
      </c>
      <c r="F1696" s="33" t="n">
        <f aca="false">IF(OR(D1696&gt;5,E1696&lt;8,E1696&gt;=18,COUNTIF($K$2:$K$10,INT(A1696))&gt;0),1,0)</f>
        <v>1</v>
      </c>
      <c r="G1696" s="34" t="n">
        <f aca="false">B1696/1</f>
        <v>135.252</v>
      </c>
      <c r="H1696" s="34" t="n">
        <f aca="false">IF(F1696=1,G1696,"")</f>
        <v>135.252</v>
      </c>
    </row>
    <row r="1697" customFormat="false" ht="15" hidden="false" customHeight="false" outlineLevel="0" collapsed="false">
      <c r="A1697" s="31" t="n">
        <v>42806.625</v>
      </c>
      <c r="B1697" s="32" t="n">
        <v>135.827</v>
      </c>
      <c r="D1697" s="33" t="n">
        <f aca="false">WEEKDAY(A1697,2)</f>
        <v>7</v>
      </c>
      <c r="E1697" s="33" t="n">
        <f aca="false">HOUR(A1697)+MINUTE(A1697)/60</f>
        <v>15</v>
      </c>
      <c r="F1697" s="33" t="n">
        <f aca="false">IF(OR(D1697&gt;5,E1697&lt;8,E1697&gt;=18,COUNTIF($K$2:$K$10,INT(A1697))&gt;0),1,0)</f>
        <v>1</v>
      </c>
      <c r="G1697" s="34" t="n">
        <f aca="false">B1697/1</f>
        <v>135.827</v>
      </c>
      <c r="H1697" s="34" t="n">
        <f aca="false">IF(F1697=1,G1697,"")</f>
        <v>135.827</v>
      </c>
    </row>
    <row r="1698" customFormat="false" ht="15" hidden="false" customHeight="false" outlineLevel="0" collapsed="false">
      <c r="A1698" s="31" t="n">
        <v>42806.6666666667</v>
      </c>
      <c r="B1698" s="32" t="n">
        <v>137.236</v>
      </c>
      <c r="D1698" s="33" t="n">
        <f aca="false">WEEKDAY(A1698,2)</f>
        <v>7</v>
      </c>
      <c r="E1698" s="33" t="n">
        <f aca="false">HOUR(A1698)+MINUTE(A1698)/60</f>
        <v>16</v>
      </c>
      <c r="F1698" s="33" t="n">
        <f aca="false">IF(OR(D1698&gt;5,E1698&lt;8,E1698&gt;=18,COUNTIF($K$2:$K$10,INT(A1698))&gt;0),1,0)</f>
        <v>1</v>
      </c>
      <c r="G1698" s="34" t="n">
        <f aca="false">B1698/1</f>
        <v>137.236</v>
      </c>
      <c r="H1698" s="34" t="n">
        <f aca="false">IF(F1698=1,G1698,"")</f>
        <v>137.236</v>
      </c>
    </row>
    <row r="1699" customFormat="false" ht="15" hidden="false" customHeight="false" outlineLevel="0" collapsed="false">
      <c r="A1699" s="31" t="n">
        <v>42806.7083333333</v>
      </c>
      <c r="B1699" s="32" t="n">
        <v>135.802</v>
      </c>
      <c r="D1699" s="33" t="n">
        <f aca="false">WEEKDAY(A1699,2)</f>
        <v>7</v>
      </c>
      <c r="E1699" s="33" t="n">
        <f aca="false">HOUR(A1699)+MINUTE(A1699)/60</f>
        <v>17</v>
      </c>
      <c r="F1699" s="33" t="n">
        <f aca="false">IF(OR(D1699&gt;5,E1699&lt;8,E1699&gt;=18,COUNTIF($K$2:$K$10,INT(A1699))&gt;0),1,0)</f>
        <v>1</v>
      </c>
      <c r="G1699" s="34" t="n">
        <f aca="false">B1699/1</f>
        <v>135.802</v>
      </c>
      <c r="H1699" s="34" t="n">
        <f aca="false">IF(F1699=1,G1699,"")</f>
        <v>135.802</v>
      </c>
    </row>
    <row r="1700" customFormat="false" ht="15" hidden="false" customHeight="false" outlineLevel="0" collapsed="false">
      <c r="A1700" s="31" t="n">
        <v>42806.75</v>
      </c>
      <c r="B1700" s="32" t="n">
        <v>68.553</v>
      </c>
      <c r="D1700" s="33" t="n">
        <f aca="false">WEEKDAY(A1700,2)</f>
        <v>7</v>
      </c>
      <c r="E1700" s="33" t="n">
        <f aca="false">HOUR(A1700)+MINUTE(A1700)/60</f>
        <v>18</v>
      </c>
      <c r="F1700" s="33" t="n">
        <f aca="false">IF(OR(D1700&gt;5,E1700&lt;8,E1700&gt;=18,COUNTIF($K$2:$K$10,INT(A1700))&gt;0),1,0)</f>
        <v>1</v>
      </c>
      <c r="G1700" s="34" t="n">
        <f aca="false">B1700/1</f>
        <v>68.553</v>
      </c>
      <c r="H1700" s="34" t="n">
        <f aca="false">IF(F1700=1,G1700,"")</f>
        <v>68.553</v>
      </c>
    </row>
    <row r="1701" customFormat="false" ht="15" hidden="false" customHeight="false" outlineLevel="0" collapsed="false">
      <c r="A1701" s="31" t="n">
        <v>42806.7916666667</v>
      </c>
      <c r="B1701" s="32" t="n">
        <v>58.919</v>
      </c>
      <c r="D1701" s="33" t="n">
        <f aca="false">WEEKDAY(A1701,2)</f>
        <v>7</v>
      </c>
      <c r="E1701" s="33" t="n">
        <f aca="false">HOUR(A1701)+MINUTE(A1701)/60</f>
        <v>19</v>
      </c>
      <c r="F1701" s="33" t="n">
        <f aca="false">IF(OR(D1701&gt;5,E1701&lt;8,E1701&gt;=18,COUNTIF($K$2:$K$10,INT(A1701))&gt;0),1,0)</f>
        <v>1</v>
      </c>
      <c r="G1701" s="34" t="n">
        <f aca="false">B1701/1</f>
        <v>58.919</v>
      </c>
      <c r="H1701" s="34" t="n">
        <f aca="false">IF(F1701=1,G1701,"")</f>
        <v>58.919</v>
      </c>
    </row>
    <row r="1702" customFormat="false" ht="15" hidden="false" customHeight="false" outlineLevel="0" collapsed="false">
      <c r="A1702" s="31" t="n">
        <v>42806.8333333333</v>
      </c>
      <c r="B1702" s="32" t="n">
        <v>61.307</v>
      </c>
      <c r="D1702" s="33" t="n">
        <f aca="false">WEEKDAY(A1702,2)</f>
        <v>7</v>
      </c>
      <c r="E1702" s="33" t="n">
        <f aca="false">HOUR(A1702)+MINUTE(A1702)/60</f>
        <v>20</v>
      </c>
      <c r="F1702" s="33" t="n">
        <f aca="false">IF(OR(D1702&gt;5,E1702&lt;8,E1702&gt;=18,COUNTIF($K$2:$K$10,INT(A1702))&gt;0),1,0)</f>
        <v>1</v>
      </c>
      <c r="G1702" s="34" t="n">
        <f aca="false">B1702/1</f>
        <v>61.307</v>
      </c>
      <c r="H1702" s="34" t="n">
        <f aca="false">IF(F1702=1,G1702,"")</f>
        <v>61.307</v>
      </c>
    </row>
    <row r="1703" customFormat="false" ht="15" hidden="false" customHeight="false" outlineLevel="0" collapsed="false">
      <c r="A1703" s="31" t="n">
        <v>42806.875</v>
      </c>
      <c r="B1703" s="32" t="n">
        <v>61.398</v>
      </c>
      <c r="D1703" s="33" t="n">
        <f aca="false">WEEKDAY(A1703,2)</f>
        <v>7</v>
      </c>
      <c r="E1703" s="33" t="n">
        <f aca="false">HOUR(A1703)+MINUTE(A1703)/60</f>
        <v>21</v>
      </c>
      <c r="F1703" s="33" t="n">
        <f aca="false">IF(OR(D1703&gt;5,E1703&lt;8,E1703&gt;=18,COUNTIF($K$2:$K$10,INT(A1703))&gt;0),1,0)</f>
        <v>1</v>
      </c>
      <c r="G1703" s="34" t="n">
        <f aca="false">B1703/1</f>
        <v>61.398</v>
      </c>
      <c r="H1703" s="34" t="n">
        <f aca="false">IF(F1703=1,G1703,"")</f>
        <v>61.398</v>
      </c>
    </row>
    <row r="1704" customFormat="false" ht="15" hidden="false" customHeight="false" outlineLevel="0" collapsed="false">
      <c r="A1704" s="31" t="n">
        <v>42806.9166666667</v>
      </c>
      <c r="B1704" s="32" t="n">
        <v>60.718</v>
      </c>
      <c r="D1704" s="33" t="n">
        <f aca="false">WEEKDAY(A1704,2)</f>
        <v>7</v>
      </c>
      <c r="E1704" s="33" t="n">
        <f aca="false">HOUR(A1704)+MINUTE(A1704)/60</f>
        <v>22</v>
      </c>
      <c r="F1704" s="33" t="n">
        <f aca="false">IF(OR(D1704&gt;5,E1704&lt;8,E1704&gt;=18,COUNTIF($K$2:$K$10,INT(A1704))&gt;0),1,0)</f>
        <v>1</v>
      </c>
      <c r="G1704" s="34" t="n">
        <f aca="false">B1704/1</f>
        <v>60.718</v>
      </c>
      <c r="H1704" s="34" t="n">
        <f aca="false">IF(F1704=1,G1704,"")</f>
        <v>60.718</v>
      </c>
    </row>
    <row r="1705" customFormat="false" ht="15" hidden="false" customHeight="false" outlineLevel="0" collapsed="false">
      <c r="A1705" s="31" t="n">
        <v>42806.9583333333</v>
      </c>
      <c r="B1705" s="32" t="n">
        <v>59.752</v>
      </c>
      <c r="D1705" s="33" t="n">
        <f aca="false">WEEKDAY(A1705,2)</f>
        <v>7</v>
      </c>
      <c r="E1705" s="33" t="n">
        <f aca="false">HOUR(A1705)+MINUTE(A1705)/60</f>
        <v>23</v>
      </c>
      <c r="F1705" s="33" t="n">
        <f aca="false">IF(OR(D1705&gt;5,E1705&lt;8,E1705&gt;=18,COUNTIF($K$2:$K$10,INT(A1705))&gt;0),1,0)</f>
        <v>1</v>
      </c>
      <c r="G1705" s="34" t="n">
        <f aca="false">B1705/1</f>
        <v>59.752</v>
      </c>
      <c r="H1705" s="34" t="n">
        <f aca="false">IF(F1705=1,G1705,"")</f>
        <v>59.752</v>
      </c>
    </row>
    <row r="1706" customFormat="false" ht="15" hidden="false" customHeight="false" outlineLevel="0" collapsed="false">
      <c r="A1706" s="31" t="n">
        <v>42807</v>
      </c>
      <c r="B1706" s="32" t="n">
        <v>59.586</v>
      </c>
      <c r="D1706" s="33" t="n">
        <f aca="false">WEEKDAY(A1706,2)</f>
        <v>1</v>
      </c>
      <c r="E1706" s="33" t="n">
        <f aca="false">HOUR(A1706)+MINUTE(A1706)/60</f>
        <v>0</v>
      </c>
      <c r="F1706" s="33" t="n">
        <f aca="false">IF(OR(D1706&gt;5,E1706&lt;8,E1706&gt;=18,COUNTIF($K$2:$K$10,INT(A1706))&gt;0),1,0)</f>
        <v>1</v>
      </c>
      <c r="G1706" s="34" t="n">
        <f aca="false">B1706/1</f>
        <v>59.586</v>
      </c>
      <c r="H1706" s="34" t="n">
        <f aca="false">IF(F1706=1,G1706,"")</f>
        <v>59.586</v>
      </c>
    </row>
    <row r="1707" customFormat="false" ht="15" hidden="false" customHeight="false" outlineLevel="0" collapsed="false">
      <c r="A1707" s="31" t="n">
        <v>42807.0416666667</v>
      </c>
      <c r="B1707" s="32" t="n">
        <v>59.804</v>
      </c>
      <c r="D1707" s="33" t="n">
        <f aca="false">WEEKDAY(A1707,2)</f>
        <v>1</v>
      </c>
      <c r="E1707" s="33" t="n">
        <f aca="false">HOUR(A1707)+MINUTE(A1707)/60</f>
        <v>1</v>
      </c>
      <c r="F1707" s="33" t="n">
        <f aca="false">IF(OR(D1707&gt;5,E1707&lt;8,E1707&gt;=18,COUNTIF($K$2:$K$10,INT(A1707))&gt;0),1,0)</f>
        <v>1</v>
      </c>
      <c r="G1707" s="34" t="n">
        <f aca="false">B1707/1</f>
        <v>59.804</v>
      </c>
      <c r="H1707" s="34" t="n">
        <f aca="false">IF(F1707=1,G1707,"")</f>
        <v>59.804</v>
      </c>
    </row>
    <row r="1708" customFormat="false" ht="15" hidden="false" customHeight="false" outlineLevel="0" collapsed="false">
      <c r="A1708" s="31" t="n">
        <v>42807.0833333333</v>
      </c>
      <c r="B1708" s="32" t="n">
        <v>59.216</v>
      </c>
      <c r="D1708" s="33" t="n">
        <f aca="false">WEEKDAY(A1708,2)</f>
        <v>1</v>
      </c>
      <c r="E1708" s="33" t="n">
        <f aca="false">HOUR(A1708)+MINUTE(A1708)/60</f>
        <v>2</v>
      </c>
      <c r="F1708" s="33" t="n">
        <f aca="false">IF(OR(D1708&gt;5,E1708&lt;8,E1708&gt;=18,COUNTIF($K$2:$K$10,INT(A1708))&gt;0),1,0)</f>
        <v>1</v>
      </c>
      <c r="G1708" s="34" t="n">
        <f aca="false">B1708/1</f>
        <v>59.216</v>
      </c>
      <c r="H1708" s="34" t="n">
        <f aca="false">IF(F1708=1,G1708,"")</f>
        <v>59.216</v>
      </c>
    </row>
    <row r="1709" customFormat="false" ht="15" hidden="false" customHeight="false" outlineLevel="0" collapsed="false">
      <c r="A1709" s="31" t="n">
        <v>42807.125</v>
      </c>
      <c r="B1709" s="32" t="n">
        <v>60.438</v>
      </c>
      <c r="D1709" s="33" t="n">
        <f aca="false">WEEKDAY(A1709,2)</f>
        <v>1</v>
      </c>
      <c r="E1709" s="33" t="n">
        <f aca="false">HOUR(A1709)+MINUTE(A1709)/60</f>
        <v>3</v>
      </c>
      <c r="F1709" s="33" t="n">
        <f aca="false">IF(OR(D1709&gt;5,E1709&lt;8,E1709&gt;=18,COUNTIF($K$2:$K$10,INT(A1709))&gt;0),1,0)</f>
        <v>1</v>
      </c>
      <c r="G1709" s="34" t="n">
        <f aca="false">B1709/1</f>
        <v>60.438</v>
      </c>
      <c r="H1709" s="34" t="n">
        <f aca="false">IF(F1709=1,G1709,"")</f>
        <v>60.438</v>
      </c>
    </row>
    <row r="1710" customFormat="false" ht="15" hidden="false" customHeight="false" outlineLevel="0" collapsed="false">
      <c r="A1710" s="31" t="n">
        <v>42807.1666666667</v>
      </c>
      <c r="B1710" s="32" t="n">
        <v>59.259</v>
      </c>
      <c r="D1710" s="33" t="n">
        <f aca="false">WEEKDAY(A1710,2)</f>
        <v>1</v>
      </c>
      <c r="E1710" s="33" t="n">
        <f aca="false">HOUR(A1710)+MINUTE(A1710)/60</f>
        <v>4</v>
      </c>
      <c r="F1710" s="33" t="n">
        <f aca="false">IF(OR(D1710&gt;5,E1710&lt;8,E1710&gt;=18,COUNTIF($K$2:$K$10,INT(A1710))&gt;0),1,0)</f>
        <v>1</v>
      </c>
      <c r="G1710" s="34" t="n">
        <f aca="false">B1710/1</f>
        <v>59.259</v>
      </c>
      <c r="H1710" s="34" t="n">
        <f aca="false">IF(F1710=1,G1710,"")</f>
        <v>59.259</v>
      </c>
    </row>
    <row r="1711" customFormat="false" ht="15" hidden="false" customHeight="false" outlineLevel="0" collapsed="false">
      <c r="A1711" s="31" t="n">
        <v>42807.2083333333</v>
      </c>
      <c r="B1711" s="32" t="n">
        <v>59.815</v>
      </c>
      <c r="D1711" s="33" t="n">
        <f aca="false">WEEKDAY(A1711,2)</f>
        <v>1</v>
      </c>
      <c r="E1711" s="33" t="n">
        <f aca="false">HOUR(A1711)+MINUTE(A1711)/60</f>
        <v>5</v>
      </c>
      <c r="F1711" s="33" t="n">
        <f aca="false">IF(OR(D1711&gt;5,E1711&lt;8,E1711&gt;=18,COUNTIF($K$2:$K$10,INT(A1711))&gt;0),1,0)</f>
        <v>1</v>
      </c>
      <c r="G1711" s="34" t="n">
        <f aca="false">B1711/1</f>
        <v>59.815</v>
      </c>
      <c r="H1711" s="34" t="n">
        <f aca="false">IF(F1711=1,G1711,"")</f>
        <v>59.815</v>
      </c>
    </row>
    <row r="1712" customFormat="false" ht="15" hidden="false" customHeight="false" outlineLevel="0" collapsed="false">
      <c r="A1712" s="31" t="n">
        <v>42807.25</v>
      </c>
      <c r="B1712" s="32" t="n">
        <v>60.933</v>
      </c>
      <c r="D1712" s="33" t="n">
        <f aca="false">WEEKDAY(A1712,2)</f>
        <v>1</v>
      </c>
      <c r="E1712" s="33" t="n">
        <f aca="false">HOUR(A1712)+MINUTE(A1712)/60</f>
        <v>6</v>
      </c>
      <c r="F1712" s="33" t="n">
        <f aca="false">IF(OR(D1712&gt;5,E1712&lt;8,E1712&gt;=18,COUNTIF($K$2:$K$10,INT(A1712))&gt;0),1,0)</f>
        <v>1</v>
      </c>
      <c r="G1712" s="34" t="n">
        <f aca="false">B1712/1</f>
        <v>60.933</v>
      </c>
      <c r="H1712" s="34" t="n">
        <f aca="false">IF(F1712=1,G1712,"")</f>
        <v>60.933</v>
      </c>
    </row>
    <row r="1713" customFormat="false" ht="15" hidden="false" customHeight="false" outlineLevel="0" collapsed="false">
      <c r="A1713" s="31" t="n">
        <v>42807.2916666667</v>
      </c>
      <c r="B1713" s="32" t="n">
        <v>78.169</v>
      </c>
      <c r="D1713" s="33" t="n">
        <f aca="false">WEEKDAY(A1713,2)</f>
        <v>1</v>
      </c>
      <c r="E1713" s="33" t="n">
        <f aca="false">HOUR(A1713)+MINUTE(A1713)/60</f>
        <v>7</v>
      </c>
      <c r="F1713" s="33" t="n">
        <f aca="false">IF(OR(D1713&gt;5,E1713&lt;8,E1713&gt;=18,COUNTIF($K$2:$K$10,INT(A1713))&gt;0),1,0)</f>
        <v>1</v>
      </c>
      <c r="G1713" s="34" t="n">
        <f aca="false">B1713/1</f>
        <v>78.169</v>
      </c>
      <c r="H1713" s="34" t="n">
        <f aca="false">IF(F1713=1,G1713,"")</f>
        <v>78.169</v>
      </c>
    </row>
    <row r="1714" customFormat="false" ht="15" hidden="false" customHeight="false" outlineLevel="0" collapsed="false">
      <c r="A1714" s="31" t="n">
        <v>42807.3333333333</v>
      </c>
      <c r="B1714" s="32" t="n">
        <v>173.976</v>
      </c>
      <c r="D1714" s="33" t="n">
        <f aca="false">WEEKDAY(A1714,2)</f>
        <v>1</v>
      </c>
      <c r="E1714" s="33" t="n">
        <f aca="false">HOUR(A1714)+MINUTE(A1714)/60</f>
        <v>8</v>
      </c>
      <c r="F1714" s="33" t="n">
        <f aca="false">IF(OR(D1714&gt;5,E1714&lt;8,E1714&gt;=18,COUNTIF($K$2:$K$10,INT(A1714))&gt;0),1,0)</f>
        <v>0</v>
      </c>
      <c r="G1714" s="34" t="n">
        <f aca="false">B1714/1</f>
        <v>173.976</v>
      </c>
      <c r="H1714" s="34" t="str">
        <f aca="false">IF(F1714=1,G1714,"")</f>
        <v/>
      </c>
    </row>
    <row r="1715" customFormat="false" ht="15" hidden="false" customHeight="false" outlineLevel="0" collapsed="false">
      <c r="A1715" s="31" t="n">
        <v>42807.375</v>
      </c>
      <c r="B1715" s="32" t="n">
        <v>201.043</v>
      </c>
      <c r="D1715" s="33" t="n">
        <f aca="false">WEEKDAY(A1715,2)</f>
        <v>1</v>
      </c>
      <c r="E1715" s="33" t="n">
        <f aca="false">HOUR(A1715)+MINUTE(A1715)/60</f>
        <v>9</v>
      </c>
      <c r="F1715" s="33" t="n">
        <f aca="false">IF(OR(D1715&gt;5,E1715&lt;8,E1715&gt;=18,COUNTIF($K$2:$K$10,INT(A1715))&gt;0),1,0)</f>
        <v>0</v>
      </c>
      <c r="G1715" s="34" t="n">
        <f aca="false">B1715/1</f>
        <v>201.043</v>
      </c>
      <c r="H1715" s="34" t="str">
        <f aca="false">IF(F1715=1,G1715,"")</f>
        <v/>
      </c>
    </row>
    <row r="1716" customFormat="false" ht="15" hidden="false" customHeight="false" outlineLevel="0" collapsed="false">
      <c r="A1716" s="31" t="n">
        <v>42807.4166666667</v>
      </c>
      <c r="B1716" s="32" t="n">
        <v>216.16</v>
      </c>
      <c r="D1716" s="33" t="n">
        <f aca="false">WEEKDAY(A1716,2)</f>
        <v>1</v>
      </c>
      <c r="E1716" s="33" t="n">
        <f aca="false">HOUR(A1716)+MINUTE(A1716)/60</f>
        <v>10</v>
      </c>
      <c r="F1716" s="33" t="n">
        <f aca="false">IF(OR(D1716&gt;5,E1716&lt;8,E1716&gt;=18,COUNTIF($K$2:$K$10,INT(A1716))&gt;0),1,0)</f>
        <v>0</v>
      </c>
      <c r="G1716" s="34" t="n">
        <f aca="false">B1716/1</f>
        <v>216.16</v>
      </c>
      <c r="H1716" s="34" t="str">
        <f aca="false">IF(F1716=1,G1716,"")</f>
        <v/>
      </c>
    </row>
    <row r="1717" customFormat="false" ht="15" hidden="false" customHeight="false" outlineLevel="0" collapsed="false">
      <c r="A1717" s="31" t="n">
        <v>42807.4583333333</v>
      </c>
      <c r="B1717" s="32" t="n">
        <v>220.521</v>
      </c>
      <c r="D1717" s="33" t="n">
        <f aca="false">WEEKDAY(A1717,2)</f>
        <v>1</v>
      </c>
      <c r="E1717" s="33" t="n">
        <f aca="false">HOUR(A1717)+MINUTE(A1717)/60</f>
        <v>11</v>
      </c>
      <c r="F1717" s="33" t="n">
        <f aca="false">IF(OR(D1717&gt;5,E1717&lt;8,E1717&gt;=18,COUNTIF($K$2:$K$10,INT(A1717))&gt;0),1,0)</f>
        <v>0</v>
      </c>
      <c r="G1717" s="34" t="n">
        <f aca="false">B1717/1</f>
        <v>220.521</v>
      </c>
      <c r="H1717" s="34" t="str">
        <f aca="false">IF(F1717=1,G1717,"")</f>
        <v/>
      </c>
    </row>
    <row r="1718" customFormat="false" ht="15" hidden="false" customHeight="false" outlineLevel="0" collapsed="false">
      <c r="A1718" s="31" t="n">
        <v>42807.5</v>
      </c>
      <c r="B1718" s="32" t="n">
        <v>222.383</v>
      </c>
      <c r="D1718" s="33" t="n">
        <f aca="false">WEEKDAY(A1718,2)</f>
        <v>1</v>
      </c>
      <c r="E1718" s="33" t="n">
        <f aca="false">HOUR(A1718)+MINUTE(A1718)/60</f>
        <v>12</v>
      </c>
      <c r="F1718" s="33" t="n">
        <f aca="false">IF(OR(D1718&gt;5,E1718&lt;8,E1718&gt;=18,COUNTIF($K$2:$K$10,INT(A1718))&gt;0),1,0)</f>
        <v>0</v>
      </c>
      <c r="G1718" s="34" t="n">
        <f aca="false">B1718/1</f>
        <v>222.383</v>
      </c>
      <c r="H1718" s="34" t="str">
        <f aca="false">IF(F1718=1,G1718,"")</f>
        <v/>
      </c>
    </row>
    <row r="1719" customFormat="false" ht="15" hidden="false" customHeight="false" outlineLevel="0" collapsed="false">
      <c r="A1719" s="31" t="n">
        <v>42807.5416666667</v>
      </c>
      <c r="B1719" s="32" t="n">
        <v>219.933</v>
      </c>
      <c r="D1719" s="33" t="n">
        <f aca="false">WEEKDAY(A1719,2)</f>
        <v>1</v>
      </c>
      <c r="E1719" s="33" t="n">
        <f aca="false">HOUR(A1719)+MINUTE(A1719)/60</f>
        <v>13</v>
      </c>
      <c r="F1719" s="33" t="n">
        <f aca="false">IF(OR(D1719&gt;5,E1719&lt;8,E1719&gt;=18,COUNTIF($K$2:$K$10,INT(A1719))&gt;0),1,0)</f>
        <v>0</v>
      </c>
      <c r="G1719" s="34" t="n">
        <f aca="false">B1719/1</f>
        <v>219.933</v>
      </c>
      <c r="H1719" s="34" t="str">
        <f aca="false">IF(F1719=1,G1719,"")</f>
        <v/>
      </c>
    </row>
    <row r="1720" customFormat="false" ht="15" hidden="false" customHeight="false" outlineLevel="0" collapsed="false">
      <c r="A1720" s="31" t="n">
        <v>42807.5833333333</v>
      </c>
      <c r="B1720" s="32" t="n">
        <v>221.72</v>
      </c>
      <c r="D1720" s="33" t="n">
        <f aca="false">WEEKDAY(A1720,2)</f>
        <v>1</v>
      </c>
      <c r="E1720" s="33" t="n">
        <f aca="false">HOUR(A1720)+MINUTE(A1720)/60</f>
        <v>14</v>
      </c>
      <c r="F1720" s="33" t="n">
        <f aca="false">IF(OR(D1720&gt;5,E1720&lt;8,E1720&gt;=18,COUNTIF($K$2:$K$10,INT(A1720))&gt;0),1,0)</f>
        <v>0</v>
      </c>
      <c r="G1720" s="34" t="n">
        <f aca="false">B1720/1</f>
        <v>221.72</v>
      </c>
      <c r="H1720" s="34" t="str">
        <f aca="false">IF(F1720=1,G1720,"")</f>
        <v/>
      </c>
    </row>
    <row r="1721" customFormat="false" ht="15" hidden="false" customHeight="false" outlineLevel="0" collapsed="false">
      <c r="A1721" s="31" t="n">
        <v>42807.625</v>
      </c>
      <c r="B1721" s="32" t="n">
        <v>221.735</v>
      </c>
      <c r="D1721" s="33" t="n">
        <f aca="false">WEEKDAY(A1721,2)</f>
        <v>1</v>
      </c>
      <c r="E1721" s="33" t="n">
        <f aca="false">HOUR(A1721)+MINUTE(A1721)/60</f>
        <v>15</v>
      </c>
      <c r="F1721" s="33" t="n">
        <f aca="false">IF(OR(D1721&gt;5,E1721&lt;8,E1721&gt;=18,COUNTIF($K$2:$K$10,INT(A1721))&gt;0),1,0)</f>
        <v>0</v>
      </c>
      <c r="G1721" s="34" t="n">
        <f aca="false">B1721/1</f>
        <v>221.735</v>
      </c>
      <c r="H1721" s="34" t="str">
        <f aca="false">IF(F1721=1,G1721,"")</f>
        <v/>
      </c>
    </row>
    <row r="1722" customFormat="false" ht="15" hidden="false" customHeight="false" outlineLevel="0" collapsed="false">
      <c r="A1722" s="31" t="n">
        <v>42807.6666666667</v>
      </c>
      <c r="B1722" s="32" t="n">
        <v>214.821</v>
      </c>
      <c r="D1722" s="33" t="n">
        <f aca="false">WEEKDAY(A1722,2)</f>
        <v>1</v>
      </c>
      <c r="E1722" s="33" t="n">
        <f aca="false">HOUR(A1722)+MINUTE(A1722)/60</f>
        <v>16</v>
      </c>
      <c r="F1722" s="33" t="n">
        <f aca="false">IF(OR(D1722&gt;5,E1722&lt;8,E1722&gt;=18,COUNTIF($K$2:$K$10,INT(A1722))&gt;0),1,0)</f>
        <v>0</v>
      </c>
      <c r="G1722" s="34" t="n">
        <f aca="false">B1722/1</f>
        <v>214.821</v>
      </c>
      <c r="H1722" s="34" t="str">
        <f aca="false">IF(F1722=1,G1722,"")</f>
        <v/>
      </c>
    </row>
    <row r="1723" customFormat="false" ht="15" hidden="false" customHeight="false" outlineLevel="0" collapsed="false">
      <c r="A1723" s="31" t="n">
        <v>42807.7083333333</v>
      </c>
      <c r="B1723" s="32" t="n">
        <v>208.931</v>
      </c>
      <c r="D1723" s="33" t="n">
        <f aca="false">WEEKDAY(A1723,2)</f>
        <v>1</v>
      </c>
      <c r="E1723" s="33" t="n">
        <f aca="false">HOUR(A1723)+MINUTE(A1723)/60</f>
        <v>17</v>
      </c>
      <c r="F1723" s="33" t="n">
        <f aca="false">IF(OR(D1723&gt;5,E1723&lt;8,E1723&gt;=18,COUNTIF($K$2:$K$10,INT(A1723))&gt;0),1,0)</f>
        <v>0</v>
      </c>
      <c r="G1723" s="34" t="n">
        <f aca="false">B1723/1</f>
        <v>208.931</v>
      </c>
      <c r="H1723" s="34" t="str">
        <f aca="false">IF(F1723=1,G1723,"")</f>
        <v/>
      </c>
    </row>
    <row r="1724" customFormat="false" ht="15" hidden="false" customHeight="false" outlineLevel="0" collapsed="false">
      <c r="A1724" s="31" t="n">
        <v>42807.75</v>
      </c>
      <c r="B1724" s="32" t="n">
        <v>198.006</v>
      </c>
      <c r="D1724" s="33" t="n">
        <f aca="false">WEEKDAY(A1724,2)</f>
        <v>1</v>
      </c>
      <c r="E1724" s="33" t="n">
        <f aca="false">HOUR(A1724)+MINUTE(A1724)/60</f>
        <v>18</v>
      </c>
      <c r="F1724" s="33" t="n">
        <f aca="false">IF(OR(D1724&gt;5,E1724&lt;8,E1724&gt;=18,COUNTIF($K$2:$K$10,INT(A1724))&gt;0),1,0)</f>
        <v>1</v>
      </c>
      <c r="G1724" s="34" t="n">
        <f aca="false">B1724/1</f>
        <v>198.006</v>
      </c>
      <c r="H1724" s="34" t="n">
        <f aca="false">IF(F1724=1,G1724,"")</f>
        <v>198.006</v>
      </c>
    </row>
    <row r="1725" customFormat="false" ht="15" hidden="false" customHeight="false" outlineLevel="0" collapsed="false">
      <c r="A1725" s="31" t="n">
        <v>42807.7916666667</v>
      </c>
      <c r="B1725" s="32" t="n">
        <v>191.198</v>
      </c>
      <c r="D1725" s="33" t="n">
        <f aca="false">WEEKDAY(A1725,2)</f>
        <v>1</v>
      </c>
      <c r="E1725" s="33" t="n">
        <f aca="false">HOUR(A1725)+MINUTE(A1725)/60</f>
        <v>19</v>
      </c>
      <c r="F1725" s="33" t="n">
        <f aca="false">IF(OR(D1725&gt;5,E1725&lt;8,E1725&gt;=18,COUNTIF($K$2:$K$10,INT(A1725))&gt;0),1,0)</f>
        <v>1</v>
      </c>
      <c r="G1725" s="34" t="n">
        <f aca="false">B1725/1</f>
        <v>191.198</v>
      </c>
      <c r="H1725" s="34" t="n">
        <f aca="false">IF(F1725=1,G1725,"")</f>
        <v>191.198</v>
      </c>
    </row>
    <row r="1726" customFormat="false" ht="15" hidden="false" customHeight="false" outlineLevel="0" collapsed="false">
      <c r="A1726" s="31" t="n">
        <v>42807.8333333333</v>
      </c>
      <c r="B1726" s="32" t="n">
        <v>188.136</v>
      </c>
      <c r="D1726" s="33" t="n">
        <f aca="false">WEEKDAY(A1726,2)</f>
        <v>1</v>
      </c>
      <c r="E1726" s="33" t="n">
        <f aca="false">HOUR(A1726)+MINUTE(A1726)/60</f>
        <v>20</v>
      </c>
      <c r="F1726" s="33" t="n">
        <f aca="false">IF(OR(D1726&gt;5,E1726&lt;8,E1726&gt;=18,COUNTIF($K$2:$K$10,INT(A1726))&gt;0),1,0)</f>
        <v>1</v>
      </c>
      <c r="G1726" s="34" t="n">
        <f aca="false">B1726/1</f>
        <v>188.136</v>
      </c>
      <c r="H1726" s="34" t="n">
        <f aca="false">IF(F1726=1,G1726,"")</f>
        <v>188.136</v>
      </c>
    </row>
    <row r="1727" customFormat="false" ht="15" hidden="false" customHeight="false" outlineLevel="0" collapsed="false">
      <c r="A1727" s="31" t="n">
        <v>42807.875</v>
      </c>
      <c r="B1727" s="32" t="n">
        <v>184.709</v>
      </c>
      <c r="D1727" s="33" t="n">
        <f aca="false">WEEKDAY(A1727,2)</f>
        <v>1</v>
      </c>
      <c r="E1727" s="33" t="n">
        <f aca="false">HOUR(A1727)+MINUTE(A1727)/60</f>
        <v>21</v>
      </c>
      <c r="F1727" s="33" t="n">
        <f aca="false">IF(OR(D1727&gt;5,E1727&lt;8,E1727&gt;=18,COUNTIF($K$2:$K$10,INT(A1727))&gt;0),1,0)</f>
        <v>1</v>
      </c>
      <c r="G1727" s="34" t="n">
        <f aca="false">B1727/1</f>
        <v>184.709</v>
      </c>
      <c r="H1727" s="34" t="n">
        <f aca="false">IF(F1727=1,G1727,"")</f>
        <v>184.709</v>
      </c>
    </row>
    <row r="1728" customFormat="false" ht="15" hidden="false" customHeight="false" outlineLevel="0" collapsed="false">
      <c r="A1728" s="31" t="n">
        <v>42807.9166666667</v>
      </c>
      <c r="B1728" s="32" t="n">
        <v>127.441</v>
      </c>
      <c r="D1728" s="33" t="n">
        <f aca="false">WEEKDAY(A1728,2)</f>
        <v>1</v>
      </c>
      <c r="E1728" s="33" t="n">
        <f aca="false">HOUR(A1728)+MINUTE(A1728)/60</f>
        <v>22</v>
      </c>
      <c r="F1728" s="33" t="n">
        <f aca="false">IF(OR(D1728&gt;5,E1728&lt;8,E1728&gt;=18,COUNTIF($K$2:$K$10,INT(A1728))&gt;0),1,0)</f>
        <v>1</v>
      </c>
      <c r="G1728" s="34" t="n">
        <f aca="false">B1728/1</f>
        <v>127.441</v>
      </c>
      <c r="H1728" s="34" t="n">
        <f aca="false">IF(F1728=1,G1728,"")</f>
        <v>127.441</v>
      </c>
    </row>
    <row r="1729" customFormat="false" ht="15" hidden="false" customHeight="false" outlineLevel="0" collapsed="false">
      <c r="A1729" s="31" t="n">
        <v>42807.9583333333</v>
      </c>
      <c r="B1729" s="32" t="n">
        <v>67.392</v>
      </c>
      <c r="D1729" s="33" t="n">
        <f aca="false">WEEKDAY(A1729,2)</f>
        <v>1</v>
      </c>
      <c r="E1729" s="33" t="n">
        <f aca="false">HOUR(A1729)+MINUTE(A1729)/60</f>
        <v>23</v>
      </c>
      <c r="F1729" s="33" t="n">
        <f aca="false">IF(OR(D1729&gt;5,E1729&lt;8,E1729&gt;=18,COUNTIF($K$2:$K$10,INT(A1729))&gt;0),1,0)</f>
        <v>1</v>
      </c>
      <c r="G1729" s="34" t="n">
        <f aca="false">B1729/1</f>
        <v>67.392</v>
      </c>
      <c r="H1729" s="34" t="n">
        <f aca="false">IF(F1729=1,G1729,"")</f>
        <v>67.392</v>
      </c>
    </row>
    <row r="1730" customFormat="false" ht="15" hidden="false" customHeight="false" outlineLevel="0" collapsed="false">
      <c r="A1730" s="31" t="n">
        <v>42808</v>
      </c>
      <c r="B1730" s="32" t="n">
        <v>65.944</v>
      </c>
      <c r="D1730" s="33" t="n">
        <f aca="false">WEEKDAY(A1730,2)</f>
        <v>2</v>
      </c>
      <c r="E1730" s="33" t="n">
        <f aca="false">HOUR(A1730)+MINUTE(A1730)/60</f>
        <v>0</v>
      </c>
      <c r="F1730" s="33" t="n">
        <f aca="false">IF(OR(D1730&gt;5,E1730&lt;8,E1730&gt;=18,COUNTIF($K$2:$K$10,INT(A1730))&gt;0),1,0)</f>
        <v>1</v>
      </c>
      <c r="G1730" s="34" t="n">
        <f aca="false">B1730/1</f>
        <v>65.944</v>
      </c>
      <c r="H1730" s="34" t="n">
        <f aca="false">IF(F1730=1,G1730,"")</f>
        <v>65.944</v>
      </c>
    </row>
    <row r="1731" customFormat="false" ht="15" hidden="false" customHeight="false" outlineLevel="0" collapsed="false">
      <c r="A1731" s="31" t="n">
        <v>42808.0416666667</v>
      </c>
      <c r="B1731" s="32" t="n">
        <v>62.919</v>
      </c>
      <c r="D1731" s="33" t="n">
        <f aca="false">WEEKDAY(A1731,2)</f>
        <v>2</v>
      </c>
      <c r="E1731" s="33" t="n">
        <f aca="false">HOUR(A1731)+MINUTE(A1731)/60</f>
        <v>1</v>
      </c>
      <c r="F1731" s="33" t="n">
        <f aca="false">IF(OR(D1731&gt;5,E1731&lt;8,E1731&gt;=18,COUNTIF($K$2:$K$10,INT(A1731))&gt;0),1,0)</f>
        <v>1</v>
      </c>
      <c r="G1731" s="34" t="n">
        <f aca="false">B1731/1</f>
        <v>62.919</v>
      </c>
      <c r="H1731" s="34" t="n">
        <f aca="false">IF(F1731=1,G1731,"")</f>
        <v>62.919</v>
      </c>
    </row>
    <row r="1732" customFormat="false" ht="15" hidden="false" customHeight="false" outlineLevel="0" collapsed="false">
      <c r="A1732" s="31" t="n">
        <v>42808.0833333333</v>
      </c>
      <c r="B1732" s="32" t="n">
        <v>63.033</v>
      </c>
      <c r="D1732" s="33" t="n">
        <f aca="false">WEEKDAY(A1732,2)</f>
        <v>2</v>
      </c>
      <c r="E1732" s="33" t="n">
        <f aca="false">HOUR(A1732)+MINUTE(A1732)/60</f>
        <v>2</v>
      </c>
      <c r="F1732" s="33" t="n">
        <f aca="false">IF(OR(D1732&gt;5,E1732&lt;8,E1732&gt;=18,COUNTIF($K$2:$K$10,INT(A1732))&gt;0),1,0)</f>
        <v>1</v>
      </c>
      <c r="G1732" s="34" t="n">
        <f aca="false">B1732/1</f>
        <v>63.033</v>
      </c>
      <c r="H1732" s="34" t="n">
        <f aca="false">IF(F1732=1,G1732,"")</f>
        <v>63.033</v>
      </c>
    </row>
    <row r="1733" customFormat="false" ht="15" hidden="false" customHeight="false" outlineLevel="0" collapsed="false">
      <c r="A1733" s="31" t="n">
        <v>42808.125</v>
      </c>
      <c r="B1733" s="32" t="n">
        <v>62.88</v>
      </c>
      <c r="D1733" s="33" t="n">
        <f aca="false">WEEKDAY(A1733,2)</f>
        <v>2</v>
      </c>
      <c r="E1733" s="33" t="n">
        <f aca="false">HOUR(A1733)+MINUTE(A1733)/60</f>
        <v>3</v>
      </c>
      <c r="F1733" s="33" t="n">
        <f aca="false">IF(OR(D1733&gt;5,E1733&lt;8,E1733&gt;=18,COUNTIF($K$2:$K$10,INT(A1733))&gt;0),1,0)</f>
        <v>1</v>
      </c>
      <c r="G1733" s="34" t="n">
        <f aca="false">B1733/1</f>
        <v>62.88</v>
      </c>
      <c r="H1733" s="34" t="n">
        <f aca="false">IF(F1733=1,G1733,"")</f>
        <v>62.88</v>
      </c>
    </row>
    <row r="1734" customFormat="false" ht="15" hidden="false" customHeight="false" outlineLevel="0" collapsed="false">
      <c r="A1734" s="31" t="n">
        <v>42808.1666666667</v>
      </c>
      <c r="B1734" s="32" t="n">
        <v>63.027</v>
      </c>
      <c r="D1734" s="33" t="n">
        <f aca="false">WEEKDAY(A1734,2)</f>
        <v>2</v>
      </c>
      <c r="E1734" s="33" t="n">
        <f aca="false">HOUR(A1734)+MINUTE(A1734)/60</f>
        <v>4</v>
      </c>
      <c r="F1734" s="33" t="n">
        <f aca="false">IF(OR(D1734&gt;5,E1734&lt;8,E1734&gt;=18,COUNTIF($K$2:$K$10,INT(A1734))&gt;0),1,0)</f>
        <v>1</v>
      </c>
      <c r="G1734" s="34" t="n">
        <f aca="false">B1734/1</f>
        <v>63.027</v>
      </c>
      <c r="H1734" s="34" t="n">
        <f aca="false">IF(F1734=1,G1734,"")</f>
        <v>63.027</v>
      </c>
    </row>
    <row r="1735" customFormat="false" ht="15" hidden="false" customHeight="false" outlineLevel="0" collapsed="false">
      <c r="A1735" s="31" t="n">
        <v>42808.2083333333</v>
      </c>
      <c r="B1735" s="32" t="n">
        <v>63.275</v>
      </c>
      <c r="D1735" s="33" t="n">
        <f aca="false">WEEKDAY(A1735,2)</f>
        <v>2</v>
      </c>
      <c r="E1735" s="33" t="n">
        <f aca="false">HOUR(A1735)+MINUTE(A1735)/60</f>
        <v>5</v>
      </c>
      <c r="F1735" s="33" t="n">
        <f aca="false">IF(OR(D1735&gt;5,E1735&lt;8,E1735&gt;=18,COUNTIF($K$2:$K$10,INT(A1735))&gt;0),1,0)</f>
        <v>1</v>
      </c>
      <c r="G1735" s="34" t="n">
        <f aca="false">B1735/1</f>
        <v>63.275</v>
      </c>
      <c r="H1735" s="34" t="n">
        <f aca="false">IF(F1735=1,G1735,"")</f>
        <v>63.275</v>
      </c>
    </row>
    <row r="1736" customFormat="false" ht="15" hidden="false" customHeight="false" outlineLevel="0" collapsed="false">
      <c r="A1736" s="31" t="n">
        <v>42808.25</v>
      </c>
      <c r="B1736" s="32" t="n">
        <v>64.575</v>
      </c>
      <c r="D1736" s="33" t="n">
        <f aca="false">WEEKDAY(A1736,2)</f>
        <v>2</v>
      </c>
      <c r="E1736" s="33" t="n">
        <f aca="false">HOUR(A1736)+MINUTE(A1736)/60</f>
        <v>6</v>
      </c>
      <c r="F1736" s="33" t="n">
        <f aca="false">IF(OR(D1736&gt;5,E1736&lt;8,E1736&gt;=18,COUNTIF($K$2:$K$10,INT(A1736))&gt;0),1,0)</f>
        <v>1</v>
      </c>
      <c r="G1736" s="34" t="n">
        <f aca="false">B1736/1</f>
        <v>64.575</v>
      </c>
      <c r="H1736" s="34" t="n">
        <f aca="false">IF(F1736=1,G1736,"")</f>
        <v>64.575</v>
      </c>
    </row>
    <row r="1737" customFormat="false" ht="15" hidden="false" customHeight="false" outlineLevel="0" collapsed="false">
      <c r="A1737" s="31" t="n">
        <v>42808.2916666667</v>
      </c>
      <c r="B1737" s="32" t="n">
        <v>69.445</v>
      </c>
      <c r="D1737" s="33" t="n">
        <f aca="false">WEEKDAY(A1737,2)</f>
        <v>2</v>
      </c>
      <c r="E1737" s="33" t="n">
        <f aca="false">HOUR(A1737)+MINUTE(A1737)/60</f>
        <v>7</v>
      </c>
      <c r="F1737" s="33" t="n">
        <f aca="false">IF(OR(D1737&gt;5,E1737&lt;8,E1737&gt;=18,COUNTIF($K$2:$K$10,INT(A1737))&gt;0),1,0)</f>
        <v>1</v>
      </c>
      <c r="G1737" s="34" t="n">
        <f aca="false">B1737/1</f>
        <v>69.445</v>
      </c>
      <c r="H1737" s="34" t="n">
        <f aca="false">IF(F1737=1,G1737,"")</f>
        <v>69.445</v>
      </c>
    </row>
    <row r="1738" customFormat="false" ht="15" hidden="false" customHeight="false" outlineLevel="0" collapsed="false">
      <c r="A1738" s="31" t="n">
        <v>42808.3333333333</v>
      </c>
      <c r="B1738" s="32" t="n">
        <v>177.499</v>
      </c>
      <c r="D1738" s="33" t="n">
        <f aca="false">WEEKDAY(A1738,2)</f>
        <v>2</v>
      </c>
      <c r="E1738" s="33" t="n">
        <f aca="false">HOUR(A1738)+MINUTE(A1738)/60</f>
        <v>8</v>
      </c>
      <c r="F1738" s="33" t="n">
        <f aca="false">IF(OR(D1738&gt;5,E1738&lt;8,E1738&gt;=18,COUNTIF($K$2:$K$10,INT(A1738))&gt;0),1,0)</f>
        <v>0</v>
      </c>
      <c r="G1738" s="34" t="n">
        <f aca="false">B1738/1</f>
        <v>177.499</v>
      </c>
      <c r="H1738" s="34" t="str">
        <f aca="false">IF(F1738=1,G1738,"")</f>
        <v/>
      </c>
    </row>
    <row r="1739" customFormat="false" ht="15" hidden="false" customHeight="false" outlineLevel="0" collapsed="false">
      <c r="A1739" s="31" t="n">
        <v>42808.375</v>
      </c>
      <c r="B1739" s="32" t="n">
        <v>204.238</v>
      </c>
      <c r="D1739" s="33" t="n">
        <f aca="false">WEEKDAY(A1739,2)</f>
        <v>2</v>
      </c>
      <c r="E1739" s="33" t="n">
        <f aca="false">HOUR(A1739)+MINUTE(A1739)/60</f>
        <v>9</v>
      </c>
      <c r="F1739" s="33" t="n">
        <f aca="false">IF(OR(D1739&gt;5,E1739&lt;8,E1739&gt;=18,COUNTIF($K$2:$K$10,INT(A1739))&gt;0),1,0)</f>
        <v>0</v>
      </c>
      <c r="G1739" s="34" t="n">
        <f aca="false">B1739/1</f>
        <v>204.238</v>
      </c>
      <c r="H1739" s="34" t="str">
        <f aca="false">IF(F1739=1,G1739,"")</f>
        <v/>
      </c>
    </row>
    <row r="1740" customFormat="false" ht="15" hidden="false" customHeight="false" outlineLevel="0" collapsed="false">
      <c r="A1740" s="31" t="n">
        <v>42808.4166666667</v>
      </c>
      <c r="B1740" s="32" t="n">
        <v>216.042</v>
      </c>
      <c r="D1740" s="33" t="n">
        <f aca="false">WEEKDAY(A1740,2)</f>
        <v>2</v>
      </c>
      <c r="E1740" s="33" t="n">
        <f aca="false">HOUR(A1740)+MINUTE(A1740)/60</f>
        <v>10</v>
      </c>
      <c r="F1740" s="33" t="n">
        <f aca="false">IF(OR(D1740&gt;5,E1740&lt;8,E1740&gt;=18,COUNTIF($K$2:$K$10,INT(A1740))&gt;0),1,0)</f>
        <v>0</v>
      </c>
      <c r="G1740" s="34" t="n">
        <f aca="false">B1740/1</f>
        <v>216.042</v>
      </c>
      <c r="H1740" s="34" t="str">
        <f aca="false">IF(F1740=1,G1740,"")</f>
        <v/>
      </c>
    </row>
    <row r="1741" customFormat="false" ht="15" hidden="false" customHeight="false" outlineLevel="0" collapsed="false">
      <c r="A1741" s="31" t="n">
        <v>42808.4583333333</v>
      </c>
      <c r="B1741" s="32" t="n">
        <v>220.763</v>
      </c>
      <c r="D1741" s="33" t="n">
        <f aca="false">WEEKDAY(A1741,2)</f>
        <v>2</v>
      </c>
      <c r="E1741" s="33" t="n">
        <f aca="false">HOUR(A1741)+MINUTE(A1741)/60</f>
        <v>11</v>
      </c>
      <c r="F1741" s="33" t="n">
        <f aca="false">IF(OR(D1741&gt;5,E1741&lt;8,E1741&gt;=18,COUNTIF($K$2:$K$10,INT(A1741))&gt;0),1,0)</f>
        <v>0</v>
      </c>
      <c r="G1741" s="34" t="n">
        <f aca="false">B1741/1</f>
        <v>220.763</v>
      </c>
      <c r="H1741" s="34" t="str">
        <f aca="false">IF(F1741=1,G1741,"")</f>
        <v/>
      </c>
    </row>
    <row r="1742" customFormat="false" ht="15" hidden="false" customHeight="false" outlineLevel="0" collapsed="false">
      <c r="A1742" s="31" t="n">
        <v>42808.5</v>
      </c>
      <c r="B1742" s="32" t="n">
        <v>227.64</v>
      </c>
      <c r="D1742" s="33" t="n">
        <f aca="false">WEEKDAY(A1742,2)</f>
        <v>2</v>
      </c>
      <c r="E1742" s="33" t="n">
        <f aca="false">HOUR(A1742)+MINUTE(A1742)/60</f>
        <v>12</v>
      </c>
      <c r="F1742" s="33" t="n">
        <f aca="false">IF(OR(D1742&gt;5,E1742&lt;8,E1742&gt;=18,COUNTIF($K$2:$K$10,INT(A1742))&gt;0),1,0)</f>
        <v>0</v>
      </c>
      <c r="G1742" s="34" t="n">
        <f aca="false">B1742/1</f>
        <v>227.64</v>
      </c>
      <c r="H1742" s="34" t="str">
        <f aca="false">IF(F1742=1,G1742,"")</f>
        <v/>
      </c>
    </row>
    <row r="1743" customFormat="false" ht="15" hidden="false" customHeight="false" outlineLevel="0" collapsed="false">
      <c r="A1743" s="31" t="n">
        <v>42808.5416666667</v>
      </c>
      <c r="B1743" s="32" t="n">
        <v>224.343</v>
      </c>
      <c r="D1743" s="33" t="n">
        <f aca="false">WEEKDAY(A1743,2)</f>
        <v>2</v>
      </c>
      <c r="E1743" s="33" t="n">
        <f aca="false">HOUR(A1743)+MINUTE(A1743)/60</f>
        <v>13</v>
      </c>
      <c r="F1743" s="33" t="n">
        <f aca="false">IF(OR(D1743&gt;5,E1743&lt;8,E1743&gt;=18,COUNTIF($K$2:$K$10,INT(A1743))&gt;0),1,0)</f>
        <v>0</v>
      </c>
      <c r="G1743" s="34" t="n">
        <f aca="false">B1743/1</f>
        <v>224.343</v>
      </c>
      <c r="H1743" s="34" t="str">
        <f aca="false">IF(F1743=1,G1743,"")</f>
        <v/>
      </c>
    </row>
    <row r="1744" customFormat="false" ht="15" hidden="false" customHeight="false" outlineLevel="0" collapsed="false">
      <c r="A1744" s="31" t="n">
        <v>42808.5833333333</v>
      </c>
      <c r="B1744" s="32" t="n">
        <v>222.056</v>
      </c>
      <c r="D1744" s="33" t="n">
        <f aca="false">WEEKDAY(A1744,2)</f>
        <v>2</v>
      </c>
      <c r="E1744" s="33" t="n">
        <f aca="false">HOUR(A1744)+MINUTE(A1744)/60</f>
        <v>14</v>
      </c>
      <c r="F1744" s="33" t="n">
        <f aca="false">IF(OR(D1744&gt;5,E1744&lt;8,E1744&gt;=18,COUNTIF($K$2:$K$10,INT(A1744))&gt;0),1,0)</f>
        <v>0</v>
      </c>
      <c r="G1744" s="34" t="n">
        <f aca="false">B1744/1</f>
        <v>222.056</v>
      </c>
      <c r="H1744" s="34" t="str">
        <f aca="false">IF(F1744=1,G1744,"")</f>
        <v/>
      </c>
    </row>
    <row r="1745" customFormat="false" ht="15" hidden="false" customHeight="false" outlineLevel="0" collapsed="false">
      <c r="A1745" s="31" t="n">
        <v>42808.625</v>
      </c>
      <c r="B1745" s="32" t="n">
        <v>222.814</v>
      </c>
      <c r="D1745" s="33" t="n">
        <f aca="false">WEEKDAY(A1745,2)</f>
        <v>2</v>
      </c>
      <c r="E1745" s="33" t="n">
        <f aca="false">HOUR(A1745)+MINUTE(A1745)/60</f>
        <v>15</v>
      </c>
      <c r="F1745" s="33" t="n">
        <f aca="false">IF(OR(D1745&gt;5,E1745&lt;8,E1745&gt;=18,COUNTIF($K$2:$K$10,INT(A1745))&gt;0),1,0)</f>
        <v>0</v>
      </c>
      <c r="G1745" s="34" t="n">
        <f aca="false">B1745/1</f>
        <v>222.814</v>
      </c>
      <c r="H1745" s="34" t="str">
        <f aca="false">IF(F1745=1,G1745,"")</f>
        <v/>
      </c>
    </row>
    <row r="1746" customFormat="false" ht="15" hidden="false" customHeight="false" outlineLevel="0" collapsed="false">
      <c r="A1746" s="31" t="n">
        <v>42808.6666666667</v>
      </c>
      <c r="B1746" s="32" t="n">
        <v>216.83</v>
      </c>
      <c r="D1746" s="33" t="n">
        <f aca="false">WEEKDAY(A1746,2)</f>
        <v>2</v>
      </c>
      <c r="E1746" s="33" t="n">
        <f aca="false">HOUR(A1746)+MINUTE(A1746)/60</f>
        <v>16</v>
      </c>
      <c r="F1746" s="33" t="n">
        <f aca="false">IF(OR(D1746&gt;5,E1746&lt;8,E1746&gt;=18,COUNTIF($K$2:$K$10,INT(A1746))&gt;0),1,0)</f>
        <v>0</v>
      </c>
      <c r="G1746" s="34" t="n">
        <f aca="false">B1746/1</f>
        <v>216.83</v>
      </c>
      <c r="H1746" s="34" t="str">
        <f aca="false">IF(F1746=1,G1746,"")</f>
        <v/>
      </c>
    </row>
    <row r="1747" customFormat="false" ht="15" hidden="false" customHeight="false" outlineLevel="0" collapsed="false">
      <c r="A1747" s="31" t="n">
        <v>42808.7083333333</v>
      </c>
      <c r="B1747" s="32" t="n">
        <v>210.411</v>
      </c>
      <c r="D1747" s="33" t="n">
        <f aca="false">WEEKDAY(A1747,2)</f>
        <v>2</v>
      </c>
      <c r="E1747" s="33" t="n">
        <f aca="false">HOUR(A1747)+MINUTE(A1747)/60</f>
        <v>17</v>
      </c>
      <c r="F1747" s="33" t="n">
        <f aca="false">IF(OR(D1747&gt;5,E1747&lt;8,E1747&gt;=18,COUNTIF($K$2:$K$10,INT(A1747))&gt;0),1,0)</f>
        <v>0</v>
      </c>
      <c r="G1747" s="34" t="n">
        <f aca="false">B1747/1</f>
        <v>210.411</v>
      </c>
      <c r="H1747" s="34" t="str">
        <f aca="false">IF(F1747=1,G1747,"")</f>
        <v/>
      </c>
    </row>
    <row r="1748" customFormat="false" ht="15" hidden="false" customHeight="false" outlineLevel="0" collapsed="false">
      <c r="A1748" s="31" t="n">
        <v>42808.75</v>
      </c>
      <c r="B1748" s="32" t="n">
        <v>199.871</v>
      </c>
      <c r="D1748" s="33" t="n">
        <f aca="false">WEEKDAY(A1748,2)</f>
        <v>2</v>
      </c>
      <c r="E1748" s="33" t="n">
        <f aca="false">HOUR(A1748)+MINUTE(A1748)/60</f>
        <v>18</v>
      </c>
      <c r="F1748" s="33" t="n">
        <f aca="false">IF(OR(D1748&gt;5,E1748&lt;8,E1748&gt;=18,COUNTIF($K$2:$K$10,INT(A1748))&gt;0),1,0)</f>
        <v>1</v>
      </c>
      <c r="G1748" s="34" t="n">
        <f aca="false">B1748/1</f>
        <v>199.871</v>
      </c>
      <c r="H1748" s="34" t="n">
        <f aca="false">IF(F1748=1,G1748,"")</f>
        <v>199.871</v>
      </c>
    </row>
    <row r="1749" customFormat="false" ht="15" hidden="false" customHeight="false" outlineLevel="0" collapsed="false">
      <c r="A1749" s="31" t="n">
        <v>42808.7916666667</v>
      </c>
      <c r="B1749" s="32" t="n">
        <v>191.522</v>
      </c>
      <c r="D1749" s="33" t="n">
        <f aca="false">WEEKDAY(A1749,2)</f>
        <v>2</v>
      </c>
      <c r="E1749" s="33" t="n">
        <f aca="false">HOUR(A1749)+MINUTE(A1749)/60</f>
        <v>19</v>
      </c>
      <c r="F1749" s="33" t="n">
        <f aca="false">IF(OR(D1749&gt;5,E1749&lt;8,E1749&gt;=18,COUNTIF($K$2:$K$10,INT(A1749))&gt;0),1,0)</f>
        <v>1</v>
      </c>
      <c r="G1749" s="34" t="n">
        <f aca="false">B1749/1</f>
        <v>191.522</v>
      </c>
      <c r="H1749" s="34" t="n">
        <f aca="false">IF(F1749=1,G1749,"")</f>
        <v>191.522</v>
      </c>
    </row>
    <row r="1750" customFormat="false" ht="15" hidden="false" customHeight="false" outlineLevel="0" collapsed="false">
      <c r="A1750" s="31" t="n">
        <v>42808.8333333333</v>
      </c>
      <c r="B1750" s="32" t="n">
        <v>189.756</v>
      </c>
      <c r="D1750" s="33" t="n">
        <f aca="false">WEEKDAY(A1750,2)</f>
        <v>2</v>
      </c>
      <c r="E1750" s="33" t="n">
        <f aca="false">HOUR(A1750)+MINUTE(A1750)/60</f>
        <v>20</v>
      </c>
      <c r="F1750" s="33" t="n">
        <f aca="false">IF(OR(D1750&gt;5,E1750&lt;8,E1750&gt;=18,COUNTIF($K$2:$K$10,INT(A1750))&gt;0),1,0)</f>
        <v>1</v>
      </c>
      <c r="G1750" s="34" t="n">
        <f aca="false">B1750/1</f>
        <v>189.756</v>
      </c>
      <c r="H1750" s="34" t="n">
        <f aca="false">IF(F1750=1,G1750,"")</f>
        <v>189.756</v>
      </c>
    </row>
    <row r="1751" customFormat="false" ht="15" hidden="false" customHeight="false" outlineLevel="0" collapsed="false">
      <c r="A1751" s="31" t="n">
        <v>42808.875</v>
      </c>
      <c r="B1751" s="32" t="n">
        <v>188.753</v>
      </c>
      <c r="D1751" s="33" t="n">
        <f aca="false">WEEKDAY(A1751,2)</f>
        <v>2</v>
      </c>
      <c r="E1751" s="33" t="n">
        <f aca="false">HOUR(A1751)+MINUTE(A1751)/60</f>
        <v>21</v>
      </c>
      <c r="F1751" s="33" t="n">
        <f aca="false">IF(OR(D1751&gt;5,E1751&lt;8,E1751&gt;=18,COUNTIF($K$2:$K$10,INT(A1751))&gt;0),1,0)</f>
        <v>1</v>
      </c>
      <c r="G1751" s="34" t="n">
        <f aca="false">B1751/1</f>
        <v>188.753</v>
      </c>
      <c r="H1751" s="34" t="n">
        <f aca="false">IF(F1751=1,G1751,"")</f>
        <v>188.753</v>
      </c>
    </row>
    <row r="1752" customFormat="false" ht="15" hidden="false" customHeight="false" outlineLevel="0" collapsed="false">
      <c r="A1752" s="31" t="n">
        <v>42808.9166666667</v>
      </c>
      <c r="B1752" s="32" t="n">
        <v>129.313</v>
      </c>
      <c r="D1752" s="33" t="n">
        <f aca="false">WEEKDAY(A1752,2)</f>
        <v>2</v>
      </c>
      <c r="E1752" s="33" t="n">
        <f aca="false">HOUR(A1752)+MINUTE(A1752)/60</f>
        <v>22</v>
      </c>
      <c r="F1752" s="33" t="n">
        <f aca="false">IF(OR(D1752&gt;5,E1752&lt;8,E1752&gt;=18,COUNTIF($K$2:$K$10,INT(A1752))&gt;0),1,0)</f>
        <v>1</v>
      </c>
      <c r="G1752" s="34" t="n">
        <f aca="false">B1752/1</f>
        <v>129.313</v>
      </c>
      <c r="H1752" s="34" t="n">
        <f aca="false">IF(F1752=1,G1752,"")</f>
        <v>129.313</v>
      </c>
    </row>
    <row r="1753" customFormat="false" ht="15" hidden="false" customHeight="false" outlineLevel="0" collapsed="false">
      <c r="A1753" s="31" t="n">
        <v>42808.9583333333</v>
      </c>
      <c r="B1753" s="32" t="n">
        <v>68.61</v>
      </c>
      <c r="D1753" s="33" t="n">
        <f aca="false">WEEKDAY(A1753,2)</f>
        <v>2</v>
      </c>
      <c r="E1753" s="33" t="n">
        <f aca="false">HOUR(A1753)+MINUTE(A1753)/60</f>
        <v>23</v>
      </c>
      <c r="F1753" s="33" t="n">
        <f aca="false">IF(OR(D1753&gt;5,E1753&lt;8,E1753&gt;=18,COUNTIF($K$2:$K$10,INT(A1753))&gt;0),1,0)</f>
        <v>1</v>
      </c>
      <c r="G1753" s="34" t="n">
        <f aca="false">B1753/1</f>
        <v>68.61</v>
      </c>
      <c r="H1753" s="34" t="n">
        <f aca="false">IF(F1753=1,G1753,"")</f>
        <v>68.61</v>
      </c>
    </row>
    <row r="1754" customFormat="false" ht="15" hidden="false" customHeight="false" outlineLevel="0" collapsed="false">
      <c r="A1754" s="31" t="n">
        <v>42809</v>
      </c>
      <c r="B1754" s="32" t="n">
        <v>61.388</v>
      </c>
      <c r="D1754" s="33" t="n">
        <f aca="false">WEEKDAY(A1754,2)</f>
        <v>3</v>
      </c>
      <c r="E1754" s="33" t="n">
        <f aca="false">HOUR(A1754)+MINUTE(A1754)/60</f>
        <v>0</v>
      </c>
      <c r="F1754" s="33" t="n">
        <f aca="false">IF(OR(D1754&gt;5,E1754&lt;8,E1754&gt;=18,COUNTIF($K$2:$K$10,INT(A1754))&gt;0),1,0)</f>
        <v>1</v>
      </c>
      <c r="G1754" s="34" t="n">
        <f aca="false">B1754/1</f>
        <v>61.388</v>
      </c>
      <c r="H1754" s="34" t="n">
        <f aca="false">IF(F1754=1,G1754,"")</f>
        <v>61.388</v>
      </c>
    </row>
    <row r="1755" customFormat="false" ht="15" hidden="false" customHeight="false" outlineLevel="0" collapsed="false">
      <c r="A1755" s="31" t="n">
        <v>42809.0416666667</v>
      </c>
      <c r="B1755" s="32" t="n">
        <v>59.175</v>
      </c>
      <c r="D1755" s="33" t="n">
        <f aca="false">WEEKDAY(A1755,2)</f>
        <v>3</v>
      </c>
      <c r="E1755" s="33" t="n">
        <f aca="false">HOUR(A1755)+MINUTE(A1755)/60</f>
        <v>1</v>
      </c>
      <c r="F1755" s="33" t="n">
        <f aca="false">IF(OR(D1755&gt;5,E1755&lt;8,E1755&gt;=18,COUNTIF($K$2:$K$10,INT(A1755))&gt;0),1,0)</f>
        <v>1</v>
      </c>
      <c r="G1755" s="34" t="n">
        <f aca="false">B1755/1</f>
        <v>59.175</v>
      </c>
      <c r="H1755" s="34" t="n">
        <f aca="false">IF(F1755=1,G1755,"")</f>
        <v>59.175</v>
      </c>
    </row>
    <row r="1756" customFormat="false" ht="15" hidden="false" customHeight="false" outlineLevel="0" collapsed="false">
      <c r="A1756" s="31" t="n">
        <v>42809.0833333333</v>
      </c>
      <c r="B1756" s="32" t="n">
        <v>58.383</v>
      </c>
      <c r="D1756" s="33" t="n">
        <f aca="false">WEEKDAY(A1756,2)</f>
        <v>3</v>
      </c>
      <c r="E1756" s="33" t="n">
        <f aca="false">HOUR(A1756)+MINUTE(A1756)/60</f>
        <v>2</v>
      </c>
      <c r="F1756" s="33" t="n">
        <f aca="false">IF(OR(D1756&gt;5,E1756&lt;8,E1756&gt;=18,COUNTIF($K$2:$K$10,INT(A1756))&gt;0),1,0)</f>
        <v>1</v>
      </c>
      <c r="G1756" s="34" t="n">
        <f aca="false">B1756/1</f>
        <v>58.383</v>
      </c>
      <c r="H1756" s="34" t="n">
        <f aca="false">IF(F1756=1,G1756,"")</f>
        <v>58.383</v>
      </c>
    </row>
    <row r="1757" customFormat="false" ht="15" hidden="false" customHeight="false" outlineLevel="0" collapsed="false">
      <c r="A1757" s="31" t="n">
        <v>42809.125</v>
      </c>
      <c r="B1757" s="32" t="n">
        <v>60.313</v>
      </c>
      <c r="D1757" s="33" t="n">
        <f aca="false">WEEKDAY(A1757,2)</f>
        <v>3</v>
      </c>
      <c r="E1757" s="33" t="n">
        <f aca="false">HOUR(A1757)+MINUTE(A1757)/60</f>
        <v>3</v>
      </c>
      <c r="F1757" s="33" t="n">
        <f aca="false">IF(OR(D1757&gt;5,E1757&lt;8,E1757&gt;=18,COUNTIF($K$2:$K$10,INT(A1757))&gt;0),1,0)</f>
        <v>1</v>
      </c>
      <c r="G1757" s="34" t="n">
        <f aca="false">B1757/1</f>
        <v>60.313</v>
      </c>
      <c r="H1757" s="34" t="n">
        <f aca="false">IF(F1757=1,G1757,"")</f>
        <v>60.313</v>
      </c>
    </row>
    <row r="1758" customFormat="false" ht="15" hidden="false" customHeight="false" outlineLevel="0" collapsed="false">
      <c r="A1758" s="31" t="n">
        <v>42809.1666666667</v>
      </c>
      <c r="B1758" s="32" t="n">
        <v>59.756</v>
      </c>
      <c r="D1758" s="33" t="n">
        <f aca="false">WEEKDAY(A1758,2)</f>
        <v>3</v>
      </c>
      <c r="E1758" s="33" t="n">
        <f aca="false">HOUR(A1758)+MINUTE(A1758)/60</f>
        <v>4</v>
      </c>
      <c r="F1758" s="33" t="n">
        <f aca="false">IF(OR(D1758&gt;5,E1758&lt;8,E1758&gt;=18,COUNTIF($K$2:$K$10,INT(A1758))&gt;0),1,0)</f>
        <v>1</v>
      </c>
      <c r="G1758" s="34" t="n">
        <f aca="false">B1758/1</f>
        <v>59.756</v>
      </c>
      <c r="H1758" s="34" t="n">
        <f aca="false">IF(F1758=1,G1758,"")</f>
        <v>59.756</v>
      </c>
    </row>
    <row r="1759" customFormat="false" ht="15" hidden="false" customHeight="false" outlineLevel="0" collapsed="false">
      <c r="A1759" s="31" t="n">
        <v>42809.2083333333</v>
      </c>
      <c r="B1759" s="32" t="n">
        <v>60.01</v>
      </c>
      <c r="D1759" s="33" t="n">
        <f aca="false">WEEKDAY(A1759,2)</f>
        <v>3</v>
      </c>
      <c r="E1759" s="33" t="n">
        <f aca="false">HOUR(A1759)+MINUTE(A1759)/60</f>
        <v>5</v>
      </c>
      <c r="F1759" s="33" t="n">
        <f aca="false">IF(OR(D1759&gt;5,E1759&lt;8,E1759&gt;=18,COUNTIF($K$2:$K$10,INT(A1759))&gt;0),1,0)</f>
        <v>1</v>
      </c>
      <c r="G1759" s="34" t="n">
        <f aca="false">B1759/1</f>
        <v>60.01</v>
      </c>
      <c r="H1759" s="34" t="n">
        <f aca="false">IF(F1759=1,G1759,"")</f>
        <v>60.01</v>
      </c>
    </row>
    <row r="1760" customFormat="false" ht="15" hidden="false" customHeight="false" outlineLevel="0" collapsed="false">
      <c r="A1760" s="31" t="n">
        <v>42809.25</v>
      </c>
      <c r="B1760" s="32" t="n">
        <v>61.686</v>
      </c>
      <c r="D1760" s="33" t="n">
        <f aca="false">WEEKDAY(A1760,2)</f>
        <v>3</v>
      </c>
      <c r="E1760" s="33" t="n">
        <f aca="false">HOUR(A1760)+MINUTE(A1760)/60</f>
        <v>6</v>
      </c>
      <c r="F1760" s="33" t="n">
        <f aca="false">IF(OR(D1760&gt;5,E1760&lt;8,E1760&gt;=18,COUNTIF($K$2:$K$10,INT(A1760))&gt;0),1,0)</f>
        <v>1</v>
      </c>
      <c r="G1760" s="34" t="n">
        <f aca="false">B1760/1</f>
        <v>61.686</v>
      </c>
      <c r="H1760" s="34" t="n">
        <f aca="false">IF(F1760=1,G1760,"")</f>
        <v>61.686</v>
      </c>
    </row>
    <row r="1761" customFormat="false" ht="15" hidden="false" customHeight="false" outlineLevel="0" collapsed="false">
      <c r="A1761" s="31" t="n">
        <v>42809.2916666667</v>
      </c>
      <c r="B1761" s="32" t="n">
        <v>65.49</v>
      </c>
      <c r="D1761" s="33" t="n">
        <f aca="false">WEEKDAY(A1761,2)</f>
        <v>3</v>
      </c>
      <c r="E1761" s="33" t="n">
        <f aca="false">HOUR(A1761)+MINUTE(A1761)/60</f>
        <v>7</v>
      </c>
      <c r="F1761" s="33" t="n">
        <f aca="false">IF(OR(D1761&gt;5,E1761&lt;8,E1761&gt;=18,COUNTIF($K$2:$K$10,INT(A1761))&gt;0),1,0)</f>
        <v>1</v>
      </c>
      <c r="G1761" s="34" t="n">
        <f aca="false">B1761/1</f>
        <v>65.49</v>
      </c>
      <c r="H1761" s="34" t="n">
        <f aca="false">IF(F1761=1,G1761,"")</f>
        <v>65.49</v>
      </c>
    </row>
    <row r="1762" customFormat="false" ht="15" hidden="false" customHeight="false" outlineLevel="0" collapsed="false">
      <c r="A1762" s="31" t="n">
        <v>42809.3333333333</v>
      </c>
      <c r="B1762" s="32" t="n">
        <v>176.045</v>
      </c>
      <c r="D1762" s="33" t="n">
        <f aca="false">WEEKDAY(A1762,2)</f>
        <v>3</v>
      </c>
      <c r="E1762" s="33" t="n">
        <f aca="false">HOUR(A1762)+MINUTE(A1762)/60</f>
        <v>8</v>
      </c>
      <c r="F1762" s="33" t="n">
        <f aca="false">IF(OR(D1762&gt;5,E1762&lt;8,E1762&gt;=18,COUNTIF($K$2:$K$10,INT(A1762))&gt;0),1,0)</f>
        <v>0</v>
      </c>
      <c r="G1762" s="34" t="n">
        <f aca="false">B1762/1</f>
        <v>176.045</v>
      </c>
      <c r="H1762" s="34" t="str">
        <f aca="false">IF(F1762=1,G1762,"")</f>
        <v/>
      </c>
    </row>
    <row r="1763" customFormat="false" ht="15" hidden="false" customHeight="false" outlineLevel="0" collapsed="false">
      <c r="A1763" s="31" t="n">
        <v>42809.375</v>
      </c>
      <c r="B1763" s="32" t="n">
        <v>207.357</v>
      </c>
      <c r="D1763" s="33" t="n">
        <f aca="false">WEEKDAY(A1763,2)</f>
        <v>3</v>
      </c>
      <c r="E1763" s="33" t="n">
        <f aca="false">HOUR(A1763)+MINUTE(A1763)/60</f>
        <v>9</v>
      </c>
      <c r="F1763" s="33" t="n">
        <f aca="false">IF(OR(D1763&gt;5,E1763&lt;8,E1763&gt;=18,COUNTIF($K$2:$K$10,INT(A1763))&gt;0),1,0)</f>
        <v>0</v>
      </c>
      <c r="G1763" s="34" t="n">
        <f aca="false">B1763/1</f>
        <v>207.357</v>
      </c>
      <c r="H1763" s="34" t="str">
        <f aca="false">IF(F1763=1,G1763,"")</f>
        <v/>
      </c>
    </row>
    <row r="1764" customFormat="false" ht="15" hidden="false" customHeight="false" outlineLevel="0" collapsed="false">
      <c r="A1764" s="31" t="n">
        <v>42809.4166666667</v>
      </c>
      <c r="B1764" s="32" t="n">
        <v>224.829</v>
      </c>
      <c r="D1764" s="33" t="n">
        <f aca="false">WEEKDAY(A1764,2)</f>
        <v>3</v>
      </c>
      <c r="E1764" s="33" t="n">
        <f aca="false">HOUR(A1764)+MINUTE(A1764)/60</f>
        <v>10</v>
      </c>
      <c r="F1764" s="33" t="n">
        <f aca="false">IF(OR(D1764&gt;5,E1764&lt;8,E1764&gt;=18,COUNTIF($K$2:$K$10,INT(A1764))&gt;0),1,0)</f>
        <v>0</v>
      </c>
      <c r="G1764" s="34" t="n">
        <f aca="false">B1764/1</f>
        <v>224.829</v>
      </c>
      <c r="H1764" s="34" t="str">
        <f aca="false">IF(F1764=1,G1764,"")</f>
        <v/>
      </c>
    </row>
    <row r="1765" customFormat="false" ht="15" hidden="false" customHeight="false" outlineLevel="0" collapsed="false">
      <c r="A1765" s="31" t="n">
        <v>42809.4583333333</v>
      </c>
      <c r="B1765" s="32" t="n">
        <v>230.367</v>
      </c>
      <c r="D1765" s="33" t="n">
        <f aca="false">WEEKDAY(A1765,2)</f>
        <v>3</v>
      </c>
      <c r="E1765" s="33" t="n">
        <f aca="false">HOUR(A1765)+MINUTE(A1765)/60</f>
        <v>11</v>
      </c>
      <c r="F1765" s="33" t="n">
        <f aca="false">IF(OR(D1765&gt;5,E1765&lt;8,E1765&gt;=18,COUNTIF($K$2:$K$10,INT(A1765))&gt;0),1,0)</f>
        <v>0</v>
      </c>
      <c r="G1765" s="34" t="n">
        <f aca="false">B1765/1</f>
        <v>230.367</v>
      </c>
      <c r="H1765" s="34" t="str">
        <f aca="false">IF(F1765=1,G1765,"")</f>
        <v/>
      </c>
    </row>
    <row r="1766" customFormat="false" ht="15" hidden="false" customHeight="false" outlineLevel="0" collapsed="false">
      <c r="A1766" s="31" t="n">
        <v>42809.5</v>
      </c>
      <c r="B1766" s="32" t="n">
        <v>227.482</v>
      </c>
      <c r="D1766" s="33" t="n">
        <f aca="false">WEEKDAY(A1766,2)</f>
        <v>3</v>
      </c>
      <c r="E1766" s="33" t="n">
        <f aca="false">HOUR(A1766)+MINUTE(A1766)/60</f>
        <v>12</v>
      </c>
      <c r="F1766" s="33" t="n">
        <f aca="false">IF(OR(D1766&gt;5,E1766&lt;8,E1766&gt;=18,COUNTIF($K$2:$K$10,INT(A1766))&gt;0),1,0)</f>
        <v>0</v>
      </c>
      <c r="G1766" s="34" t="n">
        <f aca="false">B1766/1</f>
        <v>227.482</v>
      </c>
      <c r="H1766" s="34" t="str">
        <f aca="false">IF(F1766=1,G1766,"")</f>
        <v/>
      </c>
    </row>
    <row r="1767" customFormat="false" ht="15" hidden="false" customHeight="false" outlineLevel="0" collapsed="false">
      <c r="A1767" s="31" t="n">
        <v>42809.5416666667</v>
      </c>
      <c r="B1767" s="32" t="n">
        <v>230.047</v>
      </c>
      <c r="D1767" s="33" t="n">
        <f aca="false">WEEKDAY(A1767,2)</f>
        <v>3</v>
      </c>
      <c r="E1767" s="33" t="n">
        <f aca="false">HOUR(A1767)+MINUTE(A1767)/60</f>
        <v>13</v>
      </c>
      <c r="F1767" s="33" t="n">
        <f aca="false">IF(OR(D1767&gt;5,E1767&lt;8,E1767&gt;=18,COUNTIF($K$2:$K$10,INT(A1767))&gt;0),1,0)</f>
        <v>0</v>
      </c>
      <c r="G1767" s="34" t="n">
        <f aca="false">B1767/1</f>
        <v>230.047</v>
      </c>
      <c r="H1767" s="34" t="str">
        <f aca="false">IF(F1767=1,G1767,"")</f>
        <v/>
      </c>
    </row>
    <row r="1768" customFormat="false" ht="15" hidden="false" customHeight="false" outlineLevel="0" collapsed="false">
      <c r="A1768" s="31" t="n">
        <v>42809.5833333333</v>
      </c>
      <c r="B1768" s="32" t="n">
        <v>228.332</v>
      </c>
      <c r="D1768" s="33" t="n">
        <f aca="false">WEEKDAY(A1768,2)</f>
        <v>3</v>
      </c>
      <c r="E1768" s="33" t="n">
        <f aca="false">HOUR(A1768)+MINUTE(A1768)/60</f>
        <v>14</v>
      </c>
      <c r="F1768" s="33" t="n">
        <f aca="false">IF(OR(D1768&gt;5,E1768&lt;8,E1768&gt;=18,COUNTIF($K$2:$K$10,INT(A1768))&gt;0),1,0)</f>
        <v>0</v>
      </c>
      <c r="G1768" s="34" t="n">
        <f aca="false">B1768/1</f>
        <v>228.332</v>
      </c>
      <c r="H1768" s="34" t="str">
        <f aca="false">IF(F1768=1,G1768,"")</f>
        <v/>
      </c>
    </row>
    <row r="1769" customFormat="false" ht="15" hidden="false" customHeight="false" outlineLevel="0" collapsed="false">
      <c r="A1769" s="31" t="n">
        <v>42809.625</v>
      </c>
      <c r="B1769" s="32" t="n">
        <v>228.997</v>
      </c>
      <c r="D1769" s="33" t="n">
        <f aca="false">WEEKDAY(A1769,2)</f>
        <v>3</v>
      </c>
      <c r="E1769" s="33" t="n">
        <f aca="false">HOUR(A1769)+MINUTE(A1769)/60</f>
        <v>15</v>
      </c>
      <c r="F1769" s="33" t="n">
        <f aca="false">IF(OR(D1769&gt;5,E1769&lt;8,E1769&gt;=18,COUNTIF($K$2:$K$10,INT(A1769))&gt;0),1,0)</f>
        <v>0</v>
      </c>
      <c r="G1769" s="34" t="n">
        <f aca="false">B1769/1</f>
        <v>228.997</v>
      </c>
      <c r="H1769" s="34" t="str">
        <f aca="false">IF(F1769=1,G1769,"")</f>
        <v/>
      </c>
    </row>
    <row r="1770" customFormat="false" ht="15" hidden="false" customHeight="false" outlineLevel="0" collapsed="false">
      <c r="A1770" s="31" t="n">
        <v>42809.6666666667</v>
      </c>
      <c r="B1770" s="32" t="n">
        <v>221.175</v>
      </c>
      <c r="D1770" s="33" t="n">
        <f aca="false">WEEKDAY(A1770,2)</f>
        <v>3</v>
      </c>
      <c r="E1770" s="33" t="n">
        <f aca="false">HOUR(A1770)+MINUTE(A1770)/60</f>
        <v>16</v>
      </c>
      <c r="F1770" s="33" t="n">
        <f aca="false">IF(OR(D1770&gt;5,E1770&lt;8,E1770&gt;=18,COUNTIF($K$2:$K$10,INT(A1770))&gt;0),1,0)</f>
        <v>0</v>
      </c>
      <c r="G1770" s="34" t="n">
        <f aca="false">B1770/1</f>
        <v>221.175</v>
      </c>
      <c r="H1770" s="34" t="str">
        <f aca="false">IF(F1770=1,G1770,"")</f>
        <v/>
      </c>
    </row>
    <row r="1771" customFormat="false" ht="15" hidden="false" customHeight="false" outlineLevel="0" collapsed="false">
      <c r="A1771" s="31" t="n">
        <v>42809.7083333333</v>
      </c>
      <c r="B1771" s="32" t="n">
        <v>210.66</v>
      </c>
      <c r="D1771" s="33" t="n">
        <f aca="false">WEEKDAY(A1771,2)</f>
        <v>3</v>
      </c>
      <c r="E1771" s="33" t="n">
        <f aca="false">HOUR(A1771)+MINUTE(A1771)/60</f>
        <v>17</v>
      </c>
      <c r="F1771" s="33" t="n">
        <f aca="false">IF(OR(D1771&gt;5,E1771&lt;8,E1771&gt;=18,COUNTIF($K$2:$K$10,INT(A1771))&gt;0),1,0)</f>
        <v>0</v>
      </c>
      <c r="G1771" s="34" t="n">
        <f aca="false">B1771/1</f>
        <v>210.66</v>
      </c>
      <c r="H1771" s="34" t="str">
        <f aca="false">IF(F1771=1,G1771,"")</f>
        <v/>
      </c>
    </row>
    <row r="1772" customFormat="false" ht="15" hidden="false" customHeight="false" outlineLevel="0" collapsed="false">
      <c r="A1772" s="31" t="n">
        <v>42809.75</v>
      </c>
      <c r="B1772" s="32" t="n">
        <v>196.433</v>
      </c>
      <c r="D1772" s="33" t="n">
        <f aca="false">WEEKDAY(A1772,2)</f>
        <v>3</v>
      </c>
      <c r="E1772" s="33" t="n">
        <f aca="false">HOUR(A1772)+MINUTE(A1772)/60</f>
        <v>18</v>
      </c>
      <c r="F1772" s="33" t="n">
        <f aca="false">IF(OR(D1772&gt;5,E1772&lt;8,E1772&gt;=18,COUNTIF($K$2:$K$10,INT(A1772))&gt;0),1,0)</f>
        <v>1</v>
      </c>
      <c r="G1772" s="34" t="n">
        <f aca="false">B1772/1</f>
        <v>196.433</v>
      </c>
      <c r="H1772" s="34" t="n">
        <f aca="false">IF(F1772=1,G1772,"")</f>
        <v>196.433</v>
      </c>
    </row>
    <row r="1773" customFormat="false" ht="15" hidden="false" customHeight="false" outlineLevel="0" collapsed="false">
      <c r="A1773" s="31" t="n">
        <v>42809.7916666667</v>
      </c>
      <c r="B1773" s="32" t="n">
        <v>190.18</v>
      </c>
      <c r="D1773" s="33" t="n">
        <f aca="false">WEEKDAY(A1773,2)</f>
        <v>3</v>
      </c>
      <c r="E1773" s="33" t="n">
        <f aca="false">HOUR(A1773)+MINUTE(A1773)/60</f>
        <v>19</v>
      </c>
      <c r="F1773" s="33" t="n">
        <f aca="false">IF(OR(D1773&gt;5,E1773&lt;8,E1773&gt;=18,COUNTIF($K$2:$K$10,INT(A1773))&gt;0),1,0)</f>
        <v>1</v>
      </c>
      <c r="G1773" s="34" t="n">
        <f aca="false">B1773/1</f>
        <v>190.18</v>
      </c>
      <c r="H1773" s="34" t="n">
        <f aca="false">IF(F1773=1,G1773,"")</f>
        <v>190.18</v>
      </c>
    </row>
    <row r="1774" customFormat="false" ht="15" hidden="false" customHeight="false" outlineLevel="0" collapsed="false">
      <c r="A1774" s="31" t="n">
        <v>42809.8333333333</v>
      </c>
      <c r="B1774" s="32" t="n">
        <v>186.484</v>
      </c>
      <c r="D1774" s="33" t="n">
        <f aca="false">WEEKDAY(A1774,2)</f>
        <v>3</v>
      </c>
      <c r="E1774" s="33" t="n">
        <f aca="false">HOUR(A1774)+MINUTE(A1774)/60</f>
        <v>20</v>
      </c>
      <c r="F1774" s="33" t="n">
        <f aca="false">IF(OR(D1774&gt;5,E1774&lt;8,E1774&gt;=18,COUNTIF($K$2:$K$10,INT(A1774))&gt;0),1,0)</f>
        <v>1</v>
      </c>
      <c r="G1774" s="34" t="n">
        <f aca="false">B1774/1</f>
        <v>186.484</v>
      </c>
      <c r="H1774" s="34" t="n">
        <f aca="false">IF(F1774=1,G1774,"")</f>
        <v>186.484</v>
      </c>
    </row>
    <row r="1775" customFormat="false" ht="15" hidden="false" customHeight="false" outlineLevel="0" collapsed="false">
      <c r="A1775" s="31" t="n">
        <v>42809.875</v>
      </c>
      <c r="B1775" s="32" t="n">
        <v>186.414</v>
      </c>
      <c r="D1775" s="33" t="n">
        <f aca="false">WEEKDAY(A1775,2)</f>
        <v>3</v>
      </c>
      <c r="E1775" s="33" t="n">
        <f aca="false">HOUR(A1775)+MINUTE(A1775)/60</f>
        <v>21</v>
      </c>
      <c r="F1775" s="33" t="n">
        <f aca="false">IF(OR(D1775&gt;5,E1775&lt;8,E1775&gt;=18,COUNTIF($K$2:$K$10,INT(A1775))&gt;0),1,0)</f>
        <v>1</v>
      </c>
      <c r="G1775" s="34" t="n">
        <f aca="false">B1775/1</f>
        <v>186.414</v>
      </c>
      <c r="H1775" s="34" t="n">
        <f aca="false">IF(F1775=1,G1775,"")</f>
        <v>186.414</v>
      </c>
    </row>
    <row r="1776" customFormat="false" ht="15" hidden="false" customHeight="false" outlineLevel="0" collapsed="false">
      <c r="A1776" s="31" t="n">
        <v>42809.9166666667</v>
      </c>
      <c r="B1776" s="32" t="n">
        <v>128.819</v>
      </c>
      <c r="D1776" s="33" t="n">
        <f aca="false">WEEKDAY(A1776,2)</f>
        <v>3</v>
      </c>
      <c r="E1776" s="33" t="n">
        <f aca="false">HOUR(A1776)+MINUTE(A1776)/60</f>
        <v>22</v>
      </c>
      <c r="F1776" s="33" t="n">
        <f aca="false">IF(OR(D1776&gt;5,E1776&lt;8,E1776&gt;=18,COUNTIF($K$2:$K$10,INT(A1776))&gt;0),1,0)</f>
        <v>1</v>
      </c>
      <c r="G1776" s="34" t="n">
        <f aca="false">B1776/1</f>
        <v>128.819</v>
      </c>
      <c r="H1776" s="34" t="n">
        <f aca="false">IF(F1776=1,G1776,"")</f>
        <v>128.819</v>
      </c>
    </row>
    <row r="1777" customFormat="false" ht="15" hidden="false" customHeight="false" outlineLevel="0" collapsed="false">
      <c r="A1777" s="31" t="n">
        <v>42809.9583333333</v>
      </c>
      <c r="B1777" s="32" t="n">
        <v>66.445</v>
      </c>
      <c r="D1777" s="33" t="n">
        <f aca="false">WEEKDAY(A1777,2)</f>
        <v>3</v>
      </c>
      <c r="E1777" s="33" t="n">
        <f aca="false">HOUR(A1777)+MINUTE(A1777)/60</f>
        <v>23</v>
      </c>
      <c r="F1777" s="33" t="n">
        <f aca="false">IF(OR(D1777&gt;5,E1777&lt;8,E1777&gt;=18,COUNTIF($K$2:$K$10,INT(A1777))&gt;0),1,0)</f>
        <v>1</v>
      </c>
      <c r="G1777" s="34" t="n">
        <f aca="false">B1777/1</f>
        <v>66.445</v>
      </c>
      <c r="H1777" s="34" t="n">
        <f aca="false">IF(F1777=1,G1777,"")</f>
        <v>66.445</v>
      </c>
    </row>
    <row r="1778" customFormat="false" ht="15" hidden="false" customHeight="false" outlineLevel="0" collapsed="false">
      <c r="A1778" s="31" t="n">
        <v>42810</v>
      </c>
      <c r="B1778" s="32" t="n">
        <v>62.679</v>
      </c>
      <c r="D1778" s="33" t="n">
        <f aca="false">WEEKDAY(A1778,2)</f>
        <v>4</v>
      </c>
      <c r="E1778" s="33" t="n">
        <f aca="false">HOUR(A1778)+MINUTE(A1778)/60</f>
        <v>0</v>
      </c>
      <c r="F1778" s="33" t="n">
        <f aca="false">IF(OR(D1778&gt;5,E1778&lt;8,E1778&gt;=18,COUNTIF($K$2:$K$10,INT(A1778))&gt;0),1,0)</f>
        <v>1</v>
      </c>
      <c r="G1778" s="34" t="n">
        <f aca="false">B1778/1</f>
        <v>62.679</v>
      </c>
      <c r="H1778" s="34" t="n">
        <f aca="false">IF(F1778=1,G1778,"")</f>
        <v>62.679</v>
      </c>
    </row>
    <row r="1779" customFormat="false" ht="15" hidden="false" customHeight="false" outlineLevel="0" collapsed="false">
      <c r="A1779" s="31" t="n">
        <v>42810.0416666667</v>
      </c>
      <c r="B1779" s="32" t="n">
        <v>59.731</v>
      </c>
      <c r="D1779" s="33" t="n">
        <f aca="false">WEEKDAY(A1779,2)</f>
        <v>4</v>
      </c>
      <c r="E1779" s="33" t="n">
        <f aca="false">HOUR(A1779)+MINUTE(A1779)/60</f>
        <v>1</v>
      </c>
      <c r="F1779" s="33" t="n">
        <f aca="false">IF(OR(D1779&gt;5,E1779&lt;8,E1779&gt;=18,COUNTIF($K$2:$K$10,INT(A1779))&gt;0),1,0)</f>
        <v>1</v>
      </c>
      <c r="G1779" s="34" t="n">
        <f aca="false">B1779/1</f>
        <v>59.731</v>
      </c>
      <c r="H1779" s="34" t="n">
        <f aca="false">IF(F1779=1,G1779,"")</f>
        <v>59.731</v>
      </c>
    </row>
    <row r="1780" customFormat="false" ht="15" hidden="false" customHeight="false" outlineLevel="0" collapsed="false">
      <c r="A1780" s="31" t="n">
        <v>42810.0833333333</v>
      </c>
      <c r="B1780" s="32" t="n">
        <v>59.207</v>
      </c>
      <c r="D1780" s="33" t="n">
        <f aca="false">WEEKDAY(A1780,2)</f>
        <v>4</v>
      </c>
      <c r="E1780" s="33" t="n">
        <f aca="false">HOUR(A1780)+MINUTE(A1780)/60</f>
        <v>2</v>
      </c>
      <c r="F1780" s="33" t="n">
        <f aca="false">IF(OR(D1780&gt;5,E1780&lt;8,E1780&gt;=18,COUNTIF($K$2:$K$10,INT(A1780))&gt;0),1,0)</f>
        <v>1</v>
      </c>
      <c r="G1780" s="34" t="n">
        <f aca="false">B1780/1</f>
        <v>59.207</v>
      </c>
      <c r="H1780" s="34" t="n">
        <f aca="false">IF(F1780=1,G1780,"")</f>
        <v>59.207</v>
      </c>
    </row>
    <row r="1781" customFormat="false" ht="15" hidden="false" customHeight="false" outlineLevel="0" collapsed="false">
      <c r="A1781" s="31" t="n">
        <v>42810.125</v>
      </c>
      <c r="B1781" s="32" t="n">
        <v>59.162</v>
      </c>
      <c r="D1781" s="33" t="n">
        <f aca="false">WEEKDAY(A1781,2)</f>
        <v>4</v>
      </c>
      <c r="E1781" s="33" t="n">
        <f aca="false">HOUR(A1781)+MINUTE(A1781)/60</f>
        <v>3</v>
      </c>
      <c r="F1781" s="33" t="n">
        <f aca="false">IF(OR(D1781&gt;5,E1781&lt;8,E1781&gt;=18,COUNTIF($K$2:$K$10,INT(A1781))&gt;0),1,0)</f>
        <v>1</v>
      </c>
      <c r="G1781" s="34" t="n">
        <f aca="false">B1781/1</f>
        <v>59.162</v>
      </c>
      <c r="H1781" s="34" t="n">
        <f aca="false">IF(F1781=1,G1781,"")</f>
        <v>59.162</v>
      </c>
    </row>
    <row r="1782" customFormat="false" ht="15" hidden="false" customHeight="false" outlineLevel="0" collapsed="false">
      <c r="A1782" s="31" t="n">
        <v>42810.1666666667</v>
      </c>
      <c r="B1782" s="32" t="n">
        <v>58.815</v>
      </c>
      <c r="D1782" s="33" t="n">
        <f aca="false">WEEKDAY(A1782,2)</f>
        <v>4</v>
      </c>
      <c r="E1782" s="33" t="n">
        <f aca="false">HOUR(A1782)+MINUTE(A1782)/60</f>
        <v>4</v>
      </c>
      <c r="F1782" s="33" t="n">
        <f aca="false">IF(OR(D1782&gt;5,E1782&lt;8,E1782&gt;=18,COUNTIF($K$2:$K$10,INT(A1782))&gt;0),1,0)</f>
        <v>1</v>
      </c>
      <c r="G1782" s="34" t="n">
        <f aca="false">B1782/1</f>
        <v>58.815</v>
      </c>
      <c r="H1782" s="34" t="n">
        <f aca="false">IF(F1782=1,G1782,"")</f>
        <v>58.815</v>
      </c>
    </row>
    <row r="1783" customFormat="false" ht="15" hidden="false" customHeight="false" outlineLevel="0" collapsed="false">
      <c r="A1783" s="31" t="n">
        <v>42810.2083333333</v>
      </c>
      <c r="B1783" s="32" t="n">
        <v>59.136</v>
      </c>
      <c r="D1783" s="33" t="n">
        <f aca="false">WEEKDAY(A1783,2)</f>
        <v>4</v>
      </c>
      <c r="E1783" s="33" t="n">
        <f aca="false">HOUR(A1783)+MINUTE(A1783)/60</f>
        <v>5</v>
      </c>
      <c r="F1783" s="33" t="n">
        <f aca="false">IF(OR(D1783&gt;5,E1783&lt;8,E1783&gt;=18,COUNTIF($K$2:$K$10,INT(A1783))&gt;0),1,0)</f>
        <v>1</v>
      </c>
      <c r="G1783" s="34" t="n">
        <f aca="false">B1783/1</f>
        <v>59.136</v>
      </c>
      <c r="H1783" s="34" t="n">
        <f aca="false">IF(F1783=1,G1783,"")</f>
        <v>59.136</v>
      </c>
    </row>
    <row r="1784" customFormat="false" ht="15" hidden="false" customHeight="false" outlineLevel="0" collapsed="false">
      <c r="A1784" s="31" t="n">
        <v>42810.25</v>
      </c>
      <c r="B1784" s="32" t="n">
        <v>59.815</v>
      </c>
      <c r="D1784" s="33" t="n">
        <f aca="false">WEEKDAY(A1784,2)</f>
        <v>4</v>
      </c>
      <c r="E1784" s="33" t="n">
        <f aca="false">HOUR(A1784)+MINUTE(A1784)/60</f>
        <v>6</v>
      </c>
      <c r="F1784" s="33" t="n">
        <f aca="false">IF(OR(D1784&gt;5,E1784&lt;8,E1784&gt;=18,COUNTIF($K$2:$K$10,INT(A1784))&gt;0),1,0)</f>
        <v>1</v>
      </c>
      <c r="G1784" s="34" t="n">
        <f aca="false">B1784/1</f>
        <v>59.815</v>
      </c>
      <c r="H1784" s="34" t="n">
        <f aca="false">IF(F1784=1,G1784,"")</f>
        <v>59.815</v>
      </c>
    </row>
    <row r="1785" customFormat="false" ht="15" hidden="false" customHeight="false" outlineLevel="0" collapsed="false">
      <c r="A1785" s="31" t="n">
        <v>42810.2916666667</v>
      </c>
      <c r="B1785" s="32" t="n">
        <v>64.119</v>
      </c>
      <c r="D1785" s="33" t="n">
        <f aca="false">WEEKDAY(A1785,2)</f>
        <v>4</v>
      </c>
      <c r="E1785" s="33" t="n">
        <f aca="false">HOUR(A1785)+MINUTE(A1785)/60</f>
        <v>7</v>
      </c>
      <c r="F1785" s="33" t="n">
        <f aca="false">IF(OR(D1785&gt;5,E1785&lt;8,E1785&gt;=18,COUNTIF($K$2:$K$10,INT(A1785))&gt;0),1,0)</f>
        <v>1</v>
      </c>
      <c r="G1785" s="34" t="n">
        <f aca="false">B1785/1</f>
        <v>64.119</v>
      </c>
      <c r="H1785" s="34" t="n">
        <f aca="false">IF(F1785=1,G1785,"")</f>
        <v>64.119</v>
      </c>
    </row>
    <row r="1786" customFormat="false" ht="15" hidden="false" customHeight="false" outlineLevel="0" collapsed="false">
      <c r="A1786" s="31" t="n">
        <v>42810.3333333333</v>
      </c>
      <c r="B1786" s="32" t="n">
        <v>172.013</v>
      </c>
      <c r="D1786" s="33" t="n">
        <f aca="false">WEEKDAY(A1786,2)</f>
        <v>4</v>
      </c>
      <c r="E1786" s="33" t="n">
        <f aca="false">HOUR(A1786)+MINUTE(A1786)/60</f>
        <v>8</v>
      </c>
      <c r="F1786" s="33" t="n">
        <f aca="false">IF(OR(D1786&gt;5,E1786&lt;8,E1786&gt;=18,COUNTIF($K$2:$K$10,INT(A1786))&gt;0),1,0)</f>
        <v>0</v>
      </c>
      <c r="G1786" s="34" t="n">
        <f aca="false">B1786/1</f>
        <v>172.013</v>
      </c>
      <c r="H1786" s="34" t="str">
        <f aca="false">IF(F1786=1,G1786,"")</f>
        <v/>
      </c>
    </row>
    <row r="1787" customFormat="false" ht="15" hidden="false" customHeight="false" outlineLevel="0" collapsed="false">
      <c r="A1787" s="31" t="n">
        <v>42810.375</v>
      </c>
      <c r="B1787" s="32" t="n">
        <v>200.703</v>
      </c>
      <c r="D1787" s="33" t="n">
        <f aca="false">WEEKDAY(A1787,2)</f>
        <v>4</v>
      </c>
      <c r="E1787" s="33" t="n">
        <f aca="false">HOUR(A1787)+MINUTE(A1787)/60</f>
        <v>9</v>
      </c>
      <c r="F1787" s="33" t="n">
        <f aca="false">IF(OR(D1787&gt;5,E1787&lt;8,E1787&gt;=18,COUNTIF($K$2:$K$10,INT(A1787))&gt;0),1,0)</f>
        <v>0</v>
      </c>
      <c r="G1787" s="34" t="n">
        <f aca="false">B1787/1</f>
        <v>200.703</v>
      </c>
      <c r="H1787" s="34" t="str">
        <f aca="false">IF(F1787=1,G1787,"")</f>
        <v/>
      </c>
    </row>
    <row r="1788" customFormat="false" ht="15" hidden="false" customHeight="false" outlineLevel="0" collapsed="false">
      <c r="A1788" s="31" t="n">
        <v>42810.4166666667</v>
      </c>
      <c r="B1788" s="32" t="n">
        <v>210.935</v>
      </c>
      <c r="D1788" s="33" t="n">
        <f aca="false">WEEKDAY(A1788,2)</f>
        <v>4</v>
      </c>
      <c r="E1788" s="33" t="n">
        <f aca="false">HOUR(A1788)+MINUTE(A1788)/60</f>
        <v>10</v>
      </c>
      <c r="F1788" s="33" t="n">
        <f aca="false">IF(OR(D1788&gt;5,E1788&lt;8,E1788&gt;=18,COUNTIF($K$2:$K$10,INT(A1788))&gt;0),1,0)</f>
        <v>0</v>
      </c>
      <c r="G1788" s="34" t="n">
        <f aca="false">B1788/1</f>
        <v>210.935</v>
      </c>
      <c r="H1788" s="34" t="str">
        <f aca="false">IF(F1788=1,G1788,"")</f>
        <v/>
      </c>
    </row>
    <row r="1789" customFormat="false" ht="15" hidden="false" customHeight="false" outlineLevel="0" collapsed="false">
      <c r="A1789" s="31" t="n">
        <v>42810.4583333333</v>
      </c>
      <c r="B1789" s="32" t="n">
        <v>218.857</v>
      </c>
      <c r="D1789" s="33" t="n">
        <f aca="false">WEEKDAY(A1789,2)</f>
        <v>4</v>
      </c>
      <c r="E1789" s="33" t="n">
        <f aca="false">HOUR(A1789)+MINUTE(A1789)/60</f>
        <v>11</v>
      </c>
      <c r="F1789" s="33" t="n">
        <f aca="false">IF(OR(D1789&gt;5,E1789&lt;8,E1789&gt;=18,COUNTIF($K$2:$K$10,INT(A1789))&gt;0),1,0)</f>
        <v>0</v>
      </c>
      <c r="G1789" s="34" t="n">
        <f aca="false">B1789/1</f>
        <v>218.857</v>
      </c>
      <c r="H1789" s="34" t="str">
        <f aca="false">IF(F1789=1,G1789,"")</f>
        <v/>
      </c>
    </row>
    <row r="1790" customFormat="false" ht="15" hidden="false" customHeight="false" outlineLevel="0" collapsed="false">
      <c r="A1790" s="31" t="n">
        <v>42810.5</v>
      </c>
      <c r="B1790" s="32" t="n">
        <v>223.438</v>
      </c>
      <c r="D1790" s="33" t="n">
        <f aca="false">WEEKDAY(A1790,2)</f>
        <v>4</v>
      </c>
      <c r="E1790" s="33" t="n">
        <f aca="false">HOUR(A1790)+MINUTE(A1790)/60</f>
        <v>12</v>
      </c>
      <c r="F1790" s="33" t="n">
        <f aca="false">IF(OR(D1790&gt;5,E1790&lt;8,E1790&gt;=18,COUNTIF($K$2:$K$10,INT(A1790))&gt;0),1,0)</f>
        <v>0</v>
      </c>
      <c r="G1790" s="34" t="n">
        <f aca="false">B1790/1</f>
        <v>223.438</v>
      </c>
      <c r="H1790" s="34" t="str">
        <f aca="false">IF(F1790=1,G1790,"")</f>
        <v/>
      </c>
    </row>
    <row r="1791" customFormat="false" ht="15" hidden="false" customHeight="false" outlineLevel="0" collapsed="false">
      <c r="A1791" s="31" t="n">
        <v>42810.5416666667</v>
      </c>
      <c r="B1791" s="32" t="n">
        <v>219.695</v>
      </c>
      <c r="D1791" s="33" t="n">
        <f aca="false">WEEKDAY(A1791,2)</f>
        <v>4</v>
      </c>
      <c r="E1791" s="33" t="n">
        <f aca="false">HOUR(A1791)+MINUTE(A1791)/60</f>
        <v>13</v>
      </c>
      <c r="F1791" s="33" t="n">
        <f aca="false">IF(OR(D1791&gt;5,E1791&lt;8,E1791&gt;=18,COUNTIF($K$2:$K$10,INT(A1791))&gt;0),1,0)</f>
        <v>0</v>
      </c>
      <c r="G1791" s="34" t="n">
        <f aca="false">B1791/1</f>
        <v>219.695</v>
      </c>
      <c r="H1791" s="34" t="str">
        <f aca="false">IF(F1791=1,G1791,"")</f>
        <v/>
      </c>
    </row>
    <row r="1792" customFormat="false" ht="15" hidden="false" customHeight="false" outlineLevel="0" collapsed="false">
      <c r="A1792" s="31" t="n">
        <v>42810.5833333333</v>
      </c>
      <c r="B1792" s="32" t="n">
        <v>220.481</v>
      </c>
      <c r="D1792" s="33" t="n">
        <f aca="false">WEEKDAY(A1792,2)</f>
        <v>4</v>
      </c>
      <c r="E1792" s="33" t="n">
        <f aca="false">HOUR(A1792)+MINUTE(A1792)/60</f>
        <v>14</v>
      </c>
      <c r="F1792" s="33" t="n">
        <f aca="false">IF(OR(D1792&gt;5,E1792&lt;8,E1792&gt;=18,COUNTIF($K$2:$K$10,INT(A1792))&gt;0),1,0)</f>
        <v>0</v>
      </c>
      <c r="G1792" s="34" t="n">
        <f aca="false">B1792/1</f>
        <v>220.481</v>
      </c>
      <c r="H1792" s="34" t="str">
        <f aca="false">IF(F1792=1,G1792,"")</f>
        <v/>
      </c>
    </row>
    <row r="1793" customFormat="false" ht="15" hidden="false" customHeight="false" outlineLevel="0" collapsed="false">
      <c r="A1793" s="31" t="n">
        <v>42810.625</v>
      </c>
      <c r="B1793" s="32" t="n">
        <v>221.499</v>
      </c>
      <c r="D1793" s="33" t="n">
        <f aca="false">WEEKDAY(A1793,2)</f>
        <v>4</v>
      </c>
      <c r="E1793" s="33" t="n">
        <f aca="false">HOUR(A1793)+MINUTE(A1793)/60</f>
        <v>15</v>
      </c>
      <c r="F1793" s="33" t="n">
        <f aca="false">IF(OR(D1793&gt;5,E1793&lt;8,E1793&gt;=18,COUNTIF($K$2:$K$10,INT(A1793))&gt;0),1,0)</f>
        <v>0</v>
      </c>
      <c r="G1793" s="34" t="n">
        <f aca="false">B1793/1</f>
        <v>221.499</v>
      </c>
      <c r="H1793" s="34" t="str">
        <f aca="false">IF(F1793=1,G1793,"")</f>
        <v/>
      </c>
    </row>
    <row r="1794" customFormat="false" ht="15" hidden="false" customHeight="false" outlineLevel="0" collapsed="false">
      <c r="A1794" s="31" t="n">
        <v>42810.6666666667</v>
      </c>
      <c r="B1794" s="32" t="n">
        <v>213.585</v>
      </c>
      <c r="D1794" s="33" t="n">
        <f aca="false">WEEKDAY(A1794,2)</f>
        <v>4</v>
      </c>
      <c r="E1794" s="33" t="n">
        <f aca="false">HOUR(A1794)+MINUTE(A1794)/60</f>
        <v>16</v>
      </c>
      <c r="F1794" s="33" t="n">
        <f aca="false">IF(OR(D1794&gt;5,E1794&lt;8,E1794&gt;=18,COUNTIF($K$2:$K$10,INT(A1794))&gt;0),1,0)</f>
        <v>0</v>
      </c>
      <c r="G1794" s="34" t="n">
        <f aca="false">B1794/1</f>
        <v>213.585</v>
      </c>
      <c r="H1794" s="34" t="str">
        <f aca="false">IF(F1794=1,G1794,"")</f>
        <v/>
      </c>
    </row>
    <row r="1795" customFormat="false" ht="15" hidden="false" customHeight="false" outlineLevel="0" collapsed="false">
      <c r="A1795" s="31" t="n">
        <v>42810.7083333333</v>
      </c>
      <c r="B1795" s="32" t="n">
        <v>200.998</v>
      </c>
      <c r="D1795" s="33" t="n">
        <f aca="false">WEEKDAY(A1795,2)</f>
        <v>4</v>
      </c>
      <c r="E1795" s="33" t="n">
        <f aca="false">HOUR(A1795)+MINUTE(A1795)/60</f>
        <v>17</v>
      </c>
      <c r="F1795" s="33" t="n">
        <f aca="false">IF(OR(D1795&gt;5,E1795&lt;8,E1795&gt;=18,COUNTIF($K$2:$K$10,INT(A1795))&gt;0),1,0)</f>
        <v>0</v>
      </c>
      <c r="G1795" s="34" t="n">
        <f aca="false">B1795/1</f>
        <v>200.998</v>
      </c>
      <c r="H1795" s="34" t="str">
        <f aca="false">IF(F1795=1,G1795,"")</f>
        <v/>
      </c>
    </row>
    <row r="1796" customFormat="false" ht="15" hidden="false" customHeight="false" outlineLevel="0" collapsed="false">
      <c r="A1796" s="31" t="n">
        <v>42810.75</v>
      </c>
      <c r="B1796" s="32" t="n">
        <v>200.924</v>
      </c>
      <c r="D1796" s="33" t="n">
        <f aca="false">WEEKDAY(A1796,2)</f>
        <v>4</v>
      </c>
      <c r="E1796" s="33" t="n">
        <f aca="false">HOUR(A1796)+MINUTE(A1796)/60</f>
        <v>18</v>
      </c>
      <c r="F1796" s="33" t="n">
        <f aca="false">IF(OR(D1796&gt;5,E1796&lt;8,E1796&gt;=18,COUNTIF($K$2:$K$10,INT(A1796))&gt;0),1,0)</f>
        <v>1</v>
      </c>
      <c r="G1796" s="34" t="n">
        <f aca="false">B1796/1</f>
        <v>200.924</v>
      </c>
      <c r="H1796" s="34" t="n">
        <f aca="false">IF(F1796=1,G1796,"")</f>
        <v>200.924</v>
      </c>
    </row>
    <row r="1797" customFormat="false" ht="15" hidden="false" customHeight="false" outlineLevel="0" collapsed="false">
      <c r="A1797" s="31" t="n">
        <v>42810.7916666667</v>
      </c>
      <c r="B1797" s="32" t="n">
        <v>199.849</v>
      </c>
      <c r="D1797" s="33" t="n">
        <f aca="false">WEEKDAY(A1797,2)</f>
        <v>4</v>
      </c>
      <c r="E1797" s="33" t="n">
        <f aca="false">HOUR(A1797)+MINUTE(A1797)/60</f>
        <v>19</v>
      </c>
      <c r="F1797" s="33" t="n">
        <f aca="false">IF(OR(D1797&gt;5,E1797&lt;8,E1797&gt;=18,COUNTIF($K$2:$K$10,INT(A1797))&gt;0),1,0)</f>
        <v>1</v>
      </c>
      <c r="G1797" s="34" t="n">
        <f aca="false">B1797/1</f>
        <v>199.849</v>
      </c>
      <c r="H1797" s="34" t="n">
        <f aca="false">IF(F1797=1,G1797,"")</f>
        <v>199.849</v>
      </c>
    </row>
    <row r="1798" customFormat="false" ht="15" hidden="false" customHeight="false" outlineLevel="0" collapsed="false">
      <c r="A1798" s="31" t="n">
        <v>42810.8333333333</v>
      </c>
      <c r="B1798" s="32" t="n">
        <v>191.424</v>
      </c>
      <c r="D1798" s="33" t="n">
        <f aca="false">WEEKDAY(A1798,2)</f>
        <v>4</v>
      </c>
      <c r="E1798" s="33" t="n">
        <f aca="false">HOUR(A1798)+MINUTE(A1798)/60</f>
        <v>20</v>
      </c>
      <c r="F1798" s="33" t="n">
        <f aca="false">IF(OR(D1798&gt;5,E1798&lt;8,E1798&gt;=18,COUNTIF($K$2:$K$10,INT(A1798))&gt;0),1,0)</f>
        <v>1</v>
      </c>
      <c r="G1798" s="34" t="n">
        <f aca="false">B1798/1</f>
        <v>191.424</v>
      </c>
      <c r="H1798" s="34" t="n">
        <f aca="false">IF(F1798=1,G1798,"")</f>
        <v>191.424</v>
      </c>
    </row>
    <row r="1799" customFormat="false" ht="15" hidden="false" customHeight="false" outlineLevel="0" collapsed="false">
      <c r="A1799" s="31" t="n">
        <v>42810.875</v>
      </c>
      <c r="B1799" s="32" t="n">
        <v>179.112</v>
      </c>
      <c r="D1799" s="33" t="n">
        <f aca="false">WEEKDAY(A1799,2)</f>
        <v>4</v>
      </c>
      <c r="E1799" s="33" t="n">
        <f aca="false">HOUR(A1799)+MINUTE(A1799)/60</f>
        <v>21</v>
      </c>
      <c r="F1799" s="33" t="n">
        <f aca="false">IF(OR(D1799&gt;5,E1799&lt;8,E1799&gt;=18,COUNTIF($K$2:$K$10,INT(A1799))&gt;0),1,0)</f>
        <v>1</v>
      </c>
      <c r="G1799" s="34" t="n">
        <f aca="false">B1799/1</f>
        <v>179.112</v>
      </c>
      <c r="H1799" s="34" t="n">
        <f aca="false">IF(F1799=1,G1799,"")</f>
        <v>179.112</v>
      </c>
    </row>
    <row r="1800" customFormat="false" ht="15" hidden="false" customHeight="false" outlineLevel="0" collapsed="false">
      <c r="A1800" s="31" t="n">
        <v>42810.9166666667</v>
      </c>
      <c r="B1800" s="32" t="n">
        <v>124.621</v>
      </c>
      <c r="D1800" s="33" t="n">
        <f aca="false">WEEKDAY(A1800,2)</f>
        <v>4</v>
      </c>
      <c r="E1800" s="33" t="n">
        <f aca="false">HOUR(A1800)+MINUTE(A1800)/60</f>
        <v>22</v>
      </c>
      <c r="F1800" s="33" t="n">
        <f aca="false">IF(OR(D1800&gt;5,E1800&lt;8,E1800&gt;=18,COUNTIF($K$2:$K$10,INT(A1800))&gt;0),1,0)</f>
        <v>1</v>
      </c>
      <c r="G1800" s="34" t="n">
        <f aca="false">B1800/1</f>
        <v>124.621</v>
      </c>
      <c r="H1800" s="34" t="n">
        <f aca="false">IF(F1800=1,G1800,"")</f>
        <v>124.621</v>
      </c>
    </row>
    <row r="1801" customFormat="false" ht="15" hidden="false" customHeight="false" outlineLevel="0" collapsed="false">
      <c r="A1801" s="31" t="n">
        <v>42810.9583333333</v>
      </c>
      <c r="B1801" s="32" t="n">
        <v>62.777</v>
      </c>
      <c r="D1801" s="33" t="n">
        <f aca="false">WEEKDAY(A1801,2)</f>
        <v>4</v>
      </c>
      <c r="E1801" s="33" t="n">
        <f aca="false">HOUR(A1801)+MINUTE(A1801)/60</f>
        <v>23</v>
      </c>
      <c r="F1801" s="33" t="n">
        <f aca="false">IF(OR(D1801&gt;5,E1801&lt;8,E1801&gt;=18,COUNTIF($K$2:$K$10,INT(A1801))&gt;0),1,0)</f>
        <v>1</v>
      </c>
      <c r="G1801" s="34" t="n">
        <f aca="false">B1801/1</f>
        <v>62.777</v>
      </c>
      <c r="H1801" s="34" t="n">
        <f aca="false">IF(F1801=1,G1801,"")</f>
        <v>62.777</v>
      </c>
    </row>
    <row r="1802" customFormat="false" ht="15" hidden="false" customHeight="false" outlineLevel="0" collapsed="false">
      <c r="A1802" s="31" t="n">
        <v>42811</v>
      </c>
      <c r="B1802" s="32" t="n">
        <v>61.075</v>
      </c>
      <c r="D1802" s="33" t="n">
        <f aca="false">WEEKDAY(A1802,2)</f>
        <v>5</v>
      </c>
      <c r="E1802" s="33" t="n">
        <f aca="false">HOUR(A1802)+MINUTE(A1802)/60</f>
        <v>0</v>
      </c>
      <c r="F1802" s="33" t="n">
        <f aca="false">IF(OR(D1802&gt;5,E1802&lt;8,E1802&gt;=18,COUNTIF($K$2:$K$10,INT(A1802))&gt;0),1,0)</f>
        <v>1</v>
      </c>
      <c r="G1802" s="34" t="n">
        <f aca="false">B1802/1</f>
        <v>61.075</v>
      </c>
      <c r="H1802" s="34" t="n">
        <f aca="false">IF(F1802=1,G1802,"")</f>
        <v>61.075</v>
      </c>
    </row>
    <row r="1803" customFormat="false" ht="15" hidden="false" customHeight="false" outlineLevel="0" collapsed="false">
      <c r="A1803" s="31" t="n">
        <v>42811.0416666667</v>
      </c>
      <c r="B1803" s="32" t="n">
        <v>59.489</v>
      </c>
      <c r="D1803" s="33" t="n">
        <f aca="false">WEEKDAY(A1803,2)</f>
        <v>5</v>
      </c>
      <c r="E1803" s="33" t="n">
        <f aca="false">HOUR(A1803)+MINUTE(A1803)/60</f>
        <v>1</v>
      </c>
      <c r="F1803" s="33" t="n">
        <f aca="false">IF(OR(D1803&gt;5,E1803&lt;8,E1803&gt;=18,COUNTIF($K$2:$K$10,INT(A1803))&gt;0),1,0)</f>
        <v>1</v>
      </c>
      <c r="G1803" s="34" t="n">
        <f aca="false">B1803/1</f>
        <v>59.489</v>
      </c>
      <c r="H1803" s="34" t="n">
        <f aca="false">IF(F1803=1,G1803,"")</f>
        <v>59.489</v>
      </c>
    </row>
    <row r="1804" customFormat="false" ht="15" hidden="false" customHeight="false" outlineLevel="0" collapsed="false">
      <c r="A1804" s="31" t="n">
        <v>42811.0833333333</v>
      </c>
      <c r="B1804" s="32" t="n">
        <v>58.431</v>
      </c>
      <c r="D1804" s="33" t="n">
        <f aca="false">WEEKDAY(A1804,2)</f>
        <v>5</v>
      </c>
      <c r="E1804" s="33" t="n">
        <f aca="false">HOUR(A1804)+MINUTE(A1804)/60</f>
        <v>2</v>
      </c>
      <c r="F1804" s="33" t="n">
        <f aca="false">IF(OR(D1804&gt;5,E1804&lt;8,E1804&gt;=18,COUNTIF($K$2:$K$10,INT(A1804))&gt;0),1,0)</f>
        <v>1</v>
      </c>
      <c r="G1804" s="34" t="n">
        <f aca="false">B1804/1</f>
        <v>58.431</v>
      </c>
      <c r="H1804" s="34" t="n">
        <f aca="false">IF(F1804=1,G1804,"")</f>
        <v>58.431</v>
      </c>
    </row>
    <row r="1805" customFormat="false" ht="15" hidden="false" customHeight="false" outlineLevel="0" collapsed="false">
      <c r="A1805" s="31" t="n">
        <v>42811.125</v>
      </c>
      <c r="B1805" s="32" t="n">
        <v>59.139</v>
      </c>
      <c r="D1805" s="33" t="n">
        <f aca="false">WEEKDAY(A1805,2)</f>
        <v>5</v>
      </c>
      <c r="E1805" s="33" t="n">
        <f aca="false">HOUR(A1805)+MINUTE(A1805)/60</f>
        <v>3</v>
      </c>
      <c r="F1805" s="33" t="n">
        <f aca="false">IF(OR(D1805&gt;5,E1805&lt;8,E1805&gt;=18,COUNTIF($K$2:$K$10,INT(A1805))&gt;0),1,0)</f>
        <v>1</v>
      </c>
      <c r="G1805" s="34" t="n">
        <f aca="false">B1805/1</f>
        <v>59.139</v>
      </c>
      <c r="H1805" s="34" t="n">
        <f aca="false">IF(F1805=1,G1805,"")</f>
        <v>59.139</v>
      </c>
    </row>
    <row r="1806" customFormat="false" ht="15" hidden="false" customHeight="false" outlineLevel="0" collapsed="false">
      <c r="A1806" s="31" t="n">
        <v>42811.1666666667</v>
      </c>
      <c r="B1806" s="32" t="n">
        <v>59.002</v>
      </c>
      <c r="D1806" s="33" t="n">
        <f aca="false">WEEKDAY(A1806,2)</f>
        <v>5</v>
      </c>
      <c r="E1806" s="33" t="n">
        <f aca="false">HOUR(A1806)+MINUTE(A1806)/60</f>
        <v>4</v>
      </c>
      <c r="F1806" s="33" t="n">
        <f aca="false">IF(OR(D1806&gt;5,E1806&lt;8,E1806&gt;=18,COUNTIF($K$2:$K$10,INT(A1806))&gt;0),1,0)</f>
        <v>1</v>
      </c>
      <c r="G1806" s="34" t="n">
        <f aca="false">B1806/1</f>
        <v>59.002</v>
      </c>
      <c r="H1806" s="34" t="n">
        <f aca="false">IF(F1806=1,G1806,"")</f>
        <v>59.002</v>
      </c>
    </row>
    <row r="1807" customFormat="false" ht="15" hidden="false" customHeight="false" outlineLevel="0" collapsed="false">
      <c r="A1807" s="31" t="n">
        <v>42811.2083333333</v>
      </c>
      <c r="B1807" s="32" t="n">
        <v>58.749</v>
      </c>
      <c r="D1807" s="33" t="n">
        <f aca="false">WEEKDAY(A1807,2)</f>
        <v>5</v>
      </c>
      <c r="E1807" s="33" t="n">
        <f aca="false">HOUR(A1807)+MINUTE(A1807)/60</f>
        <v>5</v>
      </c>
      <c r="F1807" s="33" t="n">
        <f aca="false">IF(OR(D1807&gt;5,E1807&lt;8,E1807&gt;=18,COUNTIF($K$2:$K$10,INT(A1807))&gt;0),1,0)</f>
        <v>1</v>
      </c>
      <c r="G1807" s="34" t="n">
        <f aca="false">B1807/1</f>
        <v>58.749</v>
      </c>
      <c r="H1807" s="34" t="n">
        <f aca="false">IF(F1807=1,G1807,"")</f>
        <v>58.749</v>
      </c>
    </row>
    <row r="1808" customFormat="false" ht="15" hidden="false" customHeight="false" outlineLevel="0" collapsed="false">
      <c r="A1808" s="31" t="n">
        <v>42811.25</v>
      </c>
      <c r="B1808" s="32" t="n">
        <v>59.349</v>
      </c>
      <c r="D1808" s="33" t="n">
        <f aca="false">WEEKDAY(A1808,2)</f>
        <v>5</v>
      </c>
      <c r="E1808" s="33" t="n">
        <f aca="false">HOUR(A1808)+MINUTE(A1808)/60</f>
        <v>6</v>
      </c>
      <c r="F1808" s="33" t="n">
        <f aca="false">IF(OR(D1808&gt;5,E1808&lt;8,E1808&gt;=18,COUNTIF($K$2:$K$10,INT(A1808))&gt;0),1,0)</f>
        <v>1</v>
      </c>
      <c r="G1808" s="34" t="n">
        <f aca="false">B1808/1</f>
        <v>59.349</v>
      </c>
      <c r="H1808" s="34" t="n">
        <f aca="false">IF(F1808=1,G1808,"")</f>
        <v>59.349</v>
      </c>
    </row>
    <row r="1809" customFormat="false" ht="15" hidden="false" customHeight="false" outlineLevel="0" collapsed="false">
      <c r="A1809" s="31" t="n">
        <v>42811.2916666667</v>
      </c>
      <c r="B1809" s="32" t="n">
        <v>62.685</v>
      </c>
      <c r="D1809" s="33" t="n">
        <f aca="false">WEEKDAY(A1809,2)</f>
        <v>5</v>
      </c>
      <c r="E1809" s="33" t="n">
        <f aca="false">HOUR(A1809)+MINUTE(A1809)/60</f>
        <v>7</v>
      </c>
      <c r="F1809" s="33" t="n">
        <f aca="false">IF(OR(D1809&gt;5,E1809&lt;8,E1809&gt;=18,COUNTIF($K$2:$K$10,INT(A1809))&gt;0),1,0)</f>
        <v>1</v>
      </c>
      <c r="G1809" s="34" t="n">
        <f aca="false">B1809/1</f>
        <v>62.685</v>
      </c>
      <c r="H1809" s="34" t="n">
        <f aca="false">IF(F1809=1,G1809,"")</f>
        <v>62.685</v>
      </c>
    </row>
    <row r="1810" customFormat="false" ht="15" hidden="false" customHeight="false" outlineLevel="0" collapsed="false">
      <c r="A1810" s="31" t="n">
        <v>42811.3333333333</v>
      </c>
      <c r="B1810" s="32" t="n">
        <v>156.834</v>
      </c>
      <c r="D1810" s="33" t="n">
        <f aca="false">WEEKDAY(A1810,2)</f>
        <v>5</v>
      </c>
      <c r="E1810" s="33" t="n">
        <f aca="false">HOUR(A1810)+MINUTE(A1810)/60</f>
        <v>8</v>
      </c>
      <c r="F1810" s="33" t="n">
        <f aca="false">IF(OR(D1810&gt;5,E1810&lt;8,E1810&gt;=18,COUNTIF($K$2:$K$10,INT(A1810))&gt;0),1,0)</f>
        <v>0</v>
      </c>
      <c r="G1810" s="34" t="n">
        <f aca="false">B1810/1</f>
        <v>156.834</v>
      </c>
      <c r="H1810" s="34" t="str">
        <f aca="false">IF(F1810=1,G1810,"")</f>
        <v/>
      </c>
    </row>
    <row r="1811" customFormat="false" ht="15" hidden="false" customHeight="false" outlineLevel="0" collapsed="false">
      <c r="A1811" s="31" t="n">
        <v>42811.375</v>
      </c>
      <c r="B1811" s="32" t="n">
        <v>166.566</v>
      </c>
      <c r="D1811" s="33" t="n">
        <f aca="false">WEEKDAY(A1811,2)</f>
        <v>5</v>
      </c>
      <c r="E1811" s="33" t="n">
        <f aca="false">HOUR(A1811)+MINUTE(A1811)/60</f>
        <v>9</v>
      </c>
      <c r="F1811" s="33" t="n">
        <f aca="false">IF(OR(D1811&gt;5,E1811&lt;8,E1811&gt;=18,COUNTIF($K$2:$K$10,INT(A1811))&gt;0),1,0)</f>
        <v>0</v>
      </c>
      <c r="G1811" s="34" t="n">
        <f aca="false">B1811/1</f>
        <v>166.566</v>
      </c>
      <c r="H1811" s="34" t="str">
        <f aca="false">IF(F1811=1,G1811,"")</f>
        <v/>
      </c>
    </row>
    <row r="1812" customFormat="false" ht="15" hidden="false" customHeight="false" outlineLevel="0" collapsed="false">
      <c r="A1812" s="31" t="n">
        <v>42811.4166666667</v>
      </c>
      <c r="B1812" s="32" t="n">
        <v>170.392</v>
      </c>
      <c r="D1812" s="33" t="n">
        <f aca="false">WEEKDAY(A1812,2)</f>
        <v>5</v>
      </c>
      <c r="E1812" s="33" t="n">
        <f aca="false">HOUR(A1812)+MINUTE(A1812)/60</f>
        <v>10</v>
      </c>
      <c r="F1812" s="33" t="n">
        <f aca="false">IF(OR(D1812&gt;5,E1812&lt;8,E1812&gt;=18,COUNTIF($K$2:$K$10,INT(A1812))&gt;0),1,0)</f>
        <v>0</v>
      </c>
      <c r="G1812" s="34" t="n">
        <f aca="false">B1812/1</f>
        <v>170.392</v>
      </c>
      <c r="H1812" s="34" t="str">
        <f aca="false">IF(F1812=1,G1812,"")</f>
        <v/>
      </c>
    </row>
    <row r="1813" customFormat="false" ht="15" hidden="false" customHeight="false" outlineLevel="0" collapsed="false">
      <c r="A1813" s="31" t="n">
        <v>42811.4583333333</v>
      </c>
      <c r="B1813" s="32" t="n">
        <v>176.431</v>
      </c>
      <c r="D1813" s="33" t="n">
        <f aca="false">WEEKDAY(A1813,2)</f>
        <v>5</v>
      </c>
      <c r="E1813" s="33" t="n">
        <f aca="false">HOUR(A1813)+MINUTE(A1813)/60</f>
        <v>11</v>
      </c>
      <c r="F1813" s="33" t="n">
        <f aca="false">IF(OR(D1813&gt;5,E1813&lt;8,E1813&gt;=18,COUNTIF($K$2:$K$10,INT(A1813))&gt;0),1,0)</f>
        <v>0</v>
      </c>
      <c r="G1813" s="34" t="n">
        <f aca="false">B1813/1</f>
        <v>176.431</v>
      </c>
      <c r="H1813" s="34" t="str">
        <f aca="false">IF(F1813=1,G1813,"")</f>
        <v/>
      </c>
    </row>
    <row r="1814" customFormat="false" ht="15" hidden="false" customHeight="false" outlineLevel="0" collapsed="false">
      <c r="A1814" s="31" t="n">
        <v>42811.5</v>
      </c>
      <c r="B1814" s="32" t="n">
        <v>176.513</v>
      </c>
      <c r="D1814" s="33" t="n">
        <f aca="false">WEEKDAY(A1814,2)</f>
        <v>5</v>
      </c>
      <c r="E1814" s="33" t="n">
        <f aca="false">HOUR(A1814)+MINUTE(A1814)/60</f>
        <v>12</v>
      </c>
      <c r="F1814" s="33" t="n">
        <f aca="false">IF(OR(D1814&gt;5,E1814&lt;8,E1814&gt;=18,COUNTIF($K$2:$K$10,INT(A1814))&gt;0),1,0)</f>
        <v>0</v>
      </c>
      <c r="G1814" s="34" t="n">
        <f aca="false">B1814/1</f>
        <v>176.513</v>
      </c>
      <c r="H1814" s="34" t="str">
        <f aca="false">IF(F1814=1,G1814,"")</f>
        <v/>
      </c>
    </row>
    <row r="1815" customFormat="false" ht="15" hidden="false" customHeight="false" outlineLevel="0" collapsed="false">
      <c r="A1815" s="31" t="n">
        <v>42811.5416666667</v>
      </c>
      <c r="B1815" s="32" t="n">
        <v>178.345</v>
      </c>
      <c r="D1815" s="33" t="n">
        <f aca="false">WEEKDAY(A1815,2)</f>
        <v>5</v>
      </c>
      <c r="E1815" s="33" t="n">
        <f aca="false">HOUR(A1815)+MINUTE(A1815)/60</f>
        <v>13</v>
      </c>
      <c r="F1815" s="33" t="n">
        <f aca="false">IF(OR(D1815&gt;5,E1815&lt;8,E1815&gt;=18,COUNTIF($K$2:$K$10,INT(A1815))&gt;0),1,0)</f>
        <v>0</v>
      </c>
      <c r="G1815" s="34" t="n">
        <f aca="false">B1815/1</f>
        <v>178.345</v>
      </c>
      <c r="H1815" s="34" t="str">
        <f aca="false">IF(F1815=1,G1815,"")</f>
        <v/>
      </c>
    </row>
    <row r="1816" customFormat="false" ht="15" hidden="false" customHeight="false" outlineLevel="0" collapsed="false">
      <c r="A1816" s="31" t="n">
        <v>42811.5833333333</v>
      </c>
      <c r="B1816" s="32" t="n">
        <v>176.992</v>
      </c>
      <c r="D1816" s="33" t="n">
        <f aca="false">WEEKDAY(A1816,2)</f>
        <v>5</v>
      </c>
      <c r="E1816" s="33" t="n">
        <f aca="false">HOUR(A1816)+MINUTE(A1816)/60</f>
        <v>14</v>
      </c>
      <c r="F1816" s="33" t="n">
        <f aca="false">IF(OR(D1816&gt;5,E1816&lt;8,E1816&gt;=18,COUNTIF($K$2:$K$10,INT(A1816))&gt;0),1,0)</f>
        <v>0</v>
      </c>
      <c r="G1816" s="34" t="n">
        <f aca="false">B1816/1</f>
        <v>176.992</v>
      </c>
      <c r="H1816" s="34" t="str">
        <f aca="false">IF(F1816=1,G1816,"")</f>
        <v/>
      </c>
    </row>
    <row r="1817" customFormat="false" ht="15" hidden="false" customHeight="false" outlineLevel="0" collapsed="false">
      <c r="A1817" s="31" t="n">
        <v>42811.625</v>
      </c>
      <c r="B1817" s="32" t="n">
        <v>174.37</v>
      </c>
      <c r="D1817" s="33" t="n">
        <f aca="false">WEEKDAY(A1817,2)</f>
        <v>5</v>
      </c>
      <c r="E1817" s="33" t="n">
        <f aca="false">HOUR(A1817)+MINUTE(A1817)/60</f>
        <v>15</v>
      </c>
      <c r="F1817" s="33" t="n">
        <f aca="false">IF(OR(D1817&gt;5,E1817&lt;8,E1817&gt;=18,COUNTIF($K$2:$K$10,INT(A1817))&gt;0),1,0)</f>
        <v>0</v>
      </c>
      <c r="G1817" s="34" t="n">
        <f aca="false">B1817/1</f>
        <v>174.37</v>
      </c>
      <c r="H1817" s="34" t="str">
        <f aca="false">IF(F1817=1,G1817,"")</f>
        <v/>
      </c>
    </row>
    <row r="1818" customFormat="false" ht="15" hidden="false" customHeight="false" outlineLevel="0" collapsed="false">
      <c r="A1818" s="31" t="n">
        <v>42811.6666666667</v>
      </c>
      <c r="B1818" s="32" t="n">
        <v>172.468</v>
      </c>
      <c r="D1818" s="33" t="n">
        <f aca="false">WEEKDAY(A1818,2)</f>
        <v>5</v>
      </c>
      <c r="E1818" s="33" t="n">
        <f aca="false">HOUR(A1818)+MINUTE(A1818)/60</f>
        <v>16</v>
      </c>
      <c r="F1818" s="33" t="n">
        <f aca="false">IF(OR(D1818&gt;5,E1818&lt;8,E1818&gt;=18,COUNTIF($K$2:$K$10,INT(A1818))&gt;0),1,0)</f>
        <v>0</v>
      </c>
      <c r="G1818" s="34" t="n">
        <f aca="false">B1818/1</f>
        <v>172.468</v>
      </c>
      <c r="H1818" s="34" t="str">
        <f aca="false">IF(F1818=1,G1818,"")</f>
        <v/>
      </c>
    </row>
    <row r="1819" customFormat="false" ht="15" hidden="false" customHeight="false" outlineLevel="0" collapsed="false">
      <c r="A1819" s="31" t="n">
        <v>42811.7083333333</v>
      </c>
      <c r="B1819" s="32" t="n">
        <v>176.296</v>
      </c>
      <c r="D1819" s="33" t="n">
        <f aca="false">WEEKDAY(A1819,2)</f>
        <v>5</v>
      </c>
      <c r="E1819" s="33" t="n">
        <f aca="false">HOUR(A1819)+MINUTE(A1819)/60</f>
        <v>17</v>
      </c>
      <c r="F1819" s="33" t="n">
        <f aca="false">IF(OR(D1819&gt;5,E1819&lt;8,E1819&gt;=18,COUNTIF($K$2:$K$10,INT(A1819))&gt;0),1,0)</f>
        <v>0</v>
      </c>
      <c r="G1819" s="34" t="n">
        <f aca="false">B1819/1</f>
        <v>176.296</v>
      </c>
      <c r="H1819" s="34" t="str">
        <f aca="false">IF(F1819=1,G1819,"")</f>
        <v/>
      </c>
    </row>
    <row r="1820" customFormat="false" ht="15" hidden="false" customHeight="false" outlineLevel="0" collapsed="false">
      <c r="A1820" s="31" t="n">
        <v>42811.75</v>
      </c>
      <c r="B1820" s="32" t="n">
        <v>175.571</v>
      </c>
      <c r="D1820" s="33" t="n">
        <f aca="false">WEEKDAY(A1820,2)</f>
        <v>5</v>
      </c>
      <c r="E1820" s="33" t="n">
        <f aca="false">HOUR(A1820)+MINUTE(A1820)/60</f>
        <v>18</v>
      </c>
      <c r="F1820" s="33" t="n">
        <f aca="false">IF(OR(D1820&gt;5,E1820&lt;8,E1820&gt;=18,COUNTIF($K$2:$K$10,INT(A1820))&gt;0),1,0)</f>
        <v>1</v>
      </c>
      <c r="G1820" s="34" t="n">
        <f aca="false">B1820/1</f>
        <v>175.571</v>
      </c>
      <c r="H1820" s="34" t="n">
        <f aca="false">IF(F1820=1,G1820,"")</f>
        <v>175.571</v>
      </c>
    </row>
    <row r="1821" customFormat="false" ht="15" hidden="false" customHeight="false" outlineLevel="0" collapsed="false">
      <c r="A1821" s="31" t="n">
        <v>42811.7916666667</v>
      </c>
      <c r="B1821" s="32" t="n">
        <v>174.778</v>
      </c>
      <c r="D1821" s="33" t="n">
        <f aca="false">WEEKDAY(A1821,2)</f>
        <v>5</v>
      </c>
      <c r="E1821" s="33" t="n">
        <f aca="false">HOUR(A1821)+MINUTE(A1821)/60</f>
        <v>19</v>
      </c>
      <c r="F1821" s="33" t="n">
        <f aca="false">IF(OR(D1821&gt;5,E1821&lt;8,E1821&gt;=18,COUNTIF($K$2:$K$10,INT(A1821))&gt;0),1,0)</f>
        <v>1</v>
      </c>
      <c r="G1821" s="34" t="n">
        <f aca="false">B1821/1</f>
        <v>174.778</v>
      </c>
      <c r="H1821" s="34" t="n">
        <f aca="false">IF(F1821=1,G1821,"")</f>
        <v>174.778</v>
      </c>
    </row>
    <row r="1822" customFormat="false" ht="15" hidden="false" customHeight="false" outlineLevel="0" collapsed="false">
      <c r="A1822" s="31" t="n">
        <v>42811.8333333333</v>
      </c>
      <c r="B1822" s="32" t="n">
        <v>177.472</v>
      </c>
      <c r="D1822" s="33" t="n">
        <f aca="false">WEEKDAY(A1822,2)</f>
        <v>5</v>
      </c>
      <c r="E1822" s="33" t="n">
        <f aca="false">HOUR(A1822)+MINUTE(A1822)/60</f>
        <v>20</v>
      </c>
      <c r="F1822" s="33" t="n">
        <f aca="false">IF(OR(D1822&gt;5,E1822&lt;8,E1822&gt;=18,COUNTIF($K$2:$K$10,INT(A1822))&gt;0),1,0)</f>
        <v>1</v>
      </c>
      <c r="G1822" s="34" t="n">
        <f aca="false">B1822/1</f>
        <v>177.472</v>
      </c>
      <c r="H1822" s="34" t="n">
        <f aca="false">IF(F1822=1,G1822,"")</f>
        <v>177.472</v>
      </c>
    </row>
    <row r="1823" customFormat="false" ht="15" hidden="false" customHeight="false" outlineLevel="0" collapsed="false">
      <c r="A1823" s="31" t="n">
        <v>42811.875</v>
      </c>
      <c r="B1823" s="32" t="n">
        <v>173.962</v>
      </c>
      <c r="D1823" s="33" t="n">
        <f aca="false">WEEKDAY(A1823,2)</f>
        <v>5</v>
      </c>
      <c r="E1823" s="33" t="n">
        <f aca="false">HOUR(A1823)+MINUTE(A1823)/60</f>
        <v>21</v>
      </c>
      <c r="F1823" s="33" t="n">
        <f aca="false">IF(OR(D1823&gt;5,E1823&lt;8,E1823&gt;=18,COUNTIF($K$2:$K$10,INT(A1823))&gt;0),1,0)</f>
        <v>1</v>
      </c>
      <c r="G1823" s="34" t="n">
        <f aca="false">B1823/1</f>
        <v>173.962</v>
      </c>
      <c r="H1823" s="34" t="n">
        <f aca="false">IF(F1823=1,G1823,"")</f>
        <v>173.962</v>
      </c>
    </row>
    <row r="1824" customFormat="false" ht="15" hidden="false" customHeight="false" outlineLevel="0" collapsed="false">
      <c r="A1824" s="31" t="n">
        <v>42811.9166666667</v>
      </c>
      <c r="B1824" s="32" t="n">
        <v>119.277</v>
      </c>
      <c r="D1824" s="33" t="n">
        <f aca="false">WEEKDAY(A1824,2)</f>
        <v>5</v>
      </c>
      <c r="E1824" s="33" t="n">
        <f aca="false">HOUR(A1824)+MINUTE(A1824)/60</f>
        <v>22</v>
      </c>
      <c r="F1824" s="33" t="n">
        <f aca="false">IF(OR(D1824&gt;5,E1824&lt;8,E1824&gt;=18,COUNTIF($K$2:$K$10,INT(A1824))&gt;0),1,0)</f>
        <v>1</v>
      </c>
      <c r="G1824" s="34" t="n">
        <f aca="false">B1824/1</f>
        <v>119.277</v>
      </c>
      <c r="H1824" s="34" t="n">
        <f aca="false">IF(F1824=1,G1824,"")</f>
        <v>119.277</v>
      </c>
    </row>
    <row r="1825" customFormat="false" ht="15" hidden="false" customHeight="false" outlineLevel="0" collapsed="false">
      <c r="A1825" s="31" t="n">
        <v>42811.9583333333</v>
      </c>
      <c r="B1825" s="32" t="n">
        <v>63.59</v>
      </c>
      <c r="D1825" s="33" t="n">
        <f aca="false">WEEKDAY(A1825,2)</f>
        <v>5</v>
      </c>
      <c r="E1825" s="33" t="n">
        <f aca="false">HOUR(A1825)+MINUTE(A1825)/60</f>
        <v>23</v>
      </c>
      <c r="F1825" s="33" t="n">
        <f aca="false">IF(OR(D1825&gt;5,E1825&lt;8,E1825&gt;=18,COUNTIF($K$2:$K$10,INT(A1825))&gt;0),1,0)</f>
        <v>1</v>
      </c>
      <c r="G1825" s="34" t="n">
        <f aca="false">B1825/1</f>
        <v>63.59</v>
      </c>
      <c r="H1825" s="34" t="n">
        <f aca="false">IF(F1825=1,G1825,"")</f>
        <v>63.59</v>
      </c>
    </row>
    <row r="1826" customFormat="false" ht="15" hidden="false" customHeight="false" outlineLevel="0" collapsed="false">
      <c r="A1826" s="31" t="n">
        <v>42812</v>
      </c>
      <c r="B1826" s="32" t="n">
        <v>62.645</v>
      </c>
      <c r="D1826" s="33" t="n">
        <f aca="false">WEEKDAY(A1826,2)</f>
        <v>6</v>
      </c>
      <c r="E1826" s="33" t="n">
        <f aca="false">HOUR(A1826)+MINUTE(A1826)/60</f>
        <v>0</v>
      </c>
      <c r="F1826" s="33" t="n">
        <f aca="false">IF(OR(D1826&gt;5,E1826&lt;8,E1826&gt;=18,COUNTIF($K$2:$K$10,INT(A1826))&gt;0),1,0)</f>
        <v>1</v>
      </c>
      <c r="G1826" s="34" t="n">
        <f aca="false">B1826/1</f>
        <v>62.645</v>
      </c>
      <c r="H1826" s="34" t="n">
        <f aca="false">IF(F1826=1,G1826,"")</f>
        <v>62.645</v>
      </c>
    </row>
    <row r="1827" customFormat="false" ht="15" hidden="false" customHeight="false" outlineLevel="0" collapsed="false">
      <c r="A1827" s="31" t="n">
        <v>42812.0416666667</v>
      </c>
      <c r="B1827" s="32" t="n">
        <v>59.896</v>
      </c>
      <c r="D1827" s="33" t="n">
        <f aca="false">WEEKDAY(A1827,2)</f>
        <v>6</v>
      </c>
      <c r="E1827" s="33" t="n">
        <f aca="false">HOUR(A1827)+MINUTE(A1827)/60</f>
        <v>1</v>
      </c>
      <c r="F1827" s="33" t="n">
        <f aca="false">IF(OR(D1827&gt;5,E1827&lt;8,E1827&gt;=18,COUNTIF($K$2:$K$10,INT(A1827))&gt;0),1,0)</f>
        <v>1</v>
      </c>
      <c r="G1827" s="34" t="n">
        <f aca="false">B1827/1</f>
        <v>59.896</v>
      </c>
      <c r="H1827" s="34" t="n">
        <f aca="false">IF(F1827=1,G1827,"")</f>
        <v>59.896</v>
      </c>
    </row>
    <row r="1828" customFormat="false" ht="15" hidden="false" customHeight="false" outlineLevel="0" collapsed="false">
      <c r="A1828" s="31" t="n">
        <v>42812.0833333333</v>
      </c>
      <c r="B1828" s="32" t="n">
        <v>60.61</v>
      </c>
      <c r="D1828" s="33" t="n">
        <f aca="false">WEEKDAY(A1828,2)</f>
        <v>6</v>
      </c>
      <c r="E1828" s="33" t="n">
        <f aca="false">HOUR(A1828)+MINUTE(A1828)/60</f>
        <v>2</v>
      </c>
      <c r="F1828" s="33" t="n">
        <f aca="false">IF(OR(D1828&gt;5,E1828&lt;8,E1828&gt;=18,COUNTIF($K$2:$K$10,INT(A1828))&gt;0),1,0)</f>
        <v>1</v>
      </c>
      <c r="G1828" s="34" t="n">
        <f aca="false">B1828/1</f>
        <v>60.61</v>
      </c>
      <c r="H1828" s="34" t="n">
        <f aca="false">IF(F1828=1,G1828,"")</f>
        <v>60.61</v>
      </c>
    </row>
    <row r="1829" customFormat="false" ht="15" hidden="false" customHeight="false" outlineLevel="0" collapsed="false">
      <c r="A1829" s="31" t="n">
        <v>42812.125</v>
      </c>
      <c r="B1829" s="32" t="n">
        <v>61.172</v>
      </c>
      <c r="D1829" s="33" t="n">
        <f aca="false">WEEKDAY(A1829,2)</f>
        <v>6</v>
      </c>
      <c r="E1829" s="33" t="n">
        <f aca="false">HOUR(A1829)+MINUTE(A1829)/60</f>
        <v>3</v>
      </c>
      <c r="F1829" s="33" t="n">
        <f aca="false">IF(OR(D1829&gt;5,E1829&lt;8,E1829&gt;=18,COUNTIF($K$2:$K$10,INT(A1829))&gt;0),1,0)</f>
        <v>1</v>
      </c>
      <c r="G1829" s="34" t="n">
        <f aca="false">B1829/1</f>
        <v>61.172</v>
      </c>
      <c r="H1829" s="34" t="n">
        <f aca="false">IF(F1829=1,G1829,"")</f>
        <v>61.172</v>
      </c>
    </row>
    <row r="1830" customFormat="false" ht="15" hidden="false" customHeight="false" outlineLevel="0" collapsed="false">
      <c r="A1830" s="31" t="n">
        <v>42812.1666666667</v>
      </c>
      <c r="B1830" s="32" t="n">
        <v>60.367</v>
      </c>
      <c r="D1830" s="33" t="n">
        <f aca="false">WEEKDAY(A1830,2)</f>
        <v>6</v>
      </c>
      <c r="E1830" s="33" t="n">
        <f aca="false">HOUR(A1830)+MINUTE(A1830)/60</f>
        <v>4</v>
      </c>
      <c r="F1830" s="33" t="n">
        <f aca="false">IF(OR(D1830&gt;5,E1830&lt;8,E1830&gt;=18,COUNTIF($K$2:$K$10,INT(A1830))&gt;0),1,0)</f>
        <v>1</v>
      </c>
      <c r="G1830" s="34" t="n">
        <f aca="false">B1830/1</f>
        <v>60.367</v>
      </c>
      <c r="H1830" s="34" t="n">
        <f aca="false">IF(F1830=1,G1830,"")</f>
        <v>60.367</v>
      </c>
    </row>
    <row r="1831" customFormat="false" ht="15" hidden="false" customHeight="false" outlineLevel="0" collapsed="false">
      <c r="A1831" s="31" t="n">
        <v>42812.2083333333</v>
      </c>
      <c r="B1831" s="32" t="n">
        <v>60.601</v>
      </c>
      <c r="D1831" s="33" t="n">
        <f aca="false">WEEKDAY(A1831,2)</f>
        <v>6</v>
      </c>
      <c r="E1831" s="33" t="n">
        <f aca="false">HOUR(A1831)+MINUTE(A1831)/60</f>
        <v>5</v>
      </c>
      <c r="F1831" s="33" t="n">
        <f aca="false">IF(OR(D1831&gt;5,E1831&lt;8,E1831&gt;=18,COUNTIF($K$2:$K$10,INT(A1831))&gt;0),1,0)</f>
        <v>1</v>
      </c>
      <c r="G1831" s="34" t="n">
        <f aca="false">B1831/1</f>
        <v>60.601</v>
      </c>
      <c r="H1831" s="34" t="n">
        <f aca="false">IF(F1831=1,G1831,"")</f>
        <v>60.601</v>
      </c>
    </row>
    <row r="1832" customFormat="false" ht="15" hidden="false" customHeight="false" outlineLevel="0" collapsed="false">
      <c r="A1832" s="31" t="n">
        <v>42812.25</v>
      </c>
      <c r="B1832" s="32" t="n">
        <v>61.104</v>
      </c>
      <c r="D1832" s="33" t="n">
        <f aca="false">WEEKDAY(A1832,2)</f>
        <v>6</v>
      </c>
      <c r="E1832" s="33" t="n">
        <f aca="false">HOUR(A1832)+MINUTE(A1832)/60</f>
        <v>6</v>
      </c>
      <c r="F1832" s="33" t="n">
        <f aca="false">IF(OR(D1832&gt;5,E1832&lt;8,E1832&gt;=18,COUNTIF($K$2:$K$10,INT(A1832))&gt;0),1,0)</f>
        <v>1</v>
      </c>
      <c r="G1832" s="34" t="n">
        <f aca="false">B1832/1</f>
        <v>61.104</v>
      </c>
      <c r="H1832" s="34" t="n">
        <f aca="false">IF(F1832=1,G1832,"")</f>
        <v>61.104</v>
      </c>
    </row>
    <row r="1833" customFormat="false" ht="15" hidden="false" customHeight="false" outlineLevel="0" collapsed="false">
      <c r="A1833" s="31" t="n">
        <v>42812.2916666667</v>
      </c>
      <c r="B1833" s="32" t="n">
        <v>60.461</v>
      </c>
      <c r="D1833" s="33" t="n">
        <f aca="false">WEEKDAY(A1833,2)</f>
        <v>6</v>
      </c>
      <c r="E1833" s="33" t="n">
        <f aca="false">HOUR(A1833)+MINUTE(A1833)/60</f>
        <v>7</v>
      </c>
      <c r="F1833" s="33" t="n">
        <f aca="false">IF(OR(D1833&gt;5,E1833&lt;8,E1833&gt;=18,COUNTIF($K$2:$K$10,INT(A1833))&gt;0),1,0)</f>
        <v>1</v>
      </c>
      <c r="G1833" s="34" t="n">
        <f aca="false">B1833/1</f>
        <v>60.461</v>
      </c>
      <c r="H1833" s="34" t="n">
        <f aca="false">IF(F1833=1,G1833,"")</f>
        <v>60.461</v>
      </c>
    </row>
    <row r="1834" customFormat="false" ht="15" hidden="false" customHeight="false" outlineLevel="0" collapsed="false">
      <c r="A1834" s="31" t="n">
        <v>42812.3333333333</v>
      </c>
      <c r="B1834" s="32" t="n">
        <v>124.766</v>
      </c>
      <c r="D1834" s="33" t="n">
        <f aca="false">WEEKDAY(A1834,2)</f>
        <v>6</v>
      </c>
      <c r="E1834" s="33" t="n">
        <f aca="false">HOUR(A1834)+MINUTE(A1834)/60</f>
        <v>8</v>
      </c>
      <c r="F1834" s="33" t="n">
        <f aca="false">IF(OR(D1834&gt;5,E1834&lt;8,E1834&gt;=18,COUNTIF($K$2:$K$10,INT(A1834))&gt;0),1,0)</f>
        <v>1</v>
      </c>
      <c r="G1834" s="34" t="n">
        <f aca="false">B1834/1</f>
        <v>124.766</v>
      </c>
      <c r="H1834" s="34" t="n">
        <f aca="false">IF(F1834=1,G1834,"")</f>
        <v>124.766</v>
      </c>
    </row>
    <row r="1835" customFormat="false" ht="15" hidden="false" customHeight="false" outlineLevel="0" collapsed="false">
      <c r="A1835" s="31" t="n">
        <v>42812.375</v>
      </c>
      <c r="B1835" s="32" t="n">
        <v>166.704</v>
      </c>
      <c r="D1835" s="33" t="n">
        <f aca="false">WEEKDAY(A1835,2)</f>
        <v>6</v>
      </c>
      <c r="E1835" s="33" t="n">
        <f aca="false">HOUR(A1835)+MINUTE(A1835)/60</f>
        <v>9</v>
      </c>
      <c r="F1835" s="33" t="n">
        <f aca="false">IF(OR(D1835&gt;5,E1835&lt;8,E1835&gt;=18,COUNTIF($K$2:$K$10,INT(A1835))&gt;0),1,0)</f>
        <v>1</v>
      </c>
      <c r="G1835" s="34" t="n">
        <f aca="false">B1835/1</f>
        <v>166.704</v>
      </c>
      <c r="H1835" s="34" t="n">
        <f aca="false">IF(F1835=1,G1835,"")</f>
        <v>166.704</v>
      </c>
    </row>
    <row r="1836" customFormat="false" ht="15" hidden="false" customHeight="false" outlineLevel="0" collapsed="false">
      <c r="A1836" s="31" t="n">
        <v>42812.4166666667</v>
      </c>
      <c r="B1836" s="32" t="n">
        <v>168.5</v>
      </c>
      <c r="D1836" s="33" t="n">
        <f aca="false">WEEKDAY(A1836,2)</f>
        <v>6</v>
      </c>
      <c r="E1836" s="33" t="n">
        <f aca="false">HOUR(A1836)+MINUTE(A1836)/60</f>
        <v>10</v>
      </c>
      <c r="F1836" s="33" t="n">
        <f aca="false">IF(OR(D1836&gt;5,E1836&lt;8,E1836&gt;=18,COUNTIF($K$2:$K$10,INT(A1836))&gt;0),1,0)</f>
        <v>1</v>
      </c>
      <c r="G1836" s="34" t="n">
        <f aca="false">B1836/1</f>
        <v>168.5</v>
      </c>
      <c r="H1836" s="34" t="n">
        <f aca="false">IF(F1836=1,G1836,"")</f>
        <v>168.5</v>
      </c>
    </row>
    <row r="1837" customFormat="false" ht="15" hidden="false" customHeight="false" outlineLevel="0" collapsed="false">
      <c r="A1837" s="31" t="n">
        <v>42812.4583333333</v>
      </c>
      <c r="B1837" s="32" t="n">
        <v>169.655</v>
      </c>
      <c r="D1837" s="33" t="n">
        <f aca="false">WEEKDAY(A1837,2)</f>
        <v>6</v>
      </c>
      <c r="E1837" s="33" t="n">
        <f aca="false">HOUR(A1837)+MINUTE(A1837)/60</f>
        <v>11</v>
      </c>
      <c r="F1837" s="33" t="n">
        <f aca="false">IF(OR(D1837&gt;5,E1837&lt;8,E1837&gt;=18,COUNTIF($K$2:$K$10,INT(A1837))&gt;0),1,0)</f>
        <v>1</v>
      </c>
      <c r="G1837" s="34" t="n">
        <f aca="false">B1837/1</f>
        <v>169.655</v>
      </c>
      <c r="H1837" s="34" t="n">
        <f aca="false">IF(F1837=1,G1837,"")</f>
        <v>169.655</v>
      </c>
    </row>
    <row r="1838" customFormat="false" ht="15" hidden="false" customHeight="false" outlineLevel="0" collapsed="false">
      <c r="A1838" s="31" t="n">
        <v>42812.5</v>
      </c>
      <c r="B1838" s="32" t="n">
        <v>171.883</v>
      </c>
      <c r="D1838" s="33" t="n">
        <f aca="false">WEEKDAY(A1838,2)</f>
        <v>6</v>
      </c>
      <c r="E1838" s="33" t="n">
        <f aca="false">HOUR(A1838)+MINUTE(A1838)/60</f>
        <v>12</v>
      </c>
      <c r="F1838" s="33" t="n">
        <f aca="false">IF(OR(D1838&gt;5,E1838&lt;8,E1838&gt;=18,COUNTIF($K$2:$K$10,INT(A1838))&gt;0),1,0)</f>
        <v>1</v>
      </c>
      <c r="G1838" s="34" t="n">
        <f aca="false">B1838/1</f>
        <v>171.883</v>
      </c>
      <c r="H1838" s="34" t="n">
        <f aca="false">IF(F1838=1,G1838,"")</f>
        <v>171.883</v>
      </c>
    </row>
    <row r="1839" customFormat="false" ht="15" hidden="false" customHeight="false" outlineLevel="0" collapsed="false">
      <c r="A1839" s="31" t="n">
        <v>42812.5416666667</v>
      </c>
      <c r="B1839" s="32" t="n">
        <v>175.859</v>
      </c>
      <c r="D1839" s="33" t="n">
        <f aca="false">WEEKDAY(A1839,2)</f>
        <v>6</v>
      </c>
      <c r="E1839" s="33" t="n">
        <f aca="false">HOUR(A1839)+MINUTE(A1839)/60</f>
        <v>13</v>
      </c>
      <c r="F1839" s="33" t="n">
        <f aca="false">IF(OR(D1839&gt;5,E1839&lt;8,E1839&gt;=18,COUNTIF($K$2:$K$10,INT(A1839))&gt;0),1,0)</f>
        <v>1</v>
      </c>
      <c r="G1839" s="34" t="n">
        <f aca="false">B1839/1</f>
        <v>175.859</v>
      </c>
      <c r="H1839" s="34" t="n">
        <f aca="false">IF(F1839=1,G1839,"")</f>
        <v>175.859</v>
      </c>
    </row>
    <row r="1840" customFormat="false" ht="15" hidden="false" customHeight="false" outlineLevel="0" collapsed="false">
      <c r="A1840" s="31" t="n">
        <v>42812.5833333333</v>
      </c>
      <c r="B1840" s="32" t="n">
        <v>173.704</v>
      </c>
      <c r="D1840" s="33" t="n">
        <f aca="false">WEEKDAY(A1840,2)</f>
        <v>6</v>
      </c>
      <c r="E1840" s="33" t="n">
        <f aca="false">HOUR(A1840)+MINUTE(A1840)/60</f>
        <v>14</v>
      </c>
      <c r="F1840" s="33" t="n">
        <f aca="false">IF(OR(D1840&gt;5,E1840&lt;8,E1840&gt;=18,COUNTIF($K$2:$K$10,INT(A1840))&gt;0),1,0)</f>
        <v>1</v>
      </c>
      <c r="G1840" s="34" t="n">
        <f aca="false">B1840/1</f>
        <v>173.704</v>
      </c>
      <c r="H1840" s="34" t="n">
        <f aca="false">IF(F1840=1,G1840,"")</f>
        <v>173.704</v>
      </c>
    </row>
    <row r="1841" customFormat="false" ht="15" hidden="false" customHeight="false" outlineLevel="0" collapsed="false">
      <c r="A1841" s="31" t="n">
        <v>42812.625</v>
      </c>
      <c r="B1841" s="32" t="n">
        <v>173.665</v>
      </c>
      <c r="D1841" s="33" t="n">
        <f aca="false">WEEKDAY(A1841,2)</f>
        <v>6</v>
      </c>
      <c r="E1841" s="33" t="n">
        <f aca="false">HOUR(A1841)+MINUTE(A1841)/60</f>
        <v>15</v>
      </c>
      <c r="F1841" s="33" t="n">
        <f aca="false">IF(OR(D1841&gt;5,E1841&lt;8,E1841&gt;=18,COUNTIF($K$2:$K$10,INT(A1841))&gt;0),1,0)</f>
        <v>1</v>
      </c>
      <c r="G1841" s="34" t="n">
        <f aca="false">B1841/1</f>
        <v>173.665</v>
      </c>
      <c r="H1841" s="34" t="n">
        <f aca="false">IF(F1841=1,G1841,"")</f>
        <v>173.665</v>
      </c>
    </row>
    <row r="1842" customFormat="false" ht="15" hidden="false" customHeight="false" outlineLevel="0" collapsed="false">
      <c r="A1842" s="31" t="n">
        <v>42812.6666666667</v>
      </c>
      <c r="B1842" s="32" t="n">
        <v>174.649</v>
      </c>
      <c r="D1842" s="33" t="n">
        <f aca="false">WEEKDAY(A1842,2)</f>
        <v>6</v>
      </c>
      <c r="E1842" s="33" t="n">
        <f aca="false">HOUR(A1842)+MINUTE(A1842)/60</f>
        <v>16</v>
      </c>
      <c r="F1842" s="33" t="n">
        <f aca="false">IF(OR(D1842&gt;5,E1842&lt;8,E1842&gt;=18,COUNTIF($K$2:$K$10,INT(A1842))&gt;0),1,0)</f>
        <v>1</v>
      </c>
      <c r="G1842" s="34" t="n">
        <f aca="false">B1842/1</f>
        <v>174.649</v>
      </c>
      <c r="H1842" s="34" t="n">
        <f aca="false">IF(F1842=1,G1842,"")</f>
        <v>174.649</v>
      </c>
    </row>
    <row r="1843" customFormat="false" ht="15" hidden="false" customHeight="false" outlineLevel="0" collapsed="false">
      <c r="A1843" s="31" t="n">
        <v>42812.7083333333</v>
      </c>
      <c r="B1843" s="32" t="n">
        <v>146.915</v>
      </c>
      <c r="D1843" s="33" t="n">
        <f aca="false">WEEKDAY(A1843,2)</f>
        <v>6</v>
      </c>
      <c r="E1843" s="33" t="n">
        <f aca="false">HOUR(A1843)+MINUTE(A1843)/60</f>
        <v>17</v>
      </c>
      <c r="F1843" s="33" t="n">
        <f aca="false">IF(OR(D1843&gt;5,E1843&lt;8,E1843&gt;=18,COUNTIF($K$2:$K$10,INT(A1843))&gt;0),1,0)</f>
        <v>1</v>
      </c>
      <c r="G1843" s="34" t="n">
        <f aca="false">B1843/1</f>
        <v>146.915</v>
      </c>
      <c r="H1843" s="34" t="n">
        <f aca="false">IF(F1843=1,G1843,"")</f>
        <v>146.915</v>
      </c>
    </row>
    <row r="1844" customFormat="false" ht="15" hidden="false" customHeight="false" outlineLevel="0" collapsed="false">
      <c r="A1844" s="31" t="n">
        <v>42812.75</v>
      </c>
      <c r="B1844" s="32" t="n">
        <v>73.855</v>
      </c>
      <c r="D1844" s="33" t="n">
        <f aca="false">WEEKDAY(A1844,2)</f>
        <v>6</v>
      </c>
      <c r="E1844" s="33" t="n">
        <f aca="false">HOUR(A1844)+MINUTE(A1844)/60</f>
        <v>18</v>
      </c>
      <c r="F1844" s="33" t="n">
        <f aca="false">IF(OR(D1844&gt;5,E1844&lt;8,E1844&gt;=18,COUNTIF($K$2:$K$10,INT(A1844))&gt;0),1,0)</f>
        <v>1</v>
      </c>
      <c r="G1844" s="34" t="n">
        <f aca="false">B1844/1</f>
        <v>73.855</v>
      </c>
      <c r="H1844" s="34" t="n">
        <f aca="false">IF(F1844=1,G1844,"")</f>
        <v>73.855</v>
      </c>
    </row>
    <row r="1845" customFormat="false" ht="15" hidden="false" customHeight="false" outlineLevel="0" collapsed="false">
      <c r="A1845" s="31" t="n">
        <v>42812.7916666667</v>
      </c>
      <c r="B1845" s="32" t="n">
        <v>59.549</v>
      </c>
      <c r="D1845" s="33" t="n">
        <f aca="false">WEEKDAY(A1845,2)</f>
        <v>6</v>
      </c>
      <c r="E1845" s="33" t="n">
        <f aca="false">HOUR(A1845)+MINUTE(A1845)/60</f>
        <v>19</v>
      </c>
      <c r="F1845" s="33" t="n">
        <f aca="false">IF(OR(D1845&gt;5,E1845&lt;8,E1845&gt;=18,COUNTIF($K$2:$K$10,INT(A1845))&gt;0),1,0)</f>
        <v>1</v>
      </c>
      <c r="G1845" s="34" t="n">
        <f aca="false">B1845/1</f>
        <v>59.549</v>
      </c>
      <c r="H1845" s="34" t="n">
        <f aca="false">IF(F1845=1,G1845,"")</f>
        <v>59.549</v>
      </c>
    </row>
    <row r="1846" customFormat="false" ht="15" hidden="false" customHeight="false" outlineLevel="0" collapsed="false">
      <c r="A1846" s="31" t="n">
        <v>42812.8333333333</v>
      </c>
      <c r="B1846" s="32" t="n">
        <v>63.512</v>
      </c>
      <c r="D1846" s="33" t="n">
        <f aca="false">WEEKDAY(A1846,2)</f>
        <v>6</v>
      </c>
      <c r="E1846" s="33" t="n">
        <f aca="false">HOUR(A1846)+MINUTE(A1846)/60</f>
        <v>20</v>
      </c>
      <c r="F1846" s="33" t="n">
        <f aca="false">IF(OR(D1846&gt;5,E1846&lt;8,E1846&gt;=18,COUNTIF($K$2:$K$10,INT(A1846))&gt;0),1,0)</f>
        <v>1</v>
      </c>
      <c r="G1846" s="34" t="n">
        <f aca="false">B1846/1</f>
        <v>63.512</v>
      </c>
      <c r="H1846" s="34" t="n">
        <f aca="false">IF(F1846=1,G1846,"")</f>
        <v>63.512</v>
      </c>
    </row>
    <row r="1847" customFormat="false" ht="15" hidden="false" customHeight="false" outlineLevel="0" collapsed="false">
      <c r="A1847" s="31" t="n">
        <v>42812.875</v>
      </c>
      <c r="B1847" s="32" t="n">
        <v>63.145</v>
      </c>
      <c r="D1847" s="33" t="n">
        <f aca="false">WEEKDAY(A1847,2)</f>
        <v>6</v>
      </c>
      <c r="E1847" s="33" t="n">
        <f aca="false">HOUR(A1847)+MINUTE(A1847)/60</f>
        <v>21</v>
      </c>
      <c r="F1847" s="33" t="n">
        <f aca="false">IF(OR(D1847&gt;5,E1847&lt;8,E1847&gt;=18,COUNTIF($K$2:$K$10,INT(A1847))&gt;0),1,0)</f>
        <v>1</v>
      </c>
      <c r="G1847" s="34" t="n">
        <f aca="false">B1847/1</f>
        <v>63.145</v>
      </c>
      <c r="H1847" s="34" t="n">
        <f aca="false">IF(F1847=1,G1847,"")</f>
        <v>63.145</v>
      </c>
    </row>
    <row r="1848" customFormat="false" ht="15" hidden="false" customHeight="false" outlineLevel="0" collapsed="false">
      <c r="A1848" s="31" t="n">
        <v>42812.9166666667</v>
      </c>
      <c r="B1848" s="32" t="n">
        <v>66.436</v>
      </c>
      <c r="D1848" s="33" t="n">
        <f aca="false">WEEKDAY(A1848,2)</f>
        <v>6</v>
      </c>
      <c r="E1848" s="33" t="n">
        <f aca="false">HOUR(A1848)+MINUTE(A1848)/60</f>
        <v>22</v>
      </c>
      <c r="F1848" s="33" t="n">
        <f aca="false">IF(OR(D1848&gt;5,E1848&lt;8,E1848&gt;=18,COUNTIF($K$2:$K$10,INT(A1848))&gt;0),1,0)</f>
        <v>1</v>
      </c>
      <c r="G1848" s="34" t="n">
        <f aca="false">B1848/1</f>
        <v>66.436</v>
      </c>
      <c r="H1848" s="34" t="n">
        <f aca="false">IF(F1848=1,G1848,"")</f>
        <v>66.436</v>
      </c>
    </row>
    <row r="1849" customFormat="false" ht="15" hidden="false" customHeight="false" outlineLevel="0" collapsed="false">
      <c r="A1849" s="31" t="n">
        <v>42812.9583333333</v>
      </c>
      <c r="B1849" s="32" t="n">
        <v>63.243</v>
      </c>
      <c r="D1849" s="33" t="n">
        <f aca="false">WEEKDAY(A1849,2)</f>
        <v>6</v>
      </c>
      <c r="E1849" s="33" t="n">
        <f aca="false">HOUR(A1849)+MINUTE(A1849)/60</f>
        <v>23</v>
      </c>
      <c r="F1849" s="33" t="n">
        <f aca="false">IF(OR(D1849&gt;5,E1849&lt;8,E1849&gt;=18,COUNTIF($K$2:$K$10,INT(A1849))&gt;0),1,0)</f>
        <v>1</v>
      </c>
      <c r="G1849" s="34" t="n">
        <f aca="false">B1849/1</f>
        <v>63.243</v>
      </c>
      <c r="H1849" s="34" t="n">
        <f aca="false">IF(F1849=1,G1849,"")</f>
        <v>63.243</v>
      </c>
    </row>
    <row r="1850" customFormat="false" ht="15" hidden="false" customHeight="false" outlineLevel="0" collapsed="false">
      <c r="A1850" s="31" t="n">
        <v>42813</v>
      </c>
      <c r="B1850" s="32" t="n">
        <v>61.129</v>
      </c>
      <c r="D1850" s="33" t="n">
        <f aca="false">WEEKDAY(A1850,2)</f>
        <v>7</v>
      </c>
      <c r="E1850" s="33" t="n">
        <f aca="false">HOUR(A1850)+MINUTE(A1850)/60</f>
        <v>0</v>
      </c>
      <c r="F1850" s="33" t="n">
        <f aca="false">IF(OR(D1850&gt;5,E1850&lt;8,E1850&gt;=18,COUNTIF($K$2:$K$10,INT(A1850))&gt;0),1,0)</f>
        <v>1</v>
      </c>
      <c r="G1850" s="34" t="n">
        <f aca="false">B1850/1</f>
        <v>61.129</v>
      </c>
      <c r="H1850" s="34" t="n">
        <f aca="false">IF(F1850=1,G1850,"")</f>
        <v>61.129</v>
      </c>
    </row>
    <row r="1851" customFormat="false" ht="15" hidden="false" customHeight="false" outlineLevel="0" collapsed="false">
      <c r="A1851" s="31" t="n">
        <v>42813.0416666667</v>
      </c>
      <c r="B1851" s="32" t="n">
        <v>60.162</v>
      </c>
      <c r="D1851" s="33" t="n">
        <f aca="false">WEEKDAY(A1851,2)</f>
        <v>7</v>
      </c>
      <c r="E1851" s="33" t="n">
        <f aca="false">HOUR(A1851)+MINUTE(A1851)/60</f>
        <v>1</v>
      </c>
      <c r="F1851" s="33" t="n">
        <f aca="false">IF(OR(D1851&gt;5,E1851&lt;8,E1851&gt;=18,COUNTIF($K$2:$K$10,INT(A1851))&gt;0),1,0)</f>
        <v>1</v>
      </c>
      <c r="G1851" s="34" t="n">
        <f aca="false">B1851/1</f>
        <v>60.162</v>
      </c>
      <c r="H1851" s="34" t="n">
        <f aca="false">IF(F1851=1,G1851,"")</f>
        <v>60.162</v>
      </c>
    </row>
    <row r="1852" customFormat="false" ht="15" hidden="false" customHeight="false" outlineLevel="0" collapsed="false">
      <c r="A1852" s="31" t="n">
        <v>42813.0833333333</v>
      </c>
      <c r="B1852" s="32" t="n">
        <v>59.912</v>
      </c>
      <c r="D1852" s="33" t="n">
        <f aca="false">WEEKDAY(A1852,2)</f>
        <v>7</v>
      </c>
      <c r="E1852" s="33" t="n">
        <f aca="false">HOUR(A1852)+MINUTE(A1852)/60</f>
        <v>2</v>
      </c>
      <c r="F1852" s="33" t="n">
        <f aca="false">IF(OR(D1852&gt;5,E1852&lt;8,E1852&gt;=18,COUNTIF($K$2:$K$10,INT(A1852))&gt;0),1,0)</f>
        <v>1</v>
      </c>
      <c r="G1852" s="34" t="n">
        <f aca="false">B1852/1</f>
        <v>59.912</v>
      </c>
      <c r="H1852" s="34" t="n">
        <f aca="false">IF(F1852=1,G1852,"")</f>
        <v>59.912</v>
      </c>
    </row>
    <row r="1853" customFormat="false" ht="15" hidden="false" customHeight="false" outlineLevel="0" collapsed="false">
      <c r="A1853" s="31" t="n">
        <v>42813.125</v>
      </c>
      <c r="B1853" s="32" t="n">
        <v>60.224</v>
      </c>
      <c r="D1853" s="33" t="n">
        <f aca="false">WEEKDAY(A1853,2)</f>
        <v>7</v>
      </c>
      <c r="E1853" s="33" t="n">
        <f aca="false">HOUR(A1853)+MINUTE(A1853)/60</f>
        <v>3</v>
      </c>
      <c r="F1853" s="33" t="n">
        <f aca="false">IF(OR(D1853&gt;5,E1853&lt;8,E1853&gt;=18,COUNTIF($K$2:$K$10,INT(A1853))&gt;0),1,0)</f>
        <v>1</v>
      </c>
      <c r="G1853" s="34" t="n">
        <f aca="false">B1853/1</f>
        <v>60.224</v>
      </c>
      <c r="H1853" s="34" t="n">
        <f aca="false">IF(F1853=1,G1853,"")</f>
        <v>60.224</v>
      </c>
    </row>
    <row r="1854" customFormat="false" ht="15" hidden="false" customHeight="false" outlineLevel="0" collapsed="false">
      <c r="A1854" s="31" t="n">
        <v>42813.1666666667</v>
      </c>
      <c r="B1854" s="32" t="n">
        <v>60.398</v>
      </c>
      <c r="D1854" s="33" t="n">
        <f aca="false">WEEKDAY(A1854,2)</f>
        <v>7</v>
      </c>
      <c r="E1854" s="33" t="n">
        <f aca="false">HOUR(A1854)+MINUTE(A1854)/60</f>
        <v>4</v>
      </c>
      <c r="F1854" s="33" t="n">
        <f aca="false">IF(OR(D1854&gt;5,E1854&lt;8,E1854&gt;=18,COUNTIF($K$2:$K$10,INT(A1854))&gt;0),1,0)</f>
        <v>1</v>
      </c>
      <c r="G1854" s="34" t="n">
        <f aca="false">B1854/1</f>
        <v>60.398</v>
      </c>
      <c r="H1854" s="34" t="n">
        <f aca="false">IF(F1854=1,G1854,"")</f>
        <v>60.398</v>
      </c>
    </row>
    <row r="1855" customFormat="false" ht="15" hidden="false" customHeight="false" outlineLevel="0" collapsed="false">
      <c r="A1855" s="31" t="n">
        <v>42813.2083333333</v>
      </c>
      <c r="B1855" s="32" t="n">
        <v>60.351</v>
      </c>
      <c r="D1855" s="33" t="n">
        <f aca="false">WEEKDAY(A1855,2)</f>
        <v>7</v>
      </c>
      <c r="E1855" s="33" t="n">
        <f aca="false">HOUR(A1855)+MINUTE(A1855)/60</f>
        <v>5</v>
      </c>
      <c r="F1855" s="33" t="n">
        <f aca="false">IF(OR(D1855&gt;5,E1855&lt;8,E1855&gt;=18,COUNTIF($K$2:$K$10,INT(A1855))&gt;0),1,0)</f>
        <v>1</v>
      </c>
      <c r="G1855" s="34" t="n">
        <f aca="false">B1855/1</f>
        <v>60.351</v>
      </c>
      <c r="H1855" s="34" t="n">
        <f aca="false">IF(F1855=1,G1855,"")</f>
        <v>60.351</v>
      </c>
    </row>
    <row r="1856" customFormat="false" ht="15" hidden="false" customHeight="false" outlineLevel="0" collapsed="false">
      <c r="A1856" s="31" t="n">
        <v>42813.25</v>
      </c>
      <c r="B1856" s="32" t="n">
        <v>60.822</v>
      </c>
      <c r="D1856" s="33" t="n">
        <f aca="false">WEEKDAY(A1856,2)</f>
        <v>7</v>
      </c>
      <c r="E1856" s="33" t="n">
        <f aca="false">HOUR(A1856)+MINUTE(A1856)/60</f>
        <v>6</v>
      </c>
      <c r="F1856" s="33" t="n">
        <f aca="false">IF(OR(D1856&gt;5,E1856&lt;8,E1856&gt;=18,COUNTIF($K$2:$K$10,INT(A1856))&gt;0),1,0)</f>
        <v>1</v>
      </c>
      <c r="G1856" s="34" t="n">
        <f aca="false">B1856/1</f>
        <v>60.822</v>
      </c>
      <c r="H1856" s="34" t="n">
        <f aca="false">IF(F1856=1,G1856,"")</f>
        <v>60.822</v>
      </c>
    </row>
    <row r="1857" customFormat="false" ht="15" hidden="false" customHeight="false" outlineLevel="0" collapsed="false">
      <c r="A1857" s="31" t="n">
        <v>42813.2916666667</v>
      </c>
      <c r="B1857" s="32" t="n">
        <v>60.467</v>
      </c>
      <c r="D1857" s="33" t="n">
        <f aca="false">WEEKDAY(A1857,2)</f>
        <v>7</v>
      </c>
      <c r="E1857" s="33" t="n">
        <f aca="false">HOUR(A1857)+MINUTE(A1857)/60</f>
        <v>7</v>
      </c>
      <c r="F1857" s="33" t="n">
        <f aca="false">IF(OR(D1857&gt;5,E1857&lt;8,E1857&gt;=18,COUNTIF($K$2:$K$10,INT(A1857))&gt;0),1,0)</f>
        <v>1</v>
      </c>
      <c r="G1857" s="34" t="n">
        <f aca="false">B1857/1</f>
        <v>60.467</v>
      </c>
      <c r="H1857" s="34" t="n">
        <f aca="false">IF(F1857=1,G1857,"")</f>
        <v>60.467</v>
      </c>
    </row>
    <row r="1858" customFormat="false" ht="15" hidden="false" customHeight="false" outlineLevel="0" collapsed="false">
      <c r="A1858" s="31" t="n">
        <v>42813.3333333333</v>
      </c>
      <c r="B1858" s="32" t="n">
        <v>60.467</v>
      </c>
      <c r="D1858" s="33" t="n">
        <f aca="false">WEEKDAY(A1858,2)</f>
        <v>7</v>
      </c>
      <c r="E1858" s="33" t="n">
        <f aca="false">HOUR(A1858)+MINUTE(A1858)/60</f>
        <v>8</v>
      </c>
      <c r="F1858" s="33" t="n">
        <f aca="false">IF(OR(D1858&gt;5,E1858&lt;8,E1858&gt;=18,COUNTIF($K$2:$K$10,INT(A1858))&gt;0),1,0)</f>
        <v>1</v>
      </c>
      <c r="G1858" s="34" t="n">
        <f aca="false">B1858/1</f>
        <v>60.467</v>
      </c>
      <c r="H1858" s="34" t="n">
        <f aca="false">IF(F1858=1,G1858,"")</f>
        <v>60.467</v>
      </c>
    </row>
    <row r="1859" customFormat="false" ht="15" hidden="false" customHeight="false" outlineLevel="0" collapsed="false">
      <c r="A1859" s="31" t="n">
        <v>42813.375</v>
      </c>
      <c r="B1859" s="32" t="n">
        <v>60.467</v>
      </c>
      <c r="D1859" s="33" t="n">
        <f aca="false">WEEKDAY(A1859,2)</f>
        <v>7</v>
      </c>
      <c r="E1859" s="33" t="n">
        <f aca="false">HOUR(A1859)+MINUTE(A1859)/60</f>
        <v>9</v>
      </c>
      <c r="F1859" s="33" t="n">
        <f aca="false">IF(OR(D1859&gt;5,E1859&lt;8,E1859&gt;=18,COUNTIF($K$2:$K$10,INT(A1859))&gt;0),1,0)</f>
        <v>1</v>
      </c>
      <c r="G1859" s="34" t="n">
        <f aca="false">B1859/1</f>
        <v>60.467</v>
      </c>
      <c r="H1859" s="34" t="n">
        <f aca="false">IF(F1859=1,G1859,"")</f>
        <v>60.467</v>
      </c>
    </row>
    <row r="1860" customFormat="false" ht="15" hidden="false" customHeight="false" outlineLevel="0" collapsed="false">
      <c r="A1860" s="31" t="n">
        <v>42813.4166666667</v>
      </c>
      <c r="B1860" s="32" t="n">
        <v>56.605</v>
      </c>
      <c r="D1860" s="33" t="n">
        <f aca="false">WEEKDAY(A1860,2)</f>
        <v>7</v>
      </c>
      <c r="E1860" s="33" t="n">
        <f aca="false">HOUR(A1860)+MINUTE(A1860)/60</f>
        <v>10</v>
      </c>
      <c r="F1860" s="33" t="n">
        <f aca="false">IF(OR(D1860&gt;5,E1860&lt;8,E1860&gt;=18,COUNTIF($K$2:$K$10,INT(A1860))&gt;0),1,0)</f>
        <v>1</v>
      </c>
      <c r="G1860" s="34" t="n">
        <f aca="false">B1860/1</f>
        <v>56.605</v>
      </c>
      <c r="H1860" s="34" t="n">
        <f aca="false">IF(F1860=1,G1860,"")</f>
        <v>56.605</v>
      </c>
    </row>
    <row r="1861" customFormat="false" ht="15" hidden="false" customHeight="false" outlineLevel="0" collapsed="false">
      <c r="A1861" s="31" t="n">
        <v>42813.4583333333</v>
      </c>
      <c r="B1861" s="32" t="n">
        <v>57.161</v>
      </c>
      <c r="D1861" s="33" t="n">
        <f aca="false">WEEKDAY(A1861,2)</f>
        <v>7</v>
      </c>
      <c r="E1861" s="33" t="n">
        <f aca="false">HOUR(A1861)+MINUTE(A1861)/60</f>
        <v>11</v>
      </c>
      <c r="F1861" s="33" t="n">
        <f aca="false">IF(OR(D1861&gt;5,E1861&lt;8,E1861&gt;=18,COUNTIF($K$2:$K$10,INT(A1861))&gt;0),1,0)</f>
        <v>1</v>
      </c>
      <c r="G1861" s="34" t="n">
        <f aca="false">B1861/1</f>
        <v>57.161</v>
      </c>
      <c r="H1861" s="34" t="n">
        <f aca="false">IF(F1861=1,G1861,"")</f>
        <v>57.161</v>
      </c>
    </row>
    <row r="1862" customFormat="false" ht="15" hidden="false" customHeight="false" outlineLevel="0" collapsed="false">
      <c r="A1862" s="31" t="n">
        <v>42813.5</v>
      </c>
      <c r="B1862" s="32" t="n">
        <v>60.905</v>
      </c>
      <c r="D1862" s="33" t="n">
        <f aca="false">WEEKDAY(A1862,2)</f>
        <v>7</v>
      </c>
      <c r="E1862" s="33" t="n">
        <f aca="false">HOUR(A1862)+MINUTE(A1862)/60</f>
        <v>12</v>
      </c>
      <c r="F1862" s="33" t="n">
        <f aca="false">IF(OR(D1862&gt;5,E1862&lt;8,E1862&gt;=18,COUNTIF($K$2:$K$10,INT(A1862))&gt;0),1,0)</f>
        <v>1</v>
      </c>
      <c r="G1862" s="34" t="n">
        <f aca="false">B1862/1</f>
        <v>60.905</v>
      </c>
      <c r="H1862" s="34" t="n">
        <f aca="false">IF(F1862=1,G1862,"")</f>
        <v>60.905</v>
      </c>
    </row>
    <row r="1863" customFormat="false" ht="15" hidden="false" customHeight="false" outlineLevel="0" collapsed="false">
      <c r="A1863" s="31" t="n">
        <v>42813.5416666667</v>
      </c>
      <c r="B1863" s="32" t="n">
        <v>109.425</v>
      </c>
      <c r="D1863" s="33" t="n">
        <f aca="false">WEEKDAY(A1863,2)</f>
        <v>7</v>
      </c>
      <c r="E1863" s="33" t="n">
        <f aca="false">HOUR(A1863)+MINUTE(A1863)/60</f>
        <v>13</v>
      </c>
      <c r="F1863" s="33" t="n">
        <f aca="false">IF(OR(D1863&gt;5,E1863&lt;8,E1863&gt;=18,COUNTIF($K$2:$K$10,INT(A1863))&gt;0),1,0)</f>
        <v>1</v>
      </c>
      <c r="G1863" s="34" t="n">
        <f aca="false">B1863/1</f>
        <v>109.425</v>
      </c>
      <c r="H1863" s="34" t="n">
        <f aca="false">IF(F1863=1,G1863,"")</f>
        <v>109.425</v>
      </c>
    </row>
    <row r="1864" customFormat="false" ht="15" hidden="false" customHeight="false" outlineLevel="0" collapsed="false">
      <c r="A1864" s="31" t="n">
        <v>42813.5833333333</v>
      </c>
      <c r="B1864" s="32" t="n">
        <v>137.079</v>
      </c>
      <c r="D1864" s="33" t="n">
        <f aca="false">WEEKDAY(A1864,2)</f>
        <v>7</v>
      </c>
      <c r="E1864" s="33" t="n">
        <f aca="false">HOUR(A1864)+MINUTE(A1864)/60</f>
        <v>14</v>
      </c>
      <c r="F1864" s="33" t="n">
        <f aca="false">IF(OR(D1864&gt;5,E1864&lt;8,E1864&gt;=18,COUNTIF($K$2:$K$10,INT(A1864))&gt;0),1,0)</f>
        <v>1</v>
      </c>
      <c r="G1864" s="34" t="n">
        <f aca="false">B1864/1</f>
        <v>137.079</v>
      </c>
      <c r="H1864" s="34" t="n">
        <f aca="false">IF(F1864=1,G1864,"")</f>
        <v>137.079</v>
      </c>
    </row>
    <row r="1865" customFormat="false" ht="15" hidden="false" customHeight="false" outlineLevel="0" collapsed="false">
      <c r="A1865" s="31" t="n">
        <v>42813.625</v>
      </c>
      <c r="B1865" s="32" t="n">
        <v>136.808</v>
      </c>
      <c r="D1865" s="33" t="n">
        <f aca="false">WEEKDAY(A1865,2)</f>
        <v>7</v>
      </c>
      <c r="E1865" s="33" t="n">
        <f aca="false">HOUR(A1865)+MINUTE(A1865)/60</f>
        <v>15</v>
      </c>
      <c r="F1865" s="33" t="n">
        <f aca="false">IF(OR(D1865&gt;5,E1865&lt;8,E1865&gt;=18,COUNTIF($K$2:$K$10,INT(A1865))&gt;0),1,0)</f>
        <v>1</v>
      </c>
      <c r="G1865" s="34" t="n">
        <f aca="false">B1865/1</f>
        <v>136.808</v>
      </c>
      <c r="H1865" s="34" t="n">
        <f aca="false">IF(F1865=1,G1865,"")</f>
        <v>136.808</v>
      </c>
    </row>
    <row r="1866" customFormat="false" ht="15" hidden="false" customHeight="false" outlineLevel="0" collapsed="false">
      <c r="A1866" s="31" t="n">
        <v>42813.6666666667</v>
      </c>
      <c r="B1866" s="32" t="n">
        <v>138.792</v>
      </c>
      <c r="D1866" s="33" t="n">
        <f aca="false">WEEKDAY(A1866,2)</f>
        <v>7</v>
      </c>
      <c r="E1866" s="33" t="n">
        <f aca="false">HOUR(A1866)+MINUTE(A1866)/60</f>
        <v>16</v>
      </c>
      <c r="F1866" s="33" t="n">
        <f aca="false">IF(OR(D1866&gt;5,E1866&lt;8,E1866&gt;=18,COUNTIF($K$2:$K$10,INT(A1866))&gt;0),1,0)</f>
        <v>1</v>
      </c>
      <c r="G1866" s="34" t="n">
        <f aca="false">B1866/1</f>
        <v>138.792</v>
      </c>
      <c r="H1866" s="34" t="n">
        <f aca="false">IF(F1866=1,G1866,"")</f>
        <v>138.792</v>
      </c>
    </row>
    <row r="1867" customFormat="false" ht="15" hidden="false" customHeight="false" outlineLevel="0" collapsed="false">
      <c r="A1867" s="31" t="n">
        <v>42813.7083333333</v>
      </c>
      <c r="B1867" s="32" t="n">
        <v>139.089</v>
      </c>
      <c r="D1867" s="33" t="n">
        <f aca="false">WEEKDAY(A1867,2)</f>
        <v>7</v>
      </c>
      <c r="E1867" s="33" t="n">
        <f aca="false">HOUR(A1867)+MINUTE(A1867)/60</f>
        <v>17</v>
      </c>
      <c r="F1867" s="33" t="n">
        <f aca="false">IF(OR(D1867&gt;5,E1867&lt;8,E1867&gt;=18,COUNTIF($K$2:$K$10,INT(A1867))&gt;0),1,0)</f>
        <v>1</v>
      </c>
      <c r="G1867" s="34" t="n">
        <f aca="false">B1867/1</f>
        <v>139.089</v>
      </c>
      <c r="H1867" s="34" t="n">
        <f aca="false">IF(F1867=1,G1867,"")</f>
        <v>139.089</v>
      </c>
    </row>
    <row r="1868" customFormat="false" ht="15" hidden="false" customHeight="false" outlineLevel="0" collapsed="false">
      <c r="A1868" s="31" t="n">
        <v>42813.75</v>
      </c>
      <c r="B1868" s="32" t="n">
        <v>67.198</v>
      </c>
      <c r="D1868" s="33" t="n">
        <f aca="false">WEEKDAY(A1868,2)</f>
        <v>7</v>
      </c>
      <c r="E1868" s="33" t="n">
        <f aca="false">HOUR(A1868)+MINUTE(A1868)/60</f>
        <v>18</v>
      </c>
      <c r="F1868" s="33" t="n">
        <f aca="false">IF(OR(D1868&gt;5,E1868&lt;8,E1868&gt;=18,COUNTIF($K$2:$K$10,INT(A1868))&gt;0),1,0)</f>
        <v>1</v>
      </c>
      <c r="G1868" s="34" t="n">
        <f aca="false">B1868/1</f>
        <v>67.198</v>
      </c>
      <c r="H1868" s="34" t="n">
        <f aca="false">IF(F1868=1,G1868,"")</f>
        <v>67.198</v>
      </c>
    </row>
    <row r="1869" customFormat="false" ht="15" hidden="false" customHeight="false" outlineLevel="0" collapsed="false">
      <c r="A1869" s="31" t="n">
        <v>42813.7916666667</v>
      </c>
      <c r="B1869" s="32" t="n">
        <v>61.739</v>
      </c>
      <c r="D1869" s="33" t="n">
        <f aca="false">WEEKDAY(A1869,2)</f>
        <v>7</v>
      </c>
      <c r="E1869" s="33" t="n">
        <f aca="false">HOUR(A1869)+MINUTE(A1869)/60</f>
        <v>19</v>
      </c>
      <c r="F1869" s="33" t="n">
        <f aca="false">IF(OR(D1869&gt;5,E1869&lt;8,E1869&gt;=18,COUNTIF($K$2:$K$10,INT(A1869))&gt;0),1,0)</f>
        <v>1</v>
      </c>
      <c r="G1869" s="34" t="n">
        <f aca="false">B1869/1</f>
        <v>61.739</v>
      </c>
      <c r="H1869" s="34" t="n">
        <f aca="false">IF(F1869=1,G1869,"")</f>
        <v>61.739</v>
      </c>
    </row>
    <row r="1870" customFormat="false" ht="15" hidden="false" customHeight="false" outlineLevel="0" collapsed="false">
      <c r="A1870" s="31" t="n">
        <v>42813.8333333333</v>
      </c>
      <c r="B1870" s="32" t="n">
        <v>62.304</v>
      </c>
      <c r="D1870" s="33" t="n">
        <f aca="false">WEEKDAY(A1870,2)</f>
        <v>7</v>
      </c>
      <c r="E1870" s="33" t="n">
        <f aca="false">HOUR(A1870)+MINUTE(A1870)/60</f>
        <v>20</v>
      </c>
      <c r="F1870" s="33" t="n">
        <f aca="false">IF(OR(D1870&gt;5,E1870&lt;8,E1870&gt;=18,COUNTIF($K$2:$K$10,INT(A1870))&gt;0),1,0)</f>
        <v>1</v>
      </c>
      <c r="G1870" s="34" t="n">
        <f aca="false">B1870/1</f>
        <v>62.304</v>
      </c>
      <c r="H1870" s="34" t="n">
        <f aca="false">IF(F1870=1,G1870,"")</f>
        <v>62.304</v>
      </c>
    </row>
    <row r="1871" customFormat="false" ht="15" hidden="false" customHeight="false" outlineLevel="0" collapsed="false">
      <c r="A1871" s="31" t="n">
        <v>42813.875</v>
      </c>
      <c r="B1871" s="32" t="n">
        <v>62.401</v>
      </c>
      <c r="D1871" s="33" t="n">
        <f aca="false">WEEKDAY(A1871,2)</f>
        <v>7</v>
      </c>
      <c r="E1871" s="33" t="n">
        <f aca="false">HOUR(A1871)+MINUTE(A1871)/60</f>
        <v>21</v>
      </c>
      <c r="F1871" s="33" t="n">
        <f aca="false">IF(OR(D1871&gt;5,E1871&lt;8,E1871&gt;=18,COUNTIF($K$2:$K$10,INT(A1871))&gt;0),1,0)</f>
        <v>1</v>
      </c>
      <c r="G1871" s="34" t="n">
        <f aca="false">B1871/1</f>
        <v>62.401</v>
      </c>
      <c r="H1871" s="34" t="n">
        <f aca="false">IF(F1871=1,G1871,"")</f>
        <v>62.401</v>
      </c>
    </row>
    <row r="1872" customFormat="false" ht="15" hidden="false" customHeight="false" outlineLevel="0" collapsed="false">
      <c r="A1872" s="31" t="n">
        <v>42813.9166666667</v>
      </c>
      <c r="B1872" s="32" t="n">
        <v>62.744</v>
      </c>
      <c r="D1872" s="33" t="n">
        <f aca="false">WEEKDAY(A1872,2)</f>
        <v>7</v>
      </c>
      <c r="E1872" s="33" t="n">
        <f aca="false">HOUR(A1872)+MINUTE(A1872)/60</f>
        <v>22</v>
      </c>
      <c r="F1872" s="33" t="n">
        <f aca="false">IF(OR(D1872&gt;5,E1872&lt;8,E1872&gt;=18,COUNTIF($K$2:$K$10,INT(A1872))&gt;0),1,0)</f>
        <v>1</v>
      </c>
      <c r="G1872" s="34" t="n">
        <f aca="false">B1872/1</f>
        <v>62.744</v>
      </c>
      <c r="H1872" s="34" t="n">
        <f aca="false">IF(F1872=1,G1872,"")</f>
        <v>62.744</v>
      </c>
    </row>
    <row r="1873" customFormat="false" ht="15" hidden="false" customHeight="false" outlineLevel="0" collapsed="false">
      <c r="A1873" s="31" t="n">
        <v>42813.9583333333</v>
      </c>
      <c r="B1873" s="32" t="n">
        <v>60.242</v>
      </c>
      <c r="D1873" s="33" t="n">
        <f aca="false">WEEKDAY(A1873,2)</f>
        <v>7</v>
      </c>
      <c r="E1873" s="33" t="n">
        <f aca="false">HOUR(A1873)+MINUTE(A1873)/60</f>
        <v>23</v>
      </c>
      <c r="F1873" s="33" t="n">
        <f aca="false">IF(OR(D1873&gt;5,E1873&lt;8,E1873&gt;=18,COUNTIF($K$2:$K$10,INT(A1873))&gt;0),1,0)</f>
        <v>1</v>
      </c>
      <c r="G1873" s="34" t="n">
        <f aca="false">B1873/1</f>
        <v>60.242</v>
      </c>
      <c r="H1873" s="34" t="n">
        <f aca="false">IF(F1873=1,G1873,"")</f>
        <v>60.242</v>
      </c>
    </row>
    <row r="1874" customFormat="false" ht="15" hidden="false" customHeight="false" outlineLevel="0" collapsed="false">
      <c r="A1874" s="31" t="n">
        <v>42814</v>
      </c>
      <c r="B1874" s="32" t="n">
        <v>60.081</v>
      </c>
      <c r="D1874" s="33" t="n">
        <f aca="false">WEEKDAY(A1874,2)</f>
        <v>1</v>
      </c>
      <c r="E1874" s="33" t="n">
        <f aca="false">HOUR(A1874)+MINUTE(A1874)/60</f>
        <v>0</v>
      </c>
      <c r="F1874" s="33" t="n">
        <f aca="false">IF(OR(D1874&gt;5,E1874&lt;8,E1874&gt;=18,COUNTIF($K$2:$K$10,INT(A1874))&gt;0),1,0)</f>
        <v>1</v>
      </c>
      <c r="G1874" s="34" t="n">
        <f aca="false">B1874/1</f>
        <v>60.081</v>
      </c>
      <c r="H1874" s="34" t="n">
        <f aca="false">IF(F1874=1,G1874,"")</f>
        <v>60.081</v>
      </c>
    </row>
    <row r="1875" customFormat="false" ht="15" hidden="false" customHeight="false" outlineLevel="0" collapsed="false">
      <c r="A1875" s="31" t="n">
        <v>42814.0416666667</v>
      </c>
      <c r="B1875" s="32" t="n">
        <v>61.275</v>
      </c>
      <c r="D1875" s="33" t="n">
        <f aca="false">WEEKDAY(A1875,2)</f>
        <v>1</v>
      </c>
      <c r="E1875" s="33" t="n">
        <f aca="false">HOUR(A1875)+MINUTE(A1875)/60</f>
        <v>1</v>
      </c>
      <c r="F1875" s="33" t="n">
        <f aca="false">IF(OR(D1875&gt;5,E1875&lt;8,E1875&gt;=18,COUNTIF($K$2:$K$10,INT(A1875))&gt;0),1,0)</f>
        <v>1</v>
      </c>
      <c r="G1875" s="34" t="n">
        <f aca="false">B1875/1</f>
        <v>61.275</v>
      </c>
      <c r="H1875" s="34" t="n">
        <f aca="false">IF(F1875=1,G1875,"")</f>
        <v>61.275</v>
      </c>
    </row>
    <row r="1876" customFormat="false" ht="15" hidden="false" customHeight="false" outlineLevel="0" collapsed="false">
      <c r="A1876" s="31" t="n">
        <v>42814.0833333333</v>
      </c>
      <c r="B1876" s="32" t="n">
        <v>60.955</v>
      </c>
      <c r="D1876" s="33" t="n">
        <f aca="false">WEEKDAY(A1876,2)</f>
        <v>1</v>
      </c>
      <c r="E1876" s="33" t="n">
        <f aca="false">HOUR(A1876)+MINUTE(A1876)/60</f>
        <v>2</v>
      </c>
      <c r="F1876" s="33" t="n">
        <f aca="false">IF(OR(D1876&gt;5,E1876&lt;8,E1876&gt;=18,COUNTIF($K$2:$K$10,INT(A1876))&gt;0),1,0)</f>
        <v>1</v>
      </c>
      <c r="G1876" s="34" t="n">
        <f aca="false">B1876/1</f>
        <v>60.955</v>
      </c>
      <c r="H1876" s="34" t="n">
        <f aca="false">IF(F1876=1,G1876,"")</f>
        <v>60.955</v>
      </c>
    </row>
    <row r="1877" customFormat="false" ht="15" hidden="false" customHeight="false" outlineLevel="0" collapsed="false">
      <c r="A1877" s="31" t="n">
        <v>42814.125</v>
      </c>
      <c r="B1877" s="32" t="n">
        <v>60.362</v>
      </c>
      <c r="D1877" s="33" t="n">
        <f aca="false">WEEKDAY(A1877,2)</f>
        <v>1</v>
      </c>
      <c r="E1877" s="33" t="n">
        <f aca="false">HOUR(A1877)+MINUTE(A1877)/60</f>
        <v>3</v>
      </c>
      <c r="F1877" s="33" t="n">
        <f aca="false">IF(OR(D1877&gt;5,E1877&lt;8,E1877&gt;=18,COUNTIF($K$2:$K$10,INT(A1877))&gt;0),1,0)</f>
        <v>1</v>
      </c>
      <c r="G1877" s="34" t="n">
        <f aca="false">B1877/1</f>
        <v>60.362</v>
      </c>
      <c r="H1877" s="34" t="n">
        <f aca="false">IF(F1877=1,G1877,"")</f>
        <v>60.362</v>
      </c>
    </row>
    <row r="1878" customFormat="false" ht="15" hidden="false" customHeight="false" outlineLevel="0" collapsed="false">
      <c r="A1878" s="31" t="n">
        <v>42814.1666666667</v>
      </c>
      <c r="B1878" s="32" t="n">
        <v>57.725</v>
      </c>
      <c r="D1878" s="33" t="n">
        <f aca="false">WEEKDAY(A1878,2)</f>
        <v>1</v>
      </c>
      <c r="E1878" s="33" t="n">
        <f aca="false">HOUR(A1878)+MINUTE(A1878)/60</f>
        <v>4</v>
      </c>
      <c r="F1878" s="33" t="n">
        <f aca="false">IF(OR(D1878&gt;5,E1878&lt;8,E1878&gt;=18,COUNTIF($K$2:$K$10,INT(A1878))&gt;0),1,0)</f>
        <v>1</v>
      </c>
      <c r="G1878" s="34" t="n">
        <f aca="false">B1878/1</f>
        <v>57.725</v>
      </c>
      <c r="H1878" s="34" t="n">
        <f aca="false">IF(F1878=1,G1878,"")</f>
        <v>57.725</v>
      </c>
    </row>
    <row r="1879" customFormat="false" ht="15" hidden="false" customHeight="false" outlineLevel="0" collapsed="false">
      <c r="A1879" s="31" t="n">
        <v>42814.2083333333</v>
      </c>
      <c r="B1879" s="32" t="n">
        <v>53.808</v>
      </c>
      <c r="D1879" s="33" t="n">
        <f aca="false">WEEKDAY(A1879,2)</f>
        <v>1</v>
      </c>
      <c r="E1879" s="33" t="n">
        <f aca="false">HOUR(A1879)+MINUTE(A1879)/60</f>
        <v>5</v>
      </c>
      <c r="F1879" s="33" t="n">
        <f aca="false">IF(OR(D1879&gt;5,E1879&lt;8,E1879&gt;=18,COUNTIF($K$2:$K$10,INT(A1879))&gt;0),1,0)</f>
        <v>1</v>
      </c>
      <c r="G1879" s="34" t="n">
        <f aca="false">B1879/1</f>
        <v>53.808</v>
      </c>
      <c r="H1879" s="34" t="n">
        <f aca="false">IF(F1879=1,G1879,"")</f>
        <v>53.808</v>
      </c>
    </row>
    <row r="1880" customFormat="false" ht="15" hidden="false" customHeight="false" outlineLevel="0" collapsed="false">
      <c r="A1880" s="31" t="n">
        <v>42814.25</v>
      </c>
      <c r="B1880" s="32" t="n">
        <v>58.879</v>
      </c>
      <c r="D1880" s="33" t="n">
        <f aca="false">WEEKDAY(A1880,2)</f>
        <v>1</v>
      </c>
      <c r="E1880" s="33" t="n">
        <f aca="false">HOUR(A1880)+MINUTE(A1880)/60</f>
        <v>6</v>
      </c>
      <c r="F1880" s="33" t="n">
        <f aca="false">IF(OR(D1880&gt;5,E1880&lt;8,E1880&gt;=18,COUNTIF($K$2:$K$10,INT(A1880))&gt;0),1,0)</f>
        <v>1</v>
      </c>
      <c r="G1880" s="34" t="n">
        <f aca="false">B1880/1</f>
        <v>58.879</v>
      </c>
      <c r="H1880" s="34" t="n">
        <f aca="false">IF(F1880=1,G1880,"")</f>
        <v>58.879</v>
      </c>
    </row>
    <row r="1881" customFormat="false" ht="15" hidden="false" customHeight="false" outlineLevel="0" collapsed="false">
      <c r="A1881" s="31" t="n">
        <v>42814.2916666667</v>
      </c>
      <c r="B1881" s="32" t="n">
        <v>78.966</v>
      </c>
      <c r="D1881" s="33" t="n">
        <f aca="false">WEEKDAY(A1881,2)</f>
        <v>1</v>
      </c>
      <c r="E1881" s="33" t="n">
        <f aca="false">HOUR(A1881)+MINUTE(A1881)/60</f>
        <v>7</v>
      </c>
      <c r="F1881" s="33" t="n">
        <f aca="false">IF(OR(D1881&gt;5,E1881&lt;8,E1881&gt;=18,COUNTIF($K$2:$K$10,INT(A1881))&gt;0),1,0)</f>
        <v>1</v>
      </c>
      <c r="G1881" s="34" t="n">
        <f aca="false">B1881/1</f>
        <v>78.966</v>
      </c>
      <c r="H1881" s="34" t="n">
        <f aca="false">IF(F1881=1,G1881,"")</f>
        <v>78.966</v>
      </c>
    </row>
    <row r="1882" customFormat="false" ht="15" hidden="false" customHeight="false" outlineLevel="0" collapsed="false">
      <c r="A1882" s="31" t="n">
        <v>42814.3333333333</v>
      </c>
      <c r="B1882" s="32" t="n">
        <v>172.689</v>
      </c>
      <c r="D1882" s="33" t="n">
        <f aca="false">WEEKDAY(A1882,2)</f>
        <v>1</v>
      </c>
      <c r="E1882" s="33" t="n">
        <f aca="false">HOUR(A1882)+MINUTE(A1882)/60</f>
        <v>8</v>
      </c>
      <c r="F1882" s="33" t="n">
        <f aca="false">IF(OR(D1882&gt;5,E1882&lt;8,E1882&gt;=18,COUNTIF($K$2:$K$10,INT(A1882))&gt;0),1,0)</f>
        <v>0</v>
      </c>
      <c r="G1882" s="34" t="n">
        <f aca="false">B1882/1</f>
        <v>172.689</v>
      </c>
      <c r="H1882" s="34" t="str">
        <f aca="false">IF(F1882=1,G1882,"")</f>
        <v/>
      </c>
    </row>
    <row r="1883" customFormat="false" ht="15" hidden="false" customHeight="false" outlineLevel="0" collapsed="false">
      <c r="A1883" s="31" t="n">
        <v>42814.375</v>
      </c>
      <c r="B1883" s="32" t="n">
        <v>209.537</v>
      </c>
      <c r="D1883" s="33" t="n">
        <f aca="false">WEEKDAY(A1883,2)</f>
        <v>1</v>
      </c>
      <c r="E1883" s="33" t="n">
        <f aca="false">HOUR(A1883)+MINUTE(A1883)/60</f>
        <v>9</v>
      </c>
      <c r="F1883" s="33" t="n">
        <f aca="false">IF(OR(D1883&gt;5,E1883&lt;8,E1883&gt;=18,COUNTIF($K$2:$K$10,INT(A1883))&gt;0),1,0)</f>
        <v>0</v>
      </c>
      <c r="G1883" s="34" t="n">
        <f aca="false">B1883/1</f>
        <v>209.537</v>
      </c>
      <c r="H1883" s="34" t="str">
        <f aca="false">IF(F1883=1,G1883,"")</f>
        <v/>
      </c>
    </row>
    <row r="1884" customFormat="false" ht="15" hidden="false" customHeight="false" outlineLevel="0" collapsed="false">
      <c r="A1884" s="31" t="n">
        <v>42814.4166666667</v>
      </c>
      <c r="B1884" s="32" t="n">
        <v>230.955</v>
      </c>
      <c r="D1884" s="33" t="n">
        <f aca="false">WEEKDAY(A1884,2)</f>
        <v>1</v>
      </c>
      <c r="E1884" s="33" t="n">
        <f aca="false">HOUR(A1884)+MINUTE(A1884)/60</f>
        <v>10</v>
      </c>
      <c r="F1884" s="33" t="n">
        <f aca="false">IF(OR(D1884&gt;5,E1884&lt;8,E1884&gt;=18,COUNTIF($K$2:$K$10,INT(A1884))&gt;0),1,0)</f>
        <v>0</v>
      </c>
      <c r="G1884" s="34" t="n">
        <f aca="false">B1884/1</f>
        <v>230.955</v>
      </c>
      <c r="H1884" s="34" t="str">
        <f aca="false">IF(F1884=1,G1884,"")</f>
        <v/>
      </c>
    </row>
    <row r="1885" customFormat="false" ht="15" hidden="false" customHeight="false" outlineLevel="0" collapsed="false">
      <c r="A1885" s="31" t="n">
        <v>42814.4583333333</v>
      </c>
      <c r="B1885" s="32" t="n">
        <v>246.627</v>
      </c>
      <c r="D1885" s="33" t="n">
        <f aca="false">WEEKDAY(A1885,2)</f>
        <v>1</v>
      </c>
      <c r="E1885" s="33" t="n">
        <f aca="false">HOUR(A1885)+MINUTE(A1885)/60</f>
        <v>11</v>
      </c>
      <c r="F1885" s="33" t="n">
        <f aca="false">IF(OR(D1885&gt;5,E1885&lt;8,E1885&gt;=18,COUNTIF($K$2:$K$10,INT(A1885))&gt;0),1,0)</f>
        <v>0</v>
      </c>
      <c r="G1885" s="34" t="n">
        <f aca="false">B1885/1</f>
        <v>246.627</v>
      </c>
      <c r="H1885" s="34" t="str">
        <f aca="false">IF(F1885=1,G1885,"")</f>
        <v/>
      </c>
    </row>
    <row r="1886" customFormat="false" ht="15" hidden="false" customHeight="false" outlineLevel="0" collapsed="false">
      <c r="A1886" s="31" t="n">
        <v>42814.5</v>
      </c>
      <c r="B1886" s="32" t="n">
        <v>252.876</v>
      </c>
      <c r="D1886" s="33" t="n">
        <f aca="false">WEEKDAY(A1886,2)</f>
        <v>1</v>
      </c>
      <c r="E1886" s="33" t="n">
        <f aca="false">HOUR(A1886)+MINUTE(A1886)/60</f>
        <v>12</v>
      </c>
      <c r="F1886" s="33" t="n">
        <f aca="false">IF(OR(D1886&gt;5,E1886&lt;8,E1886&gt;=18,COUNTIF($K$2:$K$10,INT(A1886))&gt;0),1,0)</f>
        <v>0</v>
      </c>
      <c r="G1886" s="34" t="n">
        <f aca="false">B1886/1</f>
        <v>252.876</v>
      </c>
      <c r="H1886" s="34" t="str">
        <f aca="false">IF(F1886=1,G1886,"")</f>
        <v/>
      </c>
    </row>
    <row r="1887" customFormat="false" ht="15" hidden="false" customHeight="false" outlineLevel="0" collapsed="false">
      <c r="A1887" s="31" t="n">
        <v>42814.5416666667</v>
      </c>
      <c r="B1887" s="32" t="n">
        <v>249.003</v>
      </c>
      <c r="D1887" s="33" t="n">
        <f aca="false">WEEKDAY(A1887,2)</f>
        <v>1</v>
      </c>
      <c r="E1887" s="33" t="n">
        <f aca="false">HOUR(A1887)+MINUTE(A1887)/60</f>
        <v>13</v>
      </c>
      <c r="F1887" s="33" t="n">
        <f aca="false">IF(OR(D1887&gt;5,E1887&lt;8,E1887&gt;=18,COUNTIF($K$2:$K$10,INT(A1887))&gt;0),1,0)</f>
        <v>0</v>
      </c>
      <c r="G1887" s="34" t="n">
        <f aca="false">B1887/1</f>
        <v>249.003</v>
      </c>
      <c r="H1887" s="34" t="str">
        <f aca="false">IF(F1887=1,G1887,"")</f>
        <v/>
      </c>
    </row>
    <row r="1888" customFormat="false" ht="15" hidden="false" customHeight="false" outlineLevel="0" collapsed="false">
      <c r="A1888" s="31" t="n">
        <v>42814.5833333333</v>
      </c>
      <c r="B1888" s="32" t="n">
        <v>245.819</v>
      </c>
      <c r="D1888" s="33" t="n">
        <f aca="false">WEEKDAY(A1888,2)</f>
        <v>1</v>
      </c>
      <c r="E1888" s="33" t="n">
        <f aca="false">HOUR(A1888)+MINUTE(A1888)/60</f>
        <v>14</v>
      </c>
      <c r="F1888" s="33" t="n">
        <f aca="false">IF(OR(D1888&gt;5,E1888&lt;8,E1888&gt;=18,COUNTIF($K$2:$K$10,INT(A1888))&gt;0),1,0)</f>
        <v>0</v>
      </c>
      <c r="G1888" s="34" t="n">
        <f aca="false">B1888/1</f>
        <v>245.819</v>
      </c>
      <c r="H1888" s="34" t="str">
        <f aca="false">IF(F1888=1,G1888,"")</f>
        <v/>
      </c>
    </row>
    <row r="1889" customFormat="false" ht="15" hidden="false" customHeight="false" outlineLevel="0" collapsed="false">
      <c r="A1889" s="31" t="n">
        <v>42814.625</v>
      </c>
      <c r="B1889" s="32" t="n">
        <v>254.547</v>
      </c>
      <c r="D1889" s="33" t="n">
        <f aca="false">WEEKDAY(A1889,2)</f>
        <v>1</v>
      </c>
      <c r="E1889" s="33" t="n">
        <f aca="false">HOUR(A1889)+MINUTE(A1889)/60</f>
        <v>15</v>
      </c>
      <c r="F1889" s="33" t="n">
        <f aca="false">IF(OR(D1889&gt;5,E1889&lt;8,E1889&gt;=18,COUNTIF($K$2:$K$10,INT(A1889))&gt;0),1,0)</f>
        <v>0</v>
      </c>
      <c r="G1889" s="34" t="n">
        <f aca="false">B1889/1</f>
        <v>254.547</v>
      </c>
      <c r="H1889" s="34" t="str">
        <f aca="false">IF(F1889=1,G1889,"")</f>
        <v/>
      </c>
    </row>
    <row r="1890" customFormat="false" ht="15" hidden="false" customHeight="false" outlineLevel="0" collapsed="false">
      <c r="A1890" s="31" t="n">
        <v>42814.6666666667</v>
      </c>
      <c r="B1890" s="32" t="n">
        <v>249.812</v>
      </c>
      <c r="D1890" s="33" t="n">
        <f aca="false">WEEKDAY(A1890,2)</f>
        <v>1</v>
      </c>
      <c r="E1890" s="33" t="n">
        <f aca="false">HOUR(A1890)+MINUTE(A1890)/60</f>
        <v>16</v>
      </c>
      <c r="F1890" s="33" t="n">
        <f aca="false">IF(OR(D1890&gt;5,E1890&lt;8,E1890&gt;=18,COUNTIF($K$2:$K$10,INT(A1890))&gt;0),1,0)</f>
        <v>0</v>
      </c>
      <c r="G1890" s="34" t="n">
        <f aca="false">B1890/1</f>
        <v>249.812</v>
      </c>
      <c r="H1890" s="34" t="str">
        <f aca="false">IF(F1890=1,G1890,"")</f>
        <v/>
      </c>
    </row>
    <row r="1891" customFormat="false" ht="15" hidden="false" customHeight="false" outlineLevel="0" collapsed="false">
      <c r="A1891" s="31" t="n">
        <v>42814.7083333333</v>
      </c>
      <c r="B1891" s="32" t="n">
        <v>257.981</v>
      </c>
      <c r="D1891" s="33" t="n">
        <f aca="false">WEEKDAY(A1891,2)</f>
        <v>1</v>
      </c>
      <c r="E1891" s="33" t="n">
        <f aca="false">HOUR(A1891)+MINUTE(A1891)/60</f>
        <v>17</v>
      </c>
      <c r="F1891" s="33" t="n">
        <f aca="false">IF(OR(D1891&gt;5,E1891&lt;8,E1891&gt;=18,COUNTIF($K$2:$K$10,INT(A1891))&gt;0),1,0)</f>
        <v>0</v>
      </c>
      <c r="G1891" s="34" t="n">
        <f aca="false">B1891/1</f>
        <v>257.981</v>
      </c>
      <c r="H1891" s="34" t="str">
        <f aca="false">IF(F1891=1,G1891,"")</f>
        <v/>
      </c>
    </row>
    <row r="1892" customFormat="false" ht="15" hidden="false" customHeight="false" outlineLevel="0" collapsed="false">
      <c r="A1892" s="31" t="n">
        <v>42814.75</v>
      </c>
      <c r="B1892" s="32" t="n">
        <v>233.76</v>
      </c>
      <c r="D1892" s="33" t="n">
        <f aca="false">WEEKDAY(A1892,2)</f>
        <v>1</v>
      </c>
      <c r="E1892" s="33" t="n">
        <f aca="false">HOUR(A1892)+MINUTE(A1892)/60</f>
        <v>18</v>
      </c>
      <c r="F1892" s="33" t="n">
        <f aca="false">IF(OR(D1892&gt;5,E1892&lt;8,E1892&gt;=18,COUNTIF($K$2:$K$10,INT(A1892))&gt;0),1,0)</f>
        <v>1</v>
      </c>
      <c r="G1892" s="34" t="n">
        <f aca="false">B1892/1</f>
        <v>233.76</v>
      </c>
      <c r="H1892" s="34" t="n">
        <f aca="false">IF(F1892=1,G1892,"")</f>
        <v>233.76</v>
      </c>
    </row>
    <row r="1893" customFormat="false" ht="15" hidden="false" customHeight="false" outlineLevel="0" collapsed="false">
      <c r="A1893" s="31" t="n">
        <v>42814.7916666667</v>
      </c>
      <c r="B1893" s="32" t="n">
        <v>221.243</v>
      </c>
      <c r="D1893" s="33" t="n">
        <f aca="false">WEEKDAY(A1893,2)</f>
        <v>1</v>
      </c>
      <c r="E1893" s="33" t="n">
        <f aca="false">HOUR(A1893)+MINUTE(A1893)/60</f>
        <v>19</v>
      </c>
      <c r="F1893" s="33" t="n">
        <f aca="false">IF(OR(D1893&gt;5,E1893&lt;8,E1893&gt;=18,COUNTIF($K$2:$K$10,INT(A1893))&gt;0),1,0)</f>
        <v>1</v>
      </c>
      <c r="G1893" s="34" t="n">
        <f aca="false">B1893/1</f>
        <v>221.243</v>
      </c>
      <c r="H1893" s="34" t="n">
        <f aca="false">IF(F1893=1,G1893,"")</f>
        <v>221.243</v>
      </c>
    </row>
    <row r="1894" customFormat="false" ht="15" hidden="false" customHeight="false" outlineLevel="0" collapsed="false">
      <c r="A1894" s="31" t="n">
        <v>42814.8333333333</v>
      </c>
      <c r="B1894" s="32" t="n">
        <v>206.799</v>
      </c>
      <c r="D1894" s="33" t="n">
        <f aca="false">WEEKDAY(A1894,2)</f>
        <v>1</v>
      </c>
      <c r="E1894" s="33" t="n">
        <f aca="false">HOUR(A1894)+MINUTE(A1894)/60</f>
        <v>20</v>
      </c>
      <c r="F1894" s="33" t="n">
        <f aca="false">IF(OR(D1894&gt;5,E1894&lt;8,E1894&gt;=18,COUNTIF($K$2:$K$10,INT(A1894))&gt;0),1,0)</f>
        <v>1</v>
      </c>
      <c r="G1894" s="34" t="n">
        <f aca="false">B1894/1</f>
        <v>206.799</v>
      </c>
      <c r="H1894" s="34" t="n">
        <f aca="false">IF(F1894=1,G1894,"")</f>
        <v>206.799</v>
      </c>
    </row>
    <row r="1895" customFormat="false" ht="15" hidden="false" customHeight="false" outlineLevel="0" collapsed="false">
      <c r="A1895" s="31" t="n">
        <v>42814.875</v>
      </c>
      <c r="B1895" s="32" t="n">
        <v>196.362</v>
      </c>
      <c r="D1895" s="33" t="n">
        <f aca="false">WEEKDAY(A1895,2)</f>
        <v>1</v>
      </c>
      <c r="E1895" s="33" t="n">
        <f aca="false">HOUR(A1895)+MINUTE(A1895)/60</f>
        <v>21</v>
      </c>
      <c r="F1895" s="33" t="n">
        <f aca="false">IF(OR(D1895&gt;5,E1895&lt;8,E1895&gt;=18,COUNTIF($K$2:$K$10,INT(A1895))&gt;0),1,0)</f>
        <v>1</v>
      </c>
      <c r="G1895" s="34" t="n">
        <f aca="false">B1895/1</f>
        <v>196.362</v>
      </c>
      <c r="H1895" s="34" t="n">
        <f aca="false">IF(F1895=1,G1895,"")</f>
        <v>196.362</v>
      </c>
    </row>
    <row r="1896" customFormat="false" ht="15" hidden="false" customHeight="false" outlineLevel="0" collapsed="false">
      <c r="A1896" s="31" t="n">
        <v>42814.9166666667</v>
      </c>
      <c r="B1896" s="32" t="n">
        <v>142.464</v>
      </c>
      <c r="D1896" s="33" t="n">
        <f aca="false">WEEKDAY(A1896,2)</f>
        <v>1</v>
      </c>
      <c r="E1896" s="33" t="n">
        <f aca="false">HOUR(A1896)+MINUTE(A1896)/60</f>
        <v>22</v>
      </c>
      <c r="F1896" s="33" t="n">
        <f aca="false">IF(OR(D1896&gt;5,E1896&lt;8,E1896&gt;=18,COUNTIF($K$2:$K$10,INT(A1896))&gt;0),1,0)</f>
        <v>1</v>
      </c>
      <c r="G1896" s="34" t="n">
        <f aca="false">B1896/1</f>
        <v>142.464</v>
      </c>
      <c r="H1896" s="34" t="n">
        <f aca="false">IF(F1896=1,G1896,"")</f>
        <v>142.464</v>
      </c>
    </row>
    <row r="1897" customFormat="false" ht="15" hidden="false" customHeight="false" outlineLevel="0" collapsed="false">
      <c r="A1897" s="31" t="n">
        <v>42814.9583333333</v>
      </c>
      <c r="B1897" s="32" t="n">
        <v>77.164</v>
      </c>
      <c r="D1897" s="33" t="n">
        <f aca="false">WEEKDAY(A1897,2)</f>
        <v>1</v>
      </c>
      <c r="E1897" s="33" t="n">
        <f aca="false">HOUR(A1897)+MINUTE(A1897)/60</f>
        <v>23</v>
      </c>
      <c r="F1897" s="33" t="n">
        <f aca="false">IF(OR(D1897&gt;5,E1897&lt;8,E1897&gt;=18,COUNTIF($K$2:$K$10,INT(A1897))&gt;0),1,0)</f>
        <v>1</v>
      </c>
      <c r="G1897" s="34" t="n">
        <f aca="false">B1897/1</f>
        <v>77.164</v>
      </c>
      <c r="H1897" s="34" t="n">
        <f aca="false">IF(F1897=1,G1897,"")</f>
        <v>77.164</v>
      </c>
    </row>
    <row r="1898" customFormat="false" ht="15" hidden="false" customHeight="false" outlineLevel="0" collapsed="false">
      <c r="A1898" s="31" t="n">
        <v>42815</v>
      </c>
      <c r="B1898" s="32" t="n">
        <v>70.854</v>
      </c>
      <c r="D1898" s="33" t="n">
        <f aca="false">WEEKDAY(A1898,2)</f>
        <v>2</v>
      </c>
      <c r="E1898" s="33" t="n">
        <f aca="false">HOUR(A1898)+MINUTE(A1898)/60</f>
        <v>0</v>
      </c>
      <c r="F1898" s="33" t="n">
        <f aca="false">IF(OR(D1898&gt;5,E1898&lt;8,E1898&gt;=18,COUNTIF($K$2:$K$10,INT(A1898))&gt;0),1,0)</f>
        <v>1</v>
      </c>
      <c r="G1898" s="34" t="n">
        <f aca="false">B1898/1</f>
        <v>70.854</v>
      </c>
      <c r="H1898" s="34" t="n">
        <f aca="false">IF(F1898=1,G1898,"")</f>
        <v>70.854</v>
      </c>
    </row>
    <row r="1899" customFormat="false" ht="15" hidden="false" customHeight="false" outlineLevel="0" collapsed="false">
      <c r="A1899" s="31" t="n">
        <v>42815.0416666667</v>
      </c>
      <c r="B1899" s="32" t="n">
        <v>65.316</v>
      </c>
      <c r="D1899" s="33" t="n">
        <f aca="false">WEEKDAY(A1899,2)</f>
        <v>2</v>
      </c>
      <c r="E1899" s="33" t="n">
        <f aca="false">HOUR(A1899)+MINUTE(A1899)/60</f>
        <v>1</v>
      </c>
      <c r="F1899" s="33" t="n">
        <f aca="false">IF(OR(D1899&gt;5,E1899&lt;8,E1899&gt;=18,COUNTIF($K$2:$K$10,INT(A1899))&gt;0),1,0)</f>
        <v>1</v>
      </c>
      <c r="G1899" s="34" t="n">
        <f aca="false">B1899/1</f>
        <v>65.316</v>
      </c>
      <c r="H1899" s="34" t="n">
        <f aca="false">IF(F1899=1,G1899,"")</f>
        <v>65.316</v>
      </c>
    </row>
    <row r="1900" customFormat="false" ht="15" hidden="false" customHeight="false" outlineLevel="0" collapsed="false">
      <c r="A1900" s="31" t="n">
        <v>42815.0833333333</v>
      </c>
      <c r="B1900" s="32" t="n">
        <v>67.208</v>
      </c>
      <c r="D1900" s="33" t="n">
        <f aca="false">WEEKDAY(A1900,2)</f>
        <v>2</v>
      </c>
      <c r="E1900" s="33" t="n">
        <f aca="false">HOUR(A1900)+MINUTE(A1900)/60</f>
        <v>2</v>
      </c>
      <c r="F1900" s="33" t="n">
        <f aca="false">IF(OR(D1900&gt;5,E1900&lt;8,E1900&gt;=18,COUNTIF($K$2:$K$10,INT(A1900))&gt;0),1,0)</f>
        <v>1</v>
      </c>
      <c r="G1900" s="34" t="n">
        <f aca="false">B1900/1</f>
        <v>67.208</v>
      </c>
      <c r="H1900" s="34" t="n">
        <f aca="false">IF(F1900=1,G1900,"")</f>
        <v>67.208</v>
      </c>
    </row>
    <row r="1901" customFormat="false" ht="15" hidden="false" customHeight="false" outlineLevel="0" collapsed="false">
      <c r="A1901" s="31" t="n">
        <v>42815.125</v>
      </c>
      <c r="B1901" s="32" t="n">
        <v>64.506</v>
      </c>
      <c r="D1901" s="33" t="n">
        <f aca="false">WEEKDAY(A1901,2)</f>
        <v>2</v>
      </c>
      <c r="E1901" s="33" t="n">
        <f aca="false">HOUR(A1901)+MINUTE(A1901)/60</f>
        <v>3</v>
      </c>
      <c r="F1901" s="33" t="n">
        <f aca="false">IF(OR(D1901&gt;5,E1901&lt;8,E1901&gt;=18,COUNTIF($K$2:$K$10,INT(A1901))&gt;0),1,0)</f>
        <v>1</v>
      </c>
      <c r="G1901" s="34" t="n">
        <f aca="false">B1901/1</f>
        <v>64.506</v>
      </c>
      <c r="H1901" s="34" t="n">
        <f aca="false">IF(F1901=1,G1901,"")</f>
        <v>64.506</v>
      </c>
    </row>
    <row r="1902" customFormat="false" ht="15" hidden="false" customHeight="false" outlineLevel="0" collapsed="false">
      <c r="A1902" s="31" t="n">
        <v>42815.1666666667</v>
      </c>
      <c r="B1902" s="32" t="n">
        <v>62.688</v>
      </c>
      <c r="D1902" s="33" t="n">
        <f aca="false">WEEKDAY(A1902,2)</f>
        <v>2</v>
      </c>
      <c r="E1902" s="33" t="n">
        <f aca="false">HOUR(A1902)+MINUTE(A1902)/60</f>
        <v>4</v>
      </c>
      <c r="F1902" s="33" t="n">
        <f aca="false">IF(OR(D1902&gt;5,E1902&lt;8,E1902&gt;=18,COUNTIF($K$2:$K$10,INT(A1902))&gt;0),1,0)</f>
        <v>1</v>
      </c>
      <c r="G1902" s="34" t="n">
        <f aca="false">B1902/1</f>
        <v>62.688</v>
      </c>
      <c r="H1902" s="34" t="n">
        <f aca="false">IF(F1902=1,G1902,"")</f>
        <v>62.688</v>
      </c>
    </row>
    <row r="1903" customFormat="false" ht="15" hidden="false" customHeight="false" outlineLevel="0" collapsed="false">
      <c r="A1903" s="31" t="n">
        <v>42815.2083333333</v>
      </c>
      <c r="B1903" s="32" t="n">
        <v>63.406</v>
      </c>
      <c r="D1903" s="33" t="n">
        <f aca="false">WEEKDAY(A1903,2)</f>
        <v>2</v>
      </c>
      <c r="E1903" s="33" t="n">
        <f aca="false">HOUR(A1903)+MINUTE(A1903)/60</f>
        <v>5</v>
      </c>
      <c r="F1903" s="33" t="n">
        <f aca="false">IF(OR(D1903&gt;5,E1903&lt;8,E1903&gt;=18,COUNTIF($K$2:$K$10,INT(A1903))&gt;0),1,0)</f>
        <v>1</v>
      </c>
      <c r="G1903" s="34" t="n">
        <f aca="false">B1903/1</f>
        <v>63.406</v>
      </c>
      <c r="H1903" s="34" t="n">
        <f aca="false">IF(F1903=1,G1903,"")</f>
        <v>63.406</v>
      </c>
    </row>
    <row r="1904" customFormat="false" ht="15" hidden="false" customHeight="false" outlineLevel="0" collapsed="false">
      <c r="A1904" s="31" t="n">
        <v>42815.25</v>
      </c>
      <c r="B1904" s="32" t="n">
        <v>62.996</v>
      </c>
      <c r="D1904" s="33" t="n">
        <f aca="false">WEEKDAY(A1904,2)</f>
        <v>2</v>
      </c>
      <c r="E1904" s="33" t="n">
        <f aca="false">HOUR(A1904)+MINUTE(A1904)/60</f>
        <v>6</v>
      </c>
      <c r="F1904" s="33" t="n">
        <f aca="false">IF(OR(D1904&gt;5,E1904&lt;8,E1904&gt;=18,COUNTIF($K$2:$K$10,INT(A1904))&gt;0),1,0)</f>
        <v>1</v>
      </c>
      <c r="G1904" s="34" t="n">
        <f aca="false">B1904/1</f>
        <v>62.996</v>
      </c>
      <c r="H1904" s="34" t="n">
        <f aca="false">IF(F1904=1,G1904,"")</f>
        <v>62.996</v>
      </c>
    </row>
    <row r="1905" customFormat="false" ht="15" hidden="false" customHeight="false" outlineLevel="0" collapsed="false">
      <c r="A1905" s="31" t="n">
        <v>42815.2916666667</v>
      </c>
      <c r="B1905" s="32" t="n">
        <v>72.179</v>
      </c>
      <c r="D1905" s="33" t="n">
        <f aca="false">WEEKDAY(A1905,2)</f>
        <v>2</v>
      </c>
      <c r="E1905" s="33" t="n">
        <f aca="false">HOUR(A1905)+MINUTE(A1905)/60</f>
        <v>7</v>
      </c>
      <c r="F1905" s="33" t="n">
        <f aca="false">IF(OR(D1905&gt;5,E1905&lt;8,E1905&gt;=18,COUNTIF($K$2:$K$10,INT(A1905))&gt;0),1,0)</f>
        <v>1</v>
      </c>
      <c r="G1905" s="34" t="n">
        <f aca="false">B1905/1</f>
        <v>72.179</v>
      </c>
      <c r="H1905" s="34" t="n">
        <f aca="false">IF(F1905=1,G1905,"")</f>
        <v>72.179</v>
      </c>
    </row>
    <row r="1906" customFormat="false" ht="15" hidden="false" customHeight="false" outlineLevel="0" collapsed="false">
      <c r="A1906" s="31" t="n">
        <v>42815.3333333333</v>
      </c>
      <c r="B1906" s="32" t="n">
        <v>179.594</v>
      </c>
      <c r="D1906" s="33" t="n">
        <f aca="false">WEEKDAY(A1906,2)</f>
        <v>2</v>
      </c>
      <c r="E1906" s="33" t="n">
        <f aca="false">HOUR(A1906)+MINUTE(A1906)/60</f>
        <v>8</v>
      </c>
      <c r="F1906" s="33" t="n">
        <f aca="false">IF(OR(D1906&gt;5,E1906&lt;8,E1906&gt;=18,COUNTIF($K$2:$K$10,INT(A1906))&gt;0),1,0)</f>
        <v>0</v>
      </c>
      <c r="G1906" s="34" t="n">
        <f aca="false">B1906/1</f>
        <v>179.594</v>
      </c>
      <c r="H1906" s="34" t="str">
        <f aca="false">IF(F1906=1,G1906,"")</f>
        <v/>
      </c>
    </row>
    <row r="1907" customFormat="false" ht="15" hidden="false" customHeight="false" outlineLevel="0" collapsed="false">
      <c r="A1907" s="31" t="n">
        <v>42815.375</v>
      </c>
      <c r="B1907" s="32" t="n">
        <v>227.203</v>
      </c>
      <c r="D1907" s="33" t="n">
        <f aca="false">WEEKDAY(A1907,2)</f>
        <v>2</v>
      </c>
      <c r="E1907" s="33" t="n">
        <f aca="false">HOUR(A1907)+MINUTE(A1907)/60</f>
        <v>9</v>
      </c>
      <c r="F1907" s="33" t="n">
        <f aca="false">IF(OR(D1907&gt;5,E1907&lt;8,E1907&gt;=18,COUNTIF($K$2:$K$10,INT(A1907))&gt;0),1,0)</f>
        <v>0</v>
      </c>
      <c r="G1907" s="34" t="n">
        <f aca="false">B1907/1</f>
        <v>227.203</v>
      </c>
      <c r="H1907" s="34" t="str">
        <f aca="false">IF(F1907=1,G1907,"")</f>
        <v/>
      </c>
    </row>
    <row r="1908" customFormat="false" ht="15" hidden="false" customHeight="false" outlineLevel="0" collapsed="false">
      <c r="A1908" s="31" t="n">
        <v>42815.4166666667</v>
      </c>
      <c r="B1908" s="32" t="n">
        <v>243.135</v>
      </c>
      <c r="D1908" s="33" t="n">
        <f aca="false">WEEKDAY(A1908,2)</f>
        <v>2</v>
      </c>
      <c r="E1908" s="33" t="n">
        <f aca="false">HOUR(A1908)+MINUTE(A1908)/60</f>
        <v>10</v>
      </c>
      <c r="F1908" s="33" t="n">
        <f aca="false">IF(OR(D1908&gt;5,E1908&lt;8,E1908&gt;=18,COUNTIF($K$2:$K$10,INT(A1908))&gt;0),1,0)</f>
        <v>0</v>
      </c>
      <c r="G1908" s="34" t="n">
        <f aca="false">B1908/1</f>
        <v>243.135</v>
      </c>
      <c r="H1908" s="34" t="str">
        <f aca="false">IF(F1908=1,G1908,"")</f>
        <v/>
      </c>
    </row>
    <row r="1909" customFormat="false" ht="15" hidden="false" customHeight="false" outlineLevel="0" collapsed="false">
      <c r="A1909" s="31" t="n">
        <v>42815.4583333333</v>
      </c>
      <c r="B1909" s="32" t="n">
        <v>280.8</v>
      </c>
      <c r="D1909" s="33" t="n">
        <f aca="false">WEEKDAY(A1909,2)</f>
        <v>2</v>
      </c>
      <c r="E1909" s="33" t="n">
        <f aca="false">HOUR(A1909)+MINUTE(A1909)/60</f>
        <v>11</v>
      </c>
      <c r="F1909" s="33" t="n">
        <f aca="false">IF(OR(D1909&gt;5,E1909&lt;8,E1909&gt;=18,COUNTIF($K$2:$K$10,INT(A1909))&gt;0),1,0)</f>
        <v>0</v>
      </c>
      <c r="G1909" s="34" t="n">
        <f aca="false">B1909/1</f>
        <v>280.8</v>
      </c>
      <c r="H1909" s="34" t="str">
        <f aca="false">IF(F1909=1,G1909,"")</f>
        <v/>
      </c>
    </row>
    <row r="1910" customFormat="false" ht="15" hidden="false" customHeight="false" outlineLevel="0" collapsed="false">
      <c r="A1910" s="31" t="n">
        <v>42815.5</v>
      </c>
      <c r="B1910" s="32" t="n">
        <v>264.979</v>
      </c>
      <c r="D1910" s="33" t="n">
        <f aca="false">WEEKDAY(A1910,2)</f>
        <v>2</v>
      </c>
      <c r="E1910" s="33" t="n">
        <f aca="false">HOUR(A1910)+MINUTE(A1910)/60</f>
        <v>12</v>
      </c>
      <c r="F1910" s="33" t="n">
        <f aca="false">IF(OR(D1910&gt;5,E1910&lt;8,E1910&gt;=18,COUNTIF($K$2:$K$10,INT(A1910))&gt;0),1,0)</f>
        <v>0</v>
      </c>
      <c r="G1910" s="34" t="n">
        <f aca="false">B1910/1</f>
        <v>264.979</v>
      </c>
      <c r="H1910" s="34" t="str">
        <f aca="false">IF(F1910=1,G1910,"")</f>
        <v/>
      </c>
    </row>
    <row r="1911" customFormat="false" ht="15" hidden="false" customHeight="false" outlineLevel="0" collapsed="false">
      <c r="A1911" s="31" t="n">
        <v>42815.5416666667</v>
      </c>
      <c r="B1911" s="32" t="n">
        <v>270.29</v>
      </c>
      <c r="D1911" s="33" t="n">
        <f aca="false">WEEKDAY(A1911,2)</f>
        <v>2</v>
      </c>
      <c r="E1911" s="33" t="n">
        <f aca="false">HOUR(A1911)+MINUTE(A1911)/60</f>
        <v>13</v>
      </c>
      <c r="F1911" s="33" t="n">
        <f aca="false">IF(OR(D1911&gt;5,E1911&lt;8,E1911&gt;=18,COUNTIF($K$2:$K$10,INT(A1911))&gt;0),1,0)</f>
        <v>0</v>
      </c>
      <c r="G1911" s="34" t="n">
        <f aca="false">B1911/1</f>
        <v>270.29</v>
      </c>
      <c r="H1911" s="34" t="str">
        <f aca="false">IF(F1911=1,G1911,"")</f>
        <v/>
      </c>
    </row>
    <row r="1912" customFormat="false" ht="15" hidden="false" customHeight="false" outlineLevel="0" collapsed="false">
      <c r="A1912" s="31" t="n">
        <v>42815.5833333333</v>
      </c>
      <c r="B1912" s="32" t="n">
        <v>281.795</v>
      </c>
      <c r="D1912" s="33" t="n">
        <f aca="false">WEEKDAY(A1912,2)</f>
        <v>2</v>
      </c>
      <c r="E1912" s="33" t="n">
        <f aca="false">HOUR(A1912)+MINUTE(A1912)/60</f>
        <v>14</v>
      </c>
      <c r="F1912" s="33" t="n">
        <f aca="false">IF(OR(D1912&gt;5,E1912&lt;8,E1912&gt;=18,COUNTIF($K$2:$K$10,INT(A1912))&gt;0),1,0)</f>
        <v>0</v>
      </c>
      <c r="G1912" s="34" t="n">
        <f aca="false">B1912/1</f>
        <v>281.795</v>
      </c>
      <c r="H1912" s="34" t="str">
        <f aca="false">IF(F1912=1,G1912,"")</f>
        <v/>
      </c>
    </row>
    <row r="1913" customFormat="false" ht="15" hidden="false" customHeight="false" outlineLevel="0" collapsed="false">
      <c r="A1913" s="31" t="n">
        <v>42815.625</v>
      </c>
      <c r="B1913" s="32" t="n">
        <v>279.215</v>
      </c>
      <c r="D1913" s="33" t="n">
        <f aca="false">WEEKDAY(A1913,2)</f>
        <v>2</v>
      </c>
      <c r="E1913" s="33" t="n">
        <f aca="false">HOUR(A1913)+MINUTE(A1913)/60</f>
        <v>15</v>
      </c>
      <c r="F1913" s="33" t="n">
        <f aca="false">IF(OR(D1913&gt;5,E1913&lt;8,E1913&gt;=18,COUNTIF($K$2:$K$10,INT(A1913))&gt;0),1,0)</f>
        <v>0</v>
      </c>
      <c r="G1913" s="34" t="n">
        <f aca="false">B1913/1</f>
        <v>279.215</v>
      </c>
      <c r="H1913" s="34" t="str">
        <f aca="false">IF(F1913=1,G1913,"")</f>
        <v/>
      </c>
    </row>
    <row r="1914" customFormat="false" ht="15" hidden="false" customHeight="false" outlineLevel="0" collapsed="false">
      <c r="A1914" s="31" t="n">
        <v>42815.6666666667</v>
      </c>
      <c r="B1914" s="32" t="n">
        <v>256.958</v>
      </c>
      <c r="D1914" s="33" t="n">
        <f aca="false">WEEKDAY(A1914,2)</f>
        <v>2</v>
      </c>
      <c r="E1914" s="33" t="n">
        <f aca="false">HOUR(A1914)+MINUTE(A1914)/60</f>
        <v>16</v>
      </c>
      <c r="F1914" s="33" t="n">
        <f aca="false">IF(OR(D1914&gt;5,E1914&lt;8,E1914&gt;=18,COUNTIF($K$2:$K$10,INT(A1914))&gt;0),1,0)</f>
        <v>0</v>
      </c>
      <c r="G1914" s="34" t="n">
        <f aca="false">B1914/1</f>
        <v>256.958</v>
      </c>
      <c r="H1914" s="34" t="str">
        <f aca="false">IF(F1914=1,G1914,"")</f>
        <v/>
      </c>
    </row>
    <row r="1915" customFormat="false" ht="15" hidden="false" customHeight="false" outlineLevel="0" collapsed="false">
      <c r="A1915" s="31" t="n">
        <v>42815.7083333333</v>
      </c>
      <c r="B1915" s="32" t="n">
        <v>234.41</v>
      </c>
      <c r="D1915" s="33" t="n">
        <f aca="false">WEEKDAY(A1915,2)</f>
        <v>2</v>
      </c>
      <c r="E1915" s="33" t="n">
        <f aca="false">HOUR(A1915)+MINUTE(A1915)/60</f>
        <v>17</v>
      </c>
      <c r="F1915" s="33" t="n">
        <f aca="false">IF(OR(D1915&gt;5,E1915&lt;8,E1915&gt;=18,COUNTIF($K$2:$K$10,INT(A1915))&gt;0),1,0)</f>
        <v>0</v>
      </c>
      <c r="G1915" s="34" t="n">
        <f aca="false">B1915/1</f>
        <v>234.41</v>
      </c>
      <c r="H1915" s="34" t="str">
        <f aca="false">IF(F1915=1,G1915,"")</f>
        <v/>
      </c>
    </row>
    <row r="1916" customFormat="false" ht="15" hidden="false" customHeight="false" outlineLevel="0" collapsed="false">
      <c r="A1916" s="31" t="n">
        <v>42815.75</v>
      </c>
      <c r="B1916" s="32" t="n">
        <v>214.116</v>
      </c>
      <c r="D1916" s="33" t="n">
        <f aca="false">WEEKDAY(A1916,2)</f>
        <v>2</v>
      </c>
      <c r="E1916" s="33" t="n">
        <f aca="false">HOUR(A1916)+MINUTE(A1916)/60</f>
        <v>18</v>
      </c>
      <c r="F1916" s="33" t="n">
        <f aca="false">IF(OR(D1916&gt;5,E1916&lt;8,E1916&gt;=18,COUNTIF($K$2:$K$10,INT(A1916))&gt;0),1,0)</f>
        <v>1</v>
      </c>
      <c r="G1916" s="34" t="n">
        <f aca="false">B1916/1</f>
        <v>214.116</v>
      </c>
      <c r="H1916" s="34" t="n">
        <f aca="false">IF(F1916=1,G1916,"")</f>
        <v>214.116</v>
      </c>
    </row>
    <row r="1917" customFormat="false" ht="15" hidden="false" customHeight="false" outlineLevel="0" collapsed="false">
      <c r="A1917" s="31" t="n">
        <v>42815.7916666667</v>
      </c>
      <c r="B1917" s="32" t="n">
        <v>210.784</v>
      </c>
      <c r="D1917" s="33" t="n">
        <f aca="false">WEEKDAY(A1917,2)</f>
        <v>2</v>
      </c>
      <c r="E1917" s="33" t="n">
        <f aca="false">HOUR(A1917)+MINUTE(A1917)/60</f>
        <v>19</v>
      </c>
      <c r="F1917" s="33" t="n">
        <f aca="false">IF(OR(D1917&gt;5,E1917&lt;8,E1917&gt;=18,COUNTIF($K$2:$K$10,INT(A1917))&gt;0),1,0)</f>
        <v>1</v>
      </c>
      <c r="G1917" s="34" t="n">
        <f aca="false">B1917/1</f>
        <v>210.784</v>
      </c>
      <c r="H1917" s="34" t="n">
        <f aca="false">IF(F1917=1,G1917,"")</f>
        <v>210.784</v>
      </c>
    </row>
    <row r="1918" customFormat="false" ht="15" hidden="false" customHeight="false" outlineLevel="0" collapsed="false">
      <c r="A1918" s="31" t="n">
        <v>42815.8333333333</v>
      </c>
      <c r="B1918" s="32" t="n">
        <v>203.131</v>
      </c>
      <c r="D1918" s="33" t="n">
        <f aca="false">WEEKDAY(A1918,2)</f>
        <v>2</v>
      </c>
      <c r="E1918" s="33" t="n">
        <f aca="false">HOUR(A1918)+MINUTE(A1918)/60</f>
        <v>20</v>
      </c>
      <c r="F1918" s="33" t="n">
        <f aca="false">IF(OR(D1918&gt;5,E1918&lt;8,E1918&gt;=18,COUNTIF($K$2:$K$10,INT(A1918))&gt;0),1,0)</f>
        <v>1</v>
      </c>
      <c r="G1918" s="34" t="n">
        <f aca="false">B1918/1</f>
        <v>203.131</v>
      </c>
      <c r="H1918" s="34" t="n">
        <f aca="false">IF(F1918=1,G1918,"")</f>
        <v>203.131</v>
      </c>
    </row>
    <row r="1919" customFormat="false" ht="15" hidden="false" customHeight="false" outlineLevel="0" collapsed="false">
      <c r="A1919" s="31" t="n">
        <v>42815.875</v>
      </c>
      <c r="B1919" s="32" t="n">
        <v>196.462</v>
      </c>
      <c r="D1919" s="33" t="n">
        <f aca="false">WEEKDAY(A1919,2)</f>
        <v>2</v>
      </c>
      <c r="E1919" s="33" t="n">
        <f aca="false">HOUR(A1919)+MINUTE(A1919)/60</f>
        <v>21</v>
      </c>
      <c r="F1919" s="33" t="n">
        <f aca="false">IF(OR(D1919&gt;5,E1919&lt;8,E1919&gt;=18,COUNTIF($K$2:$K$10,INT(A1919))&gt;0),1,0)</f>
        <v>1</v>
      </c>
      <c r="G1919" s="34" t="n">
        <f aca="false">B1919/1</f>
        <v>196.462</v>
      </c>
      <c r="H1919" s="34" t="n">
        <f aca="false">IF(F1919=1,G1919,"")</f>
        <v>196.462</v>
      </c>
    </row>
    <row r="1920" customFormat="false" ht="15" hidden="false" customHeight="false" outlineLevel="0" collapsed="false">
      <c r="A1920" s="31" t="n">
        <v>42815.9166666667</v>
      </c>
      <c r="B1920" s="32" t="n">
        <v>134.294</v>
      </c>
      <c r="D1920" s="33" t="n">
        <f aca="false">WEEKDAY(A1920,2)</f>
        <v>2</v>
      </c>
      <c r="E1920" s="33" t="n">
        <f aca="false">HOUR(A1920)+MINUTE(A1920)/60</f>
        <v>22</v>
      </c>
      <c r="F1920" s="33" t="n">
        <f aca="false">IF(OR(D1920&gt;5,E1920&lt;8,E1920&gt;=18,COUNTIF($K$2:$K$10,INT(A1920))&gt;0),1,0)</f>
        <v>1</v>
      </c>
      <c r="G1920" s="34" t="n">
        <f aca="false">B1920/1</f>
        <v>134.294</v>
      </c>
      <c r="H1920" s="34" t="n">
        <f aca="false">IF(F1920=1,G1920,"")</f>
        <v>134.294</v>
      </c>
    </row>
    <row r="1921" customFormat="false" ht="15" hidden="false" customHeight="false" outlineLevel="0" collapsed="false">
      <c r="A1921" s="31" t="n">
        <v>42815.9583333333</v>
      </c>
      <c r="B1921" s="32" t="n">
        <v>70.447</v>
      </c>
      <c r="D1921" s="33" t="n">
        <f aca="false">WEEKDAY(A1921,2)</f>
        <v>2</v>
      </c>
      <c r="E1921" s="33" t="n">
        <f aca="false">HOUR(A1921)+MINUTE(A1921)/60</f>
        <v>23</v>
      </c>
      <c r="F1921" s="33" t="n">
        <f aca="false">IF(OR(D1921&gt;5,E1921&lt;8,E1921&gt;=18,COUNTIF($K$2:$K$10,INT(A1921))&gt;0),1,0)</f>
        <v>1</v>
      </c>
      <c r="G1921" s="34" t="n">
        <f aca="false">B1921/1</f>
        <v>70.447</v>
      </c>
      <c r="H1921" s="34" t="n">
        <f aca="false">IF(F1921=1,G1921,"")</f>
        <v>70.447</v>
      </c>
    </row>
    <row r="1922" customFormat="false" ht="15" hidden="false" customHeight="false" outlineLevel="0" collapsed="false">
      <c r="A1922" s="31" t="n">
        <v>42816</v>
      </c>
      <c r="B1922" s="32" t="n">
        <v>65.25</v>
      </c>
      <c r="D1922" s="33" t="n">
        <f aca="false">WEEKDAY(A1922,2)</f>
        <v>3</v>
      </c>
      <c r="E1922" s="33" t="n">
        <f aca="false">HOUR(A1922)+MINUTE(A1922)/60</f>
        <v>0</v>
      </c>
      <c r="F1922" s="33" t="n">
        <f aca="false">IF(OR(D1922&gt;5,E1922&lt;8,E1922&gt;=18,COUNTIF($K$2:$K$10,INT(A1922))&gt;0),1,0)</f>
        <v>1</v>
      </c>
      <c r="G1922" s="34" t="n">
        <f aca="false">B1922/1</f>
        <v>65.25</v>
      </c>
      <c r="H1922" s="34" t="n">
        <f aca="false">IF(F1922=1,G1922,"")</f>
        <v>65.25</v>
      </c>
    </row>
    <row r="1923" customFormat="false" ht="15" hidden="false" customHeight="false" outlineLevel="0" collapsed="false">
      <c r="A1923" s="31" t="n">
        <v>42816.0416666667</v>
      </c>
      <c r="B1923" s="32" t="n">
        <v>65.393</v>
      </c>
      <c r="D1923" s="33" t="n">
        <f aca="false">WEEKDAY(A1923,2)</f>
        <v>3</v>
      </c>
      <c r="E1923" s="33" t="n">
        <f aca="false">HOUR(A1923)+MINUTE(A1923)/60</f>
        <v>1</v>
      </c>
      <c r="F1923" s="33" t="n">
        <f aca="false">IF(OR(D1923&gt;5,E1923&lt;8,E1923&gt;=18,COUNTIF($K$2:$K$10,INT(A1923))&gt;0),1,0)</f>
        <v>1</v>
      </c>
      <c r="G1923" s="34" t="n">
        <f aca="false">B1923/1</f>
        <v>65.393</v>
      </c>
      <c r="H1923" s="34" t="n">
        <f aca="false">IF(F1923=1,G1923,"")</f>
        <v>65.393</v>
      </c>
    </row>
    <row r="1924" customFormat="false" ht="15" hidden="false" customHeight="false" outlineLevel="0" collapsed="false">
      <c r="A1924" s="31" t="n">
        <v>42816.0833333333</v>
      </c>
      <c r="B1924" s="32" t="n">
        <v>60.322</v>
      </c>
      <c r="D1924" s="33" t="n">
        <f aca="false">WEEKDAY(A1924,2)</f>
        <v>3</v>
      </c>
      <c r="E1924" s="33" t="n">
        <f aca="false">HOUR(A1924)+MINUTE(A1924)/60</f>
        <v>2</v>
      </c>
      <c r="F1924" s="33" t="n">
        <f aca="false">IF(OR(D1924&gt;5,E1924&lt;8,E1924&gt;=18,COUNTIF($K$2:$K$10,INT(A1924))&gt;0),1,0)</f>
        <v>1</v>
      </c>
      <c r="G1924" s="34" t="n">
        <f aca="false">B1924/1</f>
        <v>60.322</v>
      </c>
      <c r="H1924" s="34" t="n">
        <f aca="false">IF(F1924=1,G1924,"")</f>
        <v>60.322</v>
      </c>
    </row>
    <row r="1925" customFormat="false" ht="15" hidden="false" customHeight="false" outlineLevel="0" collapsed="false">
      <c r="A1925" s="31" t="n">
        <v>42816.125</v>
      </c>
      <c r="B1925" s="32" t="n">
        <v>65.679</v>
      </c>
      <c r="D1925" s="33" t="n">
        <f aca="false">WEEKDAY(A1925,2)</f>
        <v>3</v>
      </c>
      <c r="E1925" s="33" t="n">
        <f aca="false">HOUR(A1925)+MINUTE(A1925)/60</f>
        <v>3</v>
      </c>
      <c r="F1925" s="33" t="n">
        <f aca="false">IF(OR(D1925&gt;5,E1925&lt;8,E1925&gt;=18,COUNTIF($K$2:$K$10,INT(A1925))&gt;0),1,0)</f>
        <v>1</v>
      </c>
      <c r="G1925" s="34" t="n">
        <f aca="false">B1925/1</f>
        <v>65.679</v>
      </c>
      <c r="H1925" s="34" t="n">
        <f aca="false">IF(F1925=1,G1925,"")</f>
        <v>65.679</v>
      </c>
    </row>
    <row r="1926" customFormat="false" ht="15" hidden="false" customHeight="false" outlineLevel="0" collapsed="false">
      <c r="A1926" s="31" t="n">
        <v>42816.1666666667</v>
      </c>
      <c r="B1926" s="32" t="n">
        <v>62.184</v>
      </c>
      <c r="D1926" s="33" t="n">
        <f aca="false">WEEKDAY(A1926,2)</f>
        <v>3</v>
      </c>
      <c r="E1926" s="33" t="n">
        <f aca="false">HOUR(A1926)+MINUTE(A1926)/60</f>
        <v>4</v>
      </c>
      <c r="F1926" s="33" t="n">
        <f aca="false">IF(OR(D1926&gt;5,E1926&lt;8,E1926&gt;=18,COUNTIF($K$2:$K$10,INT(A1926))&gt;0),1,0)</f>
        <v>1</v>
      </c>
      <c r="G1926" s="34" t="n">
        <f aca="false">B1926/1</f>
        <v>62.184</v>
      </c>
      <c r="H1926" s="34" t="n">
        <f aca="false">IF(F1926=1,G1926,"")</f>
        <v>62.184</v>
      </c>
    </row>
    <row r="1927" customFormat="false" ht="15" hidden="false" customHeight="false" outlineLevel="0" collapsed="false">
      <c r="A1927" s="31" t="n">
        <v>42816.2083333333</v>
      </c>
      <c r="B1927" s="32" t="n">
        <v>63.312</v>
      </c>
      <c r="D1927" s="33" t="n">
        <f aca="false">WEEKDAY(A1927,2)</f>
        <v>3</v>
      </c>
      <c r="E1927" s="33" t="n">
        <f aca="false">HOUR(A1927)+MINUTE(A1927)/60</f>
        <v>5</v>
      </c>
      <c r="F1927" s="33" t="n">
        <f aca="false">IF(OR(D1927&gt;5,E1927&lt;8,E1927&gt;=18,COUNTIF($K$2:$K$10,INT(A1927))&gt;0),1,0)</f>
        <v>1</v>
      </c>
      <c r="G1927" s="34" t="n">
        <f aca="false">B1927/1</f>
        <v>63.312</v>
      </c>
      <c r="H1927" s="34" t="n">
        <f aca="false">IF(F1927=1,G1927,"")</f>
        <v>63.312</v>
      </c>
    </row>
    <row r="1928" customFormat="false" ht="15" hidden="false" customHeight="false" outlineLevel="0" collapsed="false">
      <c r="A1928" s="31" t="n">
        <v>42816.25</v>
      </c>
      <c r="B1928" s="32" t="n">
        <v>66.488</v>
      </c>
      <c r="D1928" s="33" t="n">
        <f aca="false">WEEKDAY(A1928,2)</f>
        <v>3</v>
      </c>
      <c r="E1928" s="33" t="n">
        <f aca="false">HOUR(A1928)+MINUTE(A1928)/60</f>
        <v>6</v>
      </c>
      <c r="F1928" s="33" t="n">
        <f aca="false">IF(OR(D1928&gt;5,E1928&lt;8,E1928&gt;=18,COUNTIF($K$2:$K$10,INT(A1928))&gt;0),1,0)</f>
        <v>1</v>
      </c>
      <c r="G1928" s="34" t="n">
        <f aca="false">B1928/1</f>
        <v>66.488</v>
      </c>
      <c r="H1928" s="34" t="n">
        <f aca="false">IF(F1928=1,G1928,"")</f>
        <v>66.488</v>
      </c>
    </row>
    <row r="1929" customFormat="false" ht="15" hidden="false" customHeight="false" outlineLevel="0" collapsed="false">
      <c r="A1929" s="31" t="n">
        <v>42816.2916666667</v>
      </c>
      <c r="B1929" s="32" t="n">
        <v>64.755</v>
      </c>
      <c r="D1929" s="33" t="n">
        <f aca="false">WEEKDAY(A1929,2)</f>
        <v>3</v>
      </c>
      <c r="E1929" s="33" t="n">
        <f aca="false">HOUR(A1929)+MINUTE(A1929)/60</f>
        <v>7</v>
      </c>
      <c r="F1929" s="33" t="n">
        <f aca="false">IF(OR(D1929&gt;5,E1929&lt;8,E1929&gt;=18,COUNTIF($K$2:$K$10,INT(A1929))&gt;0),1,0)</f>
        <v>1</v>
      </c>
      <c r="G1929" s="34" t="n">
        <f aca="false">B1929/1</f>
        <v>64.755</v>
      </c>
      <c r="H1929" s="34" t="n">
        <f aca="false">IF(F1929=1,G1929,"")</f>
        <v>64.755</v>
      </c>
    </row>
    <row r="1930" customFormat="false" ht="15" hidden="false" customHeight="false" outlineLevel="0" collapsed="false">
      <c r="A1930" s="31" t="n">
        <v>42816.3333333333</v>
      </c>
      <c r="B1930" s="32" t="n">
        <v>178.443</v>
      </c>
      <c r="D1930" s="33" t="n">
        <f aca="false">WEEKDAY(A1930,2)</f>
        <v>3</v>
      </c>
      <c r="E1930" s="33" t="n">
        <f aca="false">HOUR(A1930)+MINUTE(A1930)/60</f>
        <v>8</v>
      </c>
      <c r="F1930" s="33" t="n">
        <f aca="false">IF(OR(D1930&gt;5,E1930&lt;8,E1930&gt;=18,COUNTIF($K$2:$K$10,INT(A1930))&gt;0),1,0)</f>
        <v>0</v>
      </c>
      <c r="G1930" s="34" t="n">
        <f aca="false">B1930/1</f>
        <v>178.443</v>
      </c>
      <c r="H1930" s="34" t="str">
        <f aca="false">IF(F1930=1,G1930,"")</f>
        <v/>
      </c>
    </row>
    <row r="1931" customFormat="false" ht="15" hidden="false" customHeight="false" outlineLevel="0" collapsed="false">
      <c r="A1931" s="31" t="n">
        <v>42816.375</v>
      </c>
      <c r="B1931" s="32" t="n">
        <v>211.619</v>
      </c>
      <c r="D1931" s="33" t="n">
        <f aca="false">WEEKDAY(A1931,2)</f>
        <v>3</v>
      </c>
      <c r="E1931" s="33" t="n">
        <f aca="false">HOUR(A1931)+MINUTE(A1931)/60</f>
        <v>9</v>
      </c>
      <c r="F1931" s="33" t="n">
        <f aca="false">IF(OR(D1931&gt;5,E1931&lt;8,E1931&gt;=18,COUNTIF($K$2:$K$10,INT(A1931))&gt;0),1,0)</f>
        <v>0</v>
      </c>
      <c r="G1931" s="34" t="n">
        <f aca="false">B1931/1</f>
        <v>211.619</v>
      </c>
      <c r="H1931" s="34" t="str">
        <f aca="false">IF(F1931=1,G1931,"")</f>
        <v/>
      </c>
    </row>
    <row r="1932" customFormat="false" ht="15" hidden="false" customHeight="false" outlineLevel="0" collapsed="false">
      <c r="A1932" s="31" t="n">
        <v>42816.4166666667</v>
      </c>
      <c r="B1932" s="32" t="n">
        <v>231.772</v>
      </c>
      <c r="D1932" s="33" t="n">
        <f aca="false">WEEKDAY(A1932,2)</f>
        <v>3</v>
      </c>
      <c r="E1932" s="33" t="n">
        <f aca="false">HOUR(A1932)+MINUTE(A1932)/60</f>
        <v>10</v>
      </c>
      <c r="F1932" s="33" t="n">
        <f aca="false">IF(OR(D1932&gt;5,E1932&lt;8,E1932&gt;=18,COUNTIF($K$2:$K$10,INT(A1932))&gt;0),1,0)</f>
        <v>0</v>
      </c>
      <c r="G1932" s="34" t="n">
        <f aca="false">B1932/1</f>
        <v>231.772</v>
      </c>
      <c r="H1932" s="34" t="str">
        <f aca="false">IF(F1932=1,G1932,"")</f>
        <v/>
      </c>
    </row>
    <row r="1933" customFormat="false" ht="15" hidden="false" customHeight="false" outlineLevel="0" collapsed="false">
      <c r="A1933" s="31" t="n">
        <v>42816.4583333333</v>
      </c>
      <c r="B1933" s="32" t="n">
        <v>255.53</v>
      </c>
      <c r="D1933" s="33" t="n">
        <f aca="false">WEEKDAY(A1933,2)</f>
        <v>3</v>
      </c>
      <c r="E1933" s="33" t="n">
        <f aca="false">HOUR(A1933)+MINUTE(A1933)/60</f>
        <v>11</v>
      </c>
      <c r="F1933" s="33" t="n">
        <f aca="false">IF(OR(D1933&gt;5,E1933&lt;8,E1933&gt;=18,COUNTIF($K$2:$K$10,INT(A1933))&gt;0),1,0)</f>
        <v>0</v>
      </c>
      <c r="G1933" s="34" t="n">
        <f aca="false">B1933/1</f>
        <v>255.53</v>
      </c>
      <c r="H1933" s="34" t="str">
        <f aca="false">IF(F1933=1,G1933,"")</f>
        <v/>
      </c>
    </row>
    <row r="1934" customFormat="false" ht="15" hidden="false" customHeight="false" outlineLevel="0" collapsed="false">
      <c r="A1934" s="31" t="n">
        <v>42816.5</v>
      </c>
      <c r="B1934" s="32" t="n">
        <v>267.905</v>
      </c>
      <c r="D1934" s="33" t="n">
        <f aca="false">WEEKDAY(A1934,2)</f>
        <v>3</v>
      </c>
      <c r="E1934" s="33" t="n">
        <f aca="false">HOUR(A1934)+MINUTE(A1934)/60</f>
        <v>12</v>
      </c>
      <c r="F1934" s="33" t="n">
        <f aca="false">IF(OR(D1934&gt;5,E1934&lt;8,E1934&gt;=18,COUNTIF($K$2:$K$10,INT(A1934))&gt;0),1,0)</f>
        <v>0</v>
      </c>
      <c r="G1934" s="34" t="n">
        <f aca="false">B1934/1</f>
        <v>267.905</v>
      </c>
      <c r="H1934" s="34" t="str">
        <f aca="false">IF(F1934=1,G1934,"")</f>
        <v/>
      </c>
    </row>
    <row r="1935" customFormat="false" ht="15" hidden="false" customHeight="false" outlineLevel="0" collapsed="false">
      <c r="A1935" s="31" t="n">
        <v>42816.5416666667</v>
      </c>
      <c r="B1935" s="32" t="n">
        <v>267.067</v>
      </c>
      <c r="D1935" s="33" t="n">
        <f aca="false">WEEKDAY(A1935,2)</f>
        <v>3</v>
      </c>
      <c r="E1935" s="33" t="n">
        <f aca="false">HOUR(A1935)+MINUTE(A1935)/60</f>
        <v>13</v>
      </c>
      <c r="F1935" s="33" t="n">
        <f aca="false">IF(OR(D1935&gt;5,E1935&lt;8,E1935&gt;=18,COUNTIF($K$2:$K$10,INT(A1935))&gt;0),1,0)</f>
        <v>0</v>
      </c>
      <c r="G1935" s="34" t="n">
        <f aca="false">B1935/1</f>
        <v>267.067</v>
      </c>
      <c r="H1935" s="34" t="str">
        <f aca="false">IF(F1935=1,G1935,"")</f>
        <v/>
      </c>
    </row>
    <row r="1936" customFormat="false" ht="15" hidden="false" customHeight="false" outlineLevel="0" collapsed="false">
      <c r="A1936" s="31" t="n">
        <v>42816.5833333333</v>
      </c>
      <c r="B1936" s="32" t="n">
        <v>258.698</v>
      </c>
      <c r="D1936" s="33" t="n">
        <f aca="false">WEEKDAY(A1936,2)</f>
        <v>3</v>
      </c>
      <c r="E1936" s="33" t="n">
        <f aca="false">HOUR(A1936)+MINUTE(A1936)/60</f>
        <v>14</v>
      </c>
      <c r="F1936" s="33" t="n">
        <f aca="false">IF(OR(D1936&gt;5,E1936&lt;8,E1936&gt;=18,COUNTIF($K$2:$K$10,INT(A1936))&gt;0),1,0)</f>
        <v>0</v>
      </c>
      <c r="G1936" s="34" t="n">
        <f aca="false">B1936/1</f>
        <v>258.698</v>
      </c>
      <c r="H1936" s="34" t="str">
        <f aca="false">IF(F1936=1,G1936,"")</f>
        <v/>
      </c>
    </row>
    <row r="1937" customFormat="false" ht="15" hidden="false" customHeight="false" outlineLevel="0" collapsed="false">
      <c r="A1937" s="31" t="n">
        <v>42816.625</v>
      </c>
      <c r="B1937" s="32" t="n">
        <v>254.356</v>
      </c>
      <c r="D1937" s="33" t="n">
        <f aca="false">WEEKDAY(A1937,2)</f>
        <v>3</v>
      </c>
      <c r="E1937" s="33" t="n">
        <f aca="false">HOUR(A1937)+MINUTE(A1937)/60</f>
        <v>15</v>
      </c>
      <c r="F1937" s="33" t="n">
        <f aca="false">IF(OR(D1937&gt;5,E1937&lt;8,E1937&gt;=18,COUNTIF($K$2:$K$10,INT(A1937))&gt;0),1,0)</f>
        <v>0</v>
      </c>
      <c r="G1937" s="34" t="n">
        <f aca="false">B1937/1</f>
        <v>254.356</v>
      </c>
      <c r="H1937" s="34" t="str">
        <f aca="false">IF(F1937=1,G1937,"")</f>
        <v/>
      </c>
    </row>
    <row r="1938" customFormat="false" ht="15" hidden="false" customHeight="false" outlineLevel="0" collapsed="false">
      <c r="A1938" s="31" t="n">
        <v>42816.6666666667</v>
      </c>
      <c r="B1938" s="32" t="n">
        <v>256.201</v>
      </c>
      <c r="D1938" s="33" t="n">
        <f aca="false">WEEKDAY(A1938,2)</f>
        <v>3</v>
      </c>
      <c r="E1938" s="33" t="n">
        <f aca="false">HOUR(A1938)+MINUTE(A1938)/60</f>
        <v>16</v>
      </c>
      <c r="F1938" s="33" t="n">
        <f aca="false">IF(OR(D1938&gt;5,E1938&lt;8,E1938&gt;=18,COUNTIF($K$2:$K$10,INT(A1938))&gt;0),1,0)</f>
        <v>0</v>
      </c>
      <c r="G1938" s="34" t="n">
        <f aca="false">B1938/1</f>
        <v>256.201</v>
      </c>
      <c r="H1938" s="34" t="str">
        <f aca="false">IF(F1938=1,G1938,"")</f>
        <v/>
      </c>
    </row>
    <row r="1939" customFormat="false" ht="15" hidden="false" customHeight="false" outlineLevel="0" collapsed="false">
      <c r="A1939" s="31" t="n">
        <v>42816.7083333333</v>
      </c>
      <c r="B1939" s="32" t="n">
        <v>235.684</v>
      </c>
      <c r="D1939" s="33" t="n">
        <f aca="false">WEEKDAY(A1939,2)</f>
        <v>3</v>
      </c>
      <c r="E1939" s="33" t="n">
        <f aca="false">HOUR(A1939)+MINUTE(A1939)/60</f>
        <v>17</v>
      </c>
      <c r="F1939" s="33" t="n">
        <f aca="false">IF(OR(D1939&gt;5,E1939&lt;8,E1939&gt;=18,COUNTIF($K$2:$K$10,INT(A1939))&gt;0),1,0)</f>
        <v>0</v>
      </c>
      <c r="G1939" s="34" t="n">
        <f aca="false">B1939/1</f>
        <v>235.684</v>
      </c>
      <c r="H1939" s="34" t="str">
        <f aca="false">IF(F1939=1,G1939,"")</f>
        <v/>
      </c>
    </row>
    <row r="1940" customFormat="false" ht="15" hidden="false" customHeight="false" outlineLevel="0" collapsed="false">
      <c r="A1940" s="31" t="n">
        <v>42816.75</v>
      </c>
      <c r="B1940" s="32" t="n">
        <v>237.116</v>
      </c>
      <c r="D1940" s="33" t="n">
        <f aca="false">WEEKDAY(A1940,2)</f>
        <v>3</v>
      </c>
      <c r="E1940" s="33" t="n">
        <f aca="false">HOUR(A1940)+MINUTE(A1940)/60</f>
        <v>18</v>
      </c>
      <c r="F1940" s="33" t="n">
        <f aca="false">IF(OR(D1940&gt;5,E1940&lt;8,E1940&gt;=18,COUNTIF($K$2:$K$10,INT(A1940))&gt;0),1,0)</f>
        <v>1</v>
      </c>
      <c r="G1940" s="34" t="n">
        <f aca="false">B1940/1</f>
        <v>237.116</v>
      </c>
      <c r="H1940" s="34" t="n">
        <f aca="false">IF(F1940=1,G1940,"")</f>
        <v>237.116</v>
      </c>
    </row>
    <row r="1941" customFormat="false" ht="15" hidden="false" customHeight="false" outlineLevel="0" collapsed="false">
      <c r="A1941" s="31" t="n">
        <v>42816.7916666667</v>
      </c>
      <c r="B1941" s="32" t="n">
        <v>231.401</v>
      </c>
      <c r="D1941" s="33" t="n">
        <f aca="false">WEEKDAY(A1941,2)</f>
        <v>3</v>
      </c>
      <c r="E1941" s="33" t="n">
        <f aca="false">HOUR(A1941)+MINUTE(A1941)/60</f>
        <v>19</v>
      </c>
      <c r="F1941" s="33" t="n">
        <f aca="false">IF(OR(D1941&gt;5,E1941&lt;8,E1941&gt;=18,COUNTIF($K$2:$K$10,INT(A1941))&gt;0),1,0)</f>
        <v>1</v>
      </c>
      <c r="G1941" s="34" t="n">
        <f aca="false">B1941/1</f>
        <v>231.401</v>
      </c>
      <c r="H1941" s="34" t="n">
        <f aca="false">IF(F1941=1,G1941,"")</f>
        <v>231.401</v>
      </c>
    </row>
    <row r="1942" customFormat="false" ht="15" hidden="false" customHeight="false" outlineLevel="0" collapsed="false">
      <c r="A1942" s="31" t="n">
        <v>42816.8333333333</v>
      </c>
      <c r="B1942" s="32" t="n">
        <v>201.812</v>
      </c>
      <c r="D1942" s="33" t="n">
        <f aca="false">WEEKDAY(A1942,2)</f>
        <v>3</v>
      </c>
      <c r="E1942" s="33" t="n">
        <f aca="false">HOUR(A1942)+MINUTE(A1942)/60</f>
        <v>20</v>
      </c>
      <c r="F1942" s="33" t="n">
        <f aca="false">IF(OR(D1942&gt;5,E1942&lt;8,E1942&gt;=18,COUNTIF($K$2:$K$10,INT(A1942))&gt;0),1,0)</f>
        <v>1</v>
      </c>
      <c r="G1942" s="34" t="n">
        <f aca="false">B1942/1</f>
        <v>201.812</v>
      </c>
      <c r="H1942" s="34" t="n">
        <f aca="false">IF(F1942=1,G1942,"")</f>
        <v>201.812</v>
      </c>
    </row>
    <row r="1943" customFormat="false" ht="15" hidden="false" customHeight="false" outlineLevel="0" collapsed="false">
      <c r="A1943" s="31" t="n">
        <v>42816.875</v>
      </c>
      <c r="B1943" s="32" t="n">
        <v>195.263</v>
      </c>
      <c r="D1943" s="33" t="n">
        <f aca="false">WEEKDAY(A1943,2)</f>
        <v>3</v>
      </c>
      <c r="E1943" s="33" t="n">
        <f aca="false">HOUR(A1943)+MINUTE(A1943)/60</f>
        <v>21</v>
      </c>
      <c r="F1943" s="33" t="n">
        <f aca="false">IF(OR(D1943&gt;5,E1943&lt;8,E1943&gt;=18,COUNTIF($K$2:$K$10,INT(A1943))&gt;0),1,0)</f>
        <v>1</v>
      </c>
      <c r="G1943" s="34" t="n">
        <f aca="false">B1943/1</f>
        <v>195.263</v>
      </c>
      <c r="H1943" s="34" t="n">
        <f aca="false">IF(F1943=1,G1943,"")</f>
        <v>195.263</v>
      </c>
    </row>
    <row r="1944" customFormat="false" ht="15" hidden="false" customHeight="false" outlineLevel="0" collapsed="false">
      <c r="A1944" s="31" t="n">
        <v>42816.9166666667</v>
      </c>
      <c r="B1944" s="32" t="n">
        <v>139.017</v>
      </c>
      <c r="D1944" s="33" t="n">
        <f aca="false">WEEKDAY(A1944,2)</f>
        <v>3</v>
      </c>
      <c r="E1944" s="33" t="n">
        <f aca="false">HOUR(A1944)+MINUTE(A1944)/60</f>
        <v>22</v>
      </c>
      <c r="F1944" s="33" t="n">
        <f aca="false">IF(OR(D1944&gt;5,E1944&lt;8,E1944&gt;=18,COUNTIF($K$2:$K$10,INT(A1944))&gt;0),1,0)</f>
        <v>1</v>
      </c>
      <c r="G1944" s="34" t="n">
        <f aca="false">B1944/1</f>
        <v>139.017</v>
      </c>
      <c r="H1944" s="34" t="n">
        <f aca="false">IF(F1944=1,G1944,"")</f>
        <v>139.017</v>
      </c>
    </row>
    <row r="1945" customFormat="false" ht="15" hidden="false" customHeight="false" outlineLevel="0" collapsed="false">
      <c r="A1945" s="31" t="n">
        <v>42816.9583333333</v>
      </c>
      <c r="B1945" s="32" t="n">
        <v>69.024</v>
      </c>
      <c r="D1945" s="33" t="n">
        <f aca="false">WEEKDAY(A1945,2)</f>
        <v>3</v>
      </c>
      <c r="E1945" s="33" t="n">
        <f aca="false">HOUR(A1945)+MINUTE(A1945)/60</f>
        <v>23</v>
      </c>
      <c r="F1945" s="33" t="n">
        <f aca="false">IF(OR(D1945&gt;5,E1945&lt;8,E1945&gt;=18,COUNTIF($K$2:$K$10,INT(A1945))&gt;0),1,0)</f>
        <v>1</v>
      </c>
      <c r="G1945" s="34" t="n">
        <f aca="false">B1945/1</f>
        <v>69.024</v>
      </c>
      <c r="H1945" s="34" t="n">
        <f aca="false">IF(F1945=1,G1945,"")</f>
        <v>69.024</v>
      </c>
    </row>
    <row r="1946" customFormat="false" ht="15" hidden="false" customHeight="false" outlineLevel="0" collapsed="false">
      <c r="A1946" s="31" t="n">
        <v>42817</v>
      </c>
      <c r="B1946" s="32" t="n">
        <v>61.772</v>
      </c>
      <c r="D1946" s="33" t="n">
        <f aca="false">WEEKDAY(A1946,2)</f>
        <v>4</v>
      </c>
      <c r="E1946" s="33" t="n">
        <f aca="false">HOUR(A1946)+MINUTE(A1946)/60</f>
        <v>0</v>
      </c>
      <c r="F1946" s="33" t="n">
        <f aca="false">IF(OR(D1946&gt;5,E1946&lt;8,E1946&gt;=18,COUNTIF($K$2:$K$10,INT(A1946))&gt;0),1,0)</f>
        <v>1</v>
      </c>
      <c r="G1946" s="34" t="n">
        <f aca="false">B1946/1</f>
        <v>61.772</v>
      </c>
      <c r="H1946" s="34" t="n">
        <f aca="false">IF(F1946=1,G1946,"")</f>
        <v>61.772</v>
      </c>
    </row>
    <row r="1947" customFormat="false" ht="15" hidden="false" customHeight="false" outlineLevel="0" collapsed="false">
      <c r="A1947" s="31" t="n">
        <v>42817.0416666667</v>
      </c>
      <c r="B1947" s="32" t="n">
        <v>56.125</v>
      </c>
      <c r="D1947" s="33" t="n">
        <f aca="false">WEEKDAY(A1947,2)</f>
        <v>4</v>
      </c>
      <c r="E1947" s="33" t="n">
        <f aca="false">HOUR(A1947)+MINUTE(A1947)/60</f>
        <v>1</v>
      </c>
      <c r="F1947" s="33" t="n">
        <f aca="false">IF(OR(D1947&gt;5,E1947&lt;8,E1947&gt;=18,COUNTIF($K$2:$K$10,INT(A1947))&gt;0),1,0)</f>
        <v>1</v>
      </c>
      <c r="G1947" s="34" t="n">
        <f aca="false">B1947/1</f>
        <v>56.125</v>
      </c>
      <c r="H1947" s="34" t="n">
        <f aca="false">IF(F1947=1,G1947,"")</f>
        <v>56.125</v>
      </c>
    </row>
    <row r="1948" customFormat="false" ht="15" hidden="false" customHeight="false" outlineLevel="0" collapsed="false">
      <c r="A1948" s="31" t="n">
        <v>42817.0833333333</v>
      </c>
      <c r="B1948" s="32" t="n">
        <v>60.092</v>
      </c>
      <c r="D1948" s="33" t="n">
        <f aca="false">WEEKDAY(A1948,2)</f>
        <v>4</v>
      </c>
      <c r="E1948" s="33" t="n">
        <f aca="false">HOUR(A1948)+MINUTE(A1948)/60</f>
        <v>2</v>
      </c>
      <c r="F1948" s="33" t="n">
        <f aca="false">IF(OR(D1948&gt;5,E1948&lt;8,E1948&gt;=18,COUNTIF($K$2:$K$10,INT(A1948))&gt;0),1,0)</f>
        <v>1</v>
      </c>
      <c r="G1948" s="34" t="n">
        <f aca="false">B1948/1</f>
        <v>60.092</v>
      </c>
      <c r="H1948" s="34" t="n">
        <f aca="false">IF(F1948=1,G1948,"")</f>
        <v>60.092</v>
      </c>
    </row>
    <row r="1949" customFormat="false" ht="15" hidden="false" customHeight="false" outlineLevel="0" collapsed="false">
      <c r="A1949" s="31" t="n">
        <v>42817.125</v>
      </c>
      <c r="B1949" s="32" t="n">
        <v>58.099</v>
      </c>
      <c r="D1949" s="33" t="n">
        <f aca="false">WEEKDAY(A1949,2)</f>
        <v>4</v>
      </c>
      <c r="E1949" s="33" t="n">
        <f aca="false">HOUR(A1949)+MINUTE(A1949)/60</f>
        <v>3</v>
      </c>
      <c r="F1949" s="33" t="n">
        <f aca="false">IF(OR(D1949&gt;5,E1949&lt;8,E1949&gt;=18,COUNTIF($K$2:$K$10,INT(A1949))&gt;0),1,0)</f>
        <v>1</v>
      </c>
      <c r="G1949" s="34" t="n">
        <f aca="false">B1949/1</f>
        <v>58.099</v>
      </c>
      <c r="H1949" s="34" t="n">
        <f aca="false">IF(F1949=1,G1949,"")</f>
        <v>58.099</v>
      </c>
    </row>
    <row r="1950" customFormat="false" ht="15" hidden="false" customHeight="false" outlineLevel="0" collapsed="false">
      <c r="A1950" s="31" t="n">
        <v>42817.1666666667</v>
      </c>
      <c r="B1950" s="32" t="n">
        <v>57.224</v>
      </c>
      <c r="D1950" s="33" t="n">
        <f aca="false">WEEKDAY(A1950,2)</f>
        <v>4</v>
      </c>
      <c r="E1950" s="33" t="n">
        <f aca="false">HOUR(A1950)+MINUTE(A1950)/60</f>
        <v>4</v>
      </c>
      <c r="F1950" s="33" t="n">
        <f aca="false">IF(OR(D1950&gt;5,E1950&lt;8,E1950&gt;=18,COUNTIF($K$2:$K$10,INT(A1950))&gt;0),1,0)</f>
        <v>1</v>
      </c>
      <c r="G1950" s="34" t="n">
        <f aca="false">B1950/1</f>
        <v>57.224</v>
      </c>
      <c r="H1950" s="34" t="n">
        <f aca="false">IF(F1950=1,G1950,"")</f>
        <v>57.224</v>
      </c>
    </row>
    <row r="1951" customFormat="false" ht="15" hidden="false" customHeight="false" outlineLevel="0" collapsed="false">
      <c r="A1951" s="31" t="n">
        <v>42817.2083333333</v>
      </c>
      <c r="B1951" s="32" t="n">
        <v>59.415</v>
      </c>
      <c r="D1951" s="33" t="n">
        <f aca="false">WEEKDAY(A1951,2)</f>
        <v>4</v>
      </c>
      <c r="E1951" s="33" t="n">
        <f aca="false">HOUR(A1951)+MINUTE(A1951)/60</f>
        <v>5</v>
      </c>
      <c r="F1951" s="33" t="n">
        <f aca="false">IF(OR(D1951&gt;5,E1951&lt;8,E1951&gt;=18,COUNTIF($K$2:$K$10,INT(A1951))&gt;0),1,0)</f>
        <v>1</v>
      </c>
      <c r="G1951" s="34" t="n">
        <f aca="false">B1951/1</f>
        <v>59.415</v>
      </c>
      <c r="H1951" s="34" t="n">
        <f aca="false">IF(F1951=1,G1951,"")</f>
        <v>59.415</v>
      </c>
    </row>
    <row r="1952" customFormat="false" ht="15" hidden="false" customHeight="false" outlineLevel="0" collapsed="false">
      <c r="A1952" s="31" t="n">
        <v>42817.25</v>
      </c>
      <c r="B1952" s="32" t="n">
        <v>56.373</v>
      </c>
      <c r="D1952" s="33" t="n">
        <f aca="false">WEEKDAY(A1952,2)</f>
        <v>4</v>
      </c>
      <c r="E1952" s="33" t="n">
        <f aca="false">HOUR(A1952)+MINUTE(A1952)/60</f>
        <v>6</v>
      </c>
      <c r="F1952" s="33" t="n">
        <f aca="false">IF(OR(D1952&gt;5,E1952&lt;8,E1952&gt;=18,COUNTIF($K$2:$K$10,INT(A1952))&gt;0),1,0)</f>
        <v>1</v>
      </c>
      <c r="G1952" s="34" t="n">
        <f aca="false">B1952/1</f>
        <v>56.373</v>
      </c>
      <c r="H1952" s="34" t="n">
        <f aca="false">IF(F1952=1,G1952,"")</f>
        <v>56.373</v>
      </c>
    </row>
    <row r="1953" customFormat="false" ht="15" hidden="false" customHeight="false" outlineLevel="0" collapsed="false">
      <c r="A1953" s="31" t="n">
        <v>42817.2916666667</v>
      </c>
      <c r="B1953" s="32" t="n">
        <v>65.045</v>
      </c>
      <c r="D1953" s="33" t="n">
        <f aca="false">WEEKDAY(A1953,2)</f>
        <v>4</v>
      </c>
      <c r="E1953" s="33" t="n">
        <f aca="false">HOUR(A1953)+MINUTE(A1953)/60</f>
        <v>7</v>
      </c>
      <c r="F1953" s="33" t="n">
        <f aca="false">IF(OR(D1953&gt;5,E1953&lt;8,E1953&gt;=18,COUNTIF($K$2:$K$10,INT(A1953))&gt;0),1,0)</f>
        <v>1</v>
      </c>
      <c r="G1953" s="34" t="n">
        <f aca="false">B1953/1</f>
        <v>65.045</v>
      </c>
      <c r="H1953" s="34" t="n">
        <f aca="false">IF(F1953=1,G1953,"")</f>
        <v>65.045</v>
      </c>
    </row>
    <row r="1954" customFormat="false" ht="15" hidden="false" customHeight="false" outlineLevel="0" collapsed="false">
      <c r="A1954" s="31" t="n">
        <v>42817.3333333333</v>
      </c>
      <c r="B1954" s="32" t="n">
        <v>178.518</v>
      </c>
      <c r="D1954" s="33" t="n">
        <f aca="false">WEEKDAY(A1954,2)</f>
        <v>4</v>
      </c>
      <c r="E1954" s="33" t="n">
        <f aca="false">HOUR(A1954)+MINUTE(A1954)/60</f>
        <v>8</v>
      </c>
      <c r="F1954" s="33" t="n">
        <f aca="false">IF(OR(D1954&gt;5,E1954&lt;8,E1954&gt;=18,COUNTIF($K$2:$K$10,INT(A1954))&gt;0),1,0)</f>
        <v>0</v>
      </c>
      <c r="G1954" s="34" t="n">
        <f aca="false">B1954/1</f>
        <v>178.518</v>
      </c>
      <c r="H1954" s="34" t="str">
        <f aca="false">IF(F1954=1,G1954,"")</f>
        <v/>
      </c>
    </row>
    <row r="1955" customFormat="false" ht="15" hidden="false" customHeight="false" outlineLevel="0" collapsed="false">
      <c r="A1955" s="31" t="n">
        <v>42817.375</v>
      </c>
      <c r="B1955" s="32" t="n">
        <v>216.062</v>
      </c>
      <c r="D1955" s="33" t="n">
        <f aca="false">WEEKDAY(A1955,2)</f>
        <v>4</v>
      </c>
      <c r="E1955" s="33" t="n">
        <f aca="false">HOUR(A1955)+MINUTE(A1955)/60</f>
        <v>9</v>
      </c>
      <c r="F1955" s="33" t="n">
        <f aca="false">IF(OR(D1955&gt;5,E1955&lt;8,E1955&gt;=18,COUNTIF($K$2:$K$10,INT(A1955))&gt;0),1,0)</f>
        <v>0</v>
      </c>
      <c r="G1955" s="34" t="n">
        <f aca="false">B1955/1</f>
        <v>216.062</v>
      </c>
      <c r="H1955" s="34" t="str">
        <f aca="false">IF(F1955=1,G1955,"")</f>
        <v/>
      </c>
    </row>
    <row r="1956" customFormat="false" ht="15" hidden="false" customHeight="false" outlineLevel="0" collapsed="false">
      <c r="A1956" s="31" t="n">
        <v>42817.4166666667</v>
      </c>
      <c r="B1956" s="32" t="n">
        <v>240.033</v>
      </c>
      <c r="D1956" s="33" t="n">
        <f aca="false">WEEKDAY(A1956,2)</f>
        <v>4</v>
      </c>
      <c r="E1956" s="33" t="n">
        <f aca="false">HOUR(A1956)+MINUTE(A1956)/60</f>
        <v>10</v>
      </c>
      <c r="F1956" s="33" t="n">
        <f aca="false">IF(OR(D1956&gt;5,E1956&lt;8,E1956&gt;=18,COUNTIF($K$2:$K$10,INT(A1956))&gt;0),1,0)</f>
        <v>0</v>
      </c>
      <c r="G1956" s="34" t="n">
        <f aca="false">B1956/1</f>
        <v>240.033</v>
      </c>
      <c r="H1956" s="34" t="str">
        <f aca="false">IF(F1956=1,G1956,"")</f>
        <v/>
      </c>
    </row>
    <row r="1957" customFormat="false" ht="15" hidden="false" customHeight="false" outlineLevel="0" collapsed="false">
      <c r="A1957" s="31" t="n">
        <v>42817.4583333333</v>
      </c>
      <c r="B1957" s="32" t="n">
        <v>282.177</v>
      </c>
      <c r="D1957" s="33" t="n">
        <f aca="false">WEEKDAY(A1957,2)</f>
        <v>4</v>
      </c>
      <c r="E1957" s="33" t="n">
        <f aca="false">HOUR(A1957)+MINUTE(A1957)/60</f>
        <v>11</v>
      </c>
      <c r="F1957" s="33" t="n">
        <f aca="false">IF(OR(D1957&gt;5,E1957&lt;8,E1957&gt;=18,COUNTIF($K$2:$K$10,INT(A1957))&gt;0),1,0)</f>
        <v>0</v>
      </c>
      <c r="G1957" s="34" t="n">
        <f aca="false">B1957/1</f>
        <v>282.177</v>
      </c>
      <c r="H1957" s="34" t="str">
        <f aca="false">IF(F1957=1,G1957,"")</f>
        <v/>
      </c>
    </row>
    <row r="1958" customFormat="false" ht="15" hidden="false" customHeight="false" outlineLevel="0" collapsed="false">
      <c r="A1958" s="31" t="n">
        <v>42817.5</v>
      </c>
      <c r="B1958" s="32" t="n">
        <v>263.289</v>
      </c>
      <c r="D1958" s="33" t="n">
        <f aca="false">WEEKDAY(A1958,2)</f>
        <v>4</v>
      </c>
      <c r="E1958" s="33" t="n">
        <f aca="false">HOUR(A1958)+MINUTE(A1958)/60</f>
        <v>12</v>
      </c>
      <c r="F1958" s="33" t="n">
        <f aca="false">IF(OR(D1958&gt;5,E1958&lt;8,E1958&gt;=18,COUNTIF($K$2:$K$10,INT(A1958))&gt;0),1,0)</f>
        <v>0</v>
      </c>
      <c r="G1958" s="34" t="n">
        <f aca="false">B1958/1</f>
        <v>263.289</v>
      </c>
      <c r="H1958" s="34" t="str">
        <f aca="false">IF(F1958=1,G1958,"")</f>
        <v/>
      </c>
    </row>
    <row r="1959" customFormat="false" ht="15" hidden="false" customHeight="false" outlineLevel="0" collapsed="false">
      <c r="A1959" s="31" t="n">
        <v>42817.5416666667</v>
      </c>
      <c r="B1959" s="32" t="n">
        <v>268.897</v>
      </c>
      <c r="D1959" s="33" t="n">
        <f aca="false">WEEKDAY(A1959,2)</f>
        <v>4</v>
      </c>
      <c r="E1959" s="33" t="n">
        <f aca="false">HOUR(A1959)+MINUTE(A1959)/60</f>
        <v>13</v>
      </c>
      <c r="F1959" s="33" t="n">
        <f aca="false">IF(OR(D1959&gt;5,E1959&lt;8,E1959&gt;=18,COUNTIF($K$2:$K$10,INT(A1959))&gt;0),1,0)</f>
        <v>0</v>
      </c>
      <c r="G1959" s="34" t="n">
        <f aca="false">B1959/1</f>
        <v>268.897</v>
      </c>
      <c r="H1959" s="34" t="str">
        <f aca="false">IF(F1959=1,G1959,"")</f>
        <v/>
      </c>
    </row>
    <row r="1960" customFormat="false" ht="15" hidden="false" customHeight="false" outlineLevel="0" collapsed="false">
      <c r="A1960" s="31" t="n">
        <v>42817.5833333333</v>
      </c>
      <c r="B1960" s="32" t="n">
        <v>284.038</v>
      </c>
      <c r="D1960" s="33" t="n">
        <f aca="false">WEEKDAY(A1960,2)</f>
        <v>4</v>
      </c>
      <c r="E1960" s="33" t="n">
        <f aca="false">HOUR(A1960)+MINUTE(A1960)/60</f>
        <v>14</v>
      </c>
      <c r="F1960" s="33" t="n">
        <f aca="false">IF(OR(D1960&gt;5,E1960&lt;8,E1960&gt;=18,COUNTIF($K$2:$K$10,INT(A1960))&gt;0),1,0)</f>
        <v>0</v>
      </c>
      <c r="G1960" s="34" t="n">
        <f aca="false">B1960/1</f>
        <v>284.038</v>
      </c>
      <c r="H1960" s="34" t="str">
        <f aca="false">IF(F1960=1,G1960,"")</f>
        <v/>
      </c>
    </row>
    <row r="1961" customFormat="false" ht="15" hidden="false" customHeight="false" outlineLevel="0" collapsed="false">
      <c r="A1961" s="31" t="n">
        <v>42817.625</v>
      </c>
      <c r="B1961" s="32" t="n">
        <v>277.286</v>
      </c>
      <c r="D1961" s="33" t="n">
        <f aca="false">WEEKDAY(A1961,2)</f>
        <v>4</v>
      </c>
      <c r="E1961" s="33" t="n">
        <f aca="false">HOUR(A1961)+MINUTE(A1961)/60</f>
        <v>15</v>
      </c>
      <c r="F1961" s="33" t="n">
        <f aca="false">IF(OR(D1961&gt;5,E1961&lt;8,E1961&gt;=18,COUNTIF($K$2:$K$10,INT(A1961))&gt;0),1,0)</f>
        <v>0</v>
      </c>
      <c r="G1961" s="34" t="n">
        <f aca="false">B1961/1</f>
        <v>277.286</v>
      </c>
      <c r="H1961" s="34" t="str">
        <f aca="false">IF(F1961=1,G1961,"")</f>
        <v/>
      </c>
    </row>
    <row r="1962" customFormat="false" ht="15" hidden="false" customHeight="false" outlineLevel="0" collapsed="false">
      <c r="A1962" s="31" t="n">
        <v>42817.6666666667</v>
      </c>
      <c r="B1962" s="32" t="n">
        <v>254.774</v>
      </c>
      <c r="D1962" s="33" t="n">
        <f aca="false">WEEKDAY(A1962,2)</f>
        <v>4</v>
      </c>
      <c r="E1962" s="33" t="n">
        <f aca="false">HOUR(A1962)+MINUTE(A1962)/60</f>
        <v>16</v>
      </c>
      <c r="F1962" s="33" t="n">
        <f aca="false">IF(OR(D1962&gt;5,E1962&lt;8,E1962&gt;=18,COUNTIF($K$2:$K$10,INT(A1962))&gt;0),1,0)</f>
        <v>0</v>
      </c>
      <c r="G1962" s="34" t="n">
        <f aca="false">B1962/1</f>
        <v>254.774</v>
      </c>
      <c r="H1962" s="34" t="str">
        <f aca="false">IF(F1962=1,G1962,"")</f>
        <v/>
      </c>
    </row>
    <row r="1963" customFormat="false" ht="15" hidden="false" customHeight="false" outlineLevel="0" collapsed="false">
      <c r="A1963" s="31" t="n">
        <v>42817.7083333333</v>
      </c>
      <c r="B1963" s="32" t="n">
        <v>237.392</v>
      </c>
      <c r="D1963" s="33" t="n">
        <f aca="false">WEEKDAY(A1963,2)</f>
        <v>4</v>
      </c>
      <c r="E1963" s="33" t="n">
        <f aca="false">HOUR(A1963)+MINUTE(A1963)/60</f>
        <v>17</v>
      </c>
      <c r="F1963" s="33" t="n">
        <f aca="false">IF(OR(D1963&gt;5,E1963&lt;8,E1963&gt;=18,COUNTIF($K$2:$K$10,INT(A1963))&gt;0),1,0)</f>
        <v>0</v>
      </c>
      <c r="G1963" s="34" t="n">
        <f aca="false">B1963/1</f>
        <v>237.392</v>
      </c>
      <c r="H1963" s="34" t="str">
        <f aca="false">IF(F1963=1,G1963,"")</f>
        <v/>
      </c>
    </row>
    <row r="1964" customFormat="false" ht="15" hidden="false" customHeight="false" outlineLevel="0" collapsed="false">
      <c r="A1964" s="31" t="n">
        <v>42817.75</v>
      </c>
      <c r="B1964" s="32" t="n">
        <v>217.077</v>
      </c>
      <c r="D1964" s="33" t="n">
        <f aca="false">WEEKDAY(A1964,2)</f>
        <v>4</v>
      </c>
      <c r="E1964" s="33" t="n">
        <f aca="false">HOUR(A1964)+MINUTE(A1964)/60</f>
        <v>18</v>
      </c>
      <c r="F1964" s="33" t="n">
        <f aca="false">IF(OR(D1964&gt;5,E1964&lt;8,E1964&gt;=18,COUNTIF($K$2:$K$10,INT(A1964))&gt;0),1,0)</f>
        <v>1</v>
      </c>
      <c r="G1964" s="34" t="n">
        <f aca="false">B1964/1</f>
        <v>217.077</v>
      </c>
      <c r="H1964" s="34" t="n">
        <f aca="false">IF(F1964=1,G1964,"")</f>
        <v>217.077</v>
      </c>
    </row>
    <row r="1965" customFormat="false" ht="15" hidden="false" customHeight="false" outlineLevel="0" collapsed="false">
      <c r="A1965" s="31" t="n">
        <v>42817.7916666667</v>
      </c>
      <c r="B1965" s="32" t="n">
        <v>213.721</v>
      </c>
      <c r="D1965" s="33" t="n">
        <f aca="false">WEEKDAY(A1965,2)</f>
        <v>4</v>
      </c>
      <c r="E1965" s="33" t="n">
        <f aca="false">HOUR(A1965)+MINUTE(A1965)/60</f>
        <v>19</v>
      </c>
      <c r="F1965" s="33" t="n">
        <f aca="false">IF(OR(D1965&gt;5,E1965&lt;8,E1965&gt;=18,COUNTIF($K$2:$K$10,INT(A1965))&gt;0),1,0)</f>
        <v>1</v>
      </c>
      <c r="G1965" s="34" t="n">
        <f aca="false">B1965/1</f>
        <v>213.721</v>
      </c>
      <c r="H1965" s="34" t="n">
        <f aca="false">IF(F1965=1,G1965,"")</f>
        <v>213.721</v>
      </c>
    </row>
    <row r="1966" customFormat="false" ht="15" hidden="false" customHeight="false" outlineLevel="0" collapsed="false">
      <c r="A1966" s="31" t="n">
        <v>42817.8333333333</v>
      </c>
      <c r="B1966" s="32" t="n">
        <v>211.574</v>
      </c>
      <c r="D1966" s="33" t="n">
        <f aca="false">WEEKDAY(A1966,2)</f>
        <v>4</v>
      </c>
      <c r="E1966" s="33" t="n">
        <f aca="false">HOUR(A1966)+MINUTE(A1966)/60</f>
        <v>20</v>
      </c>
      <c r="F1966" s="33" t="n">
        <f aca="false">IF(OR(D1966&gt;5,E1966&lt;8,E1966&gt;=18,COUNTIF($K$2:$K$10,INT(A1966))&gt;0),1,0)</f>
        <v>1</v>
      </c>
      <c r="G1966" s="34" t="n">
        <f aca="false">B1966/1</f>
        <v>211.574</v>
      </c>
      <c r="H1966" s="34" t="n">
        <f aca="false">IF(F1966=1,G1966,"")</f>
        <v>211.574</v>
      </c>
    </row>
    <row r="1967" customFormat="false" ht="15" hidden="false" customHeight="false" outlineLevel="0" collapsed="false">
      <c r="A1967" s="31" t="n">
        <v>42817.875</v>
      </c>
      <c r="B1967" s="32" t="n">
        <v>201.957</v>
      </c>
      <c r="D1967" s="33" t="n">
        <f aca="false">WEEKDAY(A1967,2)</f>
        <v>4</v>
      </c>
      <c r="E1967" s="33" t="n">
        <f aca="false">HOUR(A1967)+MINUTE(A1967)/60</f>
        <v>21</v>
      </c>
      <c r="F1967" s="33" t="n">
        <f aca="false">IF(OR(D1967&gt;5,E1967&lt;8,E1967&gt;=18,COUNTIF($K$2:$K$10,INT(A1967))&gt;0),1,0)</f>
        <v>1</v>
      </c>
      <c r="G1967" s="34" t="n">
        <f aca="false">B1967/1</f>
        <v>201.957</v>
      </c>
      <c r="H1967" s="34" t="n">
        <f aca="false">IF(F1967=1,G1967,"")</f>
        <v>201.957</v>
      </c>
    </row>
    <row r="1968" customFormat="false" ht="15" hidden="false" customHeight="false" outlineLevel="0" collapsed="false">
      <c r="A1968" s="31" t="n">
        <v>42817.9166666667</v>
      </c>
      <c r="B1968" s="32" t="n">
        <v>133.963</v>
      </c>
      <c r="D1968" s="33" t="n">
        <f aca="false">WEEKDAY(A1968,2)</f>
        <v>4</v>
      </c>
      <c r="E1968" s="33" t="n">
        <f aca="false">HOUR(A1968)+MINUTE(A1968)/60</f>
        <v>22</v>
      </c>
      <c r="F1968" s="33" t="n">
        <f aca="false">IF(OR(D1968&gt;5,E1968&lt;8,E1968&gt;=18,COUNTIF($K$2:$K$10,INT(A1968))&gt;0),1,0)</f>
        <v>1</v>
      </c>
      <c r="G1968" s="34" t="n">
        <f aca="false">B1968/1</f>
        <v>133.963</v>
      </c>
      <c r="H1968" s="34" t="n">
        <f aca="false">IF(F1968=1,G1968,"")</f>
        <v>133.963</v>
      </c>
    </row>
    <row r="1969" customFormat="false" ht="15" hidden="false" customHeight="false" outlineLevel="0" collapsed="false">
      <c r="A1969" s="31" t="n">
        <v>42817.9583333333</v>
      </c>
      <c r="B1969" s="32" t="n">
        <v>66.611</v>
      </c>
      <c r="D1969" s="33" t="n">
        <f aca="false">WEEKDAY(A1969,2)</f>
        <v>4</v>
      </c>
      <c r="E1969" s="33" t="n">
        <f aca="false">HOUR(A1969)+MINUTE(A1969)/60</f>
        <v>23</v>
      </c>
      <c r="F1969" s="33" t="n">
        <f aca="false">IF(OR(D1969&gt;5,E1969&lt;8,E1969&gt;=18,COUNTIF($K$2:$K$10,INT(A1969))&gt;0),1,0)</f>
        <v>1</v>
      </c>
      <c r="G1969" s="34" t="n">
        <f aca="false">B1969/1</f>
        <v>66.611</v>
      </c>
      <c r="H1969" s="34" t="n">
        <f aca="false">IF(F1969=1,G1969,"")</f>
        <v>66.611</v>
      </c>
    </row>
    <row r="1970" customFormat="false" ht="15" hidden="false" customHeight="false" outlineLevel="0" collapsed="false">
      <c r="A1970" s="31" t="n">
        <v>42818</v>
      </c>
      <c r="B1970" s="32" t="n">
        <v>63.714</v>
      </c>
      <c r="D1970" s="33" t="n">
        <f aca="false">WEEKDAY(A1970,2)</f>
        <v>5</v>
      </c>
      <c r="E1970" s="33" t="n">
        <f aca="false">HOUR(A1970)+MINUTE(A1970)/60</f>
        <v>0</v>
      </c>
      <c r="F1970" s="33" t="n">
        <f aca="false">IF(OR(D1970&gt;5,E1970&lt;8,E1970&gt;=18,COUNTIF($K$2:$K$10,INT(A1970))&gt;0),1,0)</f>
        <v>1</v>
      </c>
      <c r="G1970" s="34" t="n">
        <f aca="false">B1970/1</f>
        <v>63.714</v>
      </c>
      <c r="H1970" s="34" t="n">
        <f aca="false">IF(F1970=1,G1970,"")</f>
        <v>63.714</v>
      </c>
    </row>
    <row r="1971" customFormat="false" ht="15" hidden="false" customHeight="false" outlineLevel="0" collapsed="false">
      <c r="A1971" s="31" t="n">
        <v>42818.0416666667</v>
      </c>
      <c r="B1971" s="32" t="n">
        <v>62.737</v>
      </c>
      <c r="D1971" s="33" t="n">
        <f aca="false">WEEKDAY(A1971,2)</f>
        <v>5</v>
      </c>
      <c r="E1971" s="33" t="n">
        <f aca="false">HOUR(A1971)+MINUTE(A1971)/60</f>
        <v>1</v>
      </c>
      <c r="F1971" s="33" t="n">
        <f aca="false">IF(OR(D1971&gt;5,E1971&lt;8,E1971&gt;=18,COUNTIF($K$2:$K$10,INT(A1971))&gt;0),1,0)</f>
        <v>1</v>
      </c>
      <c r="G1971" s="34" t="n">
        <f aca="false">B1971/1</f>
        <v>62.737</v>
      </c>
      <c r="H1971" s="34" t="n">
        <f aca="false">IF(F1971=1,G1971,"")</f>
        <v>62.737</v>
      </c>
    </row>
    <row r="1972" customFormat="false" ht="15" hidden="false" customHeight="false" outlineLevel="0" collapsed="false">
      <c r="A1972" s="31" t="n">
        <v>42818.0833333333</v>
      </c>
      <c r="B1972" s="32" t="n">
        <v>57.657</v>
      </c>
      <c r="D1972" s="33" t="n">
        <f aca="false">WEEKDAY(A1972,2)</f>
        <v>5</v>
      </c>
      <c r="E1972" s="33" t="n">
        <f aca="false">HOUR(A1972)+MINUTE(A1972)/60</f>
        <v>2</v>
      </c>
      <c r="F1972" s="33" t="n">
        <f aca="false">IF(OR(D1972&gt;5,E1972&lt;8,E1972&gt;=18,COUNTIF($K$2:$K$10,INT(A1972))&gt;0),1,0)</f>
        <v>1</v>
      </c>
      <c r="G1972" s="34" t="n">
        <f aca="false">B1972/1</f>
        <v>57.657</v>
      </c>
      <c r="H1972" s="34" t="n">
        <f aca="false">IF(F1972=1,G1972,"")</f>
        <v>57.657</v>
      </c>
    </row>
    <row r="1973" customFormat="false" ht="15" hidden="false" customHeight="false" outlineLevel="0" collapsed="false">
      <c r="A1973" s="31" t="n">
        <v>42818.125</v>
      </c>
      <c r="B1973" s="32" t="n">
        <v>55.268</v>
      </c>
      <c r="D1973" s="33" t="n">
        <f aca="false">WEEKDAY(A1973,2)</f>
        <v>5</v>
      </c>
      <c r="E1973" s="33" t="n">
        <f aca="false">HOUR(A1973)+MINUTE(A1973)/60</f>
        <v>3</v>
      </c>
      <c r="F1973" s="33" t="n">
        <f aca="false">IF(OR(D1973&gt;5,E1973&lt;8,E1973&gt;=18,COUNTIF($K$2:$K$10,INT(A1973))&gt;0),1,0)</f>
        <v>1</v>
      </c>
      <c r="G1973" s="34" t="n">
        <f aca="false">B1973/1</f>
        <v>55.268</v>
      </c>
      <c r="H1973" s="34" t="n">
        <f aca="false">IF(F1973=1,G1973,"")</f>
        <v>55.268</v>
      </c>
    </row>
    <row r="1974" customFormat="false" ht="15" hidden="false" customHeight="false" outlineLevel="0" collapsed="false">
      <c r="A1974" s="31" t="n">
        <v>42818.1666666667</v>
      </c>
      <c r="B1974" s="32" t="n">
        <v>55.773</v>
      </c>
      <c r="D1974" s="33" t="n">
        <f aca="false">WEEKDAY(A1974,2)</f>
        <v>5</v>
      </c>
      <c r="E1974" s="33" t="n">
        <f aca="false">HOUR(A1974)+MINUTE(A1974)/60</f>
        <v>4</v>
      </c>
      <c r="F1974" s="33" t="n">
        <f aca="false">IF(OR(D1974&gt;5,E1974&lt;8,E1974&gt;=18,COUNTIF($K$2:$K$10,INT(A1974))&gt;0),1,0)</f>
        <v>1</v>
      </c>
      <c r="G1974" s="34" t="n">
        <f aca="false">B1974/1</f>
        <v>55.773</v>
      </c>
      <c r="H1974" s="34" t="n">
        <f aca="false">IF(F1974=1,G1974,"")</f>
        <v>55.773</v>
      </c>
    </row>
    <row r="1975" customFormat="false" ht="15" hidden="false" customHeight="false" outlineLevel="0" collapsed="false">
      <c r="A1975" s="31" t="n">
        <v>42818.2083333333</v>
      </c>
      <c r="B1975" s="32" t="n">
        <v>59.01</v>
      </c>
      <c r="D1975" s="33" t="n">
        <f aca="false">WEEKDAY(A1975,2)</f>
        <v>5</v>
      </c>
      <c r="E1975" s="33" t="n">
        <f aca="false">HOUR(A1975)+MINUTE(A1975)/60</f>
        <v>5</v>
      </c>
      <c r="F1975" s="33" t="n">
        <f aca="false">IF(OR(D1975&gt;5,E1975&lt;8,E1975&gt;=18,COUNTIF($K$2:$K$10,INT(A1975))&gt;0),1,0)</f>
        <v>1</v>
      </c>
      <c r="G1975" s="34" t="n">
        <f aca="false">B1975/1</f>
        <v>59.01</v>
      </c>
      <c r="H1975" s="34" t="n">
        <f aca="false">IF(F1975=1,G1975,"")</f>
        <v>59.01</v>
      </c>
    </row>
    <row r="1976" customFormat="false" ht="15" hidden="false" customHeight="false" outlineLevel="0" collapsed="false">
      <c r="A1976" s="31" t="n">
        <v>42818.25</v>
      </c>
      <c r="B1976" s="32" t="n">
        <v>55.672</v>
      </c>
      <c r="D1976" s="33" t="n">
        <f aca="false">WEEKDAY(A1976,2)</f>
        <v>5</v>
      </c>
      <c r="E1976" s="33" t="n">
        <f aca="false">HOUR(A1976)+MINUTE(A1976)/60</f>
        <v>6</v>
      </c>
      <c r="F1976" s="33" t="n">
        <f aca="false">IF(OR(D1976&gt;5,E1976&lt;8,E1976&gt;=18,COUNTIF($K$2:$K$10,INT(A1976))&gt;0),1,0)</f>
        <v>1</v>
      </c>
      <c r="G1976" s="34" t="n">
        <f aca="false">B1976/1</f>
        <v>55.672</v>
      </c>
      <c r="H1976" s="34" t="n">
        <f aca="false">IF(F1976=1,G1976,"")</f>
        <v>55.672</v>
      </c>
    </row>
    <row r="1977" customFormat="false" ht="15" hidden="false" customHeight="false" outlineLevel="0" collapsed="false">
      <c r="A1977" s="31" t="n">
        <v>42818.2916666667</v>
      </c>
      <c r="B1977" s="32" t="n">
        <v>60.924</v>
      </c>
      <c r="D1977" s="33" t="n">
        <f aca="false">WEEKDAY(A1977,2)</f>
        <v>5</v>
      </c>
      <c r="E1977" s="33" t="n">
        <f aca="false">HOUR(A1977)+MINUTE(A1977)/60</f>
        <v>7</v>
      </c>
      <c r="F1977" s="33" t="n">
        <f aca="false">IF(OR(D1977&gt;5,E1977&lt;8,E1977&gt;=18,COUNTIF($K$2:$K$10,INT(A1977))&gt;0),1,0)</f>
        <v>1</v>
      </c>
      <c r="G1977" s="34" t="n">
        <f aca="false">B1977/1</f>
        <v>60.924</v>
      </c>
      <c r="H1977" s="34" t="n">
        <f aca="false">IF(F1977=1,G1977,"")</f>
        <v>60.924</v>
      </c>
    </row>
    <row r="1978" customFormat="false" ht="15" hidden="false" customHeight="false" outlineLevel="0" collapsed="false">
      <c r="A1978" s="31" t="n">
        <v>42818.3333333333</v>
      </c>
      <c r="B1978" s="32" t="n">
        <v>172.184</v>
      </c>
      <c r="D1978" s="33" t="n">
        <f aca="false">WEEKDAY(A1978,2)</f>
        <v>5</v>
      </c>
      <c r="E1978" s="33" t="n">
        <f aca="false">HOUR(A1978)+MINUTE(A1978)/60</f>
        <v>8</v>
      </c>
      <c r="F1978" s="33" t="n">
        <f aca="false">IF(OR(D1978&gt;5,E1978&lt;8,E1978&gt;=18,COUNTIF($K$2:$K$10,INT(A1978))&gt;0),1,0)</f>
        <v>0</v>
      </c>
      <c r="G1978" s="34" t="n">
        <f aca="false">B1978/1</f>
        <v>172.184</v>
      </c>
      <c r="H1978" s="34" t="str">
        <f aca="false">IF(F1978=1,G1978,"")</f>
        <v/>
      </c>
    </row>
    <row r="1979" customFormat="false" ht="15" hidden="false" customHeight="false" outlineLevel="0" collapsed="false">
      <c r="A1979" s="31" t="n">
        <v>42818.375</v>
      </c>
      <c r="B1979" s="32" t="n">
        <v>197.871</v>
      </c>
      <c r="D1979" s="33" t="n">
        <f aca="false">WEEKDAY(A1979,2)</f>
        <v>5</v>
      </c>
      <c r="E1979" s="33" t="n">
        <f aca="false">HOUR(A1979)+MINUTE(A1979)/60</f>
        <v>9</v>
      </c>
      <c r="F1979" s="33" t="n">
        <f aca="false">IF(OR(D1979&gt;5,E1979&lt;8,E1979&gt;=18,COUNTIF($K$2:$K$10,INT(A1979))&gt;0),1,0)</f>
        <v>0</v>
      </c>
      <c r="G1979" s="34" t="n">
        <f aca="false">B1979/1</f>
        <v>197.871</v>
      </c>
      <c r="H1979" s="34" t="str">
        <f aca="false">IF(F1979=1,G1979,"")</f>
        <v/>
      </c>
    </row>
    <row r="1980" customFormat="false" ht="15" hidden="false" customHeight="false" outlineLevel="0" collapsed="false">
      <c r="A1980" s="31" t="n">
        <v>42818.4166666667</v>
      </c>
      <c r="B1980" s="32" t="n">
        <v>211.458</v>
      </c>
      <c r="D1980" s="33" t="n">
        <f aca="false">WEEKDAY(A1980,2)</f>
        <v>5</v>
      </c>
      <c r="E1980" s="33" t="n">
        <f aca="false">HOUR(A1980)+MINUTE(A1980)/60</f>
        <v>10</v>
      </c>
      <c r="F1980" s="33" t="n">
        <f aca="false">IF(OR(D1980&gt;5,E1980&lt;8,E1980&gt;=18,COUNTIF($K$2:$K$10,INT(A1980))&gt;0),1,0)</f>
        <v>0</v>
      </c>
      <c r="G1980" s="34" t="n">
        <f aca="false">B1980/1</f>
        <v>211.458</v>
      </c>
      <c r="H1980" s="34" t="str">
        <f aca="false">IF(F1980=1,G1980,"")</f>
        <v/>
      </c>
    </row>
    <row r="1981" customFormat="false" ht="15" hidden="false" customHeight="false" outlineLevel="0" collapsed="false">
      <c r="A1981" s="31" t="n">
        <v>42818.4583333333</v>
      </c>
      <c r="B1981" s="32" t="n">
        <v>236.787</v>
      </c>
      <c r="D1981" s="33" t="n">
        <f aca="false">WEEKDAY(A1981,2)</f>
        <v>5</v>
      </c>
      <c r="E1981" s="33" t="n">
        <f aca="false">HOUR(A1981)+MINUTE(A1981)/60</f>
        <v>11</v>
      </c>
      <c r="F1981" s="33" t="n">
        <f aca="false">IF(OR(D1981&gt;5,E1981&lt;8,E1981&gt;=18,COUNTIF($K$2:$K$10,INT(A1981))&gt;0),1,0)</f>
        <v>0</v>
      </c>
      <c r="G1981" s="34" t="n">
        <f aca="false">B1981/1</f>
        <v>236.787</v>
      </c>
      <c r="H1981" s="34" t="str">
        <f aca="false">IF(F1981=1,G1981,"")</f>
        <v/>
      </c>
    </row>
    <row r="1982" customFormat="false" ht="15" hidden="false" customHeight="false" outlineLevel="0" collapsed="false">
      <c r="A1982" s="31" t="n">
        <v>42818.5</v>
      </c>
      <c r="B1982" s="32" t="n">
        <v>251.741</v>
      </c>
      <c r="D1982" s="33" t="n">
        <f aca="false">WEEKDAY(A1982,2)</f>
        <v>5</v>
      </c>
      <c r="E1982" s="33" t="n">
        <f aca="false">HOUR(A1982)+MINUTE(A1982)/60</f>
        <v>12</v>
      </c>
      <c r="F1982" s="33" t="n">
        <f aca="false">IF(OR(D1982&gt;5,E1982&lt;8,E1982&gt;=18,COUNTIF($K$2:$K$10,INT(A1982))&gt;0),1,0)</f>
        <v>0</v>
      </c>
      <c r="G1982" s="34" t="n">
        <f aca="false">B1982/1</f>
        <v>251.741</v>
      </c>
      <c r="H1982" s="34" t="str">
        <f aca="false">IF(F1982=1,G1982,"")</f>
        <v/>
      </c>
    </row>
    <row r="1983" customFormat="false" ht="15" hidden="false" customHeight="false" outlineLevel="0" collapsed="false">
      <c r="A1983" s="31" t="n">
        <v>42818.5416666667</v>
      </c>
      <c r="B1983" s="32" t="n">
        <v>231.506</v>
      </c>
      <c r="D1983" s="33" t="n">
        <f aca="false">WEEKDAY(A1983,2)</f>
        <v>5</v>
      </c>
      <c r="E1983" s="33" t="n">
        <f aca="false">HOUR(A1983)+MINUTE(A1983)/60</f>
        <v>13</v>
      </c>
      <c r="F1983" s="33" t="n">
        <f aca="false">IF(OR(D1983&gt;5,E1983&lt;8,E1983&gt;=18,COUNTIF($K$2:$K$10,INT(A1983))&gt;0),1,0)</f>
        <v>0</v>
      </c>
      <c r="G1983" s="34" t="n">
        <f aca="false">B1983/1</f>
        <v>231.506</v>
      </c>
      <c r="H1983" s="34" t="str">
        <f aca="false">IF(F1983=1,G1983,"")</f>
        <v/>
      </c>
    </row>
    <row r="1984" customFormat="false" ht="15" hidden="false" customHeight="false" outlineLevel="0" collapsed="false">
      <c r="A1984" s="31" t="n">
        <v>42818.5833333333</v>
      </c>
      <c r="B1984" s="32" t="n">
        <v>227.103</v>
      </c>
      <c r="D1984" s="33" t="n">
        <f aca="false">WEEKDAY(A1984,2)</f>
        <v>5</v>
      </c>
      <c r="E1984" s="33" t="n">
        <f aca="false">HOUR(A1984)+MINUTE(A1984)/60</f>
        <v>14</v>
      </c>
      <c r="F1984" s="33" t="n">
        <f aca="false">IF(OR(D1984&gt;5,E1984&lt;8,E1984&gt;=18,COUNTIF($K$2:$K$10,INT(A1984))&gt;0),1,0)</f>
        <v>0</v>
      </c>
      <c r="G1984" s="34" t="n">
        <f aca="false">B1984/1</f>
        <v>227.103</v>
      </c>
      <c r="H1984" s="34" t="str">
        <f aca="false">IF(F1984=1,G1984,"")</f>
        <v/>
      </c>
    </row>
    <row r="1985" customFormat="false" ht="15" hidden="false" customHeight="false" outlineLevel="0" collapsed="false">
      <c r="A1985" s="31" t="n">
        <v>42818.625</v>
      </c>
      <c r="B1985" s="32" t="n">
        <v>223.34</v>
      </c>
      <c r="D1985" s="33" t="n">
        <f aca="false">WEEKDAY(A1985,2)</f>
        <v>5</v>
      </c>
      <c r="E1985" s="33" t="n">
        <f aca="false">HOUR(A1985)+MINUTE(A1985)/60</f>
        <v>15</v>
      </c>
      <c r="F1985" s="33" t="n">
        <f aca="false">IF(OR(D1985&gt;5,E1985&lt;8,E1985&gt;=18,COUNTIF($K$2:$K$10,INT(A1985))&gt;0),1,0)</f>
        <v>0</v>
      </c>
      <c r="G1985" s="34" t="n">
        <f aca="false">B1985/1</f>
        <v>223.34</v>
      </c>
      <c r="H1985" s="34" t="str">
        <f aca="false">IF(F1985=1,G1985,"")</f>
        <v/>
      </c>
    </row>
    <row r="1986" customFormat="false" ht="15" hidden="false" customHeight="false" outlineLevel="0" collapsed="false">
      <c r="A1986" s="31" t="n">
        <v>42818.6666666667</v>
      </c>
      <c r="B1986" s="32" t="n">
        <v>217.77</v>
      </c>
      <c r="D1986" s="33" t="n">
        <f aca="false">WEEKDAY(A1986,2)</f>
        <v>5</v>
      </c>
      <c r="E1986" s="33" t="n">
        <f aca="false">HOUR(A1986)+MINUTE(A1986)/60</f>
        <v>16</v>
      </c>
      <c r="F1986" s="33" t="n">
        <f aca="false">IF(OR(D1986&gt;5,E1986&lt;8,E1986&gt;=18,COUNTIF($K$2:$K$10,INT(A1986))&gt;0),1,0)</f>
        <v>0</v>
      </c>
      <c r="G1986" s="34" t="n">
        <f aca="false">B1986/1</f>
        <v>217.77</v>
      </c>
      <c r="H1986" s="34" t="str">
        <f aca="false">IF(F1986=1,G1986,"")</f>
        <v/>
      </c>
    </row>
    <row r="1987" customFormat="false" ht="15" hidden="false" customHeight="false" outlineLevel="0" collapsed="false">
      <c r="A1987" s="31" t="n">
        <v>42818.7083333333</v>
      </c>
      <c r="B1987" s="32" t="n">
        <v>209.005</v>
      </c>
      <c r="D1987" s="33" t="n">
        <f aca="false">WEEKDAY(A1987,2)</f>
        <v>5</v>
      </c>
      <c r="E1987" s="33" t="n">
        <f aca="false">HOUR(A1987)+MINUTE(A1987)/60</f>
        <v>17</v>
      </c>
      <c r="F1987" s="33" t="n">
        <f aca="false">IF(OR(D1987&gt;5,E1987&lt;8,E1987&gt;=18,COUNTIF($K$2:$K$10,INT(A1987))&gt;0),1,0)</f>
        <v>0</v>
      </c>
      <c r="G1987" s="34" t="n">
        <f aca="false">B1987/1</f>
        <v>209.005</v>
      </c>
      <c r="H1987" s="34" t="str">
        <f aca="false">IF(F1987=1,G1987,"")</f>
        <v/>
      </c>
    </row>
    <row r="1988" customFormat="false" ht="15" hidden="false" customHeight="false" outlineLevel="0" collapsed="false">
      <c r="A1988" s="31" t="n">
        <v>42818.75</v>
      </c>
      <c r="B1988" s="32" t="n">
        <v>189.921</v>
      </c>
      <c r="D1988" s="33" t="n">
        <f aca="false">WEEKDAY(A1988,2)</f>
        <v>5</v>
      </c>
      <c r="E1988" s="33" t="n">
        <f aca="false">HOUR(A1988)+MINUTE(A1988)/60</f>
        <v>18</v>
      </c>
      <c r="F1988" s="33" t="n">
        <f aca="false">IF(OR(D1988&gt;5,E1988&lt;8,E1988&gt;=18,COUNTIF($K$2:$K$10,INT(A1988))&gt;0),1,0)</f>
        <v>1</v>
      </c>
      <c r="G1988" s="34" t="n">
        <f aca="false">B1988/1</f>
        <v>189.921</v>
      </c>
      <c r="H1988" s="34" t="n">
        <f aca="false">IF(F1988=1,G1988,"")</f>
        <v>189.921</v>
      </c>
    </row>
    <row r="1989" customFormat="false" ht="15" hidden="false" customHeight="false" outlineLevel="0" collapsed="false">
      <c r="A1989" s="31" t="n">
        <v>42818.7916666667</v>
      </c>
      <c r="B1989" s="32" t="n">
        <v>179.222</v>
      </c>
      <c r="D1989" s="33" t="n">
        <f aca="false">WEEKDAY(A1989,2)</f>
        <v>5</v>
      </c>
      <c r="E1989" s="33" t="n">
        <f aca="false">HOUR(A1989)+MINUTE(A1989)/60</f>
        <v>19</v>
      </c>
      <c r="F1989" s="33" t="n">
        <f aca="false">IF(OR(D1989&gt;5,E1989&lt;8,E1989&gt;=18,COUNTIF($K$2:$K$10,INT(A1989))&gt;0),1,0)</f>
        <v>1</v>
      </c>
      <c r="G1989" s="34" t="n">
        <f aca="false">B1989/1</f>
        <v>179.222</v>
      </c>
      <c r="H1989" s="34" t="n">
        <f aca="false">IF(F1989=1,G1989,"")</f>
        <v>179.222</v>
      </c>
    </row>
    <row r="1990" customFormat="false" ht="15" hidden="false" customHeight="false" outlineLevel="0" collapsed="false">
      <c r="A1990" s="31" t="n">
        <v>42818.8333333333</v>
      </c>
      <c r="B1990" s="32" t="n">
        <v>182.252</v>
      </c>
      <c r="D1990" s="33" t="n">
        <f aca="false">WEEKDAY(A1990,2)</f>
        <v>5</v>
      </c>
      <c r="E1990" s="33" t="n">
        <f aca="false">HOUR(A1990)+MINUTE(A1990)/60</f>
        <v>20</v>
      </c>
      <c r="F1990" s="33" t="n">
        <f aca="false">IF(OR(D1990&gt;5,E1990&lt;8,E1990&gt;=18,COUNTIF($K$2:$K$10,INT(A1990))&gt;0),1,0)</f>
        <v>1</v>
      </c>
      <c r="G1990" s="34" t="n">
        <f aca="false">B1990/1</f>
        <v>182.252</v>
      </c>
      <c r="H1990" s="34" t="n">
        <f aca="false">IF(F1990=1,G1990,"")</f>
        <v>182.252</v>
      </c>
    </row>
    <row r="1991" customFormat="false" ht="15" hidden="false" customHeight="false" outlineLevel="0" collapsed="false">
      <c r="A1991" s="31" t="n">
        <v>42818.875</v>
      </c>
      <c r="B1991" s="32" t="n">
        <v>180.415</v>
      </c>
      <c r="D1991" s="33" t="n">
        <f aca="false">WEEKDAY(A1991,2)</f>
        <v>5</v>
      </c>
      <c r="E1991" s="33" t="n">
        <f aca="false">HOUR(A1991)+MINUTE(A1991)/60</f>
        <v>21</v>
      </c>
      <c r="F1991" s="33" t="n">
        <f aca="false">IF(OR(D1991&gt;5,E1991&lt;8,E1991&gt;=18,COUNTIF($K$2:$K$10,INT(A1991))&gt;0),1,0)</f>
        <v>1</v>
      </c>
      <c r="G1991" s="34" t="n">
        <f aca="false">B1991/1</f>
        <v>180.415</v>
      </c>
      <c r="H1991" s="34" t="n">
        <f aca="false">IF(F1991=1,G1991,"")</f>
        <v>180.415</v>
      </c>
    </row>
    <row r="1992" customFormat="false" ht="15" hidden="false" customHeight="false" outlineLevel="0" collapsed="false">
      <c r="A1992" s="31" t="n">
        <v>42818.9166666667</v>
      </c>
      <c r="B1992" s="32" t="n">
        <v>125.759</v>
      </c>
      <c r="D1992" s="33" t="n">
        <f aca="false">WEEKDAY(A1992,2)</f>
        <v>5</v>
      </c>
      <c r="E1992" s="33" t="n">
        <f aca="false">HOUR(A1992)+MINUTE(A1992)/60</f>
        <v>22</v>
      </c>
      <c r="F1992" s="33" t="n">
        <f aca="false">IF(OR(D1992&gt;5,E1992&lt;8,E1992&gt;=18,COUNTIF($K$2:$K$10,INT(A1992))&gt;0),1,0)</f>
        <v>1</v>
      </c>
      <c r="G1992" s="34" t="n">
        <f aca="false">B1992/1</f>
        <v>125.759</v>
      </c>
      <c r="H1992" s="34" t="n">
        <f aca="false">IF(F1992=1,G1992,"")</f>
        <v>125.759</v>
      </c>
    </row>
    <row r="1993" customFormat="false" ht="15" hidden="false" customHeight="false" outlineLevel="0" collapsed="false">
      <c r="A1993" s="31" t="n">
        <v>42818.9583333333</v>
      </c>
      <c r="B1993" s="32" t="n">
        <v>62.897</v>
      </c>
      <c r="D1993" s="33" t="n">
        <f aca="false">WEEKDAY(A1993,2)</f>
        <v>5</v>
      </c>
      <c r="E1993" s="33" t="n">
        <f aca="false">HOUR(A1993)+MINUTE(A1993)/60</f>
        <v>23</v>
      </c>
      <c r="F1993" s="33" t="n">
        <f aca="false">IF(OR(D1993&gt;5,E1993&lt;8,E1993&gt;=18,COUNTIF($K$2:$K$10,INT(A1993))&gt;0),1,0)</f>
        <v>1</v>
      </c>
      <c r="G1993" s="34" t="n">
        <f aca="false">B1993/1</f>
        <v>62.897</v>
      </c>
      <c r="H1993" s="34" t="n">
        <f aca="false">IF(F1993=1,G1993,"")</f>
        <v>62.897</v>
      </c>
    </row>
    <row r="1994" customFormat="false" ht="15" hidden="false" customHeight="false" outlineLevel="0" collapsed="false">
      <c r="A1994" s="31" t="n">
        <v>42819</v>
      </c>
      <c r="B1994" s="32" t="n">
        <v>56.483</v>
      </c>
      <c r="D1994" s="33" t="n">
        <f aca="false">WEEKDAY(A1994,2)</f>
        <v>6</v>
      </c>
      <c r="E1994" s="33" t="n">
        <f aca="false">HOUR(A1994)+MINUTE(A1994)/60</f>
        <v>0</v>
      </c>
      <c r="F1994" s="33" t="n">
        <f aca="false">IF(OR(D1994&gt;5,E1994&lt;8,E1994&gt;=18,COUNTIF($K$2:$K$10,INT(A1994))&gt;0),1,0)</f>
        <v>1</v>
      </c>
      <c r="G1994" s="34" t="n">
        <f aca="false">B1994/1</f>
        <v>56.483</v>
      </c>
      <c r="H1994" s="34" t="n">
        <f aca="false">IF(F1994=1,G1994,"")</f>
        <v>56.483</v>
      </c>
    </row>
    <row r="1995" customFormat="false" ht="15" hidden="false" customHeight="false" outlineLevel="0" collapsed="false">
      <c r="A1995" s="31" t="n">
        <v>42819.0416666667</v>
      </c>
      <c r="B1995" s="32" t="n">
        <v>55.747</v>
      </c>
      <c r="D1995" s="33" t="n">
        <f aca="false">WEEKDAY(A1995,2)</f>
        <v>6</v>
      </c>
      <c r="E1995" s="33" t="n">
        <f aca="false">HOUR(A1995)+MINUTE(A1995)/60</f>
        <v>1</v>
      </c>
      <c r="F1995" s="33" t="n">
        <f aca="false">IF(OR(D1995&gt;5,E1995&lt;8,E1995&gt;=18,COUNTIF($K$2:$K$10,INT(A1995))&gt;0),1,0)</f>
        <v>1</v>
      </c>
      <c r="G1995" s="34" t="n">
        <f aca="false">B1995/1</f>
        <v>55.747</v>
      </c>
      <c r="H1995" s="34" t="n">
        <f aca="false">IF(F1995=1,G1995,"")</f>
        <v>55.747</v>
      </c>
    </row>
    <row r="1996" customFormat="false" ht="15" hidden="false" customHeight="false" outlineLevel="0" collapsed="false">
      <c r="A1996" s="31" t="n">
        <v>42819.0833333333</v>
      </c>
      <c r="B1996" s="32" t="n">
        <v>53.355</v>
      </c>
      <c r="D1996" s="33" t="n">
        <f aca="false">WEEKDAY(A1996,2)</f>
        <v>6</v>
      </c>
      <c r="E1996" s="33" t="n">
        <f aca="false">HOUR(A1996)+MINUTE(A1996)/60</f>
        <v>2</v>
      </c>
      <c r="F1996" s="33" t="n">
        <f aca="false">IF(OR(D1996&gt;5,E1996&lt;8,E1996&gt;=18,COUNTIF($K$2:$K$10,INT(A1996))&gt;0),1,0)</f>
        <v>1</v>
      </c>
      <c r="G1996" s="34" t="n">
        <f aca="false">B1996/1</f>
        <v>53.355</v>
      </c>
      <c r="H1996" s="34" t="n">
        <f aca="false">IF(F1996=1,G1996,"")</f>
        <v>53.355</v>
      </c>
    </row>
    <row r="1997" customFormat="false" ht="15" hidden="false" customHeight="false" outlineLevel="0" collapsed="false">
      <c r="A1997" s="31" t="n">
        <v>42819.125</v>
      </c>
      <c r="B1997" s="32" t="n">
        <v>53.198</v>
      </c>
      <c r="D1997" s="33" t="n">
        <f aca="false">WEEKDAY(A1997,2)</f>
        <v>6</v>
      </c>
      <c r="E1997" s="33" t="n">
        <f aca="false">HOUR(A1997)+MINUTE(A1997)/60</f>
        <v>3</v>
      </c>
      <c r="F1997" s="33" t="n">
        <f aca="false">IF(OR(D1997&gt;5,E1997&lt;8,E1997&gt;=18,COUNTIF($K$2:$K$10,INT(A1997))&gt;0),1,0)</f>
        <v>1</v>
      </c>
      <c r="G1997" s="34" t="n">
        <f aca="false">B1997/1</f>
        <v>53.198</v>
      </c>
      <c r="H1997" s="34" t="n">
        <f aca="false">IF(F1997=1,G1997,"")</f>
        <v>53.198</v>
      </c>
    </row>
    <row r="1998" customFormat="false" ht="15" hidden="false" customHeight="false" outlineLevel="0" collapsed="false">
      <c r="A1998" s="31" t="n">
        <v>42819.1666666667</v>
      </c>
      <c r="B1998" s="32" t="n">
        <v>56.823</v>
      </c>
      <c r="D1998" s="33" t="n">
        <f aca="false">WEEKDAY(A1998,2)</f>
        <v>6</v>
      </c>
      <c r="E1998" s="33" t="n">
        <f aca="false">HOUR(A1998)+MINUTE(A1998)/60</f>
        <v>4</v>
      </c>
      <c r="F1998" s="33" t="n">
        <f aca="false">IF(OR(D1998&gt;5,E1998&lt;8,E1998&gt;=18,COUNTIF($K$2:$K$10,INT(A1998))&gt;0),1,0)</f>
        <v>1</v>
      </c>
      <c r="G1998" s="34" t="n">
        <f aca="false">B1998/1</f>
        <v>56.823</v>
      </c>
      <c r="H1998" s="34" t="n">
        <f aca="false">IF(F1998=1,G1998,"")</f>
        <v>56.823</v>
      </c>
    </row>
    <row r="1999" customFormat="false" ht="15" hidden="false" customHeight="false" outlineLevel="0" collapsed="false">
      <c r="A1999" s="31" t="n">
        <v>42819.2083333333</v>
      </c>
      <c r="B1999" s="32" t="n">
        <v>55.176</v>
      </c>
      <c r="D1999" s="33" t="n">
        <f aca="false">WEEKDAY(A1999,2)</f>
        <v>6</v>
      </c>
      <c r="E1999" s="33" t="n">
        <f aca="false">HOUR(A1999)+MINUTE(A1999)/60</f>
        <v>5</v>
      </c>
      <c r="F1999" s="33" t="n">
        <f aca="false">IF(OR(D1999&gt;5,E1999&lt;8,E1999&gt;=18,COUNTIF($K$2:$K$10,INT(A1999))&gt;0),1,0)</f>
        <v>1</v>
      </c>
      <c r="G1999" s="34" t="n">
        <f aca="false">B1999/1</f>
        <v>55.176</v>
      </c>
      <c r="H1999" s="34" t="n">
        <f aca="false">IF(F1999=1,G1999,"")</f>
        <v>55.176</v>
      </c>
    </row>
    <row r="2000" customFormat="false" ht="15" hidden="false" customHeight="false" outlineLevel="0" collapsed="false">
      <c r="A2000" s="31" t="n">
        <v>42819.25</v>
      </c>
      <c r="B2000" s="32" t="n">
        <v>52.896</v>
      </c>
      <c r="D2000" s="33" t="n">
        <f aca="false">WEEKDAY(A2000,2)</f>
        <v>6</v>
      </c>
      <c r="E2000" s="33" t="n">
        <f aca="false">HOUR(A2000)+MINUTE(A2000)/60</f>
        <v>6</v>
      </c>
      <c r="F2000" s="33" t="n">
        <f aca="false">IF(OR(D2000&gt;5,E2000&lt;8,E2000&gt;=18,COUNTIF($K$2:$K$10,INT(A2000))&gt;0),1,0)</f>
        <v>1</v>
      </c>
      <c r="G2000" s="34" t="n">
        <f aca="false">B2000/1</f>
        <v>52.896</v>
      </c>
      <c r="H2000" s="34" t="n">
        <f aca="false">IF(F2000=1,G2000,"")</f>
        <v>52.896</v>
      </c>
    </row>
    <row r="2001" customFormat="false" ht="15" hidden="false" customHeight="false" outlineLevel="0" collapsed="false">
      <c r="A2001" s="31" t="n">
        <v>42819.2916666667</v>
      </c>
      <c r="B2001" s="32" t="n">
        <v>55.271</v>
      </c>
      <c r="D2001" s="33" t="n">
        <f aca="false">WEEKDAY(A2001,2)</f>
        <v>6</v>
      </c>
      <c r="E2001" s="33" t="n">
        <f aca="false">HOUR(A2001)+MINUTE(A2001)/60</f>
        <v>7</v>
      </c>
      <c r="F2001" s="33" t="n">
        <f aca="false">IF(OR(D2001&gt;5,E2001&lt;8,E2001&gt;=18,COUNTIF($K$2:$K$10,INT(A2001))&gt;0),1,0)</f>
        <v>1</v>
      </c>
      <c r="G2001" s="34" t="n">
        <f aca="false">B2001/1</f>
        <v>55.271</v>
      </c>
      <c r="H2001" s="34" t="n">
        <f aca="false">IF(F2001=1,G2001,"")</f>
        <v>55.271</v>
      </c>
    </row>
    <row r="2002" customFormat="false" ht="15" hidden="false" customHeight="false" outlineLevel="0" collapsed="false">
      <c r="A2002" s="31" t="n">
        <v>42819.3333333333</v>
      </c>
      <c r="B2002" s="32" t="n">
        <v>117.815</v>
      </c>
      <c r="D2002" s="33" t="n">
        <f aca="false">WEEKDAY(A2002,2)</f>
        <v>6</v>
      </c>
      <c r="E2002" s="33" t="n">
        <f aca="false">HOUR(A2002)+MINUTE(A2002)/60</f>
        <v>8</v>
      </c>
      <c r="F2002" s="33" t="n">
        <f aca="false">IF(OR(D2002&gt;5,E2002&lt;8,E2002&gt;=18,COUNTIF($K$2:$K$10,INT(A2002))&gt;0),1,0)</f>
        <v>1</v>
      </c>
      <c r="G2002" s="34" t="n">
        <f aca="false">B2002/1</f>
        <v>117.815</v>
      </c>
      <c r="H2002" s="34" t="n">
        <f aca="false">IF(F2002=1,G2002,"")</f>
        <v>117.815</v>
      </c>
    </row>
    <row r="2003" customFormat="false" ht="15" hidden="false" customHeight="false" outlineLevel="0" collapsed="false">
      <c r="A2003" s="31" t="n">
        <v>42819.375</v>
      </c>
      <c r="B2003" s="32" t="n">
        <v>163.569</v>
      </c>
      <c r="D2003" s="33" t="n">
        <f aca="false">WEEKDAY(A2003,2)</f>
        <v>6</v>
      </c>
      <c r="E2003" s="33" t="n">
        <f aca="false">HOUR(A2003)+MINUTE(A2003)/60</f>
        <v>9</v>
      </c>
      <c r="F2003" s="33" t="n">
        <f aca="false">IF(OR(D2003&gt;5,E2003&lt;8,E2003&gt;=18,COUNTIF($K$2:$K$10,INT(A2003))&gt;0),1,0)</f>
        <v>1</v>
      </c>
      <c r="G2003" s="34" t="n">
        <f aca="false">B2003/1</f>
        <v>163.569</v>
      </c>
      <c r="H2003" s="34" t="n">
        <f aca="false">IF(F2003=1,G2003,"")</f>
        <v>163.569</v>
      </c>
    </row>
    <row r="2004" customFormat="false" ht="15" hidden="false" customHeight="false" outlineLevel="0" collapsed="false">
      <c r="A2004" s="31" t="n">
        <v>42819.4166666667</v>
      </c>
      <c r="B2004" s="32" t="n">
        <v>169.1</v>
      </c>
      <c r="D2004" s="33" t="n">
        <f aca="false">WEEKDAY(A2004,2)</f>
        <v>6</v>
      </c>
      <c r="E2004" s="33" t="n">
        <f aca="false">HOUR(A2004)+MINUTE(A2004)/60</f>
        <v>10</v>
      </c>
      <c r="F2004" s="33" t="n">
        <f aca="false">IF(OR(D2004&gt;5,E2004&lt;8,E2004&gt;=18,COUNTIF($K$2:$K$10,INT(A2004))&gt;0),1,0)</f>
        <v>1</v>
      </c>
      <c r="G2004" s="34" t="n">
        <f aca="false">B2004/1</f>
        <v>169.1</v>
      </c>
      <c r="H2004" s="34" t="n">
        <f aca="false">IF(F2004=1,G2004,"")</f>
        <v>169.1</v>
      </c>
    </row>
    <row r="2005" customFormat="false" ht="15" hidden="false" customHeight="false" outlineLevel="0" collapsed="false">
      <c r="A2005" s="31" t="n">
        <v>42819.4583333333</v>
      </c>
      <c r="B2005" s="32" t="n">
        <v>167.894</v>
      </c>
      <c r="D2005" s="33" t="n">
        <f aca="false">WEEKDAY(A2005,2)</f>
        <v>6</v>
      </c>
      <c r="E2005" s="33" t="n">
        <f aca="false">HOUR(A2005)+MINUTE(A2005)/60</f>
        <v>11</v>
      </c>
      <c r="F2005" s="33" t="n">
        <f aca="false">IF(OR(D2005&gt;5,E2005&lt;8,E2005&gt;=18,COUNTIF($K$2:$K$10,INT(A2005))&gt;0),1,0)</f>
        <v>1</v>
      </c>
      <c r="G2005" s="34" t="n">
        <f aca="false">B2005/1</f>
        <v>167.894</v>
      </c>
      <c r="H2005" s="34" t="n">
        <f aca="false">IF(F2005=1,G2005,"")</f>
        <v>167.894</v>
      </c>
    </row>
    <row r="2006" customFormat="false" ht="15" hidden="false" customHeight="false" outlineLevel="0" collapsed="false">
      <c r="A2006" s="31" t="n">
        <v>42819.5</v>
      </c>
      <c r="B2006" s="32" t="n">
        <v>169.7</v>
      </c>
      <c r="D2006" s="33" t="n">
        <f aca="false">WEEKDAY(A2006,2)</f>
        <v>6</v>
      </c>
      <c r="E2006" s="33" t="n">
        <f aca="false">HOUR(A2006)+MINUTE(A2006)/60</f>
        <v>12</v>
      </c>
      <c r="F2006" s="33" t="n">
        <f aca="false">IF(OR(D2006&gt;5,E2006&lt;8,E2006&gt;=18,COUNTIF($K$2:$K$10,INT(A2006))&gt;0),1,0)</f>
        <v>1</v>
      </c>
      <c r="G2006" s="34" t="n">
        <f aca="false">B2006/1</f>
        <v>169.7</v>
      </c>
      <c r="H2006" s="34" t="n">
        <f aca="false">IF(F2006=1,G2006,"")</f>
        <v>169.7</v>
      </c>
    </row>
    <row r="2007" customFormat="false" ht="15" hidden="false" customHeight="false" outlineLevel="0" collapsed="false">
      <c r="A2007" s="31" t="n">
        <v>42819.5416666667</v>
      </c>
      <c r="B2007" s="32" t="n">
        <v>174.411</v>
      </c>
      <c r="D2007" s="33" t="n">
        <f aca="false">WEEKDAY(A2007,2)</f>
        <v>6</v>
      </c>
      <c r="E2007" s="33" t="n">
        <f aca="false">HOUR(A2007)+MINUTE(A2007)/60</f>
        <v>13</v>
      </c>
      <c r="F2007" s="33" t="n">
        <f aca="false">IF(OR(D2007&gt;5,E2007&lt;8,E2007&gt;=18,COUNTIF($K$2:$K$10,INT(A2007))&gt;0),1,0)</f>
        <v>1</v>
      </c>
      <c r="G2007" s="34" t="n">
        <f aca="false">B2007/1</f>
        <v>174.411</v>
      </c>
      <c r="H2007" s="34" t="n">
        <f aca="false">IF(F2007=1,G2007,"")</f>
        <v>174.411</v>
      </c>
    </row>
    <row r="2008" customFormat="false" ht="15" hidden="false" customHeight="false" outlineLevel="0" collapsed="false">
      <c r="A2008" s="31" t="n">
        <v>42819.5833333333</v>
      </c>
      <c r="B2008" s="32" t="n">
        <v>174.997</v>
      </c>
      <c r="D2008" s="33" t="n">
        <f aca="false">WEEKDAY(A2008,2)</f>
        <v>6</v>
      </c>
      <c r="E2008" s="33" t="n">
        <f aca="false">HOUR(A2008)+MINUTE(A2008)/60</f>
        <v>14</v>
      </c>
      <c r="F2008" s="33" t="n">
        <f aca="false">IF(OR(D2008&gt;5,E2008&lt;8,E2008&gt;=18,COUNTIF($K$2:$K$10,INT(A2008))&gt;0),1,0)</f>
        <v>1</v>
      </c>
      <c r="G2008" s="34" t="n">
        <f aca="false">B2008/1</f>
        <v>174.997</v>
      </c>
      <c r="H2008" s="34" t="n">
        <f aca="false">IF(F2008=1,G2008,"")</f>
        <v>174.997</v>
      </c>
    </row>
    <row r="2009" customFormat="false" ht="15" hidden="false" customHeight="false" outlineLevel="0" collapsed="false">
      <c r="A2009" s="31" t="n">
        <v>42819.625</v>
      </c>
      <c r="B2009" s="32" t="n">
        <v>175.856</v>
      </c>
      <c r="D2009" s="33" t="n">
        <f aca="false">WEEKDAY(A2009,2)</f>
        <v>6</v>
      </c>
      <c r="E2009" s="33" t="n">
        <f aca="false">HOUR(A2009)+MINUTE(A2009)/60</f>
        <v>15</v>
      </c>
      <c r="F2009" s="33" t="n">
        <f aca="false">IF(OR(D2009&gt;5,E2009&lt;8,E2009&gt;=18,COUNTIF($K$2:$K$10,INT(A2009))&gt;0),1,0)</f>
        <v>1</v>
      </c>
      <c r="G2009" s="34" t="n">
        <f aca="false">B2009/1</f>
        <v>175.856</v>
      </c>
      <c r="H2009" s="34" t="n">
        <f aca="false">IF(F2009=1,G2009,"")</f>
        <v>175.856</v>
      </c>
    </row>
    <row r="2010" customFormat="false" ht="15" hidden="false" customHeight="false" outlineLevel="0" collapsed="false">
      <c r="A2010" s="31" t="n">
        <v>42819.6666666667</v>
      </c>
      <c r="B2010" s="32" t="n">
        <v>174.045</v>
      </c>
      <c r="D2010" s="33" t="n">
        <f aca="false">WEEKDAY(A2010,2)</f>
        <v>6</v>
      </c>
      <c r="E2010" s="33" t="n">
        <f aca="false">HOUR(A2010)+MINUTE(A2010)/60</f>
        <v>16</v>
      </c>
      <c r="F2010" s="33" t="n">
        <f aca="false">IF(OR(D2010&gt;5,E2010&lt;8,E2010&gt;=18,COUNTIF($K$2:$K$10,INT(A2010))&gt;0),1,0)</f>
        <v>1</v>
      </c>
      <c r="G2010" s="34" t="n">
        <f aca="false">B2010/1</f>
        <v>174.045</v>
      </c>
      <c r="H2010" s="34" t="n">
        <f aca="false">IF(F2010=1,G2010,"")</f>
        <v>174.045</v>
      </c>
    </row>
    <row r="2011" customFormat="false" ht="15" hidden="false" customHeight="false" outlineLevel="0" collapsed="false">
      <c r="A2011" s="31" t="n">
        <v>42819.7083333333</v>
      </c>
      <c r="B2011" s="32" t="n">
        <v>143.769</v>
      </c>
      <c r="D2011" s="33" t="n">
        <f aca="false">WEEKDAY(A2011,2)</f>
        <v>6</v>
      </c>
      <c r="E2011" s="33" t="n">
        <f aca="false">HOUR(A2011)+MINUTE(A2011)/60</f>
        <v>17</v>
      </c>
      <c r="F2011" s="33" t="n">
        <f aca="false">IF(OR(D2011&gt;5,E2011&lt;8,E2011&gt;=18,COUNTIF($K$2:$K$10,INT(A2011))&gt;0),1,0)</f>
        <v>1</v>
      </c>
      <c r="G2011" s="34" t="n">
        <f aca="false">B2011/1</f>
        <v>143.769</v>
      </c>
      <c r="H2011" s="34" t="n">
        <f aca="false">IF(F2011=1,G2011,"")</f>
        <v>143.769</v>
      </c>
    </row>
    <row r="2012" customFormat="false" ht="15" hidden="false" customHeight="false" outlineLevel="0" collapsed="false">
      <c r="A2012" s="31" t="n">
        <v>42819.75</v>
      </c>
      <c r="B2012" s="32" t="n">
        <v>75.85</v>
      </c>
      <c r="D2012" s="33" t="n">
        <f aca="false">WEEKDAY(A2012,2)</f>
        <v>6</v>
      </c>
      <c r="E2012" s="33" t="n">
        <f aca="false">HOUR(A2012)+MINUTE(A2012)/60</f>
        <v>18</v>
      </c>
      <c r="F2012" s="33" t="n">
        <f aca="false">IF(OR(D2012&gt;5,E2012&lt;8,E2012&gt;=18,COUNTIF($K$2:$K$10,INT(A2012))&gt;0),1,0)</f>
        <v>1</v>
      </c>
      <c r="G2012" s="34" t="n">
        <f aca="false">B2012/1</f>
        <v>75.85</v>
      </c>
      <c r="H2012" s="34" t="n">
        <f aca="false">IF(F2012=1,G2012,"")</f>
        <v>75.85</v>
      </c>
    </row>
    <row r="2013" customFormat="false" ht="15" hidden="false" customHeight="false" outlineLevel="0" collapsed="false">
      <c r="A2013" s="31" t="n">
        <v>42819.7916666667</v>
      </c>
      <c r="B2013" s="32" t="n">
        <v>58.432</v>
      </c>
      <c r="D2013" s="33" t="n">
        <f aca="false">WEEKDAY(A2013,2)</f>
        <v>6</v>
      </c>
      <c r="E2013" s="33" t="n">
        <f aca="false">HOUR(A2013)+MINUTE(A2013)/60</f>
        <v>19</v>
      </c>
      <c r="F2013" s="33" t="n">
        <f aca="false">IF(OR(D2013&gt;5,E2013&lt;8,E2013&gt;=18,COUNTIF($K$2:$K$10,INT(A2013))&gt;0),1,0)</f>
        <v>1</v>
      </c>
      <c r="G2013" s="34" t="n">
        <f aca="false">B2013/1</f>
        <v>58.432</v>
      </c>
      <c r="H2013" s="34" t="n">
        <f aca="false">IF(F2013=1,G2013,"")</f>
        <v>58.432</v>
      </c>
    </row>
    <row r="2014" customFormat="false" ht="15" hidden="false" customHeight="false" outlineLevel="0" collapsed="false">
      <c r="A2014" s="31" t="n">
        <v>42819.8333333333</v>
      </c>
      <c r="B2014" s="32" t="n">
        <v>59.678</v>
      </c>
      <c r="D2014" s="33" t="n">
        <f aca="false">WEEKDAY(A2014,2)</f>
        <v>6</v>
      </c>
      <c r="E2014" s="33" t="n">
        <f aca="false">HOUR(A2014)+MINUTE(A2014)/60</f>
        <v>20</v>
      </c>
      <c r="F2014" s="33" t="n">
        <f aca="false">IF(OR(D2014&gt;5,E2014&lt;8,E2014&gt;=18,COUNTIF($K$2:$K$10,INT(A2014))&gt;0),1,0)</f>
        <v>1</v>
      </c>
      <c r="G2014" s="34" t="n">
        <f aca="false">B2014/1</f>
        <v>59.678</v>
      </c>
      <c r="H2014" s="34" t="n">
        <f aca="false">IF(F2014=1,G2014,"")</f>
        <v>59.678</v>
      </c>
    </row>
    <row r="2015" customFormat="false" ht="15" hidden="false" customHeight="false" outlineLevel="0" collapsed="false">
      <c r="A2015" s="31" t="n">
        <v>42819.875</v>
      </c>
      <c r="B2015" s="32" t="n">
        <v>58.751</v>
      </c>
      <c r="D2015" s="33" t="n">
        <f aca="false">WEEKDAY(A2015,2)</f>
        <v>6</v>
      </c>
      <c r="E2015" s="33" t="n">
        <f aca="false">HOUR(A2015)+MINUTE(A2015)/60</f>
        <v>21</v>
      </c>
      <c r="F2015" s="33" t="n">
        <f aca="false">IF(OR(D2015&gt;5,E2015&lt;8,E2015&gt;=18,COUNTIF($K$2:$K$10,INT(A2015))&gt;0),1,0)</f>
        <v>1</v>
      </c>
      <c r="G2015" s="34" t="n">
        <f aca="false">B2015/1</f>
        <v>58.751</v>
      </c>
      <c r="H2015" s="34" t="n">
        <f aca="false">IF(F2015=1,G2015,"")</f>
        <v>58.751</v>
      </c>
    </row>
    <row r="2016" customFormat="false" ht="15" hidden="false" customHeight="false" outlineLevel="0" collapsed="false">
      <c r="A2016" s="31" t="n">
        <v>42819.9166666667</v>
      </c>
      <c r="B2016" s="32" t="n">
        <v>59.35</v>
      </c>
      <c r="D2016" s="33" t="n">
        <f aca="false">WEEKDAY(A2016,2)</f>
        <v>6</v>
      </c>
      <c r="E2016" s="33" t="n">
        <f aca="false">HOUR(A2016)+MINUTE(A2016)/60</f>
        <v>22</v>
      </c>
      <c r="F2016" s="33" t="n">
        <f aca="false">IF(OR(D2016&gt;5,E2016&lt;8,E2016&gt;=18,COUNTIF($K$2:$K$10,INT(A2016))&gt;0),1,0)</f>
        <v>1</v>
      </c>
      <c r="G2016" s="34" t="n">
        <f aca="false">B2016/1</f>
        <v>59.35</v>
      </c>
      <c r="H2016" s="34" t="n">
        <f aca="false">IF(F2016=1,G2016,"")</f>
        <v>59.35</v>
      </c>
    </row>
    <row r="2017" customFormat="false" ht="15" hidden="false" customHeight="false" outlineLevel="0" collapsed="false">
      <c r="A2017" s="31" t="n">
        <v>42819.9583333333</v>
      </c>
      <c r="B2017" s="32" t="n">
        <v>61.765</v>
      </c>
      <c r="D2017" s="33" t="n">
        <f aca="false">WEEKDAY(A2017,2)</f>
        <v>6</v>
      </c>
      <c r="E2017" s="33" t="n">
        <f aca="false">HOUR(A2017)+MINUTE(A2017)/60</f>
        <v>23</v>
      </c>
      <c r="F2017" s="33" t="n">
        <f aca="false">IF(OR(D2017&gt;5,E2017&lt;8,E2017&gt;=18,COUNTIF($K$2:$K$10,INT(A2017))&gt;0),1,0)</f>
        <v>1</v>
      </c>
      <c r="G2017" s="34" t="n">
        <f aca="false">B2017/1</f>
        <v>61.765</v>
      </c>
      <c r="H2017" s="34" t="n">
        <f aca="false">IF(F2017=1,G2017,"")</f>
        <v>61.765</v>
      </c>
    </row>
    <row r="2018" customFormat="false" ht="15" hidden="false" customHeight="false" outlineLevel="0" collapsed="false">
      <c r="A2018" s="31" t="n">
        <v>42820</v>
      </c>
      <c r="B2018" s="32" t="n">
        <v>56.545</v>
      </c>
      <c r="D2018" s="33" t="n">
        <f aca="false">WEEKDAY(A2018,2)</f>
        <v>7</v>
      </c>
      <c r="E2018" s="33" t="n">
        <f aca="false">HOUR(A2018)+MINUTE(A2018)/60</f>
        <v>0</v>
      </c>
      <c r="F2018" s="33" t="n">
        <f aca="false">IF(OR(D2018&gt;5,E2018&lt;8,E2018&gt;=18,COUNTIF($K$2:$K$10,INT(A2018))&gt;0),1,0)</f>
        <v>1</v>
      </c>
      <c r="G2018" s="34" t="n">
        <f aca="false">B2018/1</f>
        <v>56.545</v>
      </c>
      <c r="H2018" s="34" t="n">
        <f aca="false">IF(F2018=1,G2018,"")</f>
        <v>56.545</v>
      </c>
    </row>
    <row r="2019" customFormat="false" ht="15" hidden="false" customHeight="false" outlineLevel="0" collapsed="false">
      <c r="A2019" s="31" t="n">
        <v>42820.0416666667</v>
      </c>
      <c r="B2019" s="32" t="n">
        <v>57.38</v>
      </c>
      <c r="D2019" s="33" t="n">
        <f aca="false">WEEKDAY(A2019,2)</f>
        <v>7</v>
      </c>
      <c r="E2019" s="33" t="n">
        <f aca="false">HOUR(A2019)+MINUTE(A2019)/60</f>
        <v>1</v>
      </c>
      <c r="F2019" s="33" t="n">
        <f aca="false">IF(OR(D2019&gt;5,E2019&lt;8,E2019&gt;=18,COUNTIF($K$2:$K$10,INT(A2019))&gt;0),1,0)</f>
        <v>1</v>
      </c>
      <c r="G2019" s="34" t="n">
        <f aca="false">B2019/1</f>
        <v>57.38</v>
      </c>
      <c r="H2019" s="34" t="n">
        <f aca="false">IF(F2019=1,G2019,"")</f>
        <v>57.38</v>
      </c>
    </row>
    <row r="2020" customFormat="false" ht="15" hidden="false" customHeight="false" outlineLevel="0" collapsed="false">
      <c r="A2020" s="31" t="n">
        <v>42820.0833333333</v>
      </c>
      <c r="B2020" s="32" t="n">
        <v>57.999</v>
      </c>
      <c r="D2020" s="33" t="n">
        <f aca="false">WEEKDAY(A2020,2)</f>
        <v>7</v>
      </c>
      <c r="E2020" s="33" t="n">
        <f aca="false">HOUR(A2020)+MINUTE(A2020)/60</f>
        <v>2</v>
      </c>
      <c r="F2020" s="33" t="n">
        <f aca="false">IF(OR(D2020&gt;5,E2020&lt;8,E2020&gt;=18,COUNTIF($K$2:$K$10,INT(A2020))&gt;0),1,0)</f>
        <v>1</v>
      </c>
      <c r="G2020" s="34" t="n">
        <f aca="false">B2020/1</f>
        <v>57.999</v>
      </c>
      <c r="H2020" s="34" t="n">
        <f aca="false">IF(F2020=1,G2020,"")</f>
        <v>57.999</v>
      </c>
    </row>
    <row r="2021" customFormat="false" ht="15" hidden="false" customHeight="false" outlineLevel="0" collapsed="false">
      <c r="A2021" s="31" t="n">
        <v>42820.125</v>
      </c>
      <c r="B2021" s="32" t="n">
        <v>53.904</v>
      </c>
      <c r="D2021" s="33" t="n">
        <f aca="false">WEEKDAY(A2021,2)</f>
        <v>7</v>
      </c>
      <c r="E2021" s="33" t="n">
        <f aca="false">HOUR(A2021)+MINUTE(A2021)/60</f>
        <v>3</v>
      </c>
      <c r="F2021" s="33" t="n">
        <f aca="false">IF(OR(D2021&gt;5,E2021&lt;8,E2021&gt;=18,COUNTIF($K$2:$K$10,INT(A2021))&gt;0),1,0)</f>
        <v>1</v>
      </c>
      <c r="G2021" s="34" t="n">
        <f aca="false">B2021/1</f>
        <v>53.904</v>
      </c>
      <c r="H2021" s="34" t="n">
        <f aca="false">IF(F2021=1,G2021,"")</f>
        <v>53.904</v>
      </c>
    </row>
    <row r="2022" customFormat="false" ht="15" hidden="false" customHeight="false" outlineLevel="0" collapsed="false">
      <c r="A2022" s="31" t="n">
        <v>42820.1666666667</v>
      </c>
      <c r="B2022" s="32" t="n">
        <v>54.065</v>
      </c>
      <c r="D2022" s="33" t="n">
        <f aca="false">WEEKDAY(A2022,2)</f>
        <v>7</v>
      </c>
      <c r="E2022" s="33" t="n">
        <f aca="false">HOUR(A2022)+MINUTE(A2022)/60</f>
        <v>4</v>
      </c>
      <c r="F2022" s="33" t="n">
        <f aca="false">IF(OR(D2022&gt;5,E2022&lt;8,E2022&gt;=18,COUNTIF($K$2:$K$10,INT(A2022))&gt;0),1,0)</f>
        <v>1</v>
      </c>
      <c r="G2022" s="34" t="n">
        <f aca="false">B2022/1</f>
        <v>54.065</v>
      </c>
      <c r="H2022" s="34" t="n">
        <f aca="false">IF(F2022=1,G2022,"")</f>
        <v>54.065</v>
      </c>
    </row>
    <row r="2023" customFormat="false" ht="15" hidden="false" customHeight="false" outlineLevel="0" collapsed="false">
      <c r="A2023" s="31" t="n">
        <v>42820.2083333333</v>
      </c>
      <c r="B2023" s="32" t="n">
        <v>58.731</v>
      </c>
      <c r="D2023" s="33" t="n">
        <f aca="false">WEEKDAY(A2023,2)</f>
        <v>7</v>
      </c>
      <c r="E2023" s="33" t="n">
        <f aca="false">HOUR(A2023)+MINUTE(A2023)/60</f>
        <v>5</v>
      </c>
      <c r="F2023" s="33" t="n">
        <f aca="false">IF(OR(D2023&gt;5,E2023&lt;8,E2023&gt;=18,COUNTIF($K$2:$K$10,INT(A2023))&gt;0),1,0)</f>
        <v>1</v>
      </c>
      <c r="G2023" s="34" t="n">
        <f aca="false">B2023/1</f>
        <v>58.731</v>
      </c>
      <c r="H2023" s="34" t="n">
        <f aca="false">IF(F2023=1,G2023,"")</f>
        <v>58.731</v>
      </c>
    </row>
    <row r="2024" customFormat="false" ht="15" hidden="false" customHeight="false" outlineLevel="0" collapsed="false">
      <c r="A2024" s="31" t="n">
        <v>42820.25</v>
      </c>
      <c r="B2024" s="32" t="n">
        <v>54.766</v>
      </c>
      <c r="D2024" s="33" t="n">
        <f aca="false">WEEKDAY(A2024,2)</f>
        <v>7</v>
      </c>
      <c r="E2024" s="33" t="n">
        <f aca="false">HOUR(A2024)+MINUTE(A2024)/60</f>
        <v>6</v>
      </c>
      <c r="F2024" s="33" t="n">
        <f aca="false">IF(OR(D2024&gt;5,E2024&lt;8,E2024&gt;=18,COUNTIF($K$2:$K$10,INT(A2024))&gt;0),1,0)</f>
        <v>1</v>
      </c>
      <c r="G2024" s="34" t="n">
        <f aca="false">B2024/1</f>
        <v>54.766</v>
      </c>
      <c r="H2024" s="34" t="n">
        <f aca="false">IF(F2024=1,G2024,"")</f>
        <v>54.766</v>
      </c>
    </row>
    <row r="2025" customFormat="false" ht="15" hidden="false" customHeight="false" outlineLevel="0" collapsed="false">
      <c r="A2025" s="31" t="n">
        <v>42820.2916666667</v>
      </c>
      <c r="B2025" s="32" t="n">
        <v>57.769</v>
      </c>
      <c r="D2025" s="33" t="n">
        <f aca="false">WEEKDAY(A2025,2)</f>
        <v>7</v>
      </c>
      <c r="E2025" s="33" t="n">
        <f aca="false">HOUR(A2025)+MINUTE(A2025)/60</f>
        <v>7</v>
      </c>
      <c r="F2025" s="33" t="n">
        <f aca="false">IF(OR(D2025&gt;5,E2025&lt;8,E2025&gt;=18,COUNTIF($K$2:$K$10,INT(A2025))&gt;0),1,0)</f>
        <v>1</v>
      </c>
      <c r="G2025" s="34" t="n">
        <f aca="false">B2025/1</f>
        <v>57.769</v>
      </c>
      <c r="H2025" s="34" t="n">
        <f aca="false">IF(F2025=1,G2025,"")</f>
        <v>57.769</v>
      </c>
    </row>
    <row r="2026" customFormat="false" ht="15" hidden="false" customHeight="false" outlineLevel="0" collapsed="false">
      <c r="A2026" s="31" t="n">
        <v>42820.3333333333</v>
      </c>
      <c r="B2026" s="32" t="n">
        <v>58.405</v>
      </c>
      <c r="D2026" s="33" t="n">
        <f aca="false">WEEKDAY(A2026,2)</f>
        <v>7</v>
      </c>
      <c r="E2026" s="33" t="n">
        <f aca="false">HOUR(A2026)+MINUTE(A2026)/60</f>
        <v>8</v>
      </c>
      <c r="F2026" s="33" t="n">
        <f aca="false">IF(OR(D2026&gt;5,E2026&lt;8,E2026&gt;=18,COUNTIF($K$2:$K$10,INT(A2026))&gt;0),1,0)</f>
        <v>1</v>
      </c>
      <c r="G2026" s="34" t="n">
        <f aca="false">B2026/1</f>
        <v>58.405</v>
      </c>
      <c r="H2026" s="34" t="n">
        <f aca="false">IF(F2026=1,G2026,"")</f>
        <v>58.405</v>
      </c>
    </row>
    <row r="2027" customFormat="false" ht="15" hidden="false" customHeight="false" outlineLevel="0" collapsed="false">
      <c r="A2027" s="31" t="n">
        <v>42820.375</v>
      </c>
      <c r="B2027" s="32" t="n">
        <v>55.077</v>
      </c>
      <c r="D2027" s="33" t="n">
        <f aca="false">WEEKDAY(A2027,2)</f>
        <v>7</v>
      </c>
      <c r="E2027" s="33" t="n">
        <f aca="false">HOUR(A2027)+MINUTE(A2027)/60</f>
        <v>9</v>
      </c>
      <c r="F2027" s="33" t="n">
        <f aca="false">IF(OR(D2027&gt;5,E2027&lt;8,E2027&gt;=18,COUNTIF($K$2:$K$10,INT(A2027))&gt;0),1,0)</f>
        <v>1</v>
      </c>
      <c r="G2027" s="34" t="n">
        <f aca="false">B2027/1</f>
        <v>55.077</v>
      </c>
      <c r="H2027" s="34" t="n">
        <f aca="false">IF(F2027=1,G2027,"")</f>
        <v>55.077</v>
      </c>
    </row>
    <row r="2028" customFormat="false" ht="15" hidden="false" customHeight="false" outlineLevel="0" collapsed="false">
      <c r="A2028" s="31" t="n">
        <v>42820.4166666667</v>
      </c>
      <c r="B2028" s="32" t="n">
        <v>52.597</v>
      </c>
      <c r="D2028" s="33" t="n">
        <f aca="false">WEEKDAY(A2028,2)</f>
        <v>7</v>
      </c>
      <c r="E2028" s="33" t="n">
        <f aca="false">HOUR(A2028)+MINUTE(A2028)/60</f>
        <v>10</v>
      </c>
      <c r="F2028" s="33" t="n">
        <f aca="false">IF(OR(D2028&gt;5,E2028&lt;8,E2028&gt;=18,COUNTIF($K$2:$K$10,INT(A2028))&gt;0),1,0)</f>
        <v>1</v>
      </c>
      <c r="G2028" s="34" t="n">
        <f aca="false">B2028/1</f>
        <v>52.597</v>
      </c>
      <c r="H2028" s="34" t="n">
        <f aca="false">IF(F2028=1,G2028,"")</f>
        <v>52.597</v>
      </c>
    </row>
    <row r="2029" customFormat="false" ht="15" hidden="false" customHeight="false" outlineLevel="0" collapsed="false">
      <c r="A2029" s="31" t="n">
        <v>42820.4583333333</v>
      </c>
      <c r="B2029" s="32" t="n">
        <v>51.923</v>
      </c>
      <c r="D2029" s="33" t="n">
        <f aca="false">WEEKDAY(A2029,2)</f>
        <v>7</v>
      </c>
      <c r="E2029" s="33" t="n">
        <f aca="false">HOUR(A2029)+MINUTE(A2029)/60</f>
        <v>11</v>
      </c>
      <c r="F2029" s="33" t="n">
        <f aca="false">IF(OR(D2029&gt;5,E2029&lt;8,E2029&gt;=18,COUNTIF($K$2:$K$10,INT(A2029))&gt;0),1,0)</f>
        <v>1</v>
      </c>
      <c r="G2029" s="34" t="n">
        <f aca="false">B2029/1</f>
        <v>51.923</v>
      </c>
      <c r="H2029" s="34" t="n">
        <f aca="false">IF(F2029=1,G2029,"")</f>
        <v>51.923</v>
      </c>
    </row>
    <row r="2030" customFormat="false" ht="15" hidden="false" customHeight="false" outlineLevel="0" collapsed="false">
      <c r="A2030" s="31" t="n">
        <v>42820.5</v>
      </c>
      <c r="B2030" s="32" t="n">
        <v>56.187</v>
      </c>
      <c r="D2030" s="33" t="n">
        <f aca="false">WEEKDAY(A2030,2)</f>
        <v>7</v>
      </c>
      <c r="E2030" s="33" t="n">
        <f aca="false">HOUR(A2030)+MINUTE(A2030)/60</f>
        <v>12</v>
      </c>
      <c r="F2030" s="33" t="n">
        <f aca="false">IF(OR(D2030&gt;5,E2030&lt;8,E2030&gt;=18,COUNTIF($K$2:$K$10,INT(A2030))&gt;0),1,0)</f>
        <v>1</v>
      </c>
      <c r="G2030" s="34" t="n">
        <f aca="false">B2030/1</f>
        <v>56.187</v>
      </c>
      <c r="H2030" s="34" t="n">
        <f aca="false">IF(F2030=1,G2030,"")</f>
        <v>56.187</v>
      </c>
    </row>
    <row r="2031" customFormat="false" ht="15" hidden="false" customHeight="false" outlineLevel="0" collapsed="false">
      <c r="A2031" s="31" t="n">
        <v>42820.5416666667</v>
      </c>
      <c r="B2031" s="32" t="n">
        <v>107.138</v>
      </c>
      <c r="D2031" s="33" t="n">
        <f aca="false">WEEKDAY(A2031,2)</f>
        <v>7</v>
      </c>
      <c r="E2031" s="33" t="n">
        <f aca="false">HOUR(A2031)+MINUTE(A2031)/60</f>
        <v>13</v>
      </c>
      <c r="F2031" s="33" t="n">
        <f aca="false">IF(OR(D2031&gt;5,E2031&lt;8,E2031&gt;=18,COUNTIF($K$2:$K$10,INT(A2031))&gt;0),1,0)</f>
        <v>1</v>
      </c>
      <c r="G2031" s="34" t="n">
        <f aca="false">B2031/1</f>
        <v>107.138</v>
      </c>
      <c r="H2031" s="34" t="n">
        <f aca="false">IF(F2031=1,G2031,"")</f>
        <v>107.138</v>
      </c>
    </row>
    <row r="2032" customFormat="false" ht="15" hidden="false" customHeight="false" outlineLevel="0" collapsed="false">
      <c r="A2032" s="31" t="n">
        <v>42820.5833333333</v>
      </c>
      <c r="B2032" s="32" t="n">
        <v>135.086</v>
      </c>
      <c r="D2032" s="33" t="n">
        <f aca="false">WEEKDAY(A2032,2)</f>
        <v>7</v>
      </c>
      <c r="E2032" s="33" t="n">
        <f aca="false">HOUR(A2032)+MINUTE(A2032)/60</f>
        <v>14</v>
      </c>
      <c r="F2032" s="33" t="n">
        <f aca="false">IF(OR(D2032&gt;5,E2032&lt;8,E2032&gt;=18,COUNTIF($K$2:$K$10,INT(A2032))&gt;0),1,0)</f>
        <v>1</v>
      </c>
      <c r="G2032" s="34" t="n">
        <f aca="false">B2032/1</f>
        <v>135.086</v>
      </c>
      <c r="H2032" s="34" t="n">
        <f aca="false">IF(F2032=1,G2032,"")</f>
        <v>135.086</v>
      </c>
    </row>
    <row r="2033" customFormat="false" ht="15" hidden="false" customHeight="false" outlineLevel="0" collapsed="false">
      <c r="A2033" s="31" t="n">
        <v>42820.625</v>
      </c>
      <c r="B2033" s="32" t="n">
        <v>132.442</v>
      </c>
      <c r="D2033" s="33" t="n">
        <f aca="false">WEEKDAY(A2033,2)</f>
        <v>7</v>
      </c>
      <c r="E2033" s="33" t="n">
        <f aca="false">HOUR(A2033)+MINUTE(A2033)/60</f>
        <v>15</v>
      </c>
      <c r="F2033" s="33" t="n">
        <f aca="false">IF(OR(D2033&gt;5,E2033&lt;8,E2033&gt;=18,COUNTIF($K$2:$K$10,INT(A2033))&gt;0),1,0)</f>
        <v>1</v>
      </c>
      <c r="G2033" s="34" t="n">
        <f aca="false">B2033/1</f>
        <v>132.442</v>
      </c>
      <c r="H2033" s="34" t="n">
        <f aca="false">IF(F2033=1,G2033,"")</f>
        <v>132.442</v>
      </c>
    </row>
    <row r="2034" customFormat="false" ht="15" hidden="false" customHeight="false" outlineLevel="0" collapsed="false">
      <c r="A2034" s="31" t="n">
        <v>42820.6666666667</v>
      </c>
      <c r="B2034" s="32" t="n">
        <v>139.265</v>
      </c>
      <c r="D2034" s="33" t="n">
        <f aca="false">WEEKDAY(A2034,2)</f>
        <v>7</v>
      </c>
      <c r="E2034" s="33" t="n">
        <f aca="false">HOUR(A2034)+MINUTE(A2034)/60</f>
        <v>16</v>
      </c>
      <c r="F2034" s="33" t="n">
        <f aca="false">IF(OR(D2034&gt;5,E2034&lt;8,E2034&gt;=18,COUNTIF($K$2:$K$10,INT(A2034))&gt;0),1,0)</f>
        <v>1</v>
      </c>
      <c r="G2034" s="34" t="n">
        <f aca="false">B2034/1</f>
        <v>139.265</v>
      </c>
      <c r="H2034" s="34" t="n">
        <f aca="false">IF(F2034=1,G2034,"")</f>
        <v>139.265</v>
      </c>
    </row>
    <row r="2035" customFormat="false" ht="15" hidden="false" customHeight="false" outlineLevel="0" collapsed="false">
      <c r="A2035" s="31" t="n">
        <v>42820.7083333333</v>
      </c>
      <c r="B2035" s="32" t="n">
        <v>137.468</v>
      </c>
      <c r="D2035" s="33" t="n">
        <f aca="false">WEEKDAY(A2035,2)</f>
        <v>7</v>
      </c>
      <c r="E2035" s="33" t="n">
        <f aca="false">HOUR(A2035)+MINUTE(A2035)/60</f>
        <v>17</v>
      </c>
      <c r="F2035" s="33" t="n">
        <f aca="false">IF(OR(D2035&gt;5,E2035&lt;8,E2035&gt;=18,COUNTIF($K$2:$K$10,INT(A2035))&gt;0),1,0)</f>
        <v>1</v>
      </c>
      <c r="G2035" s="34" t="n">
        <f aca="false">B2035/1</f>
        <v>137.468</v>
      </c>
      <c r="H2035" s="34" t="n">
        <f aca="false">IF(F2035=1,G2035,"")</f>
        <v>137.468</v>
      </c>
    </row>
    <row r="2036" customFormat="false" ht="15" hidden="false" customHeight="false" outlineLevel="0" collapsed="false">
      <c r="A2036" s="31" t="n">
        <v>42820.75</v>
      </c>
      <c r="B2036" s="32" t="n">
        <v>66.337</v>
      </c>
      <c r="D2036" s="33" t="n">
        <f aca="false">WEEKDAY(A2036,2)</f>
        <v>7</v>
      </c>
      <c r="E2036" s="33" t="n">
        <f aca="false">HOUR(A2036)+MINUTE(A2036)/60</f>
        <v>18</v>
      </c>
      <c r="F2036" s="33" t="n">
        <f aca="false">IF(OR(D2036&gt;5,E2036&lt;8,E2036&gt;=18,COUNTIF($K$2:$K$10,INT(A2036))&gt;0),1,0)</f>
        <v>1</v>
      </c>
      <c r="G2036" s="34" t="n">
        <f aca="false">B2036/1</f>
        <v>66.337</v>
      </c>
      <c r="H2036" s="34" t="n">
        <f aca="false">IF(F2036=1,G2036,"")</f>
        <v>66.337</v>
      </c>
    </row>
    <row r="2037" customFormat="false" ht="15" hidden="false" customHeight="false" outlineLevel="0" collapsed="false">
      <c r="A2037" s="31" t="n">
        <v>42820.7916666667</v>
      </c>
      <c r="B2037" s="32" t="n">
        <v>57.225</v>
      </c>
      <c r="D2037" s="33" t="n">
        <f aca="false">WEEKDAY(A2037,2)</f>
        <v>7</v>
      </c>
      <c r="E2037" s="33" t="n">
        <f aca="false">HOUR(A2037)+MINUTE(A2037)/60</f>
        <v>19</v>
      </c>
      <c r="F2037" s="33" t="n">
        <f aca="false">IF(OR(D2037&gt;5,E2037&lt;8,E2037&gt;=18,COUNTIF($K$2:$K$10,INT(A2037))&gt;0),1,0)</f>
        <v>1</v>
      </c>
      <c r="G2037" s="34" t="n">
        <f aca="false">B2037/1</f>
        <v>57.225</v>
      </c>
      <c r="H2037" s="34" t="n">
        <f aca="false">IF(F2037=1,G2037,"")</f>
        <v>57.225</v>
      </c>
    </row>
    <row r="2038" customFormat="false" ht="15" hidden="false" customHeight="false" outlineLevel="0" collapsed="false">
      <c r="A2038" s="31" t="n">
        <v>42820.8333333333</v>
      </c>
      <c r="B2038" s="32" t="n">
        <v>62.64</v>
      </c>
      <c r="D2038" s="33" t="n">
        <f aca="false">WEEKDAY(A2038,2)</f>
        <v>7</v>
      </c>
      <c r="E2038" s="33" t="n">
        <f aca="false">HOUR(A2038)+MINUTE(A2038)/60</f>
        <v>20</v>
      </c>
      <c r="F2038" s="33" t="n">
        <f aca="false">IF(OR(D2038&gt;5,E2038&lt;8,E2038&gt;=18,COUNTIF($K$2:$K$10,INT(A2038))&gt;0),1,0)</f>
        <v>1</v>
      </c>
      <c r="G2038" s="34" t="n">
        <f aca="false">B2038/1</f>
        <v>62.64</v>
      </c>
      <c r="H2038" s="34" t="n">
        <f aca="false">IF(F2038=1,G2038,"")</f>
        <v>62.64</v>
      </c>
    </row>
    <row r="2039" customFormat="false" ht="15" hidden="false" customHeight="false" outlineLevel="0" collapsed="false">
      <c r="A2039" s="31" t="n">
        <v>42820.875</v>
      </c>
      <c r="B2039" s="32" t="n">
        <v>60.128</v>
      </c>
      <c r="D2039" s="33" t="n">
        <f aca="false">WEEKDAY(A2039,2)</f>
        <v>7</v>
      </c>
      <c r="E2039" s="33" t="n">
        <f aca="false">HOUR(A2039)+MINUTE(A2039)/60</f>
        <v>21</v>
      </c>
      <c r="F2039" s="33" t="n">
        <f aca="false">IF(OR(D2039&gt;5,E2039&lt;8,E2039&gt;=18,COUNTIF($K$2:$K$10,INT(A2039))&gt;0),1,0)</f>
        <v>1</v>
      </c>
      <c r="G2039" s="34" t="n">
        <f aca="false">B2039/1</f>
        <v>60.128</v>
      </c>
      <c r="H2039" s="34" t="n">
        <f aca="false">IF(F2039=1,G2039,"")</f>
        <v>60.128</v>
      </c>
    </row>
    <row r="2040" customFormat="false" ht="15" hidden="false" customHeight="false" outlineLevel="0" collapsed="false">
      <c r="A2040" s="31" t="n">
        <v>42820.9166666667</v>
      </c>
      <c r="B2040" s="32" t="n">
        <v>56.692</v>
      </c>
      <c r="D2040" s="33" t="n">
        <f aca="false">WEEKDAY(A2040,2)</f>
        <v>7</v>
      </c>
      <c r="E2040" s="33" t="n">
        <f aca="false">HOUR(A2040)+MINUTE(A2040)/60</f>
        <v>22</v>
      </c>
      <c r="F2040" s="33" t="n">
        <f aca="false">IF(OR(D2040&gt;5,E2040&lt;8,E2040&gt;=18,COUNTIF($K$2:$K$10,INT(A2040))&gt;0),1,0)</f>
        <v>1</v>
      </c>
      <c r="G2040" s="34" t="n">
        <f aca="false">B2040/1</f>
        <v>56.692</v>
      </c>
      <c r="H2040" s="34" t="n">
        <f aca="false">IF(F2040=1,G2040,"")</f>
        <v>56.692</v>
      </c>
    </row>
    <row r="2041" customFormat="false" ht="15" hidden="false" customHeight="false" outlineLevel="0" collapsed="false">
      <c r="A2041" s="31" t="n">
        <v>42820.9583333333</v>
      </c>
      <c r="B2041" s="32" t="n">
        <v>59.905</v>
      </c>
      <c r="D2041" s="33" t="n">
        <f aca="false">WEEKDAY(A2041,2)</f>
        <v>7</v>
      </c>
      <c r="E2041" s="33" t="n">
        <f aca="false">HOUR(A2041)+MINUTE(A2041)/60</f>
        <v>23</v>
      </c>
      <c r="F2041" s="33" t="n">
        <f aca="false">IF(OR(D2041&gt;5,E2041&lt;8,E2041&gt;=18,COUNTIF($K$2:$K$10,INT(A2041))&gt;0),1,0)</f>
        <v>1</v>
      </c>
      <c r="G2041" s="34" t="n">
        <f aca="false">B2041/1</f>
        <v>59.905</v>
      </c>
      <c r="H2041" s="34" t="n">
        <f aca="false">IF(F2041=1,G2041,"")</f>
        <v>59.905</v>
      </c>
    </row>
    <row r="2042" customFormat="false" ht="15" hidden="false" customHeight="false" outlineLevel="0" collapsed="false">
      <c r="A2042" s="31" t="n">
        <v>42821</v>
      </c>
      <c r="B2042" s="32" t="n">
        <v>55.888</v>
      </c>
      <c r="D2042" s="33" t="n">
        <f aca="false">WEEKDAY(A2042,2)</f>
        <v>1</v>
      </c>
      <c r="E2042" s="33" t="n">
        <f aca="false">HOUR(A2042)+MINUTE(A2042)/60</f>
        <v>0</v>
      </c>
      <c r="F2042" s="33" t="n">
        <f aca="false">IF(OR(D2042&gt;5,E2042&lt;8,E2042&gt;=18,COUNTIF($K$2:$K$10,INT(A2042))&gt;0),1,0)</f>
        <v>1</v>
      </c>
      <c r="G2042" s="34" t="n">
        <f aca="false">B2042/1</f>
        <v>55.888</v>
      </c>
      <c r="H2042" s="34" t="n">
        <f aca="false">IF(F2042=1,G2042,"")</f>
        <v>55.888</v>
      </c>
    </row>
    <row r="2043" customFormat="false" ht="15" hidden="false" customHeight="false" outlineLevel="0" collapsed="false">
      <c r="A2043" s="31" t="n">
        <v>42821.0416666667</v>
      </c>
      <c r="B2043" s="32" t="n">
        <v>59.025</v>
      </c>
      <c r="D2043" s="33" t="n">
        <f aca="false">WEEKDAY(A2043,2)</f>
        <v>1</v>
      </c>
      <c r="E2043" s="33" t="n">
        <f aca="false">HOUR(A2043)+MINUTE(A2043)/60</f>
        <v>1</v>
      </c>
      <c r="F2043" s="33" t="n">
        <f aca="false">IF(OR(D2043&gt;5,E2043&lt;8,E2043&gt;=18,COUNTIF($K$2:$K$10,INT(A2043))&gt;0),1,0)</f>
        <v>1</v>
      </c>
      <c r="G2043" s="34" t="n">
        <f aca="false">B2043/1</f>
        <v>59.025</v>
      </c>
      <c r="H2043" s="34" t="n">
        <f aca="false">IF(F2043=1,G2043,"")</f>
        <v>59.025</v>
      </c>
    </row>
    <row r="2044" customFormat="false" ht="15" hidden="false" customHeight="false" outlineLevel="0" collapsed="false">
      <c r="A2044" s="31" t="n">
        <v>42821.0833333333</v>
      </c>
      <c r="B2044" s="32" t="n">
        <v>55.907</v>
      </c>
      <c r="D2044" s="33" t="n">
        <f aca="false">WEEKDAY(A2044,2)</f>
        <v>1</v>
      </c>
      <c r="E2044" s="33" t="n">
        <f aca="false">HOUR(A2044)+MINUTE(A2044)/60</f>
        <v>2</v>
      </c>
      <c r="F2044" s="33" t="n">
        <f aca="false">IF(OR(D2044&gt;5,E2044&lt;8,E2044&gt;=18,COUNTIF($K$2:$K$10,INT(A2044))&gt;0),1,0)</f>
        <v>1</v>
      </c>
      <c r="G2044" s="34" t="n">
        <f aca="false">B2044/1</f>
        <v>55.907</v>
      </c>
      <c r="H2044" s="34" t="n">
        <f aca="false">IF(F2044=1,G2044,"")</f>
        <v>55.907</v>
      </c>
    </row>
    <row r="2045" customFormat="false" ht="15" hidden="false" customHeight="false" outlineLevel="0" collapsed="false">
      <c r="A2045" s="31" t="n">
        <v>42821.125</v>
      </c>
      <c r="B2045" s="32" t="n">
        <v>54.311</v>
      </c>
      <c r="D2045" s="33" t="n">
        <f aca="false">WEEKDAY(A2045,2)</f>
        <v>1</v>
      </c>
      <c r="E2045" s="33" t="n">
        <f aca="false">HOUR(A2045)+MINUTE(A2045)/60</f>
        <v>3</v>
      </c>
      <c r="F2045" s="33" t="n">
        <f aca="false">IF(OR(D2045&gt;5,E2045&lt;8,E2045&gt;=18,COUNTIF($K$2:$K$10,INT(A2045))&gt;0),1,0)</f>
        <v>1</v>
      </c>
      <c r="G2045" s="34" t="n">
        <f aca="false">B2045/1</f>
        <v>54.311</v>
      </c>
      <c r="H2045" s="34" t="n">
        <f aca="false">IF(F2045=1,G2045,"")</f>
        <v>54.311</v>
      </c>
    </row>
    <row r="2046" customFormat="false" ht="15" hidden="false" customHeight="false" outlineLevel="0" collapsed="false">
      <c r="A2046" s="31" t="n">
        <v>42821.1666666667</v>
      </c>
      <c r="B2046" s="32" t="n">
        <v>53.761</v>
      </c>
      <c r="D2046" s="33" t="n">
        <f aca="false">WEEKDAY(A2046,2)</f>
        <v>1</v>
      </c>
      <c r="E2046" s="33" t="n">
        <f aca="false">HOUR(A2046)+MINUTE(A2046)/60</f>
        <v>4</v>
      </c>
      <c r="F2046" s="33" t="n">
        <f aca="false">IF(OR(D2046&gt;5,E2046&lt;8,E2046&gt;=18,COUNTIF($K$2:$K$10,INT(A2046))&gt;0),1,0)</f>
        <v>1</v>
      </c>
      <c r="G2046" s="34" t="n">
        <f aca="false">B2046/1</f>
        <v>53.761</v>
      </c>
      <c r="H2046" s="34" t="n">
        <f aca="false">IF(F2046=1,G2046,"")</f>
        <v>53.761</v>
      </c>
    </row>
    <row r="2047" customFormat="false" ht="15" hidden="false" customHeight="false" outlineLevel="0" collapsed="false">
      <c r="A2047" s="31" t="n">
        <v>42821.2083333333</v>
      </c>
      <c r="B2047" s="32" t="n">
        <v>53.597</v>
      </c>
      <c r="D2047" s="33" t="n">
        <f aca="false">WEEKDAY(A2047,2)</f>
        <v>1</v>
      </c>
      <c r="E2047" s="33" t="n">
        <f aca="false">HOUR(A2047)+MINUTE(A2047)/60</f>
        <v>5</v>
      </c>
      <c r="F2047" s="33" t="n">
        <f aca="false">IF(OR(D2047&gt;5,E2047&lt;8,E2047&gt;=18,COUNTIF($K$2:$K$10,INT(A2047))&gt;0),1,0)</f>
        <v>1</v>
      </c>
      <c r="G2047" s="34" t="n">
        <f aca="false">B2047/1</f>
        <v>53.597</v>
      </c>
      <c r="H2047" s="34" t="n">
        <f aca="false">IF(F2047=1,G2047,"")</f>
        <v>53.597</v>
      </c>
    </row>
    <row r="2048" customFormat="false" ht="15" hidden="false" customHeight="false" outlineLevel="0" collapsed="false">
      <c r="A2048" s="31" t="n">
        <v>42821.25</v>
      </c>
      <c r="B2048" s="32" t="n">
        <v>56.848</v>
      </c>
      <c r="D2048" s="33" t="n">
        <f aca="false">WEEKDAY(A2048,2)</f>
        <v>1</v>
      </c>
      <c r="E2048" s="33" t="n">
        <f aca="false">HOUR(A2048)+MINUTE(A2048)/60</f>
        <v>6</v>
      </c>
      <c r="F2048" s="33" t="n">
        <f aca="false">IF(OR(D2048&gt;5,E2048&lt;8,E2048&gt;=18,COUNTIF($K$2:$K$10,INT(A2048))&gt;0),1,0)</f>
        <v>1</v>
      </c>
      <c r="G2048" s="34" t="n">
        <f aca="false">B2048/1</f>
        <v>56.848</v>
      </c>
      <c r="H2048" s="34" t="n">
        <f aca="false">IF(F2048=1,G2048,"")</f>
        <v>56.848</v>
      </c>
    </row>
    <row r="2049" customFormat="false" ht="15" hidden="false" customHeight="false" outlineLevel="0" collapsed="false">
      <c r="A2049" s="31" t="n">
        <v>42821.2916666667</v>
      </c>
      <c r="B2049" s="32" t="n">
        <v>77.918</v>
      </c>
      <c r="D2049" s="33" t="n">
        <f aca="false">WEEKDAY(A2049,2)</f>
        <v>1</v>
      </c>
      <c r="E2049" s="33" t="n">
        <f aca="false">HOUR(A2049)+MINUTE(A2049)/60</f>
        <v>7</v>
      </c>
      <c r="F2049" s="33" t="n">
        <f aca="false">IF(OR(D2049&gt;5,E2049&lt;8,E2049&gt;=18,COUNTIF($K$2:$K$10,INT(A2049))&gt;0),1,0)</f>
        <v>1</v>
      </c>
      <c r="G2049" s="34" t="n">
        <f aca="false">B2049/1</f>
        <v>77.918</v>
      </c>
      <c r="H2049" s="34" t="n">
        <f aca="false">IF(F2049=1,G2049,"")</f>
        <v>77.918</v>
      </c>
    </row>
    <row r="2050" customFormat="false" ht="15" hidden="false" customHeight="false" outlineLevel="0" collapsed="false">
      <c r="A2050" s="31" t="n">
        <v>42821.3333333333</v>
      </c>
      <c r="B2050" s="32" t="n">
        <v>171.693</v>
      </c>
      <c r="D2050" s="33" t="n">
        <f aca="false">WEEKDAY(A2050,2)</f>
        <v>1</v>
      </c>
      <c r="E2050" s="33" t="n">
        <f aca="false">HOUR(A2050)+MINUTE(A2050)/60</f>
        <v>8</v>
      </c>
      <c r="F2050" s="33" t="n">
        <f aca="false">IF(OR(D2050&gt;5,E2050&lt;8,E2050&gt;=18,COUNTIF($K$2:$K$10,INT(A2050))&gt;0),1,0)</f>
        <v>0</v>
      </c>
      <c r="G2050" s="34" t="n">
        <f aca="false">B2050/1</f>
        <v>171.693</v>
      </c>
      <c r="H2050" s="34" t="str">
        <f aca="false">IF(F2050=1,G2050,"")</f>
        <v/>
      </c>
    </row>
    <row r="2051" customFormat="false" ht="15" hidden="false" customHeight="false" outlineLevel="0" collapsed="false">
      <c r="A2051" s="31" t="n">
        <v>42821.375</v>
      </c>
      <c r="B2051" s="32" t="n">
        <v>206.946</v>
      </c>
      <c r="D2051" s="33" t="n">
        <f aca="false">WEEKDAY(A2051,2)</f>
        <v>1</v>
      </c>
      <c r="E2051" s="33" t="n">
        <f aca="false">HOUR(A2051)+MINUTE(A2051)/60</f>
        <v>9</v>
      </c>
      <c r="F2051" s="33" t="n">
        <f aca="false">IF(OR(D2051&gt;5,E2051&lt;8,E2051&gt;=18,COUNTIF($K$2:$K$10,INT(A2051))&gt;0),1,0)</f>
        <v>0</v>
      </c>
      <c r="G2051" s="34" t="n">
        <f aca="false">B2051/1</f>
        <v>206.946</v>
      </c>
      <c r="H2051" s="34" t="str">
        <f aca="false">IF(F2051=1,G2051,"")</f>
        <v/>
      </c>
    </row>
    <row r="2052" customFormat="false" ht="15" hidden="false" customHeight="false" outlineLevel="0" collapsed="false">
      <c r="A2052" s="31" t="n">
        <v>42821.4166666667</v>
      </c>
      <c r="B2052" s="32" t="n">
        <v>224.183</v>
      </c>
      <c r="D2052" s="33" t="n">
        <f aca="false">WEEKDAY(A2052,2)</f>
        <v>1</v>
      </c>
      <c r="E2052" s="33" t="n">
        <f aca="false">HOUR(A2052)+MINUTE(A2052)/60</f>
        <v>10</v>
      </c>
      <c r="F2052" s="33" t="n">
        <f aca="false">IF(OR(D2052&gt;5,E2052&lt;8,E2052&gt;=18,COUNTIF($K$2:$K$10,INT(A2052))&gt;0),1,0)</f>
        <v>0</v>
      </c>
      <c r="G2052" s="34" t="n">
        <f aca="false">B2052/1</f>
        <v>224.183</v>
      </c>
      <c r="H2052" s="34" t="str">
        <f aca="false">IF(F2052=1,G2052,"")</f>
        <v/>
      </c>
    </row>
    <row r="2053" customFormat="false" ht="15" hidden="false" customHeight="false" outlineLevel="0" collapsed="false">
      <c r="A2053" s="31" t="n">
        <v>42821.4583333333</v>
      </c>
      <c r="B2053" s="32" t="n">
        <v>237.793</v>
      </c>
      <c r="D2053" s="33" t="n">
        <f aca="false">WEEKDAY(A2053,2)</f>
        <v>1</v>
      </c>
      <c r="E2053" s="33" t="n">
        <f aca="false">HOUR(A2053)+MINUTE(A2053)/60</f>
        <v>11</v>
      </c>
      <c r="F2053" s="33" t="n">
        <f aca="false">IF(OR(D2053&gt;5,E2053&lt;8,E2053&gt;=18,COUNTIF($K$2:$K$10,INT(A2053))&gt;0),1,0)</f>
        <v>0</v>
      </c>
      <c r="G2053" s="34" t="n">
        <f aca="false">B2053/1</f>
        <v>237.793</v>
      </c>
      <c r="H2053" s="34" t="str">
        <f aca="false">IF(F2053=1,G2053,"")</f>
        <v/>
      </c>
    </row>
    <row r="2054" customFormat="false" ht="15" hidden="false" customHeight="false" outlineLevel="0" collapsed="false">
      <c r="A2054" s="31" t="n">
        <v>42821.5</v>
      </c>
      <c r="B2054" s="32" t="n">
        <v>251.015</v>
      </c>
      <c r="D2054" s="33" t="n">
        <f aca="false">WEEKDAY(A2054,2)</f>
        <v>1</v>
      </c>
      <c r="E2054" s="33" t="n">
        <f aca="false">HOUR(A2054)+MINUTE(A2054)/60</f>
        <v>12</v>
      </c>
      <c r="F2054" s="33" t="n">
        <f aca="false">IF(OR(D2054&gt;5,E2054&lt;8,E2054&gt;=18,COUNTIF($K$2:$K$10,INT(A2054))&gt;0),1,0)</f>
        <v>0</v>
      </c>
      <c r="G2054" s="34" t="n">
        <f aca="false">B2054/1</f>
        <v>251.015</v>
      </c>
      <c r="H2054" s="34" t="str">
        <f aca="false">IF(F2054=1,G2054,"")</f>
        <v/>
      </c>
    </row>
    <row r="2055" customFormat="false" ht="15" hidden="false" customHeight="false" outlineLevel="0" collapsed="false">
      <c r="A2055" s="31" t="n">
        <v>42821.5416666667</v>
      </c>
      <c r="B2055" s="32" t="n">
        <v>268.981</v>
      </c>
      <c r="D2055" s="33" t="n">
        <f aca="false">WEEKDAY(A2055,2)</f>
        <v>1</v>
      </c>
      <c r="E2055" s="33" t="n">
        <f aca="false">HOUR(A2055)+MINUTE(A2055)/60</f>
        <v>13</v>
      </c>
      <c r="F2055" s="33" t="n">
        <f aca="false">IF(OR(D2055&gt;5,E2055&lt;8,E2055&gt;=18,COUNTIF($K$2:$K$10,INT(A2055))&gt;0),1,0)</f>
        <v>0</v>
      </c>
      <c r="G2055" s="34" t="n">
        <f aca="false">B2055/1</f>
        <v>268.981</v>
      </c>
      <c r="H2055" s="34" t="str">
        <f aca="false">IF(F2055=1,G2055,"")</f>
        <v/>
      </c>
    </row>
    <row r="2056" customFormat="false" ht="15" hidden="false" customHeight="false" outlineLevel="0" collapsed="false">
      <c r="A2056" s="31" t="n">
        <v>42821.5833333333</v>
      </c>
      <c r="B2056" s="32" t="n">
        <v>233.417</v>
      </c>
      <c r="D2056" s="33" t="n">
        <f aca="false">WEEKDAY(A2056,2)</f>
        <v>1</v>
      </c>
      <c r="E2056" s="33" t="n">
        <f aca="false">HOUR(A2056)+MINUTE(A2056)/60</f>
        <v>14</v>
      </c>
      <c r="F2056" s="33" t="n">
        <f aca="false">IF(OR(D2056&gt;5,E2056&lt;8,E2056&gt;=18,COUNTIF($K$2:$K$10,INT(A2056))&gt;0),1,0)</f>
        <v>0</v>
      </c>
      <c r="G2056" s="34" t="n">
        <f aca="false">B2056/1</f>
        <v>233.417</v>
      </c>
      <c r="H2056" s="34" t="str">
        <f aca="false">IF(F2056=1,G2056,"")</f>
        <v/>
      </c>
    </row>
    <row r="2057" customFormat="false" ht="15" hidden="false" customHeight="false" outlineLevel="0" collapsed="false">
      <c r="A2057" s="31" t="n">
        <v>42821.625</v>
      </c>
      <c r="B2057" s="32" t="n">
        <v>247.955</v>
      </c>
      <c r="D2057" s="33" t="n">
        <f aca="false">WEEKDAY(A2057,2)</f>
        <v>1</v>
      </c>
      <c r="E2057" s="33" t="n">
        <f aca="false">HOUR(A2057)+MINUTE(A2057)/60</f>
        <v>15</v>
      </c>
      <c r="F2057" s="33" t="n">
        <f aca="false">IF(OR(D2057&gt;5,E2057&lt;8,E2057&gt;=18,COUNTIF($K$2:$K$10,INT(A2057))&gt;0),1,0)</f>
        <v>0</v>
      </c>
      <c r="G2057" s="34" t="n">
        <f aca="false">B2057/1</f>
        <v>247.955</v>
      </c>
      <c r="H2057" s="34" t="str">
        <f aca="false">IF(F2057=1,G2057,"")</f>
        <v/>
      </c>
    </row>
    <row r="2058" customFormat="false" ht="15" hidden="false" customHeight="false" outlineLevel="0" collapsed="false">
      <c r="A2058" s="31" t="n">
        <v>42821.6666666667</v>
      </c>
      <c r="B2058" s="32" t="n">
        <v>247.68</v>
      </c>
      <c r="D2058" s="33" t="n">
        <f aca="false">WEEKDAY(A2058,2)</f>
        <v>1</v>
      </c>
      <c r="E2058" s="33" t="n">
        <f aca="false">HOUR(A2058)+MINUTE(A2058)/60</f>
        <v>16</v>
      </c>
      <c r="F2058" s="33" t="n">
        <f aca="false">IF(OR(D2058&gt;5,E2058&lt;8,E2058&gt;=18,COUNTIF($K$2:$K$10,INT(A2058))&gt;0),1,0)</f>
        <v>0</v>
      </c>
      <c r="G2058" s="34" t="n">
        <f aca="false">B2058/1</f>
        <v>247.68</v>
      </c>
      <c r="H2058" s="34" t="str">
        <f aca="false">IF(F2058=1,G2058,"")</f>
        <v/>
      </c>
    </row>
    <row r="2059" customFormat="false" ht="15" hidden="false" customHeight="false" outlineLevel="0" collapsed="false">
      <c r="A2059" s="31" t="n">
        <v>42821.7083333333</v>
      </c>
      <c r="B2059" s="32" t="n">
        <v>237.212</v>
      </c>
      <c r="D2059" s="33" t="n">
        <f aca="false">WEEKDAY(A2059,2)</f>
        <v>1</v>
      </c>
      <c r="E2059" s="33" t="n">
        <f aca="false">HOUR(A2059)+MINUTE(A2059)/60</f>
        <v>17</v>
      </c>
      <c r="F2059" s="33" t="n">
        <f aca="false">IF(OR(D2059&gt;5,E2059&lt;8,E2059&gt;=18,COUNTIF($K$2:$K$10,INT(A2059))&gt;0),1,0)</f>
        <v>0</v>
      </c>
      <c r="G2059" s="34" t="n">
        <f aca="false">B2059/1</f>
        <v>237.212</v>
      </c>
      <c r="H2059" s="34" t="str">
        <f aca="false">IF(F2059=1,G2059,"")</f>
        <v/>
      </c>
    </row>
    <row r="2060" customFormat="false" ht="15" hidden="false" customHeight="false" outlineLevel="0" collapsed="false">
      <c r="A2060" s="31" t="n">
        <v>42821.75</v>
      </c>
      <c r="B2060" s="32" t="n">
        <v>222.166</v>
      </c>
      <c r="D2060" s="33" t="n">
        <f aca="false">WEEKDAY(A2060,2)</f>
        <v>1</v>
      </c>
      <c r="E2060" s="33" t="n">
        <f aca="false">HOUR(A2060)+MINUTE(A2060)/60</f>
        <v>18</v>
      </c>
      <c r="F2060" s="33" t="n">
        <f aca="false">IF(OR(D2060&gt;5,E2060&lt;8,E2060&gt;=18,COUNTIF($K$2:$K$10,INT(A2060))&gt;0),1,0)</f>
        <v>1</v>
      </c>
      <c r="G2060" s="34" t="n">
        <f aca="false">B2060/1</f>
        <v>222.166</v>
      </c>
      <c r="H2060" s="34" t="n">
        <f aca="false">IF(F2060=1,G2060,"")</f>
        <v>222.166</v>
      </c>
    </row>
    <row r="2061" customFormat="false" ht="15" hidden="false" customHeight="false" outlineLevel="0" collapsed="false">
      <c r="A2061" s="31" t="n">
        <v>42821.7916666667</v>
      </c>
      <c r="B2061" s="32" t="n">
        <v>207.899</v>
      </c>
      <c r="D2061" s="33" t="n">
        <f aca="false">WEEKDAY(A2061,2)</f>
        <v>1</v>
      </c>
      <c r="E2061" s="33" t="n">
        <f aca="false">HOUR(A2061)+MINUTE(A2061)/60</f>
        <v>19</v>
      </c>
      <c r="F2061" s="33" t="n">
        <f aca="false">IF(OR(D2061&gt;5,E2061&lt;8,E2061&gt;=18,COUNTIF($K$2:$K$10,INT(A2061))&gt;0),1,0)</f>
        <v>1</v>
      </c>
      <c r="G2061" s="34" t="n">
        <f aca="false">B2061/1</f>
        <v>207.899</v>
      </c>
      <c r="H2061" s="34" t="n">
        <f aca="false">IF(F2061=1,G2061,"")</f>
        <v>207.899</v>
      </c>
    </row>
    <row r="2062" customFormat="false" ht="15" hidden="false" customHeight="false" outlineLevel="0" collapsed="false">
      <c r="A2062" s="31" t="n">
        <v>42821.8333333333</v>
      </c>
      <c r="B2062" s="32" t="n">
        <v>201.107</v>
      </c>
      <c r="D2062" s="33" t="n">
        <f aca="false">WEEKDAY(A2062,2)</f>
        <v>1</v>
      </c>
      <c r="E2062" s="33" t="n">
        <f aca="false">HOUR(A2062)+MINUTE(A2062)/60</f>
        <v>20</v>
      </c>
      <c r="F2062" s="33" t="n">
        <f aca="false">IF(OR(D2062&gt;5,E2062&lt;8,E2062&gt;=18,COUNTIF($K$2:$K$10,INT(A2062))&gt;0),1,0)</f>
        <v>1</v>
      </c>
      <c r="G2062" s="34" t="n">
        <f aca="false">B2062/1</f>
        <v>201.107</v>
      </c>
      <c r="H2062" s="34" t="n">
        <f aca="false">IF(F2062=1,G2062,"")</f>
        <v>201.107</v>
      </c>
    </row>
    <row r="2063" customFormat="false" ht="15" hidden="false" customHeight="false" outlineLevel="0" collapsed="false">
      <c r="A2063" s="31" t="n">
        <v>42821.875</v>
      </c>
      <c r="B2063" s="32" t="n">
        <v>191.445</v>
      </c>
      <c r="D2063" s="33" t="n">
        <f aca="false">WEEKDAY(A2063,2)</f>
        <v>1</v>
      </c>
      <c r="E2063" s="33" t="n">
        <f aca="false">HOUR(A2063)+MINUTE(A2063)/60</f>
        <v>21</v>
      </c>
      <c r="F2063" s="33" t="n">
        <f aca="false">IF(OR(D2063&gt;5,E2063&lt;8,E2063&gt;=18,COUNTIF($K$2:$K$10,INT(A2063))&gt;0),1,0)</f>
        <v>1</v>
      </c>
      <c r="G2063" s="34" t="n">
        <f aca="false">B2063/1</f>
        <v>191.445</v>
      </c>
      <c r="H2063" s="34" t="n">
        <f aca="false">IF(F2063=1,G2063,"")</f>
        <v>191.445</v>
      </c>
    </row>
    <row r="2064" customFormat="false" ht="15" hidden="false" customHeight="false" outlineLevel="0" collapsed="false">
      <c r="A2064" s="31" t="n">
        <v>42821.9166666667</v>
      </c>
      <c r="B2064" s="32" t="n">
        <v>138.621</v>
      </c>
      <c r="D2064" s="33" t="n">
        <f aca="false">WEEKDAY(A2064,2)</f>
        <v>1</v>
      </c>
      <c r="E2064" s="33" t="n">
        <f aca="false">HOUR(A2064)+MINUTE(A2064)/60</f>
        <v>22</v>
      </c>
      <c r="F2064" s="33" t="n">
        <f aca="false">IF(OR(D2064&gt;5,E2064&lt;8,E2064&gt;=18,COUNTIF($K$2:$K$10,INT(A2064))&gt;0),1,0)</f>
        <v>1</v>
      </c>
      <c r="G2064" s="34" t="n">
        <f aca="false">B2064/1</f>
        <v>138.621</v>
      </c>
      <c r="H2064" s="34" t="n">
        <f aca="false">IF(F2064=1,G2064,"")</f>
        <v>138.621</v>
      </c>
    </row>
    <row r="2065" customFormat="false" ht="15" hidden="false" customHeight="false" outlineLevel="0" collapsed="false">
      <c r="A2065" s="31" t="n">
        <v>42821.9583333333</v>
      </c>
      <c r="B2065" s="32" t="n">
        <v>74.884</v>
      </c>
      <c r="D2065" s="33" t="n">
        <f aca="false">WEEKDAY(A2065,2)</f>
        <v>1</v>
      </c>
      <c r="E2065" s="33" t="n">
        <f aca="false">HOUR(A2065)+MINUTE(A2065)/60</f>
        <v>23</v>
      </c>
      <c r="F2065" s="33" t="n">
        <f aca="false">IF(OR(D2065&gt;5,E2065&lt;8,E2065&gt;=18,COUNTIF($K$2:$K$10,INT(A2065))&gt;0),1,0)</f>
        <v>1</v>
      </c>
      <c r="G2065" s="34" t="n">
        <f aca="false">B2065/1</f>
        <v>74.884</v>
      </c>
      <c r="H2065" s="34" t="n">
        <f aca="false">IF(F2065=1,G2065,"")</f>
        <v>74.884</v>
      </c>
    </row>
    <row r="2066" customFormat="false" ht="15" hidden="false" customHeight="false" outlineLevel="0" collapsed="false">
      <c r="A2066" s="31" t="n">
        <v>42822</v>
      </c>
      <c r="B2066" s="32" t="n">
        <v>70.173</v>
      </c>
      <c r="D2066" s="33" t="n">
        <f aca="false">WEEKDAY(A2066,2)</f>
        <v>2</v>
      </c>
      <c r="E2066" s="33" t="n">
        <f aca="false">HOUR(A2066)+MINUTE(A2066)/60</f>
        <v>0</v>
      </c>
      <c r="F2066" s="33" t="n">
        <f aca="false">IF(OR(D2066&gt;5,E2066&lt;8,E2066&gt;=18,COUNTIF($K$2:$K$10,INT(A2066))&gt;0),1,0)</f>
        <v>1</v>
      </c>
      <c r="G2066" s="34" t="n">
        <f aca="false">B2066/1</f>
        <v>70.173</v>
      </c>
      <c r="H2066" s="34" t="n">
        <f aca="false">IF(F2066=1,G2066,"")</f>
        <v>70.173</v>
      </c>
    </row>
    <row r="2067" customFormat="false" ht="15" hidden="false" customHeight="false" outlineLevel="0" collapsed="false">
      <c r="A2067" s="31" t="n">
        <v>42822.0416666667</v>
      </c>
      <c r="B2067" s="32" t="n">
        <v>63.874</v>
      </c>
      <c r="D2067" s="33" t="n">
        <f aca="false">WEEKDAY(A2067,2)</f>
        <v>2</v>
      </c>
      <c r="E2067" s="33" t="n">
        <f aca="false">HOUR(A2067)+MINUTE(A2067)/60</f>
        <v>1</v>
      </c>
      <c r="F2067" s="33" t="n">
        <f aca="false">IF(OR(D2067&gt;5,E2067&lt;8,E2067&gt;=18,COUNTIF($K$2:$K$10,INT(A2067))&gt;0),1,0)</f>
        <v>1</v>
      </c>
      <c r="G2067" s="34" t="n">
        <f aca="false">B2067/1</f>
        <v>63.874</v>
      </c>
      <c r="H2067" s="34" t="n">
        <f aca="false">IF(F2067=1,G2067,"")</f>
        <v>63.874</v>
      </c>
    </row>
    <row r="2068" customFormat="false" ht="15" hidden="false" customHeight="false" outlineLevel="0" collapsed="false">
      <c r="A2068" s="31" t="n">
        <v>42822.0833333333</v>
      </c>
      <c r="B2068" s="32" t="n">
        <v>58.293</v>
      </c>
      <c r="D2068" s="33" t="n">
        <f aca="false">WEEKDAY(A2068,2)</f>
        <v>2</v>
      </c>
      <c r="E2068" s="33" t="n">
        <f aca="false">HOUR(A2068)+MINUTE(A2068)/60</f>
        <v>2</v>
      </c>
      <c r="F2068" s="33" t="n">
        <f aca="false">IF(OR(D2068&gt;5,E2068&lt;8,E2068&gt;=18,COUNTIF($K$2:$K$10,INT(A2068))&gt;0),1,0)</f>
        <v>1</v>
      </c>
      <c r="G2068" s="34" t="n">
        <f aca="false">B2068/1</f>
        <v>58.293</v>
      </c>
      <c r="H2068" s="34" t="n">
        <f aca="false">IF(F2068=1,G2068,"")</f>
        <v>58.293</v>
      </c>
    </row>
    <row r="2069" customFormat="false" ht="15" hidden="false" customHeight="false" outlineLevel="0" collapsed="false">
      <c r="A2069" s="31" t="n">
        <v>42822.125</v>
      </c>
      <c r="B2069" s="32" t="n">
        <v>58.091</v>
      </c>
      <c r="D2069" s="33" t="n">
        <f aca="false">WEEKDAY(A2069,2)</f>
        <v>2</v>
      </c>
      <c r="E2069" s="33" t="n">
        <f aca="false">HOUR(A2069)+MINUTE(A2069)/60</f>
        <v>3</v>
      </c>
      <c r="F2069" s="33" t="n">
        <f aca="false">IF(OR(D2069&gt;5,E2069&lt;8,E2069&gt;=18,COUNTIF($K$2:$K$10,INT(A2069))&gt;0),1,0)</f>
        <v>1</v>
      </c>
      <c r="G2069" s="34" t="n">
        <f aca="false">B2069/1</f>
        <v>58.091</v>
      </c>
      <c r="H2069" s="34" t="n">
        <f aca="false">IF(F2069=1,G2069,"")</f>
        <v>58.091</v>
      </c>
    </row>
    <row r="2070" customFormat="false" ht="15" hidden="false" customHeight="false" outlineLevel="0" collapsed="false">
      <c r="A2070" s="31" t="n">
        <v>42822.1666666667</v>
      </c>
      <c r="B2070" s="32" t="n">
        <v>55.996</v>
      </c>
      <c r="D2070" s="33" t="n">
        <f aca="false">WEEKDAY(A2070,2)</f>
        <v>2</v>
      </c>
      <c r="E2070" s="33" t="n">
        <f aca="false">HOUR(A2070)+MINUTE(A2070)/60</f>
        <v>4</v>
      </c>
      <c r="F2070" s="33" t="n">
        <f aca="false">IF(OR(D2070&gt;5,E2070&lt;8,E2070&gt;=18,COUNTIF($K$2:$K$10,INT(A2070))&gt;0),1,0)</f>
        <v>1</v>
      </c>
      <c r="G2070" s="34" t="n">
        <f aca="false">B2070/1</f>
        <v>55.996</v>
      </c>
      <c r="H2070" s="34" t="n">
        <f aca="false">IF(F2070=1,G2070,"")</f>
        <v>55.996</v>
      </c>
    </row>
    <row r="2071" customFormat="false" ht="15" hidden="false" customHeight="false" outlineLevel="0" collapsed="false">
      <c r="A2071" s="31" t="n">
        <v>42822.2083333333</v>
      </c>
      <c r="B2071" s="32" t="n">
        <v>56.02</v>
      </c>
      <c r="D2071" s="33" t="n">
        <f aca="false">WEEKDAY(A2071,2)</f>
        <v>2</v>
      </c>
      <c r="E2071" s="33" t="n">
        <f aca="false">HOUR(A2071)+MINUTE(A2071)/60</f>
        <v>5</v>
      </c>
      <c r="F2071" s="33" t="n">
        <f aca="false">IF(OR(D2071&gt;5,E2071&lt;8,E2071&gt;=18,COUNTIF($K$2:$K$10,INT(A2071))&gt;0),1,0)</f>
        <v>1</v>
      </c>
      <c r="G2071" s="34" t="n">
        <f aca="false">B2071/1</f>
        <v>56.02</v>
      </c>
      <c r="H2071" s="34" t="n">
        <f aca="false">IF(F2071=1,G2071,"")</f>
        <v>56.02</v>
      </c>
    </row>
    <row r="2072" customFormat="false" ht="15" hidden="false" customHeight="false" outlineLevel="0" collapsed="false">
      <c r="A2072" s="31" t="n">
        <v>42822.25</v>
      </c>
      <c r="B2072" s="32" t="n">
        <v>61.587</v>
      </c>
      <c r="D2072" s="33" t="n">
        <f aca="false">WEEKDAY(A2072,2)</f>
        <v>2</v>
      </c>
      <c r="E2072" s="33" t="n">
        <f aca="false">HOUR(A2072)+MINUTE(A2072)/60</f>
        <v>6</v>
      </c>
      <c r="F2072" s="33" t="n">
        <f aca="false">IF(OR(D2072&gt;5,E2072&lt;8,E2072&gt;=18,COUNTIF($K$2:$K$10,INT(A2072))&gt;0),1,0)</f>
        <v>1</v>
      </c>
      <c r="G2072" s="34" t="n">
        <f aca="false">B2072/1</f>
        <v>61.587</v>
      </c>
      <c r="H2072" s="34" t="n">
        <f aca="false">IF(F2072=1,G2072,"")</f>
        <v>61.587</v>
      </c>
    </row>
    <row r="2073" customFormat="false" ht="15" hidden="false" customHeight="false" outlineLevel="0" collapsed="false">
      <c r="A2073" s="31" t="n">
        <v>42822.2916666667</v>
      </c>
      <c r="B2073" s="32" t="n">
        <v>62.612</v>
      </c>
      <c r="D2073" s="33" t="n">
        <f aca="false">WEEKDAY(A2073,2)</f>
        <v>2</v>
      </c>
      <c r="E2073" s="33" t="n">
        <f aca="false">HOUR(A2073)+MINUTE(A2073)/60</f>
        <v>7</v>
      </c>
      <c r="F2073" s="33" t="n">
        <f aca="false">IF(OR(D2073&gt;5,E2073&lt;8,E2073&gt;=18,COUNTIF($K$2:$K$10,INT(A2073))&gt;0),1,0)</f>
        <v>1</v>
      </c>
      <c r="G2073" s="34" t="n">
        <f aca="false">B2073/1</f>
        <v>62.612</v>
      </c>
      <c r="H2073" s="34" t="n">
        <f aca="false">IF(F2073=1,G2073,"")</f>
        <v>62.612</v>
      </c>
    </row>
    <row r="2074" customFormat="false" ht="15" hidden="false" customHeight="false" outlineLevel="0" collapsed="false">
      <c r="A2074" s="31" t="n">
        <v>42822.3333333333</v>
      </c>
      <c r="B2074" s="32" t="n">
        <v>173.478</v>
      </c>
      <c r="D2074" s="33" t="n">
        <f aca="false">WEEKDAY(A2074,2)</f>
        <v>2</v>
      </c>
      <c r="E2074" s="33" t="n">
        <f aca="false">HOUR(A2074)+MINUTE(A2074)/60</f>
        <v>8</v>
      </c>
      <c r="F2074" s="33" t="n">
        <f aca="false">IF(OR(D2074&gt;5,E2074&lt;8,E2074&gt;=18,COUNTIF($K$2:$K$10,INT(A2074))&gt;0),1,0)</f>
        <v>0</v>
      </c>
      <c r="G2074" s="34" t="n">
        <f aca="false">B2074/1</f>
        <v>173.478</v>
      </c>
      <c r="H2074" s="34" t="str">
        <f aca="false">IF(F2074=1,G2074,"")</f>
        <v/>
      </c>
    </row>
    <row r="2075" customFormat="false" ht="15" hidden="false" customHeight="false" outlineLevel="0" collapsed="false">
      <c r="A2075" s="31" t="n">
        <v>42822.375</v>
      </c>
      <c r="B2075" s="32" t="n">
        <v>217.69</v>
      </c>
      <c r="D2075" s="33" t="n">
        <f aca="false">WEEKDAY(A2075,2)</f>
        <v>2</v>
      </c>
      <c r="E2075" s="33" t="n">
        <f aca="false">HOUR(A2075)+MINUTE(A2075)/60</f>
        <v>9</v>
      </c>
      <c r="F2075" s="33" t="n">
        <f aca="false">IF(OR(D2075&gt;5,E2075&lt;8,E2075&gt;=18,COUNTIF($K$2:$K$10,INT(A2075))&gt;0),1,0)</f>
        <v>0</v>
      </c>
      <c r="G2075" s="34" t="n">
        <f aca="false">B2075/1</f>
        <v>217.69</v>
      </c>
      <c r="H2075" s="34" t="str">
        <f aca="false">IF(F2075=1,G2075,"")</f>
        <v/>
      </c>
    </row>
    <row r="2076" customFormat="false" ht="15" hidden="false" customHeight="false" outlineLevel="0" collapsed="false">
      <c r="A2076" s="31" t="n">
        <v>42822.4166666667</v>
      </c>
      <c r="B2076" s="32" t="n">
        <v>243.89</v>
      </c>
      <c r="D2076" s="33" t="n">
        <f aca="false">WEEKDAY(A2076,2)</f>
        <v>2</v>
      </c>
      <c r="E2076" s="33" t="n">
        <f aca="false">HOUR(A2076)+MINUTE(A2076)/60</f>
        <v>10</v>
      </c>
      <c r="F2076" s="33" t="n">
        <f aca="false">IF(OR(D2076&gt;5,E2076&lt;8,E2076&gt;=18,COUNTIF($K$2:$K$10,INT(A2076))&gt;0),1,0)</f>
        <v>0</v>
      </c>
      <c r="G2076" s="34" t="n">
        <f aca="false">B2076/1</f>
        <v>243.89</v>
      </c>
      <c r="H2076" s="34" t="str">
        <f aca="false">IF(F2076=1,G2076,"")</f>
        <v/>
      </c>
    </row>
    <row r="2077" customFormat="false" ht="15" hidden="false" customHeight="false" outlineLevel="0" collapsed="false">
      <c r="A2077" s="31" t="n">
        <v>42822.4583333333</v>
      </c>
      <c r="B2077" s="32" t="n">
        <v>283.892</v>
      </c>
      <c r="D2077" s="33" t="n">
        <f aca="false">WEEKDAY(A2077,2)</f>
        <v>2</v>
      </c>
      <c r="E2077" s="33" t="n">
        <f aca="false">HOUR(A2077)+MINUTE(A2077)/60</f>
        <v>11</v>
      </c>
      <c r="F2077" s="33" t="n">
        <f aca="false">IF(OR(D2077&gt;5,E2077&lt;8,E2077&gt;=18,COUNTIF($K$2:$K$10,INT(A2077))&gt;0),1,0)</f>
        <v>0</v>
      </c>
      <c r="G2077" s="34" t="n">
        <f aca="false">B2077/1</f>
        <v>283.892</v>
      </c>
      <c r="H2077" s="34" t="str">
        <f aca="false">IF(F2077=1,G2077,"")</f>
        <v/>
      </c>
    </row>
    <row r="2078" customFormat="false" ht="15" hidden="false" customHeight="false" outlineLevel="0" collapsed="false">
      <c r="A2078" s="31" t="n">
        <v>42822.5</v>
      </c>
      <c r="B2078" s="32" t="n">
        <v>267.91</v>
      </c>
      <c r="D2078" s="33" t="n">
        <f aca="false">WEEKDAY(A2078,2)</f>
        <v>2</v>
      </c>
      <c r="E2078" s="33" t="n">
        <f aca="false">HOUR(A2078)+MINUTE(A2078)/60</f>
        <v>12</v>
      </c>
      <c r="F2078" s="33" t="n">
        <f aca="false">IF(OR(D2078&gt;5,E2078&lt;8,E2078&gt;=18,COUNTIF($K$2:$K$10,INT(A2078))&gt;0),1,0)</f>
        <v>0</v>
      </c>
      <c r="G2078" s="34" t="n">
        <f aca="false">B2078/1</f>
        <v>267.91</v>
      </c>
      <c r="H2078" s="34" t="str">
        <f aca="false">IF(F2078=1,G2078,"")</f>
        <v/>
      </c>
    </row>
    <row r="2079" customFormat="false" ht="15" hidden="false" customHeight="false" outlineLevel="0" collapsed="false">
      <c r="A2079" s="31" t="n">
        <v>42822.5416666667</v>
      </c>
      <c r="B2079" s="32" t="n">
        <v>260.51</v>
      </c>
      <c r="D2079" s="33" t="n">
        <f aca="false">WEEKDAY(A2079,2)</f>
        <v>2</v>
      </c>
      <c r="E2079" s="33" t="n">
        <f aca="false">HOUR(A2079)+MINUTE(A2079)/60</f>
        <v>13</v>
      </c>
      <c r="F2079" s="33" t="n">
        <f aca="false">IF(OR(D2079&gt;5,E2079&lt;8,E2079&gt;=18,COUNTIF($K$2:$K$10,INT(A2079))&gt;0),1,0)</f>
        <v>0</v>
      </c>
      <c r="G2079" s="34" t="n">
        <f aca="false">B2079/1</f>
        <v>260.51</v>
      </c>
      <c r="H2079" s="34" t="str">
        <f aca="false">IF(F2079=1,G2079,"")</f>
        <v/>
      </c>
    </row>
    <row r="2080" customFormat="false" ht="15" hidden="false" customHeight="false" outlineLevel="0" collapsed="false">
      <c r="A2080" s="31" t="n">
        <v>42822.5833333333</v>
      </c>
      <c r="B2080" s="32" t="n">
        <v>258.982</v>
      </c>
      <c r="D2080" s="33" t="n">
        <f aca="false">WEEKDAY(A2080,2)</f>
        <v>2</v>
      </c>
      <c r="E2080" s="33" t="n">
        <f aca="false">HOUR(A2080)+MINUTE(A2080)/60</f>
        <v>14</v>
      </c>
      <c r="F2080" s="33" t="n">
        <f aca="false">IF(OR(D2080&gt;5,E2080&lt;8,E2080&gt;=18,COUNTIF($K$2:$K$10,INT(A2080))&gt;0),1,0)</f>
        <v>0</v>
      </c>
      <c r="G2080" s="34" t="n">
        <f aca="false">B2080/1</f>
        <v>258.982</v>
      </c>
      <c r="H2080" s="34" t="str">
        <f aca="false">IF(F2080=1,G2080,"")</f>
        <v/>
      </c>
    </row>
    <row r="2081" customFormat="false" ht="15" hidden="false" customHeight="false" outlineLevel="0" collapsed="false">
      <c r="A2081" s="31" t="n">
        <v>42822.625</v>
      </c>
      <c r="B2081" s="32" t="n">
        <v>280.485</v>
      </c>
      <c r="D2081" s="33" t="n">
        <f aca="false">WEEKDAY(A2081,2)</f>
        <v>2</v>
      </c>
      <c r="E2081" s="33" t="n">
        <f aca="false">HOUR(A2081)+MINUTE(A2081)/60</f>
        <v>15</v>
      </c>
      <c r="F2081" s="33" t="n">
        <f aca="false">IF(OR(D2081&gt;5,E2081&lt;8,E2081&gt;=18,COUNTIF($K$2:$K$10,INT(A2081))&gt;0),1,0)</f>
        <v>0</v>
      </c>
      <c r="G2081" s="34" t="n">
        <f aca="false">B2081/1</f>
        <v>280.485</v>
      </c>
      <c r="H2081" s="34" t="str">
        <f aca="false">IF(F2081=1,G2081,"")</f>
        <v/>
      </c>
    </row>
    <row r="2082" customFormat="false" ht="15" hidden="false" customHeight="false" outlineLevel="0" collapsed="false">
      <c r="A2082" s="31" t="n">
        <v>42822.6666666667</v>
      </c>
      <c r="B2082" s="32" t="n">
        <v>259.547</v>
      </c>
      <c r="D2082" s="33" t="n">
        <f aca="false">WEEKDAY(A2082,2)</f>
        <v>2</v>
      </c>
      <c r="E2082" s="33" t="n">
        <f aca="false">HOUR(A2082)+MINUTE(A2082)/60</f>
        <v>16</v>
      </c>
      <c r="F2082" s="33" t="n">
        <f aca="false">IF(OR(D2082&gt;5,E2082&lt;8,E2082&gt;=18,COUNTIF($K$2:$K$10,INT(A2082))&gt;0),1,0)</f>
        <v>0</v>
      </c>
      <c r="G2082" s="34" t="n">
        <f aca="false">B2082/1</f>
        <v>259.547</v>
      </c>
      <c r="H2082" s="34" t="str">
        <f aca="false">IF(F2082=1,G2082,"")</f>
        <v/>
      </c>
    </row>
    <row r="2083" customFormat="false" ht="15" hidden="false" customHeight="false" outlineLevel="0" collapsed="false">
      <c r="A2083" s="31" t="n">
        <v>42822.7083333333</v>
      </c>
      <c r="B2083" s="32" t="n">
        <v>248.099</v>
      </c>
      <c r="D2083" s="33" t="n">
        <f aca="false">WEEKDAY(A2083,2)</f>
        <v>2</v>
      </c>
      <c r="E2083" s="33" t="n">
        <f aca="false">HOUR(A2083)+MINUTE(A2083)/60</f>
        <v>17</v>
      </c>
      <c r="F2083" s="33" t="n">
        <f aca="false">IF(OR(D2083&gt;5,E2083&lt;8,E2083&gt;=18,COUNTIF($K$2:$K$10,INT(A2083))&gt;0),1,0)</f>
        <v>0</v>
      </c>
      <c r="G2083" s="34" t="n">
        <f aca="false">B2083/1</f>
        <v>248.099</v>
      </c>
      <c r="H2083" s="34" t="str">
        <f aca="false">IF(F2083=1,G2083,"")</f>
        <v/>
      </c>
    </row>
    <row r="2084" customFormat="false" ht="15" hidden="false" customHeight="false" outlineLevel="0" collapsed="false">
      <c r="A2084" s="31" t="n">
        <v>42822.75</v>
      </c>
      <c r="B2084" s="32" t="n">
        <v>230.533</v>
      </c>
      <c r="D2084" s="33" t="n">
        <f aca="false">WEEKDAY(A2084,2)</f>
        <v>2</v>
      </c>
      <c r="E2084" s="33" t="n">
        <f aca="false">HOUR(A2084)+MINUTE(A2084)/60</f>
        <v>18</v>
      </c>
      <c r="F2084" s="33" t="n">
        <f aca="false">IF(OR(D2084&gt;5,E2084&lt;8,E2084&gt;=18,COUNTIF($K$2:$K$10,INT(A2084))&gt;0),1,0)</f>
        <v>1</v>
      </c>
      <c r="G2084" s="34" t="n">
        <f aca="false">B2084/1</f>
        <v>230.533</v>
      </c>
      <c r="H2084" s="34" t="n">
        <f aca="false">IF(F2084=1,G2084,"")</f>
        <v>230.533</v>
      </c>
    </row>
    <row r="2085" customFormat="false" ht="15" hidden="false" customHeight="false" outlineLevel="0" collapsed="false">
      <c r="A2085" s="31" t="n">
        <v>42822.7916666667</v>
      </c>
      <c r="B2085" s="32" t="n">
        <v>226.992</v>
      </c>
      <c r="D2085" s="33" t="n">
        <f aca="false">WEEKDAY(A2085,2)</f>
        <v>2</v>
      </c>
      <c r="E2085" s="33" t="n">
        <f aca="false">HOUR(A2085)+MINUTE(A2085)/60</f>
        <v>19</v>
      </c>
      <c r="F2085" s="33" t="n">
        <f aca="false">IF(OR(D2085&gt;5,E2085&lt;8,E2085&gt;=18,COUNTIF($K$2:$K$10,INT(A2085))&gt;0),1,0)</f>
        <v>1</v>
      </c>
      <c r="G2085" s="34" t="n">
        <f aca="false">B2085/1</f>
        <v>226.992</v>
      </c>
      <c r="H2085" s="34" t="n">
        <f aca="false">IF(F2085=1,G2085,"")</f>
        <v>226.992</v>
      </c>
    </row>
    <row r="2086" customFormat="false" ht="15" hidden="false" customHeight="false" outlineLevel="0" collapsed="false">
      <c r="A2086" s="31" t="n">
        <v>42822.8333333333</v>
      </c>
      <c r="B2086" s="32" t="n">
        <v>207.578</v>
      </c>
      <c r="D2086" s="33" t="n">
        <f aca="false">WEEKDAY(A2086,2)</f>
        <v>2</v>
      </c>
      <c r="E2086" s="33" t="n">
        <f aca="false">HOUR(A2086)+MINUTE(A2086)/60</f>
        <v>20</v>
      </c>
      <c r="F2086" s="33" t="n">
        <f aca="false">IF(OR(D2086&gt;5,E2086&lt;8,E2086&gt;=18,COUNTIF($K$2:$K$10,INT(A2086))&gt;0),1,0)</f>
        <v>1</v>
      </c>
      <c r="G2086" s="34" t="n">
        <f aca="false">B2086/1</f>
        <v>207.578</v>
      </c>
      <c r="H2086" s="34" t="n">
        <f aca="false">IF(F2086=1,G2086,"")</f>
        <v>207.578</v>
      </c>
    </row>
    <row r="2087" customFormat="false" ht="15" hidden="false" customHeight="false" outlineLevel="0" collapsed="false">
      <c r="A2087" s="31" t="n">
        <v>42822.875</v>
      </c>
      <c r="B2087" s="32" t="n">
        <v>201.12</v>
      </c>
      <c r="D2087" s="33" t="n">
        <f aca="false">WEEKDAY(A2087,2)</f>
        <v>2</v>
      </c>
      <c r="E2087" s="33" t="n">
        <f aca="false">HOUR(A2087)+MINUTE(A2087)/60</f>
        <v>21</v>
      </c>
      <c r="F2087" s="33" t="n">
        <f aca="false">IF(OR(D2087&gt;5,E2087&lt;8,E2087&gt;=18,COUNTIF($K$2:$K$10,INT(A2087))&gt;0),1,0)</f>
        <v>1</v>
      </c>
      <c r="G2087" s="34" t="n">
        <f aca="false">B2087/1</f>
        <v>201.12</v>
      </c>
      <c r="H2087" s="34" t="n">
        <f aca="false">IF(F2087=1,G2087,"")</f>
        <v>201.12</v>
      </c>
    </row>
    <row r="2088" customFormat="false" ht="15" hidden="false" customHeight="false" outlineLevel="0" collapsed="false">
      <c r="A2088" s="31" t="n">
        <v>42822.9166666667</v>
      </c>
      <c r="B2088" s="32" t="n">
        <v>133.172</v>
      </c>
      <c r="D2088" s="33" t="n">
        <f aca="false">WEEKDAY(A2088,2)</f>
        <v>2</v>
      </c>
      <c r="E2088" s="33" t="n">
        <f aca="false">HOUR(A2088)+MINUTE(A2088)/60</f>
        <v>22</v>
      </c>
      <c r="F2088" s="33" t="n">
        <f aca="false">IF(OR(D2088&gt;5,E2088&lt;8,E2088&gt;=18,COUNTIF($K$2:$K$10,INT(A2088))&gt;0),1,0)</f>
        <v>1</v>
      </c>
      <c r="G2088" s="34" t="n">
        <f aca="false">B2088/1</f>
        <v>133.172</v>
      </c>
      <c r="H2088" s="34" t="n">
        <f aca="false">IF(F2088=1,G2088,"")</f>
        <v>133.172</v>
      </c>
    </row>
    <row r="2089" customFormat="false" ht="15" hidden="false" customHeight="false" outlineLevel="0" collapsed="false">
      <c r="A2089" s="31" t="n">
        <v>42822.9583333333</v>
      </c>
      <c r="B2089" s="32" t="n">
        <v>67.386</v>
      </c>
      <c r="D2089" s="33" t="n">
        <f aca="false">WEEKDAY(A2089,2)</f>
        <v>2</v>
      </c>
      <c r="E2089" s="33" t="n">
        <f aca="false">HOUR(A2089)+MINUTE(A2089)/60</f>
        <v>23</v>
      </c>
      <c r="F2089" s="33" t="n">
        <f aca="false">IF(OR(D2089&gt;5,E2089&lt;8,E2089&gt;=18,COUNTIF($K$2:$K$10,INT(A2089))&gt;0),1,0)</f>
        <v>1</v>
      </c>
      <c r="G2089" s="34" t="n">
        <f aca="false">B2089/1</f>
        <v>67.386</v>
      </c>
      <c r="H2089" s="34" t="n">
        <f aca="false">IF(F2089=1,G2089,"")</f>
        <v>67.386</v>
      </c>
    </row>
    <row r="2090" customFormat="false" ht="15" hidden="false" customHeight="false" outlineLevel="0" collapsed="false">
      <c r="A2090" s="31" t="n">
        <v>42823</v>
      </c>
      <c r="B2090" s="32" t="n">
        <v>66.094</v>
      </c>
      <c r="D2090" s="33" t="n">
        <f aca="false">WEEKDAY(A2090,2)</f>
        <v>3</v>
      </c>
      <c r="E2090" s="33" t="n">
        <f aca="false">HOUR(A2090)+MINUTE(A2090)/60</f>
        <v>0</v>
      </c>
      <c r="F2090" s="33" t="n">
        <f aca="false">IF(OR(D2090&gt;5,E2090&lt;8,E2090&gt;=18,COUNTIF($K$2:$K$10,INT(A2090))&gt;0),1,0)</f>
        <v>1</v>
      </c>
      <c r="G2090" s="34" t="n">
        <f aca="false">B2090/1</f>
        <v>66.094</v>
      </c>
      <c r="H2090" s="34" t="n">
        <f aca="false">IF(F2090=1,G2090,"")</f>
        <v>66.094</v>
      </c>
    </row>
    <row r="2091" customFormat="false" ht="15" hidden="false" customHeight="false" outlineLevel="0" collapsed="false">
      <c r="A2091" s="31" t="n">
        <v>42823.0416666667</v>
      </c>
      <c r="B2091" s="32" t="n">
        <v>64.959</v>
      </c>
      <c r="D2091" s="33" t="n">
        <f aca="false">WEEKDAY(A2091,2)</f>
        <v>3</v>
      </c>
      <c r="E2091" s="33" t="n">
        <f aca="false">HOUR(A2091)+MINUTE(A2091)/60</f>
        <v>1</v>
      </c>
      <c r="F2091" s="33" t="n">
        <f aca="false">IF(OR(D2091&gt;5,E2091&lt;8,E2091&gt;=18,COUNTIF($K$2:$K$10,INT(A2091))&gt;0),1,0)</f>
        <v>1</v>
      </c>
      <c r="G2091" s="34" t="n">
        <f aca="false">B2091/1</f>
        <v>64.959</v>
      </c>
      <c r="H2091" s="34" t="n">
        <f aca="false">IF(F2091=1,G2091,"")</f>
        <v>64.959</v>
      </c>
    </row>
    <row r="2092" customFormat="false" ht="15" hidden="false" customHeight="false" outlineLevel="0" collapsed="false">
      <c r="A2092" s="31" t="n">
        <v>42823.0833333333</v>
      </c>
      <c r="B2092" s="32" t="n">
        <v>60.229</v>
      </c>
      <c r="D2092" s="33" t="n">
        <f aca="false">WEEKDAY(A2092,2)</f>
        <v>3</v>
      </c>
      <c r="E2092" s="33" t="n">
        <f aca="false">HOUR(A2092)+MINUTE(A2092)/60</f>
        <v>2</v>
      </c>
      <c r="F2092" s="33" t="n">
        <f aca="false">IF(OR(D2092&gt;5,E2092&lt;8,E2092&gt;=18,COUNTIF($K$2:$K$10,INT(A2092))&gt;0),1,0)</f>
        <v>1</v>
      </c>
      <c r="G2092" s="34" t="n">
        <f aca="false">B2092/1</f>
        <v>60.229</v>
      </c>
      <c r="H2092" s="34" t="n">
        <f aca="false">IF(F2092=1,G2092,"")</f>
        <v>60.229</v>
      </c>
    </row>
    <row r="2093" customFormat="false" ht="15" hidden="false" customHeight="false" outlineLevel="0" collapsed="false">
      <c r="A2093" s="31" t="n">
        <v>42823.125</v>
      </c>
      <c r="B2093" s="32" t="n">
        <v>59.798</v>
      </c>
      <c r="D2093" s="33" t="n">
        <f aca="false">WEEKDAY(A2093,2)</f>
        <v>3</v>
      </c>
      <c r="E2093" s="33" t="n">
        <f aca="false">HOUR(A2093)+MINUTE(A2093)/60</f>
        <v>3</v>
      </c>
      <c r="F2093" s="33" t="n">
        <f aca="false">IF(OR(D2093&gt;5,E2093&lt;8,E2093&gt;=18,COUNTIF($K$2:$K$10,INT(A2093))&gt;0),1,0)</f>
        <v>1</v>
      </c>
      <c r="G2093" s="34" t="n">
        <f aca="false">B2093/1</f>
        <v>59.798</v>
      </c>
      <c r="H2093" s="34" t="n">
        <f aca="false">IF(F2093=1,G2093,"")</f>
        <v>59.798</v>
      </c>
    </row>
    <row r="2094" customFormat="false" ht="15" hidden="false" customHeight="false" outlineLevel="0" collapsed="false">
      <c r="A2094" s="31" t="n">
        <v>42823.1666666667</v>
      </c>
      <c r="B2094" s="32" t="n">
        <v>60.921</v>
      </c>
      <c r="D2094" s="33" t="n">
        <f aca="false">WEEKDAY(A2094,2)</f>
        <v>3</v>
      </c>
      <c r="E2094" s="33" t="n">
        <f aca="false">HOUR(A2094)+MINUTE(A2094)/60</f>
        <v>4</v>
      </c>
      <c r="F2094" s="33" t="n">
        <f aca="false">IF(OR(D2094&gt;5,E2094&lt;8,E2094&gt;=18,COUNTIF($K$2:$K$10,INT(A2094))&gt;0),1,0)</f>
        <v>1</v>
      </c>
      <c r="G2094" s="34" t="n">
        <f aca="false">B2094/1</f>
        <v>60.921</v>
      </c>
      <c r="H2094" s="34" t="n">
        <f aca="false">IF(F2094=1,G2094,"")</f>
        <v>60.921</v>
      </c>
    </row>
    <row r="2095" customFormat="false" ht="15" hidden="false" customHeight="false" outlineLevel="0" collapsed="false">
      <c r="A2095" s="31" t="n">
        <v>42823.2083333333</v>
      </c>
      <c r="B2095" s="32" t="n">
        <v>60.076</v>
      </c>
      <c r="D2095" s="33" t="n">
        <f aca="false">WEEKDAY(A2095,2)</f>
        <v>3</v>
      </c>
      <c r="E2095" s="33" t="n">
        <f aca="false">HOUR(A2095)+MINUTE(A2095)/60</f>
        <v>5</v>
      </c>
      <c r="F2095" s="33" t="n">
        <f aca="false">IF(OR(D2095&gt;5,E2095&lt;8,E2095&gt;=18,COUNTIF($K$2:$K$10,INT(A2095))&gt;0),1,0)</f>
        <v>1</v>
      </c>
      <c r="G2095" s="34" t="n">
        <f aca="false">B2095/1</f>
        <v>60.076</v>
      </c>
      <c r="H2095" s="34" t="n">
        <f aca="false">IF(F2095=1,G2095,"")</f>
        <v>60.076</v>
      </c>
    </row>
    <row r="2096" customFormat="false" ht="15" hidden="false" customHeight="false" outlineLevel="0" collapsed="false">
      <c r="A2096" s="31" t="n">
        <v>42823.25</v>
      </c>
      <c r="B2096" s="32" t="n">
        <v>61.181</v>
      </c>
      <c r="D2096" s="33" t="n">
        <f aca="false">WEEKDAY(A2096,2)</f>
        <v>3</v>
      </c>
      <c r="E2096" s="33" t="n">
        <f aca="false">HOUR(A2096)+MINUTE(A2096)/60</f>
        <v>6</v>
      </c>
      <c r="F2096" s="33" t="n">
        <f aca="false">IF(OR(D2096&gt;5,E2096&lt;8,E2096&gt;=18,COUNTIF($K$2:$K$10,INT(A2096))&gt;0),1,0)</f>
        <v>1</v>
      </c>
      <c r="G2096" s="34" t="n">
        <f aca="false">B2096/1</f>
        <v>61.181</v>
      </c>
      <c r="H2096" s="34" t="n">
        <f aca="false">IF(F2096=1,G2096,"")</f>
        <v>61.181</v>
      </c>
    </row>
    <row r="2097" customFormat="false" ht="15" hidden="false" customHeight="false" outlineLevel="0" collapsed="false">
      <c r="A2097" s="31" t="n">
        <v>42823.2916666667</v>
      </c>
      <c r="B2097" s="32" t="n">
        <v>63.389</v>
      </c>
      <c r="D2097" s="33" t="n">
        <f aca="false">WEEKDAY(A2097,2)</f>
        <v>3</v>
      </c>
      <c r="E2097" s="33" t="n">
        <f aca="false">HOUR(A2097)+MINUTE(A2097)/60</f>
        <v>7</v>
      </c>
      <c r="F2097" s="33" t="n">
        <f aca="false">IF(OR(D2097&gt;5,E2097&lt;8,E2097&gt;=18,COUNTIF($K$2:$K$10,INT(A2097))&gt;0),1,0)</f>
        <v>1</v>
      </c>
      <c r="G2097" s="34" t="n">
        <f aca="false">B2097/1</f>
        <v>63.389</v>
      </c>
      <c r="H2097" s="34" t="n">
        <f aca="false">IF(F2097=1,G2097,"")</f>
        <v>63.389</v>
      </c>
    </row>
    <row r="2098" customFormat="false" ht="15" hidden="false" customHeight="false" outlineLevel="0" collapsed="false">
      <c r="A2098" s="31" t="n">
        <v>42823.3333333333</v>
      </c>
      <c r="B2098" s="32" t="n">
        <v>175.042</v>
      </c>
      <c r="D2098" s="33" t="n">
        <f aca="false">WEEKDAY(A2098,2)</f>
        <v>3</v>
      </c>
      <c r="E2098" s="33" t="n">
        <f aca="false">HOUR(A2098)+MINUTE(A2098)/60</f>
        <v>8</v>
      </c>
      <c r="F2098" s="33" t="n">
        <f aca="false">IF(OR(D2098&gt;5,E2098&lt;8,E2098&gt;=18,COUNTIF($K$2:$K$10,INT(A2098))&gt;0),1,0)</f>
        <v>0</v>
      </c>
      <c r="G2098" s="34" t="n">
        <f aca="false">B2098/1</f>
        <v>175.042</v>
      </c>
      <c r="H2098" s="34" t="str">
        <f aca="false">IF(F2098=1,G2098,"")</f>
        <v/>
      </c>
    </row>
    <row r="2099" customFormat="false" ht="15" hidden="false" customHeight="false" outlineLevel="0" collapsed="false">
      <c r="A2099" s="31" t="n">
        <v>42823.375</v>
      </c>
      <c r="B2099" s="32" t="n">
        <v>213.978</v>
      </c>
      <c r="D2099" s="33" t="n">
        <f aca="false">WEEKDAY(A2099,2)</f>
        <v>3</v>
      </c>
      <c r="E2099" s="33" t="n">
        <f aca="false">HOUR(A2099)+MINUTE(A2099)/60</f>
        <v>9</v>
      </c>
      <c r="F2099" s="33" t="n">
        <f aca="false">IF(OR(D2099&gt;5,E2099&lt;8,E2099&gt;=18,COUNTIF($K$2:$K$10,INT(A2099))&gt;0),1,0)</f>
        <v>0</v>
      </c>
      <c r="G2099" s="34" t="n">
        <f aca="false">B2099/1</f>
        <v>213.978</v>
      </c>
      <c r="H2099" s="34" t="str">
        <f aca="false">IF(F2099=1,G2099,"")</f>
        <v/>
      </c>
    </row>
    <row r="2100" customFormat="false" ht="15" hidden="false" customHeight="false" outlineLevel="0" collapsed="false">
      <c r="A2100" s="31" t="n">
        <v>42823.4166666667</v>
      </c>
      <c r="B2100" s="32" t="n">
        <v>228.787</v>
      </c>
      <c r="D2100" s="33" t="n">
        <f aca="false">WEEKDAY(A2100,2)</f>
        <v>3</v>
      </c>
      <c r="E2100" s="33" t="n">
        <f aca="false">HOUR(A2100)+MINUTE(A2100)/60</f>
        <v>10</v>
      </c>
      <c r="F2100" s="33" t="n">
        <f aca="false">IF(OR(D2100&gt;5,E2100&lt;8,E2100&gt;=18,COUNTIF($K$2:$K$10,INT(A2100))&gt;0),1,0)</f>
        <v>0</v>
      </c>
      <c r="G2100" s="34" t="n">
        <f aca="false">B2100/1</f>
        <v>228.787</v>
      </c>
      <c r="H2100" s="34" t="str">
        <f aca="false">IF(F2100=1,G2100,"")</f>
        <v/>
      </c>
    </row>
    <row r="2101" customFormat="false" ht="15" hidden="false" customHeight="false" outlineLevel="0" collapsed="false">
      <c r="A2101" s="31" t="n">
        <v>42823.4583333333</v>
      </c>
      <c r="B2101" s="32" t="n">
        <v>248.335</v>
      </c>
      <c r="D2101" s="33" t="n">
        <f aca="false">WEEKDAY(A2101,2)</f>
        <v>3</v>
      </c>
      <c r="E2101" s="33" t="n">
        <f aca="false">HOUR(A2101)+MINUTE(A2101)/60</f>
        <v>11</v>
      </c>
      <c r="F2101" s="33" t="n">
        <f aca="false">IF(OR(D2101&gt;5,E2101&lt;8,E2101&gt;=18,COUNTIF($K$2:$K$10,INT(A2101))&gt;0),1,0)</f>
        <v>0</v>
      </c>
      <c r="G2101" s="34" t="n">
        <f aca="false">B2101/1</f>
        <v>248.335</v>
      </c>
      <c r="H2101" s="34" t="str">
        <f aca="false">IF(F2101=1,G2101,"")</f>
        <v/>
      </c>
    </row>
    <row r="2102" customFormat="false" ht="15" hidden="false" customHeight="false" outlineLevel="0" collapsed="false">
      <c r="A2102" s="31" t="n">
        <v>42823.5</v>
      </c>
      <c r="B2102" s="32" t="n">
        <v>260.699</v>
      </c>
      <c r="D2102" s="33" t="n">
        <f aca="false">WEEKDAY(A2102,2)</f>
        <v>3</v>
      </c>
      <c r="E2102" s="33" t="n">
        <f aca="false">HOUR(A2102)+MINUTE(A2102)/60</f>
        <v>12</v>
      </c>
      <c r="F2102" s="33" t="n">
        <f aca="false">IF(OR(D2102&gt;5,E2102&lt;8,E2102&gt;=18,COUNTIF($K$2:$K$10,INT(A2102))&gt;0),1,0)</f>
        <v>0</v>
      </c>
      <c r="G2102" s="34" t="n">
        <f aca="false">B2102/1</f>
        <v>260.699</v>
      </c>
      <c r="H2102" s="34" t="str">
        <f aca="false">IF(F2102=1,G2102,"")</f>
        <v/>
      </c>
    </row>
    <row r="2103" customFormat="false" ht="15" hidden="false" customHeight="false" outlineLevel="0" collapsed="false">
      <c r="A2103" s="31" t="n">
        <v>42823.5416666667</v>
      </c>
      <c r="B2103" s="32" t="n">
        <v>256.018</v>
      </c>
      <c r="D2103" s="33" t="n">
        <f aca="false">WEEKDAY(A2103,2)</f>
        <v>3</v>
      </c>
      <c r="E2103" s="33" t="n">
        <f aca="false">HOUR(A2103)+MINUTE(A2103)/60</f>
        <v>13</v>
      </c>
      <c r="F2103" s="33" t="n">
        <f aca="false">IF(OR(D2103&gt;5,E2103&lt;8,E2103&gt;=18,COUNTIF($K$2:$K$10,INT(A2103))&gt;0),1,0)</f>
        <v>0</v>
      </c>
      <c r="G2103" s="34" t="n">
        <f aca="false">B2103/1</f>
        <v>256.018</v>
      </c>
      <c r="H2103" s="34" t="str">
        <f aca="false">IF(F2103=1,G2103,"")</f>
        <v/>
      </c>
    </row>
    <row r="2104" customFormat="false" ht="15" hidden="false" customHeight="false" outlineLevel="0" collapsed="false">
      <c r="A2104" s="31" t="n">
        <v>42823.5833333333</v>
      </c>
      <c r="B2104" s="32" t="n">
        <v>253.63</v>
      </c>
      <c r="D2104" s="33" t="n">
        <f aca="false">WEEKDAY(A2104,2)</f>
        <v>3</v>
      </c>
      <c r="E2104" s="33" t="n">
        <f aca="false">HOUR(A2104)+MINUTE(A2104)/60</f>
        <v>14</v>
      </c>
      <c r="F2104" s="33" t="n">
        <f aca="false">IF(OR(D2104&gt;5,E2104&lt;8,E2104&gt;=18,COUNTIF($K$2:$K$10,INT(A2104))&gt;0),1,0)</f>
        <v>0</v>
      </c>
      <c r="G2104" s="34" t="n">
        <f aca="false">B2104/1</f>
        <v>253.63</v>
      </c>
      <c r="H2104" s="34" t="str">
        <f aca="false">IF(F2104=1,G2104,"")</f>
        <v/>
      </c>
    </row>
    <row r="2105" customFormat="false" ht="15" hidden="false" customHeight="false" outlineLevel="0" collapsed="false">
      <c r="A2105" s="31" t="n">
        <v>42823.625</v>
      </c>
      <c r="B2105" s="32" t="n">
        <v>267.013</v>
      </c>
      <c r="D2105" s="33" t="n">
        <f aca="false">WEEKDAY(A2105,2)</f>
        <v>3</v>
      </c>
      <c r="E2105" s="33" t="n">
        <f aca="false">HOUR(A2105)+MINUTE(A2105)/60</f>
        <v>15</v>
      </c>
      <c r="F2105" s="33" t="n">
        <f aca="false">IF(OR(D2105&gt;5,E2105&lt;8,E2105&gt;=18,COUNTIF($K$2:$K$10,INT(A2105))&gt;0),1,0)</f>
        <v>0</v>
      </c>
      <c r="G2105" s="34" t="n">
        <f aca="false">B2105/1</f>
        <v>267.013</v>
      </c>
      <c r="H2105" s="34" t="str">
        <f aca="false">IF(F2105=1,G2105,"")</f>
        <v/>
      </c>
    </row>
    <row r="2106" customFormat="false" ht="15" hidden="false" customHeight="false" outlineLevel="0" collapsed="false">
      <c r="A2106" s="31" t="n">
        <v>42823.6666666667</v>
      </c>
      <c r="B2106" s="32" t="n">
        <v>243.59</v>
      </c>
      <c r="D2106" s="33" t="n">
        <f aca="false">WEEKDAY(A2106,2)</f>
        <v>3</v>
      </c>
      <c r="E2106" s="33" t="n">
        <f aca="false">HOUR(A2106)+MINUTE(A2106)/60</f>
        <v>16</v>
      </c>
      <c r="F2106" s="33" t="n">
        <f aca="false">IF(OR(D2106&gt;5,E2106&lt;8,E2106&gt;=18,COUNTIF($K$2:$K$10,INT(A2106))&gt;0),1,0)</f>
        <v>0</v>
      </c>
      <c r="G2106" s="34" t="n">
        <f aca="false">B2106/1</f>
        <v>243.59</v>
      </c>
      <c r="H2106" s="34" t="str">
        <f aca="false">IF(F2106=1,G2106,"")</f>
        <v/>
      </c>
    </row>
    <row r="2107" customFormat="false" ht="15" hidden="false" customHeight="false" outlineLevel="0" collapsed="false">
      <c r="A2107" s="31" t="n">
        <v>42823.7083333333</v>
      </c>
      <c r="B2107" s="32" t="n">
        <v>235.505</v>
      </c>
      <c r="D2107" s="33" t="n">
        <f aca="false">WEEKDAY(A2107,2)</f>
        <v>3</v>
      </c>
      <c r="E2107" s="33" t="n">
        <f aca="false">HOUR(A2107)+MINUTE(A2107)/60</f>
        <v>17</v>
      </c>
      <c r="F2107" s="33" t="n">
        <f aca="false">IF(OR(D2107&gt;5,E2107&lt;8,E2107&gt;=18,COUNTIF($K$2:$K$10,INT(A2107))&gt;0),1,0)</f>
        <v>0</v>
      </c>
      <c r="G2107" s="34" t="n">
        <f aca="false">B2107/1</f>
        <v>235.505</v>
      </c>
      <c r="H2107" s="34" t="str">
        <f aca="false">IF(F2107=1,G2107,"")</f>
        <v/>
      </c>
    </row>
    <row r="2108" customFormat="false" ht="15" hidden="false" customHeight="false" outlineLevel="0" collapsed="false">
      <c r="A2108" s="31" t="n">
        <v>42823.75</v>
      </c>
      <c r="B2108" s="32" t="n">
        <v>219.729</v>
      </c>
      <c r="D2108" s="33" t="n">
        <f aca="false">WEEKDAY(A2108,2)</f>
        <v>3</v>
      </c>
      <c r="E2108" s="33" t="n">
        <f aca="false">HOUR(A2108)+MINUTE(A2108)/60</f>
        <v>18</v>
      </c>
      <c r="F2108" s="33" t="n">
        <f aca="false">IF(OR(D2108&gt;5,E2108&lt;8,E2108&gt;=18,COUNTIF($K$2:$K$10,INT(A2108))&gt;0),1,0)</f>
        <v>1</v>
      </c>
      <c r="G2108" s="34" t="n">
        <f aca="false">B2108/1</f>
        <v>219.729</v>
      </c>
      <c r="H2108" s="34" t="n">
        <f aca="false">IF(F2108=1,G2108,"")</f>
        <v>219.729</v>
      </c>
    </row>
    <row r="2109" customFormat="false" ht="15" hidden="false" customHeight="false" outlineLevel="0" collapsed="false">
      <c r="A2109" s="31" t="n">
        <v>42823.7916666667</v>
      </c>
      <c r="B2109" s="32" t="n">
        <v>204.387</v>
      </c>
      <c r="D2109" s="33" t="n">
        <f aca="false">WEEKDAY(A2109,2)</f>
        <v>3</v>
      </c>
      <c r="E2109" s="33" t="n">
        <f aca="false">HOUR(A2109)+MINUTE(A2109)/60</f>
        <v>19</v>
      </c>
      <c r="F2109" s="33" t="n">
        <f aca="false">IF(OR(D2109&gt;5,E2109&lt;8,E2109&gt;=18,COUNTIF($K$2:$K$10,INT(A2109))&gt;0),1,0)</f>
        <v>1</v>
      </c>
      <c r="G2109" s="34" t="n">
        <f aca="false">B2109/1</f>
        <v>204.387</v>
      </c>
      <c r="H2109" s="34" t="n">
        <f aca="false">IF(F2109=1,G2109,"")</f>
        <v>204.387</v>
      </c>
    </row>
    <row r="2110" customFormat="false" ht="15" hidden="false" customHeight="false" outlineLevel="0" collapsed="false">
      <c r="A2110" s="31" t="n">
        <v>42823.8333333333</v>
      </c>
      <c r="B2110" s="32" t="n">
        <v>202.292</v>
      </c>
      <c r="D2110" s="33" t="n">
        <f aca="false">WEEKDAY(A2110,2)</f>
        <v>3</v>
      </c>
      <c r="E2110" s="33" t="n">
        <f aca="false">HOUR(A2110)+MINUTE(A2110)/60</f>
        <v>20</v>
      </c>
      <c r="F2110" s="33" t="n">
        <f aca="false">IF(OR(D2110&gt;5,E2110&lt;8,E2110&gt;=18,COUNTIF($K$2:$K$10,INT(A2110))&gt;0),1,0)</f>
        <v>1</v>
      </c>
      <c r="G2110" s="34" t="n">
        <f aca="false">B2110/1</f>
        <v>202.292</v>
      </c>
      <c r="H2110" s="34" t="n">
        <f aca="false">IF(F2110=1,G2110,"")</f>
        <v>202.292</v>
      </c>
    </row>
    <row r="2111" customFormat="false" ht="15" hidden="false" customHeight="false" outlineLevel="0" collapsed="false">
      <c r="A2111" s="31" t="n">
        <v>42823.875</v>
      </c>
      <c r="B2111" s="32" t="n">
        <v>191.78</v>
      </c>
      <c r="D2111" s="33" t="n">
        <f aca="false">WEEKDAY(A2111,2)</f>
        <v>3</v>
      </c>
      <c r="E2111" s="33" t="n">
        <f aca="false">HOUR(A2111)+MINUTE(A2111)/60</f>
        <v>21</v>
      </c>
      <c r="F2111" s="33" t="n">
        <f aca="false">IF(OR(D2111&gt;5,E2111&lt;8,E2111&gt;=18,COUNTIF($K$2:$K$10,INT(A2111))&gt;0),1,0)</f>
        <v>1</v>
      </c>
      <c r="G2111" s="34" t="n">
        <f aca="false">B2111/1</f>
        <v>191.78</v>
      </c>
      <c r="H2111" s="34" t="n">
        <f aca="false">IF(F2111=1,G2111,"")</f>
        <v>191.78</v>
      </c>
    </row>
    <row r="2112" customFormat="false" ht="15" hidden="false" customHeight="false" outlineLevel="0" collapsed="false">
      <c r="A2112" s="31" t="n">
        <v>42823.9166666667</v>
      </c>
      <c r="B2112" s="32" t="n">
        <v>137.915</v>
      </c>
      <c r="D2112" s="33" t="n">
        <f aca="false">WEEKDAY(A2112,2)</f>
        <v>3</v>
      </c>
      <c r="E2112" s="33" t="n">
        <f aca="false">HOUR(A2112)+MINUTE(A2112)/60</f>
        <v>22</v>
      </c>
      <c r="F2112" s="33" t="n">
        <f aca="false">IF(OR(D2112&gt;5,E2112&lt;8,E2112&gt;=18,COUNTIF($K$2:$K$10,INT(A2112))&gt;0),1,0)</f>
        <v>1</v>
      </c>
      <c r="G2112" s="34" t="n">
        <f aca="false">B2112/1</f>
        <v>137.915</v>
      </c>
      <c r="H2112" s="34" t="n">
        <f aca="false">IF(F2112=1,G2112,"")</f>
        <v>137.915</v>
      </c>
    </row>
    <row r="2113" customFormat="false" ht="15" hidden="false" customHeight="false" outlineLevel="0" collapsed="false">
      <c r="A2113" s="31" t="n">
        <v>42823.9583333333</v>
      </c>
      <c r="B2113" s="32" t="n">
        <v>69.192</v>
      </c>
      <c r="D2113" s="33" t="n">
        <f aca="false">WEEKDAY(A2113,2)</f>
        <v>3</v>
      </c>
      <c r="E2113" s="33" t="n">
        <f aca="false">HOUR(A2113)+MINUTE(A2113)/60</f>
        <v>23</v>
      </c>
      <c r="F2113" s="33" t="n">
        <f aca="false">IF(OR(D2113&gt;5,E2113&lt;8,E2113&gt;=18,COUNTIF($K$2:$K$10,INT(A2113))&gt;0),1,0)</f>
        <v>1</v>
      </c>
      <c r="G2113" s="34" t="n">
        <f aca="false">B2113/1</f>
        <v>69.192</v>
      </c>
      <c r="H2113" s="34" t="n">
        <f aca="false">IF(F2113=1,G2113,"")</f>
        <v>69.192</v>
      </c>
    </row>
    <row r="2114" customFormat="false" ht="15" hidden="false" customHeight="false" outlineLevel="0" collapsed="false">
      <c r="A2114" s="31" t="n">
        <v>42824</v>
      </c>
      <c r="B2114" s="32" t="n">
        <v>62.14</v>
      </c>
      <c r="D2114" s="33" t="n">
        <f aca="false">WEEKDAY(A2114,2)</f>
        <v>4</v>
      </c>
      <c r="E2114" s="33" t="n">
        <f aca="false">HOUR(A2114)+MINUTE(A2114)/60</f>
        <v>0</v>
      </c>
      <c r="F2114" s="33" t="n">
        <f aca="false">IF(OR(D2114&gt;5,E2114&lt;8,E2114&gt;=18,COUNTIF($K$2:$K$10,INT(A2114))&gt;0),1,0)</f>
        <v>1</v>
      </c>
      <c r="G2114" s="34" t="n">
        <f aca="false">B2114/1</f>
        <v>62.14</v>
      </c>
      <c r="H2114" s="34" t="n">
        <f aca="false">IF(F2114=1,G2114,"")</f>
        <v>62.14</v>
      </c>
    </row>
    <row r="2115" customFormat="false" ht="15" hidden="false" customHeight="false" outlineLevel="0" collapsed="false">
      <c r="A2115" s="31" t="n">
        <v>42824.0416666667</v>
      </c>
      <c r="B2115" s="32" t="n">
        <v>61.903</v>
      </c>
      <c r="D2115" s="33" t="n">
        <f aca="false">WEEKDAY(A2115,2)</f>
        <v>4</v>
      </c>
      <c r="E2115" s="33" t="n">
        <f aca="false">HOUR(A2115)+MINUTE(A2115)/60</f>
        <v>1</v>
      </c>
      <c r="F2115" s="33" t="n">
        <f aca="false">IF(OR(D2115&gt;5,E2115&lt;8,E2115&gt;=18,COUNTIF($K$2:$K$10,INT(A2115))&gt;0),1,0)</f>
        <v>1</v>
      </c>
      <c r="G2115" s="34" t="n">
        <f aca="false">B2115/1</f>
        <v>61.903</v>
      </c>
      <c r="H2115" s="34" t="n">
        <f aca="false">IF(F2115=1,G2115,"")</f>
        <v>61.903</v>
      </c>
    </row>
    <row r="2116" customFormat="false" ht="15" hidden="false" customHeight="false" outlineLevel="0" collapsed="false">
      <c r="A2116" s="31" t="n">
        <v>42824.0833333333</v>
      </c>
      <c r="B2116" s="32" t="n">
        <v>59.122</v>
      </c>
      <c r="D2116" s="33" t="n">
        <f aca="false">WEEKDAY(A2116,2)</f>
        <v>4</v>
      </c>
      <c r="E2116" s="33" t="n">
        <f aca="false">HOUR(A2116)+MINUTE(A2116)/60</f>
        <v>2</v>
      </c>
      <c r="F2116" s="33" t="n">
        <f aca="false">IF(OR(D2116&gt;5,E2116&lt;8,E2116&gt;=18,COUNTIF($K$2:$K$10,INT(A2116))&gt;0),1,0)</f>
        <v>1</v>
      </c>
      <c r="G2116" s="34" t="n">
        <f aca="false">B2116/1</f>
        <v>59.122</v>
      </c>
      <c r="H2116" s="34" t="n">
        <f aca="false">IF(F2116=1,G2116,"")</f>
        <v>59.122</v>
      </c>
    </row>
    <row r="2117" customFormat="false" ht="15" hidden="false" customHeight="false" outlineLevel="0" collapsed="false">
      <c r="A2117" s="31" t="n">
        <v>42824.125</v>
      </c>
      <c r="B2117" s="32" t="n">
        <v>59.74</v>
      </c>
      <c r="D2117" s="33" t="n">
        <f aca="false">WEEKDAY(A2117,2)</f>
        <v>4</v>
      </c>
      <c r="E2117" s="33" t="n">
        <f aca="false">HOUR(A2117)+MINUTE(A2117)/60</f>
        <v>3</v>
      </c>
      <c r="F2117" s="33" t="n">
        <f aca="false">IF(OR(D2117&gt;5,E2117&lt;8,E2117&gt;=18,COUNTIF($K$2:$K$10,INT(A2117))&gt;0),1,0)</f>
        <v>1</v>
      </c>
      <c r="G2117" s="34" t="n">
        <f aca="false">B2117/1</f>
        <v>59.74</v>
      </c>
      <c r="H2117" s="34" t="n">
        <f aca="false">IF(F2117=1,G2117,"")</f>
        <v>59.74</v>
      </c>
    </row>
    <row r="2118" customFormat="false" ht="15" hidden="false" customHeight="false" outlineLevel="0" collapsed="false">
      <c r="A2118" s="31" t="n">
        <v>42824.1666666667</v>
      </c>
      <c r="B2118" s="32" t="n">
        <v>59.67</v>
      </c>
      <c r="D2118" s="33" t="n">
        <f aca="false">WEEKDAY(A2118,2)</f>
        <v>4</v>
      </c>
      <c r="E2118" s="33" t="n">
        <f aca="false">HOUR(A2118)+MINUTE(A2118)/60</f>
        <v>4</v>
      </c>
      <c r="F2118" s="33" t="n">
        <f aca="false">IF(OR(D2118&gt;5,E2118&lt;8,E2118&gt;=18,COUNTIF($K$2:$K$10,INT(A2118))&gt;0),1,0)</f>
        <v>1</v>
      </c>
      <c r="G2118" s="34" t="n">
        <f aca="false">B2118/1</f>
        <v>59.67</v>
      </c>
      <c r="H2118" s="34" t="n">
        <f aca="false">IF(F2118=1,G2118,"")</f>
        <v>59.67</v>
      </c>
    </row>
    <row r="2119" customFormat="false" ht="15" hidden="false" customHeight="false" outlineLevel="0" collapsed="false">
      <c r="A2119" s="31" t="n">
        <v>42824.2083333333</v>
      </c>
      <c r="B2119" s="32" t="n">
        <v>57.932</v>
      </c>
      <c r="D2119" s="33" t="n">
        <f aca="false">WEEKDAY(A2119,2)</f>
        <v>4</v>
      </c>
      <c r="E2119" s="33" t="n">
        <f aca="false">HOUR(A2119)+MINUTE(A2119)/60</f>
        <v>5</v>
      </c>
      <c r="F2119" s="33" t="n">
        <f aca="false">IF(OR(D2119&gt;5,E2119&lt;8,E2119&gt;=18,COUNTIF($K$2:$K$10,INT(A2119))&gt;0),1,0)</f>
        <v>1</v>
      </c>
      <c r="G2119" s="34" t="n">
        <f aca="false">B2119/1</f>
        <v>57.932</v>
      </c>
      <c r="H2119" s="34" t="n">
        <f aca="false">IF(F2119=1,G2119,"")</f>
        <v>57.932</v>
      </c>
    </row>
    <row r="2120" customFormat="false" ht="15" hidden="false" customHeight="false" outlineLevel="0" collapsed="false">
      <c r="A2120" s="31" t="n">
        <v>42824.25</v>
      </c>
      <c r="B2120" s="32" t="n">
        <v>61.318</v>
      </c>
      <c r="D2120" s="33" t="n">
        <f aca="false">WEEKDAY(A2120,2)</f>
        <v>4</v>
      </c>
      <c r="E2120" s="33" t="n">
        <f aca="false">HOUR(A2120)+MINUTE(A2120)/60</f>
        <v>6</v>
      </c>
      <c r="F2120" s="33" t="n">
        <f aca="false">IF(OR(D2120&gt;5,E2120&lt;8,E2120&gt;=18,COUNTIF($K$2:$K$10,INT(A2120))&gt;0),1,0)</f>
        <v>1</v>
      </c>
      <c r="G2120" s="34" t="n">
        <f aca="false">B2120/1</f>
        <v>61.318</v>
      </c>
      <c r="H2120" s="34" t="n">
        <f aca="false">IF(F2120=1,G2120,"")</f>
        <v>61.318</v>
      </c>
    </row>
    <row r="2121" customFormat="false" ht="15" hidden="false" customHeight="false" outlineLevel="0" collapsed="false">
      <c r="A2121" s="31" t="n">
        <v>42824.2916666667</v>
      </c>
      <c r="B2121" s="32" t="n">
        <v>66.935</v>
      </c>
      <c r="D2121" s="33" t="n">
        <f aca="false">WEEKDAY(A2121,2)</f>
        <v>4</v>
      </c>
      <c r="E2121" s="33" t="n">
        <f aca="false">HOUR(A2121)+MINUTE(A2121)/60</f>
        <v>7</v>
      </c>
      <c r="F2121" s="33" t="n">
        <f aca="false">IF(OR(D2121&gt;5,E2121&lt;8,E2121&gt;=18,COUNTIF($K$2:$K$10,INT(A2121))&gt;0),1,0)</f>
        <v>1</v>
      </c>
      <c r="G2121" s="34" t="n">
        <f aca="false">B2121/1</f>
        <v>66.935</v>
      </c>
      <c r="H2121" s="34" t="n">
        <f aca="false">IF(F2121=1,G2121,"")</f>
        <v>66.935</v>
      </c>
    </row>
    <row r="2122" customFormat="false" ht="15" hidden="false" customHeight="false" outlineLevel="0" collapsed="false">
      <c r="A2122" s="31" t="n">
        <v>42824.3333333333</v>
      </c>
      <c r="B2122" s="32" t="n">
        <v>174.042</v>
      </c>
      <c r="D2122" s="33" t="n">
        <f aca="false">WEEKDAY(A2122,2)</f>
        <v>4</v>
      </c>
      <c r="E2122" s="33" t="n">
        <f aca="false">HOUR(A2122)+MINUTE(A2122)/60</f>
        <v>8</v>
      </c>
      <c r="F2122" s="33" t="n">
        <f aca="false">IF(OR(D2122&gt;5,E2122&lt;8,E2122&gt;=18,COUNTIF($K$2:$K$10,INT(A2122))&gt;0),1,0)</f>
        <v>0</v>
      </c>
      <c r="G2122" s="34" t="n">
        <f aca="false">B2122/1</f>
        <v>174.042</v>
      </c>
      <c r="H2122" s="34" t="str">
        <f aca="false">IF(F2122=1,G2122,"")</f>
        <v/>
      </c>
    </row>
    <row r="2123" customFormat="false" ht="15" hidden="false" customHeight="false" outlineLevel="0" collapsed="false">
      <c r="A2123" s="31" t="n">
        <v>42824.375</v>
      </c>
      <c r="B2123" s="32" t="n">
        <v>221.537</v>
      </c>
      <c r="D2123" s="33" t="n">
        <f aca="false">WEEKDAY(A2123,2)</f>
        <v>4</v>
      </c>
      <c r="E2123" s="33" t="n">
        <f aca="false">HOUR(A2123)+MINUTE(A2123)/60</f>
        <v>9</v>
      </c>
      <c r="F2123" s="33" t="n">
        <f aca="false">IF(OR(D2123&gt;5,E2123&lt;8,E2123&gt;=18,COUNTIF($K$2:$K$10,INT(A2123))&gt;0),1,0)</f>
        <v>0</v>
      </c>
      <c r="G2123" s="34" t="n">
        <f aca="false">B2123/1</f>
        <v>221.537</v>
      </c>
      <c r="H2123" s="34" t="str">
        <f aca="false">IF(F2123=1,G2123,"")</f>
        <v/>
      </c>
    </row>
    <row r="2124" customFormat="false" ht="15" hidden="false" customHeight="false" outlineLevel="0" collapsed="false">
      <c r="A2124" s="31" t="n">
        <v>42824.4166666667</v>
      </c>
      <c r="B2124" s="32" t="n">
        <v>243.211</v>
      </c>
      <c r="D2124" s="33" t="n">
        <f aca="false">WEEKDAY(A2124,2)</f>
        <v>4</v>
      </c>
      <c r="E2124" s="33" t="n">
        <f aca="false">HOUR(A2124)+MINUTE(A2124)/60</f>
        <v>10</v>
      </c>
      <c r="F2124" s="33" t="n">
        <f aca="false">IF(OR(D2124&gt;5,E2124&lt;8,E2124&gt;=18,COUNTIF($K$2:$K$10,INT(A2124))&gt;0),1,0)</f>
        <v>0</v>
      </c>
      <c r="G2124" s="34" t="n">
        <f aca="false">B2124/1</f>
        <v>243.211</v>
      </c>
      <c r="H2124" s="34" t="str">
        <f aca="false">IF(F2124=1,G2124,"")</f>
        <v/>
      </c>
    </row>
    <row r="2125" customFormat="false" ht="15" hidden="false" customHeight="false" outlineLevel="0" collapsed="false">
      <c r="A2125" s="31" t="n">
        <v>42824.4583333333</v>
      </c>
      <c r="B2125" s="32" t="n">
        <v>267.642</v>
      </c>
      <c r="D2125" s="33" t="n">
        <f aca="false">WEEKDAY(A2125,2)</f>
        <v>4</v>
      </c>
      <c r="E2125" s="33" t="n">
        <f aca="false">HOUR(A2125)+MINUTE(A2125)/60</f>
        <v>11</v>
      </c>
      <c r="F2125" s="33" t="n">
        <f aca="false">IF(OR(D2125&gt;5,E2125&lt;8,E2125&gt;=18,COUNTIF($K$2:$K$10,INT(A2125))&gt;0),1,0)</f>
        <v>0</v>
      </c>
      <c r="G2125" s="34" t="n">
        <f aca="false">B2125/1</f>
        <v>267.642</v>
      </c>
      <c r="H2125" s="34" t="str">
        <f aca="false">IF(F2125=1,G2125,"")</f>
        <v/>
      </c>
    </row>
    <row r="2126" customFormat="false" ht="15" hidden="false" customHeight="false" outlineLevel="0" collapsed="false">
      <c r="A2126" s="31" t="n">
        <v>42824.5</v>
      </c>
      <c r="B2126" s="32" t="n">
        <v>256.836</v>
      </c>
      <c r="D2126" s="33" t="n">
        <f aca="false">WEEKDAY(A2126,2)</f>
        <v>4</v>
      </c>
      <c r="E2126" s="33" t="n">
        <f aca="false">HOUR(A2126)+MINUTE(A2126)/60</f>
        <v>12</v>
      </c>
      <c r="F2126" s="33" t="n">
        <f aca="false">IF(OR(D2126&gt;5,E2126&lt;8,E2126&gt;=18,COUNTIF($K$2:$K$10,INT(A2126))&gt;0),1,0)</f>
        <v>0</v>
      </c>
      <c r="G2126" s="34" t="n">
        <f aca="false">B2126/1</f>
        <v>256.836</v>
      </c>
      <c r="H2126" s="34" t="str">
        <f aca="false">IF(F2126=1,G2126,"")</f>
        <v/>
      </c>
    </row>
    <row r="2127" customFormat="false" ht="15" hidden="false" customHeight="false" outlineLevel="0" collapsed="false">
      <c r="A2127" s="31" t="n">
        <v>42824.5416666667</v>
      </c>
      <c r="B2127" s="32" t="n">
        <v>256.651</v>
      </c>
      <c r="D2127" s="33" t="n">
        <f aca="false">WEEKDAY(A2127,2)</f>
        <v>4</v>
      </c>
      <c r="E2127" s="33" t="n">
        <f aca="false">HOUR(A2127)+MINUTE(A2127)/60</f>
        <v>13</v>
      </c>
      <c r="F2127" s="33" t="n">
        <f aca="false">IF(OR(D2127&gt;5,E2127&lt;8,E2127&gt;=18,COUNTIF($K$2:$K$10,INT(A2127))&gt;0),1,0)</f>
        <v>0</v>
      </c>
      <c r="G2127" s="34" t="n">
        <f aca="false">B2127/1</f>
        <v>256.651</v>
      </c>
      <c r="H2127" s="34" t="str">
        <f aca="false">IF(F2127=1,G2127,"")</f>
        <v/>
      </c>
    </row>
    <row r="2128" customFormat="false" ht="15" hidden="false" customHeight="false" outlineLevel="0" collapsed="false">
      <c r="A2128" s="31" t="n">
        <v>42824.5833333333</v>
      </c>
      <c r="B2128" s="32" t="n">
        <v>248.979</v>
      </c>
      <c r="D2128" s="33" t="n">
        <f aca="false">WEEKDAY(A2128,2)</f>
        <v>4</v>
      </c>
      <c r="E2128" s="33" t="n">
        <f aca="false">HOUR(A2128)+MINUTE(A2128)/60</f>
        <v>14</v>
      </c>
      <c r="F2128" s="33" t="n">
        <f aca="false">IF(OR(D2128&gt;5,E2128&lt;8,E2128&gt;=18,COUNTIF($K$2:$K$10,INT(A2128))&gt;0),1,0)</f>
        <v>0</v>
      </c>
      <c r="G2128" s="34" t="n">
        <f aca="false">B2128/1</f>
        <v>248.979</v>
      </c>
      <c r="H2128" s="34" t="str">
        <f aca="false">IF(F2128=1,G2128,"")</f>
        <v/>
      </c>
    </row>
    <row r="2129" customFormat="false" ht="15" hidden="false" customHeight="false" outlineLevel="0" collapsed="false">
      <c r="A2129" s="31" t="n">
        <v>42824.625</v>
      </c>
      <c r="B2129" s="32" t="n">
        <v>265.391</v>
      </c>
      <c r="D2129" s="33" t="n">
        <f aca="false">WEEKDAY(A2129,2)</f>
        <v>4</v>
      </c>
      <c r="E2129" s="33" t="n">
        <f aca="false">HOUR(A2129)+MINUTE(A2129)/60</f>
        <v>15</v>
      </c>
      <c r="F2129" s="33" t="n">
        <f aca="false">IF(OR(D2129&gt;5,E2129&lt;8,E2129&gt;=18,COUNTIF($K$2:$K$10,INT(A2129))&gt;0),1,0)</f>
        <v>0</v>
      </c>
      <c r="G2129" s="34" t="n">
        <f aca="false">B2129/1</f>
        <v>265.391</v>
      </c>
      <c r="H2129" s="34" t="str">
        <f aca="false">IF(F2129=1,G2129,"")</f>
        <v/>
      </c>
    </row>
    <row r="2130" customFormat="false" ht="15" hidden="false" customHeight="false" outlineLevel="0" collapsed="false">
      <c r="A2130" s="31" t="n">
        <v>42824.6666666667</v>
      </c>
      <c r="B2130" s="32" t="n">
        <v>244.101</v>
      </c>
      <c r="D2130" s="33" t="n">
        <f aca="false">WEEKDAY(A2130,2)</f>
        <v>4</v>
      </c>
      <c r="E2130" s="33" t="n">
        <f aca="false">HOUR(A2130)+MINUTE(A2130)/60</f>
        <v>16</v>
      </c>
      <c r="F2130" s="33" t="n">
        <f aca="false">IF(OR(D2130&gt;5,E2130&lt;8,E2130&gt;=18,COUNTIF($K$2:$K$10,INT(A2130))&gt;0),1,0)</f>
        <v>0</v>
      </c>
      <c r="G2130" s="34" t="n">
        <f aca="false">B2130/1</f>
        <v>244.101</v>
      </c>
      <c r="H2130" s="34" t="str">
        <f aca="false">IF(F2130=1,G2130,"")</f>
        <v/>
      </c>
    </row>
    <row r="2131" customFormat="false" ht="15" hidden="false" customHeight="false" outlineLevel="0" collapsed="false">
      <c r="A2131" s="31" t="n">
        <v>42824.7083333333</v>
      </c>
      <c r="B2131" s="32" t="n">
        <v>227.616</v>
      </c>
      <c r="D2131" s="33" t="n">
        <f aca="false">WEEKDAY(A2131,2)</f>
        <v>4</v>
      </c>
      <c r="E2131" s="33" t="n">
        <f aca="false">HOUR(A2131)+MINUTE(A2131)/60</f>
        <v>17</v>
      </c>
      <c r="F2131" s="33" t="n">
        <f aca="false">IF(OR(D2131&gt;5,E2131&lt;8,E2131&gt;=18,COUNTIF($K$2:$K$10,INT(A2131))&gt;0),1,0)</f>
        <v>0</v>
      </c>
      <c r="G2131" s="34" t="n">
        <f aca="false">B2131/1</f>
        <v>227.616</v>
      </c>
      <c r="H2131" s="34" t="str">
        <f aca="false">IF(F2131=1,G2131,"")</f>
        <v/>
      </c>
    </row>
    <row r="2132" customFormat="false" ht="15" hidden="false" customHeight="false" outlineLevel="0" collapsed="false">
      <c r="A2132" s="31" t="n">
        <v>42824.75</v>
      </c>
      <c r="B2132" s="32" t="n">
        <v>211.658</v>
      </c>
      <c r="D2132" s="33" t="n">
        <f aca="false">WEEKDAY(A2132,2)</f>
        <v>4</v>
      </c>
      <c r="E2132" s="33" t="n">
        <f aca="false">HOUR(A2132)+MINUTE(A2132)/60</f>
        <v>18</v>
      </c>
      <c r="F2132" s="33" t="n">
        <f aca="false">IF(OR(D2132&gt;5,E2132&lt;8,E2132&gt;=18,COUNTIF($K$2:$K$10,INT(A2132))&gt;0),1,0)</f>
        <v>1</v>
      </c>
      <c r="G2132" s="34" t="n">
        <f aca="false">B2132/1</f>
        <v>211.658</v>
      </c>
      <c r="H2132" s="34" t="n">
        <f aca="false">IF(F2132=1,G2132,"")</f>
        <v>211.658</v>
      </c>
    </row>
    <row r="2133" customFormat="false" ht="15" hidden="false" customHeight="false" outlineLevel="0" collapsed="false">
      <c r="A2133" s="31" t="n">
        <v>42824.7916666667</v>
      </c>
      <c r="B2133" s="32" t="n">
        <v>198.88</v>
      </c>
      <c r="D2133" s="33" t="n">
        <f aca="false">WEEKDAY(A2133,2)</f>
        <v>4</v>
      </c>
      <c r="E2133" s="33" t="n">
        <f aca="false">HOUR(A2133)+MINUTE(A2133)/60</f>
        <v>19</v>
      </c>
      <c r="F2133" s="33" t="n">
        <f aca="false">IF(OR(D2133&gt;5,E2133&lt;8,E2133&gt;=18,COUNTIF($K$2:$K$10,INT(A2133))&gt;0),1,0)</f>
        <v>1</v>
      </c>
      <c r="G2133" s="34" t="n">
        <f aca="false">B2133/1</f>
        <v>198.88</v>
      </c>
      <c r="H2133" s="34" t="n">
        <f aca="false">IF(F2133=1,G2133,"")</f>
        <v>198.88</v>
      </c>
    </row>
    <row r="2134" customFormat="false" ht="15" hidden="false" customHeight="false" outlineLevel="0" collapsed="false">
      <c r="A2134" s="31" t="n">
        <v>42824.8333333333</v>
      </c>
      <c r="B2134" s="32" t="n">
        <v>194.614</v>
      </c>
      <c r="D2134" s="33" t="n">
        <f aca="false">WEEKDAY(A2134,2)</f>
        <v>4</v>
      </c>
      <c r="E2134" s="33" t="n">
        <f aca="false">HOUR(A2134)+MINUTE(A2134)/60</f>
        <v>20</v>
      </c>
      <c r="F2134" s="33" t="n">
        <f aca="false">IF(OR(D2134&gt;5,E2134&lt;8,E2134&gt;=18,COUNTIF($K$2:$K$10,INT(A2134))&gt;0),1,0)</f>
        <v>1</v>
      </c>
      <c r="G2134" s="34" t="n">
        <f aca="false">B2134/1</f>
        <v>194.614</v>
      </c>
      <c r="H2134" s="34" t="n">
        <f aca="false">IF(F2134=1,G2134,"")</f>
        <v>194.614</v>
      </c>
    </row>
    <row r="2135" customFormat="false" ht="15" hidden="false" customHeight="false" outlineLevel="0" collapsed="false">
      <c r="A2135" s="31" t="n">
        <v>42824.875</v>
      </c>
      <c r="B2135" s="32" t="n">
        <v>191.514</v>
      </c>
      <c r="D2135" s="33" t="n">
        <f aca="false">WEEKDAY(A2135,2)</f>
        <v>4</v>
      </c>
      <c r="E2135" s="33" t="n">
        <f aca="false">HOUR(A2135)+MINUTE(A2135)/60</f>
        <v>21</v>
      </c>
      <c r="F2135" s="33" t="n">
        <f aca="false">IF(OR(D2135&gt;5,E2135&lt;8,E2135&gt;=18,COUNTIF($K$2:$K$10,INT(A2135))&gt;0),1,0)</f>
        <v>1</v>
      </c>
      <c r="G2135" s="34" t="n">
        <f aca="false">B2135/1</f>
        <v>191.514</v>
      </c>
      <c r="H2135" s="34" t="n">
        <f aca="false">IF(F2135=1,G2135,"")</f>
        <v>191.514</v>
      </c>
    </row>
    <row r="2136" customFormat="false" ht="15" hidden="false" customHeight="false" outlineLevel="0" collapsed="false">
      <c r="A2136" s="31" t="n">
        <v>42824.9166666667</v>
      </c>
      <c r="B2136" s="32" t="n">
        <v>137.876</v>
      </c>
      <c r="D2136" s="33" t="n">
        <f aca="false">WEEKDAY(A2136,2)</f>
        <v>4</v>
      </c>
      <c r="E2136" s="33" t="n">
        <f aca="false">HOUR(A2136)+MINUTE(A2136)/60</f>
        <v>22</v>
      </c>
      <c r="F2136" s="33" t="n">
        <f aca="false">IF(OR(D2136&gt;5,E2136&lt;8,E2136&gt;=18,COUNTIF($K$2:$K$10,INT(A2136))&gt;0),1,0)</f>
        <v>1</v>
      </c>
      <c r="G2136" s="34" t="n">
        <f aca="false">B2136/1</f>
        <v>137.876</v>
      </c>
      <c r="H2136" s="34" t="n">
        <f aca="false">IF(F2136=1,G2136,"")</f>
        <v>137.876</v>
      </c>
    </row>
    <row r="2137" customFormat="false" ht="15" hidden="false" customHeight="false" outlineLevel="0" collapsed="false">
      <c r="A2137" s="31" t="n">
        <v>42824.9583333333</v>
      </c>
      <c r="B2137" s="32" t="n">
        <v>67.587</v>
      </c>
      <c r="D2137" s="33" t="n">
        <f aca="false">WEEKDAY(A2137,2)</f>
        <v>4</v>
      </c>
      <c r="E2137" s="33" t="n">
        <f aca="false">HOUR(A2137)+MINUTE(A2137)/60</f>
        <v>23</v>
      </c>
      <c r="F2137" s="33" t="n">
        <f aca="false">IF(OR(D2137&gt;5,E2137&lt;8,E2137&gt;=18,COUNTIF($K$2:$K$10,INT(A2137))&gt;0),1,0)</f>
        <v>1</v>
      </c>
      <c r="G2137" s="34" t="n">
        <f aca="false">B2137/1</f>
        <v>67.587</v>
      </c>
      <c r="H2137" s="34" t="n">
        <f aca="false">IF(F2137=1,G2137,"")</f>
        <v>67.587</v>
      </c>
    </row>
    <row r="2138" customFormat="false" ht="15" hidden="false" customHeight="false" outlineLevel="0" collapsed="false">
      <c r="A2138" s="31" t="n">
        <v>42825</v>
      </c>
      <c r="B2138" s="32" t="n">
        <v>62.804</v>
      </c>
      <c r="D2138" s="33" t="n">
        <f aca="false">WEEKDAY(A2138,2)</f>
        <v>5</v>
      </c>
      <c r="E2138" s="33" t="n">
        <f aca="false">HOUR(A2138)+MINUTE(A2138)/60</f>
        <v>0</v>
      </c>
      <c r="F2138" s="33" t="n">
        <f aca="false">IF(OR(D2138&gt;5,E2138&lt;8,E2138&gt;=18,COUNTIF($K$2:$K$10,INT(A2138))&gt;0),1,0)</f>
        <v>1</v>
      </c>
      <c r="G2138" s="34" t="n">
        <f aca="false">B2138/1</f>
        <v>62.804</v>
      </c>
      <c r="H2138" s="34" t="n">
        <f aca="false">IF(F2138=1,G2138,"")</f>
        <v>62.804</v>
      </c>
    </row>
    <row r="2139" customFormat="false" ht="15" hidden="false" customHeight="false" outlineLevel="0" collapsed="false">
      <c r="A2139" s="31" t="n">
        <v>42825.0416666667</v>
      </c>
      <c r="B2139" s="32" t="n">
        <v>59.813</v>
      </c>
      <c r="D2139" s="33" t="n">
        <f aca="false">WEEKDAY(A2139,2)</f>
        <v>5</v>
      </c>
      <c r="E2139" s="33" t="n">
        <f aca="false">HOUR(A2139)+MINUTE(A2139)/60</f>
        <v>1</v>
      </c>
      <c r="F2139" s="33" t="n">
        <f aca="false">IF(OR(D2139&gt;5,E2139&lt;8,E2139&gt;=18,COUNTIF($K$2:$K$10,INT(A2139))&gt;0),1,0)</f>
        <v>1</v>
      </c>
      <c r="G2139" s="34" t="n">
        <f aca="false">B2139/1</f>
        <v>59.813</v>
      </c>
      <c r="H2139" s="34" t="n">
        <f aca="false">IF(F2139=1,G2139,"")</f>
        <v>59.813</v>
      </c>
    </row>
    <row r="2140" customFormat="false" ht="15" hidden="false" customHeight="false" outlineLevel="0" collapsed="false">
      <c r="A2140" s="31" t="n">
        <v>42825.0833333333</v>
      </c>
      <c r="B2140" s="32" t="n">
        <v>57.027</v>
      </c>
      <c r="D2140" s="33" t="n">
        <f aca="false">WEEKDAY(A2140,2)</f>
        <v>5</v>
      </c>
      <c r="E2140" s="33" t="n">
        <f aca="false">HOUR(A2140)+MINUTE(A2140)/60</f>
        <v>2</v>
      </c>
      <c r="F2140" s="33" t="n">
        <f aca="false">IF(OR(D2140&gt;5,E2140&lt;8,E2140&gt;=18,COUNTIF($K$2:$K$10,INT(A2140))&gt;0),1,0)</f>
        <v>1</v>
      </c>
      <c r="G2140" s="34" t="n">
        <f aca="false">B2140/1</f>
        <v>57.027</v>
      </c>
      <c r="H2140" s="34" t="n">
        <f aca="false">IF(F2140=1,G2140,"")</f>
        <v>57.027</v>
      </c>
    </row>
    <row r="2141" customFormat="false" ht="15" hidden="false" customHeight="false" outlineLevel="0" collapsed="false">
      <c r="A2141" s="31" t="n">
        <v>42825.125</v>
      </c>
      <c r="B2141" s="32" t="n">
        <v>56.265</v>
      </c>
      <c r="D2141" s="33" t="n">
        <f aca="false">WEEKDAY(A2141,2)</f>
        <v>5</v>
      </c>
      <c r="E2141" s="33" t="n">
        <f aca="false">HOUR(A2141)+MINUTE(A2141)/60</f>
        <v>3</v>
      </c>
      <c r="F2141" s="33" t="n">
        <f aca="false">IF(OR(D2141&gt;5,E2141&lt;8,E2141&gt;=18,COUNTIF($K$2:$K$10,INT(A2141))&gt;0),1,0)</f>
        <v>1</v>
      </c>
      <c r="G2141" s="34" t="n">
        <f aca="false">B2141/1</f>
        <v>56.265</v>
      </c>
      <c r="H2141" s="34" t="n">
        <f aca="false">IF(F2141=1,G2141,"")</f>
        <v>56.265</v>
      </c>
    </row>
    <row r="2142" customFormat="false" ht="15" hidden="false" customHeight="false" outlineLevel="0" collapsed="false">
      <c r="A2142" s="31" t="n">
        <v>42825.1666666667</v>
      </c>
      <c r="B2142" s="32" t="n">
        <v>55.068</v>
      </c>
      <c r="D2142" s="33" t="n">
        <f aca="false">WEEKDAY(A2142,2)</f>
        <v>5</v>
      </c>
      <c r="E2142" s="33" t="n">
        <f aca="false">HOUR(A2142)+MINUTE(A2142)/60</f>
        <v>4</v>
      </c>
      <c r="F2142" s="33" t="n">
        <f aca="false">IF(OR(D2142&gt;5,E2142&lt;8,E2142&gt;=18,COUNTIF($K$2:$K$10,INT(A2142))&gt;0),1,0)</f>
        <v>1</v>
      </c>
      <c r="G2142" s="34" t="n">
        <f aca="false">B2142/1</f>
        <v>55.068</v>
      </c>
      <c r="H2142" s="34" t="n">
        <f aca="false">IF(F2142=1,G2142,"")</f>
        <v>55.068</v>
      </c>
    </row>
    <row r="2143" customFormat="false" ht="15" hidden="false" customHeight="false" outlineLevel="0" collapsed="false">
      <c r="A2143" s="31" t="n">
        <v>42825.2083333333</v>
      </c>
      <c r="B2143" s="32" t="n">
        <v>60.252</v>
      </c>
      <c r="D2143" s="33" t="n">
        <f aca="false">WEEKDAY(A2143,2)</f>
        <v>5</v>
      </c>
      <c r="E2143" s="33" t="n">
        <f aca="false">HOUR(A2143)+MINUTE(A2143)/60</f>
        <v>5</v>
      </c>
      <c r="F2143" s="33" t="n">
        <f aca="false">IF(OR(D2143&gt;5,E2143&lt;8,E2143&gt;=18,COUNTIF($K$2:$K$10,INT(A2143))&gt;0),1,0)</f>
        <v>1</v>
      </c>
      <c r="G2143" s="34" t="n">
        <f aca="false">B2143/1</f>
        <v>60.252</v>
      </c>
      <c r="H2143" s="34" t="n">
        <f aca="false">IF(F2143=1,G2143,"")</f>
        <v>60.252</v>
      </c>
    </row>
    <row r="2144" customFormat="false" ht="15" hidden="false" customHeight="false" outlineLevel="0" collapsed="false">
      <c r="A2144" s="31" t="n">
        <v>42825.25</v>
      </c>
      <c r="B2144" s="32" t="n">
        <v>59.758</v>
      </c>
      <c r="D2144" s="33" t="n">
        <f aca="false">WEEKDAY(A2144,2)</f>
        <v>5</v>
      </c>
      <c r="E2144" s="33" t="n">
        <f aca="false">HOUR(A2144)+MINUTE(A2144)/60</f>
        <v>6</v>
      </c>
      <c r="F2144" s="33" t="n">
        <f aca="false">IF(OR(D2144&gt;5,E2144&lt;8,E2144&gt;=18,COUNTIF($K$2:$K$10,INT(A2144))&gt;0),1,0)</f>
        <v>1</v>
      </c>
      <c r="G2144" s="34" t="n">
        <f aca="false">B2144/1</f>
        <v>59.758</v>
      </c>
      <c r="H2144" s="34" t="n">
        <f aca="false">IF(F2144=1,G2144,"")</f>
        <v>59.758</v>
      </c>
    </row>
    <row r="2145" customFormat="false" ht="15" hidden="false" customHeight="false" outlineLevel="0" collapsed="false">
      <c r="A2145" s="31" t="n">
        <v>42825.2916666667</v>
      </c>
      <c r="B2145" s="32" t="n">
        <v>61.211</v>
      </c>
      <c r="D2145" s="33" t="n">
        <f aca="false">WEEKDAY(A2145,2)</f>
        <v>5</v>
      </c>
      <c r="E2145" s="33" t="n">
        <f aca="false">HOUR(A2145)+MINUTE(A2145)/60</f>
        <v>7</v>
      </c>
      <c r="F2145" s="33" t="n">
        <f aca="false">IF(OR(D2145&gt;5,E2145&lt;8,E2145&gt;=18,COUNTIF($K$2:$K$10,INT(A2145))&gt;0),1,0)</f>
        <v>1</v>
      </c>
      <c r="G2145" s="34" t="n">
        <f aca="false">B2145/1</f>
        <v>61.211</v>
      </c>
      <c r="H2145" s="34" t="n">
        <f aca="false">IF(F2145=1,G2145,"")</f>
        <v>61.211</v>
      </c>
    </row>
    <row r="2146" customFormat="false" ht="15" hidden="false" customHeight="false" outlineLevel="0" collapsed="false">
      <c r="A2146" s="31" t="n">
        <v>42825.3333333333</v>
      </c>
      <c r="B2146" s="32" t="n">
        <v>171.87</v>
      </c>
      <c r="D2146" s="33" t="n">
        <f aca="false">WEEKDAY(A2146,2)</f>
        <v>5</v>
      </c>
      <c r="E2146" s="33" t="n">
        <f aca="false">HOUR(A2146)+MINUTE(A2146)/60</f>
        <v>8</v>
      </c>
      <c r="F2146" s="33" t="n">
        <f aca="false">IF(OR(D2146&gt;5,E2146&lt;8,E2146&gt;=18,COUNTIF($K$2:$K$10,INT(A2146))&gt;0),1,0)</f>
        <v>0</v>
      </c>
      <c r="G2146" s="34" t="n">
        <f aca="false">B2146/1</f>
        <v>171.87</v>
      </c>
      <c r="H2146" s="34" t="str">
        <f aca="false">IF(F2146=1,G2146,"")</f>
        <v/>
      </c>
    </row>
    <row r="2147" customFormat="false" ht="15" hidden="false" customHeight="false" outlineLevel="0" collapsed="false">
      <c r="A2147" s="31" t="n">
        <v>42825.375</v>
      </c>
      <c r="B2147" s="32" t="n">
        <v>207.676</v>
      </c>
      <c r="D2147" s="33" t="n">
        <f aca="false">WEEKDAY(A2147,2)</f>
        <v>5</v>
      </c>
      <c r="E2147" s="33" t="n">
        <f aca="false">HOUR(A2147)+MINUTE(A2147)/60</f>
        <v>9</v>
      </c>
      <c r="F2147" s="33" t="n">
        <f aca="false">IF(OR(D2147&gt;5,E2147&lt;8,E2147&gt;=18,COUNTIF($K$2:$K$10,INT(A2147))&gt;0),1,0)</f>
        <v>0</v>
      </c>
      <c r="G2147" s="34" t="n">
        <f aca="false">B2147/1</f>
        <v>207.676</v>
      </c>
      <c r="H2147" s="34" t="str">
        <f aca="false">IF(F2147=1,G2147,"")</f>
        <v/>
      </c>
    </row>
    <row r="2148" customFormat="false" ht="15" hidden="false" customHeight="false" outlineLevel="0" collapsed="false">
      <c r="A2148" s="31" t="n">
        <v>42825.4166666667</v>
      </c>
      <c r="B2148" s="32" t="n">
        <v>226.175</v>
      </c>
      <c r="D2148" s="33" t="n">
        <f aca="false">WEEKDAY(A2148,2)</f>
        <v>5</v>
      </c>
      <c r="E2148" s="33" t="n">
        <f aca="false">HOUR(A2148)+MINUTE(A2148)/60</f>
        <v>10</v>
      </c>
      <c r="F2148" s="33" t="n">
        <f aca="false">IF(OR(D2148&gt;5,E2148&lt;8,E2148&gt;=18,COUNTIF($K$2:$K$10,INT(A2148))&gt;0),1,0)</f>
        <v>0</v>
      </c>
      <c r="G2148" s="34" t="n">
        <f aca="false">B2148/1</f>
        <v>226.175</v>
      </c>
      <c r="H2148" s="34" t="str">
        <f aca="false">IF(F2148=1,G2148,"")</f>
        <v/>
      </c>
    </row>
    <row r="2149" customFormat="false" ht="15" hidden="false" customHeight="false" outlineLevel="0" collapsed="false">
      <c r="A2149" s="31" t="n">
        <v>42825.4583333333</v>
      </c>
      <c r="B2149" s="32" t="n">
        <v>246.474</v>
      </c>
      <c r="D2149" s="33" t="n">
        <f aca="false">WEEKDAY(A2149,2)</f>
        <v>5</v>
      </c>
      <c r="E2149" s="33" t="n">
        <f aca="false">HOUR(A2149)+MINUTE(A2149)/60</f>
        <v>11</v>
      </c>
      <c r="F2149" s="33" t="n">
        <f aca="false">IF(OR(D2149&gt;5,E2149&lt;8,E2149&gt;=18,COUNTIF($K$2:$K$10,INT(A2149))&gt;0),1,0)</f>
        <v>0</v>
      </c>
      <c r="G2149" s="34" t="n">
        <f aca="false">B2149/1</f>
        <v>246.474</v>
      </c>
      <c r="H2149" s="34" t="str">
        <f aca="false">IF(F2149=1,G2149,"")</f>
        <v/>
      </c>
    </row>
    <row r="2150" customFormat="false" ht="15" hidden="false" customHeight="false" outlineLevel="0" collapsed="false">
      <c r="A2150" s="31" t="n">
        <v>42825.5</v>
      </c>
      <c r="B2150" s="32" t="n">
        <v>248.952</v>
      </c>
      <c r="D2150" s="33" t="n">
        <f aca="false">WEEKDAY(A2150,2)</f>
        <v>5</v>
      </c>
      <c r="E2150" s="33" t="n">
        <f aca="false">HOUR(A2150)+MINUTE(A2150)/60</f>
        <v>12</v>
      </c>
      <c r="F2150" s="33" t="n">
        <f aca="false">IF(OR(D2150&gt;5,E2150&lt;8,E2150&gt;=18,COUNTIF($K$2:$K$10,INT(A2150))&gt;0),1,0)</f>
        <v>0</v>
      </c>
      <c r="G2150" s="34" t="n">
        <f aca="false">B2150/1</f>
        <v>248.952</v>
      </c>
      <c r="H2150" s="34" t="str">
        <f aca="false">IF(F2150=1,G2150,"")</f>
        <v/>
      </c>
    </row>
    <row r="2151" customFormat="false" ht="15" hidden="false" customHeight="false" outlineLevel="0" collapsed="false">
      <c r="A2151" s="31" t="n">
        <v>42825.5416666667</v>
      </c>
      <c r="B2151" s="32" t="n">
        <v>242.495</v>
      </c>
      <c r="D2151" s="33" t="n">
        <f aca="false">WEEKDAY(A2151,2)</f>
        <v>5</v>
      </c>
      <c r="E2151" s="33" t="n">
        <f aca="false">HOUR(A2151)+MINUTE(A2151)/60</f>
        <v>13</v>
      </c>
      <c r="F2151" s="33" t="n">
        <f aca="false">IF(OR(D2151&gt;5,E2151&lt;8,E2151&gt;=18,COUNTIF($K$2:$K$10,INT(A2151))&gt;0),1,0)</f>
        <v>0</v>
      </c>
      <c r="G2151" s="34" t="n">
        <f aca="false">B2151/1</f>
        <v>242.495</v>
      </c>
      <c r="H2151" s="34" t="str">
        <f aca="false">IF(F2151=1,G2151,"")</f>
        <v/>
      </c>
    </row>
    <row r="2152" customFormat="false" ht="15" hidden="false" customHeight="false" outlineLevel="0" collapsed="false">
      <c r="A2152" s="31" t="n">
        <v>42825.5833333333</v>
      </c>
      <c r="B2152" s="32" t="n">
        <v>234.789</v>
      </c>
      <c r="D2152" s="33" t="n">
        <f aca="false">WEEKDAY(A2152,2)</f>
        <v>5</v>
      </c>
      <c r="E2152" s="33" t="n">
        <f aca="false">HOUR(A2152)+MINUTE(A2152)/60</f>
        <v>14</v>
      </c>
      <c r="F2152" s="33" t="n">
        <f aca="false">IF(OR(D2152&gt;5,E2152&lt;8,E2152&gt;=18,COUNTIF($K$2:$K$10,INT(A2152))&gt;0),1,0)</f>
        <v>0</v>
      </c>
      <c r="G2152" s="34" t="n">
        <f aca="false">B2152/1</f>
        <v>234.789</v>
      </c>
      <c r="H2152" s="34" t="str">
        <f aca="false">IF(F2152=1,G2152,"")</f>
        <v/>
      </c>
    </row>
    <row r="2153" customFormat="false" ht="15" hidden="false" customHeight="false" outlineLevel="0" collapsed="false">
      <c r="A2153" s="31" t="n">
        <v>42825.625</v>
      </c>
      <c r="B2153" s="32" t="n">
        <v>227.406</v>
      </c>
      <c r="D2153" s="33" t="n">
        <f aca="false">WEEKDAY(A2153,2)</f>
        <v>5</v>
      </c>
      <c r="E2153" s="33" t="n">
        <f aca="false">HOUR(A2153)+MINUTE(A2153)/60</f>
        <v>15</v>
      </c>
      <c r="F2153" s="33" t="n">
        <f aca="false">IF(OR(D2153&gt;5,E2153&lt;8,E2153&gt;=18,COUNTIF($K$2:$K$10,INT(A2153))&gt;0),1,0)</f>
        <v>0</v>
      </c>
      <c r="G2153" s="34" t="n">
        <f aca="false">B2153/1</f>
        <v>227.406</v>
      </c>
      <c r="H2153" s="34" t="str">
        <f aca="false">IF(F2153=1,G2153,"")</f>
        <v/>
      </c>
    </row>
    <row r="2154" customFormat="false" ht="15" hidden="false" customHeight="false" outlineLevel="0" collapsed="false">
      <c r="A2154" s="31" t="n">
        <v>42825.6666666667</v>
      </c>
      <c r="B2154" s="32" t="n">
        <v>225.164</v>
      </c>
      <c r="D2154" s="33" t="n">
        <f aca="false">WEEKDAY(A2154,2)</f>
        <v>5</v>
      </c>
      <c r="E2154" s="33" t="n">
        <f aca="false">HOUR(A2154)+MINUTE(A2154)/60</f>
        <v>16</v>
      </c>
      <c r="F2154" s="33" t="n">
        <f aca="false">IF(OR(D2154&gt;5,E2154&lt;8,E2154&gt;=18,COUNTIF($K$2:$K$10,INT(A2154))&gt;0),1,0)</f>
        <v>0</v>
      </c>
      <c r="G2154" s="34" t="n">
        <f aca="false">B2154/1</f>
        <v>225.164</v>
      </c>
      <c r="H2154" s="34" t="str">
        <f aca="false">IF(F2154=1,G2154,"")</f>
        <v/>
      </c>
    </row>
    <row r="2155" customFormat="false" ht="15" hidden="false" customHeight="false" outlineLevel="0" collapsed="false">
      <c r="A2155" s="31" t="n">
        <v>42825.7083333333</v>
      </c>
      <c r="B2155" s="32" t="n">
        <v>213.917</v>
      </c>
      <c r="D2155" s="33" t="n">
        <f aca="false">WEEKDAY(A2155,2)</f>
        <v>5</v>
      </c>
      <c r="E2155" s="33" t="n">
        <f aca="false">HOUR(A2155)+MINUTE(A2155)/60</f>
        <v>17</v>
      </c>
      <c r="F2155" s="33" t="n">
        <f aca="false">IF(OR(D2155&gt;5,E2155&lt;8,E2155&gt;=18,COUNTIF($K$2:$K$10,INT(A2155))&gt;0),1,0)</f>
        <v>0</v>
      </c>
      <c r="G2155" s="34" t="n">
        <f aca="false">B2155/1</f>
        <v>213.917</v>
      </c>
      <c r="H2155" s="34" t="str">
        <f aca="false">IF(F2155=1,G2155,"")</f>
        <v/>
      </c>
    </row>
    <row r="2156" customFormat="false" ht="15" hidden="false" customHeight="false" outlineLevel="0" collapsed="false">
      <c r="A2156" s="31" t="n">
        <v>42825.75</v>
      </c>
      <c r="B2156" s="32" t="n">
        <v>201.728</v>
      </c>
      <c r="D2156" s="33" t="n">
        <f aca="false">WEEKDAY(A2156,2)</f>
        <v>5</v>
      </c>
      <c r="E2156" s="33" t="n">
        <f aca="false">HOUR(A2156)+MINUTE(A2156)/60</f>
        <v>18</v>
      </c>
      <c r="F2156" s="33" t="n">
        <f aca="false">IF(OR(D2156&gt;5,E2156&lt;8,E2156&gt;=18,COUNTIF($K$2:$K$10,INT(A2156))&gt;0),1,0)</f>
        <v>1</v>
      </c>
      <c r="G2156" s="34" t="n">
        <f aca="false">B2156/1</f>
        <v>201.728</v>
      </c>
      <c r="H2156" s="34" t="n">
        <f aca="false">IF(F2156=1,G2156,"")</f>
        <v>201.728</v>
      </c>
    </row>
    <row r="2157" customFormat="false" ht="15" hidden="false" customHeight="false" outlineLevel="0" collapsed="false">
      <c r="A2157" s="31" t="n">
        <v>42825.7916666667</v>
      </c>
      <c r="B2157" s="32" t="n">
        <v>192.345</v>
      </c>
      <c r="D2157" s="33" t="n">
        <f aca="false">WEEKDAY(A2157,2)</f>
        <v>5</v>
      </c>
      <c r="E2157" s="33" t="n">
        <f aca="false">HOUR(A2157)+MINUTE(A2157)/60</f>
        <v>19</v>
      </c>
      <c r="F2157" s="33" t="n">
        <f aca="false">IF(OR(D2157&gt;5,E2157&lt;8,E2157&gt;=18,COUNTIF($K$2:$K$10,INT(A2157))&gt;0),1,0)</f>
        <v>1</v>
      </c>
      <c r="G2157" s="34" t="n">
        <f aca="false">B2157/1</f>
        <v>192.345</v>
      </c>
      <c r="H2157" s="34" t="n">
        <f aca="false">IF(F2157=1,G2157,"")</f>
        <v>192.345</v>
      </c>
    </row>
    <row r="2158" customFormat="false" ht="15" hidden="false" customHeight="false" outlineLevel="0" collapsed="false">
      <c r="A2158" s="31" t="n">
        <v>42825.8333333333</v>
      </c>
      <c r="B2158" s="32" t="n">
        <v>191.189</v>
      </c>
      <c r="D2158" s="33" t="n">
        <f aca="false">WEEKDAY(A2158,2)</f>
        <v>5</v>
      </c>
      <c r="E2158" s="33" t="n">
        <f aca="false">HOUR(A2158)+MINUTE(A2158)/60</f>
        <v>20</v>
      </c>
      <c r="F2158" s="33" t="n">
        <f aca="false">IF(OR(D2158&gt;5,E2158&lt;8,E2158&gt;=18,COUNTIF($K$2:$K$10,INT(A2158))&gt;0),1,0)</f>
        <v>1</v>
      </c>
      <c r="G2158" s="34" t="n">
        <f aca="false">B2158/1</f>
        <v>191.189</v>
      </c>
      <c r="H2158" s="34" t="n">
        <f aca="false">IF(F2158=1,G2158,"")</f>
        <v>191.189</v>
      </c>
    </row>
    <row r="2159" customFormat="false" ht="15" hidden="false" customHeight="false" outlineLevel="0" collapsed="false">
      <c r="A2159" s="31" t="n">
        <v>42825.875</v>
      </c>
      <c r="B2159" s="32" t="n">
        <v>187.193</v>
      </c>
      <c r="D2159" s="33" t="n">
        <f aca="false">WEEKDAY(A2159,2)</f>
        <v>5</v>
      </c>
      <c r="E2159" s="33" t="n">
        <f aca="false">HOUR(A2159)+MINUTE(A2159)/60</f>
        <v>21</v>
      </c>
      <c r="F2159" s="33" t="n">
        <f aca="false">IF(OR(D2159&gt;5,E2159&lt;8,E2159&gt;=18,COUNTIF($K$2:$K$10,INT(A2159))&gt;0),1,0)</f>
        <v>1</v>
      </c>
      <c r="G2159" s="34" t="n">
        <f aca="false">B2159/1</f>
        <v>187.193</v>
      </c>
      <c r="H2159" s="34" t="n">
        <f aca="false">IF(F2159=1,G2159,"")</f>
        <v>187.193</v>
      </c>
    </row>
    <row r="2160" customFormat="false" ht="15" hidden="false" customHeight="false" outlineLevel="0" collapsed="false">
      <c r="A2160" s="31" t="n">
        <v>42825.9166666667</v>
      </c>
      <c r="B2160" s="32" t="n">
        <v>128.97</v>
      </c>
      <c r="D2160" s="33" t="n">
        <f aca="false">WEEKDAY(A2160,2)</f>
        <v>5</v>
      </c>
      <c r="E2160" s="33" t="n">
        <f aca="false">HOUR(A2160)+MINUTE(A2160)/60</f>
        <v>22</v>
      </c>
      <c r="F2160" s="33" t="n">
        <f aca="false">IF(OR(D2160&gt;5,E2160&lt;8,E2160&gt;=18,COUNTIF($K$2:$K$10,INT(A2160))&gt;0),1,0)</f>
        <v>1</v>
      </c>
      <c r="G2160" s="34" t="n">
        <f aca="false">B2160/1</f>
        <v>128.97</v>
      </c>
      <c r="H2160" s="34" t="n">
        <f aca="false">IF(F2160=1,G2160,"")</f>
        <v>128.97</v>
      </c>
    </row>
    <row r="2161" customFormat="false" ht="15" hidden="false" customHeight="false" outlineLevel="0" collapsed="false">
      <c r="A2161" s="31" t="n">
        <v>42825.9583333333</v>
      </c>
      <c r="B2161" s="32" t="n">
        <v>65.791</v>
      </c>
      <c r="D2161" s="33" t="n">
        <f aca="false">WEEKDAY(A2161,2)</f>
        <v>5</v>
      </c>
      <c r="E2161" s="33" t="n">
        <f aca="false">HOUR(A2161)+MINUTE(A2161)/60</f>
        <v>23</v>
      </c>
      <c r="F2161" s="33" t="n">
        <f aca="false">IF(OR(D2161&gt;5,E2161&lt;8,E2161&gt;=18,COUNTIF($K$2:$K$10,INT(A2161))&gt;0),1,0)</f>
        <v>1</v>
      </c>
      <c r="G2161" s="34" t="n">
        <f aca="false">B2161/1</f>
        <v>65.791</v>
      </c>
      <c r="H2161" s="34" t="n">
        <f aca="false">IF(F2161=1,G2161,"")</f>
        <v>65.791</v>
      </c>
    </row>
    <row r="2162" customFormat="false" ht="15" hidden="false" customHeight="false" outlineLevel="0" collapsed="false">
      <c r="A2162" s="31" t="n">
        <v>42826</v>
      </c>
      <c r="B2162" s="32" t="n">
        <v>60.721</v>
      </c>
      <c r="D2162" s="33" t="n">
        <f aca="false">WEEKDAY(A2162,2)</f>
        <v>6</v>
      </c>
      <c r="E2162" s="33" t="n">
        <f aca="false">HOUR(A2162)+MINUTE(A2162)/60</f>
        <v>0</v>
      </c>
      <c r="F2162" s="33" t="n">
        <f aca="false">IF(OR(D2162&gt;5,E2162&lt;8,E2162&gt;=18,COUNTIF($K$2:$K$10,INT(A2162))&gt;0),1,0)</f>
        <v>1</v>
      </c>
      <c r="G2162" s="34" t="n">
        <f aca="false">B2162/1</f>
        <v>60.721</v>
      </c>
      <c r="H2162" s="34" t="n">
        <f aca="false">IF(F2162=1,G2162,"")</f>
        <v>60.721</v>
      </c>
    </row>
    <row r="2163" customFormat="false" ht="15" hidden="false" customHeight="false" outlineLevel="0" collapsed="false">
      <c r="A2163" s="31" t="n">
        <v>42826.0416666667</v>
      </c>
      <c r="B2163" s="32" t="n">
        <v>59.116</v>
      </c>
      <c r="D2163" s="33" t="n">
        <f aca="false">WEEKDAY(A2163,2)</f>
        <v>6</v>
      </c>
      <c r="E2163" s="33" t="n">
        <f aca="false">HOUR(A2163)+MINUTE(A2163)/60</f>
        <v>1</v>
      </c>
      <c r="F2163" s="33" t="n">
        <f aca="false">IF(OR(D2163&gt;5,E2163&lt;8,E2163&gt;=18,COUNTIF($K$2:$K$10,INT(A2163))&gt;0),1,0)</f>
        <v>1</v>
      </c>
      <c r="G2163" s="34" t="n">
        <f aca="false">B2163/1</f>
        <v>59.116</v>
      </c>
      <c r="H2163" s="34" t="n">
        <f aca="false">IF(F2163=1,G2163,"")</f>
        <v>59.116</v>
      </c>
    </row>
    <row r="2164" customFormat="false" ht="15" hidden="false" customHeight="false" outlineLevel="0" collapsed="false">
      <c r="A2164" s="31" t="n">
        <v>42826.0833333333</v>
      </c>
      <c r="B2164" s="32" t="n">
        <v>58.954</v>
      </c>
      <c r="D2164" s="33" t="n">
        <f aca="false">WEEKDAY(A2164,2)</f>
        <v>6</v>
      </c>
      <c r="E2164" s="33" t="n">
        <f aca="false">HOUR(A2164)+MINUTE(A2164)/60</f>
        <v>2</v>
      </c>
      <c r="F2164" s="33" t="n">
        <f aca="false">IF(OR(D2164&gt;5,E2164&lt;8,E2164&gt;=18,COUNTIF($K$2:$K$10,INT(A2164))&gt;0),1,0)</f>
        <v>1</v>
      </c>
      <c r="G2164" s="34" t="n">
        <f aca="false">B2164/1</f>
        <v>58.954</v>
      </c>
      <c r="H2164" s="34" t="n">
        <f aca="false">IF(F2164=1,G2164,"")</f>
        <v>58.954</v>
      </c>
    </row>
    <row r="2165" customFormat="false" ht="15" hidden="false" customHeight="false" outlineLevel="0" collapsed="false">
      <c r="A2165" s="31" t="n">
        <v>42826.125</v>
      </c>
      <c r="B2165" s="32" t="n">
        <v>57.968</v>
      </c>
      <c r="D2165" s="33" t="n">
        <f aca="false">WEEKDAY(A2165,2)</f>
        <v>6</v>
      </c>
      <c r="E2165" s="33" t="n">
        <f aca="false">HOUR(A2165)+MINUTE(A2165)/60</f>
        <v>3</v>
      </c>
      <c r="F2165" s="33" t="n">
        <f aca="false">IF(OR(D2165&gt;5,E2165&lt;8,E2165&gt;=18,COUNTIF($K$2:$K$10,INT(A2165))&gt;0),1,0)</f>
        <v>1</v>
      </c>
      <c r="G2165" s="34" t="n">
        <f aca="false">B2165/1</f>
        <v>57.968</v>
      </c>
      <c r="H2165" s="34" t="n">
        <f aca="false">IF(F2165=1,G2165,"")</f>
        <v>57.968</v>
      </c>
    </row>
    <row r="2166" customFormat="false" ht="15" hidden="false" customHeight="false" outlineLevel="0" collapsed="false">
      <c r="A2166" s="31" t="n">
        <v>42826.1666666667</v>
      </c>
      <c r="B2166" s="32" t="n">
        <v>57.067</v>
      </c>
      <c r="D2166" s="33" t="n">
        <f aca="false">WEEKDAY(A2166,2)</f>
        <v>6</v>
      </c>
      <c r="E2166" s="33" t="n">
        <f aca="false">HOUR(A2166)+MINUTE(A2166)/60</f>
        <v>4</v>
      </c>
      <c r="F2166" s="33" t="n">
        <f aca="false">IF(OR(D2166&gt;5,E2166&lt;8,E2166&gt;=18,COUNTIF($K$2:$K$10,INT(A2166))&gt;0),1,0)</f>
        <v>1</v>
      </c>
      <c r="G2166" s="34" t="n">
        <f aca="false">B2166/1</f>
        <v>57.067</v>
      </c>
      <c r="H2166" s="34" t="n">
        <f aca="false">IF(F2166=1,G2166,"")</f>
        <v>57.067</v>
      </c>
    </row>
    <row r="2167" customFormat="false" ht="15" hidden="false" customHeight="false" outlineLevel="0" collapsed="false">
      <c r="A2167" s="31" t="n">
        <v>42826.2083333333</v>
      </c>
      <c r="B2167" s="32" t="n">
        <v>57.742</v>
      </c>
      <c r="D2167" s="33" t="n">
        <f aca="false">WEEKDAY(A2167,2)</f>
        <v>6</v>
      </c>
      <c r="E2167" s="33" t="n">
        <f aca="false">HOUR(A2167)+MINUTE(A2167)/60</f>
        <v>5</v>
      </c>
      <c r="F2167" s="33" t="n">
        <f aca="false">IF(OR(D2167&gt;5,E2167&lt;8,E2167&gt;=18,COUNTIF($K$2:$K$10,INT(A2167))&gt;0),1,0)</f>
        <v>1</v>
      </c>
      <c r="G2167" s="34" t="n">
        <f aca="false">B2167/1</f>
        <v>57.742</v>
      </c>
      <c r="H2167" s="34" t="n">
        <f aca="false">IF(F2167=1,G2167,"")</f>
        <v>57.742</v>
      </c>
    </row>
    <row r="2168" customFormat="false" ht="15" hidden="false" customHeight="false" outlineLevel="0" collapsed="false">
      <c r="A2168" s="31" t="n">
        <v>42826.25</v>
      </c>
      <c r="B2168" s="32" t="n">
        <v>59.203</v>
      </c>
      <c r="D2168" s="33" t="n">
        <f aca="false">WEEKDAY(A2168,2)</f>
        <v>6</v>
      </c>
      <c r="E2168" s="33" t="n">
        <f aca="false">HOUR(A2168)+MINUTE(A2168)/60</f>
        <v>6</v>
      </c>
      <c r="F2168" s="33" t="n">
        <f aca="false">IF(OR(D2168&gt;5,E2168&lt;8,E2168&gt;=18,COUNTIF($K$2:$K$10,INT(A2168))&gt;0),1,0)</f>
        <v>1</v>
      </c>
      <c r="G2168" s="34" t="n">
        <f aca="false">B2168/1</f>
        <v>59.203</v>
      </c>
      <c r="H2168" s="34" t="n">
        <f aca="false">IF(F2168=1,G2168,"")</f>
        <v>59.203</v>
      </c>
    </row>
    <row r="2169" customFormat="false" ht="15" hidden="false" customHeight="false" outlineLevel="0" collapsed="false">
      <c r="A2169" s="31" t="n">
        <v>42826.2916666667</v>
      </c>
      <c r="B2169" s="32" t="n">
        <v>57.864</v>
      </c>
      <c r="D2169" s="33" t="n">
        <f aca="false">WEEKDAY(A2169,2)</f>
        <v>6</v>
      </c>
      <c r="E2169" s="33" t="n">
        <f aca="false">HOUR(A2169)+MINUTE(A2169)/60</f>
        <v>7</v>
      </c>
      <c r="F2169" s="33" t="n">
        <f aca="false">IF(OR(D2169&gt;5,E2169&lt;8,E2169&gt;=18,COUNTIF($K$2:$K$10,INT(A2169))&gt;0),1,0)</f>
        <v>1</v>
      </c>
      <c r="G2169" s="34" t="n">
        <f aca="false">B2169/1</f>
        <v>57.864</v>
      </c>
      <c r="H2169" s="34" t="n">
        <f aca="false">IF(F2169=1,G2169,"")</f>
        <v>57.864</v>
      </c>
    </row>
    <row r="2170" customFormat="false" ht="15" hidden="false" customHeight="false" outlineLevel="0" collapsed="false">
      <c r="A2170" s="31" t="n">
        <v>42826.3333333333</v>
      </c>
      <c r="B2170" s="32" t="n">
        <v>123.612</v>
      </c>
      <c r="D2170" s="33" t="n">
        <f aca="false">WEEKDAY(A2170,2)</f>
        <v>6</v>
      </c>
      <c r="E2170" s="33" t="n">
        <f aca="false">HOUR(A2170)+MINUTE(A2170)/60</f>
        <v>8</v>
      </c>
      <c r="F2170" s="33" t="n">
        <f aca="false">IF(OR(D2170&gt;5,E2170&lt;8,E2170&gt;=18,COUNTIF($K$2:$K$10,INT(A2170))&gt;0),1,0)</f>
        <v>1</v>
      </c>
      <c r="G2170" s="34" t="n">
        <f aca="false">B2170/1</f>
        <v>123.612</v>
      </c>
      <c r="H2170" s="34" t="n">
        <f aca="false">IF(F2170=1,G2170,"")</f>
        <v>123.612</v>
      </c>
    </row>
    <row r="2171" customFormat="false" ht="15" hidden="false" customHeight="false" outlineLevel="0" collapsed="false">
      <c r="A2171" s="31" t="n">
        <v>42826.375</v>
      </c>
      <c r="B2171" s="32" t="n">
        <v>167.893</v>
      </c>
      <c r="D2171" s="33" t="n">
        <f aca="false">WEEKDAY(A2171,2)</f>
        <v>6</v>
      </c>
      <c r="E2171" s="33" t="n">
        <f aca="false">HOUR(A2171)+MINUTE(A2171)/60</f>
        <v>9</v>
      </c>
      <c r="F2171" s="33" t="n">
        <f aca="false">IF(OR(D2171&gt;5,E2171&lt;8,E2171&gt;=18,COUNTIF($K$2:$K$10,INT(A2171))&gt;0),1,0)</f>
        <v>1</v>
      </c>
      <c r="G2171" s="34" t="n">
        <f aca="false">B2171/1</f>
        <v>167.893</v>
      </c>
      <c r="H2171" s="34" t="n">
        <f aca="false">IF(F2171=1,G2171,"")</f>
        <v>167.893</v>
      </c>
    </row>
    <row r="2172" customFormat="false" ht="15" hidden="false" customHeight="false" outlineLevel="0" collapsed="false">
      <c r="A2172" s="31" t="n">
        <v>42826.4166666667</v>
      </c>
      <c r="B2172" s="32" t="n">
        <v>171.977</v>
      </c>
      <c r="D2172" s="33" t="n">
        <f aca="false">WEEKDAY(A2172,2)</f>
        <v>6</v>
      </c>
      <c r="E2172" s="33" t="n">
        <f aca="false">HOUR(A2172)+MINUTE(A2172)/60</f>
        <v>10</v>
      </c>
      <c r="F2172" s="33" t="n">
        <f aca="false">IF(OR(D2172&gt;5,E2172&lt;8,E2172&gt;=18,COUNTIF($K$2:$K$10,INT(A2172))&gt;0),1,0)</f>
        <v>1</v>
      </c>
      <c r="G2172" s="34" t="n">
        <f aca="false">B2172/1</f>
        <v>171.977</v>
      </c>
      <c r="H2172" s="34" t="n">
        <f aca="false">IF(F2172=1,G2172,"")</f>
        <v>171.977</v>
      </c>
    </row>
    <row r="2173" customFormat="false" ht="15" hidden="false" customHeight="false" outlineLevel="0" collapsed="false">
      <c r="A2173" s="31" t="n">
        <v>42826.4583333333</v>
      </c>
      <c r="B2173" s="32" t="n">
        <v>173.866</v>
      </c>
      <c r="D2173" s="33" t="n">
        <f aca="false">WEEKDAY(A2173,2)</f>
        <v>6</v>
      </c>
      <c r="E2173" s="33" t="n">
        <f aca="false">HOUR(A2173)+MINUTE(A2173)/60</f>
        <v>11</v>
      </c>
      <c r="F2173" s="33" t="n">
        <f aca="false">IF(OR(D2173&gt;5,E2173&lt;8,E2173&gt;=18,COUNTIF($K$2:$K$10,INT(A2173))&gt;0),1,0)</f>
        <v>1</v>
      </c>
      <c r="G2173" s="34" t="n">
        <f aca="false">B2173/1</f>
        <v>173.866</v>
      </c>
      <c r="H2173" s="34" t="n">
        <f aca="false">IF(F2173=1,G2173,"")</f>
        <v>173.866</v>
      </c>
    </row>
    <row r="2174" customFormat="false" ht="15" hidden="false" customHeight="false" outlineLevel="0" collapsed="false">
      <c r="A2174" s="31" t="n">
        <v>42826.5</v>
      </c>
      <c r="B2174" s="32" t="n">
        <v>174.939</v>
      </c>
      <c r="D2174" s="33" t="n">
        <f aca="false">WEEKDAY(A2174,2)</f>
        <v>6</v>
      </c>
      <c r="E2174" s="33" t="n">
        <f aca="false">HOUR(A2174)+MINUTE(A2174)/60</f>
        <v>12</v>
      </c>
      <c r="F2174" s="33" t="n">
        <f aca="false">IF(OR(D2174&gt;5,E2174&lt;8,E2174&gt;=18,COUNTIF($K$2:$K$10,INT(A2174))&gt;0),1,0)</f>
        <v>1</v>
      </c>
      <c r="G2174" s="34" t="n">
        <f aca="false">B2174/1</f>
        <v>174.939</v>
      </c>
      <c r="H2174" s="34" t="n">
        <f aca="false">IF(F2174=1,G2174,"")</f>
        <v>174.939</v>
      </c>
    </row>
    <row r="2175" customFormat="false" ht="15" hidden="false" customHeight="false" outlineLevel="0" collapsed="false">
      <c r="A2175" s="31" t="n">
        <v>42826.5416666667</v>
      </c>
      <c r="B2175" s="32" t="n">
        <v>181.298</v>
      </c>
      <c r="D2175" s="33" t="n">
        <f aca="false">WEEKDAY(A2175,2)</f>
        <v>6</v>
      </c>
      <c r="E2175" s="33" t="n">
        <f aca="false">HOUR(A2175)+MINUTE(A2175)/60</f>
        <v>13</v>
      </c>
      <c r="F2175" s="33" t="n">
        <f aca="false">IF(OR(D2175&gt;5,E2175&lt;8,E2175&gt;=18,COUNTIF($K$2:$K$10,INT(A2175))&gt;0),1,0)</f>
        <v>1</v>
      </c>
      <c r="G2175" s="34" t="n">
        <f aca="false">B2175/1</f>
        <v>181.298</v>
      </c>
      <c r="H2175" s="34" t="n">
        <f aca="false">IF(F2175=1,G2175,"")</f>
        <v>181.298</v>
      </c>
    </row>
    <row r="2176" customFormat="false" ht="15" hidden="false" customHeight="false" outlineLevel="0" collapsed="false">
      <c r="A2176" s="31" t="n">
        <v>42826.5833333333</v>
      </c>
      <c r="B2176" s="32" t="n">
        <v>182.084</v>
      </c>
      <c r="D2176" s="33" t="n">
        <f aca="false">WEEKDAY(A2176,2)</f>
        <v>6</v>
      </c>
      <c r="E2176" s="33" t="n">
        <f aca="false">HOUR(A2176)+MINUTE(A2176)/60</f>
        <v>14</v>
      </c>
      <c r="F2176" s="33" t="n">
        <f aca="false">IF(OR(D2176&gt;5,E2176&lt;8,E2176&gt;=18,COUNTIF($K$2:$K$10,INT(A2176))&gt;0),1,0)</f>
        <v>1</v>
      </c>
      <c r="G2176" s="34" t="n">
        <f aca="false">B2176/1</f>
        <v>182.084</v>
      </c>
      <c r="H2176" s="34" t="n">
        <f aca="false">IF(F2176=1,G2176,"")</f>
        <v>182.084</v>
      </c>
    </row>
    <row r="2177" customFormat="false" ht="15" hidden="false" customHeight="false" outlineLevel="0" collapsed="false">
      <c r="A2177" s="31" t="n">
        <v>42826.625</v>
      </c>
      <c r="B2177" s="32" t="n">
        <v>191.954</v>
      </c>
      <c r="D2177" s="33" t="n">
        <f aca="false">WEEKDAY(A2177,2)</f>
        <v>6</v>
      </c>
      <c r="E2177" s="33" t="n">
        <f aca="false">HOUR(A2177)+MINUTE(A2177)/60</f>
        <v>15</v>
      </c>
      <c r="F2177" s="33" t="n">
        <f aca="false">IF(OR(D2177&gt;5,E2177&lt;8,E2177&gt;=18,COUNTIF($K$2:$K$10,INT(A2177))&gt;0),1,0)</f>
        <v>1</v>
      </c>
      <c r="G2177" s="34" t="n">
        <f aca="false">B2177/1</f>
        <v>191.954</v>
      </c>
      <c r="H2177" s="34" t="n">
        <f aca="false">IF(F2177=1,G2177,"")</f>
        <v>191.954</v>
      </c>
    </row>
    <row r="2178" customFormat="false" ht="15" hidden="false" customHeight="false" outlineLevel="0" collapsed="false">
      <c r="A2178" s="31" t="n">
        <v>42826.6666666667</v>
      </c>
      <c r="B2178" s="32" t="n">
        <v>192.868</v>
      </c>
      <c r="D2178" s="33" t="n">
        <f aca="false">WEEKDAY(A2178,2)</f>
        <v>6</v>
      </c>
      <c r="E2178" s="33" t="n">
        <f aca="false">HOUR(A2178)+MINUTE(A2178)/60</f>
        <v>16</v>
      </c>
      <c r="F2178" s="33" t="n">
        <f aca="false">IF(OR(D2178&gt;5,E2178&lt;8,E2178&gt;=18,COUNTIF($K$2:$K$10,INT(A2178))&gt;0),1,0)</f>
        <v>1</v>
      </c>
      <c r="G2178" s="34" t="n">
        <f aca="false">B2178/1</f>
        <v>192.868</v>
      </c>
      <c r="H2178" s="34" t="n">
        <f aca="false">IF(F2178=1,G2178,"")</f>
        <v>192.868</v>
      </c>
    </row>
    <row r="2179" customFormat="false" ht="15" hidden="false" customHeight="false" outlineLevel="0" collapsed="false">
      <c r="A2179" s="31" t="n">
        <v>42826.7083333333</v>
      </c>
      <c r="B2179" s="32" t="n">
        <v>160.067</v>
      </c>
      <c r="D2179" s="33" t="n">
        <f aca="false">WEEKDAY(A2179,2)</f>
        <v>6</v>
      </c>
      <c r="E2179" s="33" t="n">
        <f aca="false">HOUR(A2179)+MINUTE(A2179)/60</f>
        <v>17</v>
      </c>
      <c r="F2179" s="33" t="n">
        <f aca="false">IF(OR(D2179&gt;5,E2179&lt;8,E2179&gt;=18,COUNTIF($K$2:$K$10,INT(A2179))&gt;0),1,0)</f>
        <v>1</v>
      </c>
      <c r="G2179" s="34" t="n">
        <f aca="false">B2179/1</f>
        <v>160.067</v>
      </c>
      <c r="H2179" s="34" t="n">
        <f aca="false">IF(F2179=1,G2179,"")</f>
        <v>160.067</v>
      </c>
    </row>
    <row r="2180" customFormat="false" ht="15" hidden="false" customHeight="false" outlineLevel="0" collapsed="false">
      <c r="A2180" s="31" t="n">
        <v>42826.75</v>
      </c>
      <c r="B2180" s="32" t="n">
        <v>81.841</v>
      </c>
      <c r="D2180" s="33" t="n">
        <f aca="false">WEEKDAY(A2180,2)</f>
        <v>6</v>
      </c>
      <c r="E2180" s="33" t="n">
        <f aca="false">HOUR(A2180)+MINUTE(A2180)/60</f>
        <v>18</v>
      </c>
      <c r="F2180" s="33" t="n">
        <f aca="false">IF(OR(D2180&gt;5,E2180&lt;8,E2180&gt;=18,COUNTIF($K$2:$K$10,INT(A2180))&gt;0),1,0)</f>
        <v>1</v>
      </c>
      <c r="G2180" s="34" t="n">
        <f aca="false">B2180/1</f>
        <v>81.841</v>
      </c>
      <c r="H2180" s="34" t="n">
        <f aca="false">IF(F2180=1,G2180,"")</f>
        <v>81.841</v>
      </c>
    </row>
    <row r="2181" customFormat="false" ht="15" hidden="false" customHeight="false" outlineLevel="0" collapsed="false">
      <c r="A2181" s="31" t="n">
        <v>42826.7916666667</v>
      </c>
      <c r="B2181" s="32" t="n">
        <v>59.71</v>
      </c>
      <c r="D2181" s="33" t="n">
        <f aca="false">WEEKDAY(A2181,2)</f>
        <v>6</v>
      </c>
      <c r="E2181" s="33" t="n">
        <f aca="false">HOUR(A2181)+MINUTE(A2181)/60</f>
        <v>19</v>
      </c>
      <c r="F2181" s="33" t="n">
        <f aca="false">IF(OR(D2181&gt;5,E2181&lt;8,E2181&gt;=18,COUNTIF($K$2:$K$10,INT(A2181))&gt;0),1,0)</f>
        <v>1</v>
      </c>
      <c r="G2181" s="34" t="n">
        <f aca="false">B2181/1</f>
        <v>59.71</v>
      </c>
      <c r="H2181" s="34" t="n">
        <f aca="false">IF(F2181=1,G2181,"")</f>
        <v>59.71</v>
      </c>
    </row>
    <row r="2182" customFormat="false" ht="15" hidden="false" customHeight="false" outlineLevel="0" collapsed="false">
      <c r="A2182" s="31" t="n">
        <v>42826.8333333333</v>
      </c>
      <c r="B2182" s="32" t="n">
        <v>58.648</v>
      </c>
      <c r="D2182" s="33" t="n">
        <f aca="false">WEEKDAY(A2182,2)</f>
        <v>6</v>
      </c>
      <c r="E2182" s="33" t="n">
        <f aca="false">HOUR(A2182)+MINUTE(A2182)/60</f>
        <v>20</v>
      </c>
      <c r="F2182" s="33" t="n">
        <f aca="false">IF(OR(D2182&gt;5,E2182&lt;8,E2182&gt;=18,COUNTIF($K$2:$K$10,INT(A2182))&gt;0),1,0)</f>
        <v>1</v>
      </c>
      <c r="G2182" s="34" t="n">
        <f aca="false">B2182/1</f>
        <v>58.648</v>
      </c>
      <c r="H2182" s="34" t="n">
        <f aca="false">IF(F2182=1,G2182,"")</f>
        <v>58.648</v>
      </c>
    </row>
    <row r="2183" customFormat="false" ht="15" hidden="false" customHeight="false" outlineLevel="0" collapsed="false">
      <c r="A2183" s="31" t="n">
        <v>42826.875</v>
      </c>
      <c r="B2183" s="32" t="n">
        <v>62.776</v>
      </c>
      <c r="D2183" s="33" t="n">
        <f aca="false">WEEKDAY(A2183,2)</f>
        <v>6</v>
      </c>
      <c r="E2183" s="33" t="n">
        <f aca="false">HOUR(A2183)+MINUTE(A2183)/60</f>
        <v>21</v>
      </c>
      <c r="F2183" s="33" t="n">
        <f aca="false">IF(OR(D2183&gt;5,E2183&lt;8,E2183&gt;=18,COUNTIF($K$2:$K$10,INT(A2183))&gt;0),1,0)</f>
        <v>1</v>
      </c>
      <c r="G2183" s="34" t="n">
        <f aca="false">B2183/1</f>
        <v>62.776</v>
      </c>
      <c r="H2183" s="34" t="n">
        <f aca="false">IF(F2183=1,G2183,"")</f>
        <v>62.776</v>
      </c>
    </row>
    <row r="2184" customFormat="false" ht="15" hidden="false" customHeight="false" outlineLevel="0" collapsed="false">
      <c r="A2184" s="31" t="n">
        <v>42826.9166666667</v>
      </c>
      <c r="B2184" s="32" t="n">
        <v>59.11</v>
      </c>
      <c r="D2184" s="33" t="n">
        <f aca="false">WEEKDAY(A2184,2)</f>
        <v>6</v>
      </c>
      <c r="E2184" s="33" t="n">
        <f aca="false">HOUR(A2184)+MINUTE(A2184)/60</f>
        <v>22</v>
      </c>
      <c r="F2184" s="33" t="n">
        <f aca="false">IF(OR(D2184&gt;5,E2184&lt;8,E2184&gt;=18,COUNTIF($K$2:$K$10,INT(A2184))&gt;0),1,0)</f>
        <v>1</v>
      </c>
      <c r="G2184" s="34" t="n">
        <f aca="false">B2184/1</f>
        <v>59.11</v>
      </c>
      <c r="H2184" s="34" t="n">
        <f aca="false">IF(F2184=1,G2184,"")</f>
        <v>59.11</v>
      </c>
    </row>
    <row r="2185" customFormat="false" ht="15" hidden="false" customHeight="false" outlineLevel="0" collapsed="false">
      <c r="A2185" s="31" t="n">
        <v>42826.9583333333</v>
      </c>
      <c r="B2185" s="32" t="n">
        <v>56.16</v>
      </c>
      <c r="D2185" s="33" t="n">
        <f aca="false">WEEKDAY(A2185,2)</f>
        <v>6</v>
      </c>
      <c r="E2185" s="33" t="n">
        <f aca="false">HOUR(A2185)+MINUTE(A2185)/60</f>
        <v>23</v>
      </c>
      <c r="F2185" s="33" t="n">
        <f aca="false">IF(OR(D2185&gt;5,E2185&lt;8,E2185&gt;=18,COUNTIF($K$2:$K$10,INT(A2185))&gt;0),1,0)</f>
        <v>1</v>
      </c>
      <c r="G2185" s="34" t="n">
        <f aca="false">B2185/1</f>
        <v>56.16</v>
      </c>
      <c r="H2185" s="34" t="n">
        <f aca="false">IF(F2185=1,G2185,"")</f>
        <v>56.16</v>
      </c>
    </row>
    <row r="2186" customFormat="false" ht="15" hidden="false" customHeight="false" outlineLevel="0" collapsed="false">
      <c r="A2186" s="31" t="n">
        <v>42827</v>
      </c>
      <c r="B2186" s="32" t="n">
        <v>61.29</v>
      </c>
      <c r="D2186" s="33" t="n">
        <f aca="false">WEEKDAY(A2186,2)</f>
        <v>7</v>
      </c>
      <c r="E2186" s="33" t="n">
        <f aca="false">HOUR(A2186)+MINUTE(A2186)/60</f>
        <v>0</v>
      </c>
      <c r="F2186" s="33" t="n">
        <f aca="false">IF(OR(D2186&gt;5,E2186&lt;8,E2186&gt;=18,COUNTIF($K$2:$K$10,INT(A2186))&gt;0),1,0)</f>
        <v>1</v>
      </c>
      <c r="G2186" s="34" t="n">
        <f aca="false">B2186/1</f>
        <v>61.29</v>
      </c>
      <c r="H2186" s="34" t="n">
        <f aca="false">IF(F2186=1,G2186,"")</f>
        <v>61.29</v>
      </c>
    </row>
    <row r="2187" customFormat="false" ht="15" hidden="false" customHeight="false" outlineLevel="0" collapsed="false">
      <c r="A2187" s="31" t="n">
        <v>42827.0416666667</v>
      </c>
      <c r="B2187" s="32" t="n">
        <v>61.553</v>
      </c>
      <c r="D2187" s="33" t="n">
        <f aca="false">WEEKDAY(A2187,2)</f>
        <v>7</v>
      </c>
      <c r="E2187" s="33" t="n">
        <f aca="false">HOUR(A2187)+MINUTE(A2187)/60</f>
        <v>1</v>
      </c>
      <c r="F2187" s="33" t="n">
        <f aca="false">IF(OR(D2187&gt;5,E2187&lt;8,E2187&gt;=18,COUNTIF($K$2:$K$10,INT(A2187))&gt;0),1,0)</f>
        <v>1</v>
      </c>
      <c r="G2187" s="34" t="n">
        <f aca="false">B2187/1</f>
        <v>61.553</v>
      </c>
      <c r="H2187" s="34" t="n">
        <f aca="false">IF(F2187=1,G2187,"")</f>
        <v>61.553</v>
      </c>
    </row>
    <row r="2188" customFormat="false" ht="15" hidden="false" customHeight="false" outlineLevel="0" collapsed="false">
      <c r="A2188" s="31" t="n">
        <v>42827.0833333333</v>
      </c>
      <c r="B2188" s="32" t="n">
        <v>61.341</v>
      </c>
      <c r="D2188" s="33" t="n">
        <f aca="false">WEEKDAY(A2188,2)</f>
        <v>7</v>
      </c>
      <c r="E2188" s="33" t="n">
        <f aca="false">HOUR(A2188)+MINUTE(A2188)/60</f>
        <v>2</v>
      </c>
      <c r="F2188" s="33" t="n">
        <f aca="false">IF(OR(D2188&gt;5,E2188&lt;8,E2188&gt;=18,COUNTIF($K$2:$K$10,INT(A2188))&gt;0),1,0)</f>
        <v>1</v>
      </c>
      <c r="G2188" s="34" t="n">
        <f aca="false">B2188/1</f>
        <v>61.341</v>
      </c>
      <c r="H2188" s="34" t="n">
        <f aca="false">IF(F2188=1,G2188,"")</f>
        <v>61.341</v>
      </c>
    </row>
    <row r="2189" customFormat="false" ht="15" hidden="false" customHeight="false" outlineLevel="0" collapsed="false">
      <c r="A2189" s="31" t="n">
        <v>42827.125</v>
      </c>
      <c r="B2189" s="32" t="n">
        <v>60.156</v>
      </c>
      <c r="D2189" s="33" t="n">
        <f aca="false">WEEKDAY(A2189,2)</f>
        <v>7</v>
      </c>
      <c r="E2189" s="33" t="n">
        <f aca="false">HOUR(A2189)+MINUTE(A2189)/60</f>
        <v>3</v>
      </c>
      <c r="F2189" s="33" t="n">
        <f aca="false">IF(OR(D2189&gt;5,E2189&lt;8,E2189&gt;=18,COUNTIF($K$2:$K$10,INT(A2189))&gt;0),1,0)</f>
        <v>1</v>
      </c>
      <c r="G2189" s="34" t="n">
        <f aca="false">B2189/1</f>
        <v>60.156</v>
      </c>
      <c r="H2189" s="34" t="n">
        <f aca="false">IF(F2189=1,G2189,"")</f>
        <v>60.156</v>
      </c>
    </row>
    <row r="2190" customFormat="false" ht="15" hidden="false" customHeight="false" outlineLevel="0" collapsed="false">
      <c r="A2190" s="31" t="n">
        <v>42827.1666666667</v>
      </c>
      <c r="B2190" s="32" t="n">
        <v>60.249</v>
      </c>
      <c r="D2190" s="33" t="n">
        <f aca="false">WEEKDAY(A2190,2)</f>
        <v>7</v>
      </c>
      <c r="E2190" s="33" t="n">
        <f aca="false">HOUR(A2190)+MINUTE(A2190)/60</f>
        <v>4</v>
      </c>
      <c r="F2190" s="33" t="n">
        <f aca="false">IF(OR(D2190&gt;5,E2190&lt;8,E2190&gt;=18,COUNTIF($K$2:$K$10,INT(A2190))&gt;0),1,0)</f>
        <v>1</v>
      </c>
      <c r="G2190" s="34" t="n">
        <f aca="false">B2190/1</f>
        <v>60.249</v>
      </c>
      <c r="H2190" s="34" t="n">
        <f aca="false">IF(F2190=1,G2190,"")</f>
        <v>60.249</v>
      </c>
    </row>
    <row r="2191" customFormat="false" ht="15" hidden="false" customHeight="false" outlineLevel="0" collapsed="false">
      <c r="A2191" s="31" t="n">
        <v>42827.2083333333</v>
      </c>
      <c r="B2191" s="32" t="n">
        <v>58.139</v>
      </c>
      <c r="D2191" s="33" t="n">
        <f aca="false">WEEKDAY(A2191,2)</f>
        <v>7</v>
      </c>
      <c r="E2191" s="33" t="n">
        <f aca="false">HOUR(A2191)+MINUTE(A2191)/60</f>
        <v>5</v>
      </c>
      <c r="F2191" s="33" t="n">
        <f aca="false">IF(OR(D2191&gt;5,E2191&lt;8,E2191&gt;=18,COUNTIF($K$2:$K$10,INT(A2191))&gt;0),1,0)</f>
        <v>1</v>
      </c>
      <c r="G2191" s="34" t="n">
        <f aca="false">B2191/1</f>
        <v>58.139</v>
      </c>
      <c r="H2191" s="34" t="n">
        <f aca="false">IF(F2191=1,G2191,"")</f>
        <v>58.139</v>
      </c>
    </row>
    <row r="2192" customFormat="false" ht="15" hidden="false" customHeight="false" outlineLevel="0" collapsed="false">
      <c r="A2192" s="31" t="n">
        <v>42827.25</v>
      </c>
      <c r="B2192" s="32" t="n">
        <v>60.407</v>
      </c>
      <c r="D2192" s="33" t="n">
        <f aca="false">WEEKDAY(A2192,2)</f>
        <v>7</v>
      </c>
      <c r="E2192" s="33" t="n">
        <f aca="false">HOUR(A2192)+MINUTE(A2192)/60</f>
        <v>6</v>
      </c>
      <c r="F2192" s="33" t="n">
        <f aca="false">IF(OR(D2192&gt;5,E2192&lt;8,E2192&gt;=18,COUNTIF($K$2:$K$10,INT(A2192))&gt;0),1,0)</f>
        <v>1</v>
      </c>
      <c r="G2192" s="34" t="n">
        <f aca="false">B2192/1</f>
        <v>60.407</v>
      </c>
      <c r="H2192" s="34" t="n">
        <f aca="false">IF(F2192=1,G2192,"")</f>
        <v>60.407</v>
      </c>
    </row>
    <row r="2193" customFormat="false" ht="15" hidden="false" customHeight="false" outlineLevel="0" collapsed="false">
      <c r="A2193" s="31" t="n">
        <v>42827.2916666667</v>
      </c>
      <c r="B2193" s="32" t="n">
        <v>61.35</v>
      </c>
      <c r="D2193" s="33" t="n">
        <f aca="false">WEEKDAY(A2193,2)</f>
        <v>7</v>
      </c>
      <c r="E2193" s="33" t="n">
        <f aca="false">HOUR(A2193)+MINUTE(A2193)/60</f>
        <v>7</v>
      </c>
      <c r="F2193" s="33" t="n">
        <f aca="false">IF(OR(D2193&gt;5,E2193&lt;8,E2193&gt;=18,COUNTIF($K$2:$K$10,INT(A2193))&gt;0),1,0)</f>
        <v>1</v>
      </c>
      <c r="G2193" s="34" t="n">
        <f aca="false">B2193/1</f>
        <v>61.35</v>
      </c>
      <c r="H2193" s="34" t="n">
        <f aca="false">IF(F2193=1,G2193,"")</f>
        <v>61.35</v>
      </c>
    </row>
    <row r="2194" customFormat="false" ht="15" hidden="false" customHeight="false" outlineLevel="0" collapsed="false">
      <c r="A2194" s="31" t="n">
        <v>42827.3333333333</v>
      </c>
      <c r="B2194" s="32" t="n">
        <v>57.516</v>
      </c>
      <c r="D2194" s="33" t="n">
        <f aca="false">WEEKDAY(A2194,2)</f>
        <v>7</v>
      </c>
      <c r="E2194" s="33" t="n">
        <f aca="false">HOUR(A2194)+MINUTE(A2194)/60</f>
        <v>8</v>
      </c>
      <c r="F2194" s="33" t="n">
        <f aca="false">IF(OR(D2194&gt;5,E2194&lt;8,E2194&gt;=18,COUNTIF($K$2:$K$10,INT(A2194))&gt;0),1,0)</f>
        <v>1</v>
      </c>
      <c r="G2194" s="34" t="n">
        <f aca="false">B2194/1</f>
        <v>57.516</v>
      </c>
      <c r="H2194" s="34" t="n">
        <f aca="false">IF(F2194=1,G2194,"")</f>
        <v>57.516</v>
      </c>
    </row>
    <row r="2195" customFormat="false" ht="15" hidden="false" customHeight="false" outlineLevel="0" collapsed="false">
      <c r="A2195" s="31" t="n">
        <v>42827.375</v>
      </c>
      <c r="B2195" s="32" t="n">
        <v>58.894</v>
      </c>
      <c r="D2195" s="33" t="n">
        <f aca="false">WEEKDAY(A2195,2)</f>
        <v>7</v>
      </c>
      <c r="E2195" s="33" t="n">
        <f aca="false">HOUR(A2195)+MINUTE(A2195)/60</f>
        <v>9</v>
      </c>
      <c r="F2195" s="33" t="n">
        <f aca="false">IF(OR(D2195&gt;5,E2195&lt;8,E2195&gt;=18,COUNTIF($K$2:$K$10,INT(A2195))&gt;0),1,0)</f>
        <v>1</v>
      </c>
      <c r="G2195" s="34" t="n">
        <f aca="false">B2195/1</f>
        <v>58.894</v>
      </c>
      <c r="H2195" s="34" t="n">
        <f aca="false">IF(F2195=1,G2195,"")</f>
        <v>58.894</v>
      </c>
    </row>
    <row r="2196" customFormat="false" ht="15" hidden="false" customHeight="false" outlineLevel="0" collapsed="false">
      <c r="A2196" s="31" t="n">
        <v>42827.4166666667</v>
      </c>
      <c r="B2196" s="32" t="n">
        <v>58.263</v>
      </c>
      <c r="D2196" s="33" t="n">
        <f aca="false">WEEKDAY(A2196,2)</f>
        <v>7</v>
      </c>
      <c r="E2196" s="33" t="n">
        <f aca="false">HOUR(A2196)+MINUTE(A2196)/60</f>
        <v>10</v>
      </c>
      <c r="F2196" s="33" t="n">
        <f aca="false">IF(OR(D2196&gt;5,E2196&lt;8,E2196&gt;=18,COUNTIF($K$2:$K$10,INT(A2196))&gt;0),1,0)</f>
        <v>1</v>
      </c>
      <c r="G2196" s="34" t="n">
        <f aca="false">B2196/1</f>
        <v>58.263</v>
      </c>
      <c r="H2196" s="34" t="n">
        <f aca="false">IF(F2196=1,G2196,"")</f>
        <v>58.263</v>
      </c>
    </row>
    <row r="2197" customFormat="false" ht="15" hidden="false" customHeight="false" outlineLevel="0" collapsed="false">
      <c r="A2197" s="31" t="n">
        <v>42827.4583333333</v>
      </c>
      <c r="B2197" s="32" t="n">
        <v>55.132</v>
      </c>
      <c r="D2197" s="33" t="n">
        <f aca="false">WEEKDAY(A2197,2)</f>
        <v>7</v>
      </c>
      <c r="E2197" s="33" t="n">
        <f aca="false">HOUR(A2197)+MINUTE(A2197)/60</f>
        <v>11</v>
      </c>
      <c r="F2197" s="33" t="n">
        <f aca="false">IF(OR(D2197&gt;5,E2197&lt;8,E2197&gt;=18,COUNTIF($K$2:$K$10,INT(A2197))&gt;0),1,0)</f>
        <v>1</v>
      </c>
      <c r="G2197" s="34" t="n">
        <f aca="false">B2197/1</f>
        <v>55.132</v>
      </c>
      <c r="H2197" s="34" t="n">
        <f aca="false">IF(F2197=1,G2197,"")</f>
        <v>55.132</v>
      </c>
    </row>
    <row r="2198" customFormat="false" ht="15" hidden="false" customHeight="false" outlineLevel="0" collapsed="false">
      <c r="A2198" s="31" t="n">
        <v>42827.5</v>
      </c>
      <c r="B2198" s="32" t="n">
        <v>58.644</v>
      </c>
      <c r="D2198" s="33" t="n">
        <f aca="false">WEEKDAY(A2198,2)</f>
        <v>7</v>
      </c>
      <c r="E2198" s="33" t="n">
        <f aca="false">HOUR(A2198)+MINUTE(A2198)/60</f>
        <v>12</v>
      </c>
      <c r="F2198" s="33" t="n">
        <f aca="false">IF(OR(D2198&gt;5,E2198&lt;8,E2198&gt;=18,COUNTIF($K$2:$K$10,INT(A2198))&gt;0),1,0)</f>
        <v>1</v>
      </c>
      <c r="G2198" s="34" t="n">
        <f aca="false">B2198/1</f>
        <v>58.644</v>
      </c>
      <c r="H2198" s="34" t="n">
        <f aca="false">IF(F2198=1,G2198,"")</f>
        <v>58.644</v>
      </c>
    </row>
    <row r="2199" customFormat="false" ht="15" hidden="false" customHeight="false" outlineLevel="0" collapsed="false">
      <c r="A2199" s="31" t="n">
        <v>42827.5416666667</v>
      </c>
      <c r="B2199" s="32" t="n">
        <v>111.771</v>
      </c>
      <c r="D2199" s="33" t="n">
        <f aca="false">WEEKDAY(A2199,2)</f>
        <v>7</v>
      </c>
      <c r="E2199" s="33" t="n">
        <f aca="false">HOUR(A2199)+MINUTE(A2199)/60</f>
        <v>13</v>
      </c>
      <c r="F2199" s="33" t="n">
        <f aca="false">IF(OR(D2199&gt;5,E2199&lt;8,E2199&gt;=18,COUNTIF($K$2:$K$10,INT(A2199))&gt;0),1,0)</f>
        <v>1</v>
      </c>
      <c r="G2199" s="34" t="n">
        <f aca="false">B2199/1</f>
        <v>111.771</v>
      </c>
      <c r="H2199" s="34" t="n">
        <f aca="false">IF(F2199=1,G2199,"")</f>
        <v>111.771</v>
      </c>
    </row>
    <row r="2200" customFormat="false" ht="15" hidden="false" customHeight="false" outlineLevel="0" collapsed="false">
      <c r="A2200" s="31" t="n">
        <v>42827.5833333333</v>
      </c>
      <c r="B2200" s="32" t="n">
        <v>138.445</v>
      </c>
      <c r="D2200" s="33" t="n">
        <f aca="false">WEEKDAY(A2200,2)</f>
        <v>7</v>
      </c>
      <c r="E2200" s="33" t="n">
        <f aca="false">HOUR(A2200)+MINUTE(A2200)/60</f>
        <v>14</v>
      </c>
      <c r="F2200" s="33" t="n">
        <f aca="false">IF(OR(D2200&gt;5,E2200&lt;8,E2200&gt;=18,COUNTIF($K$2:$K$10,INT(A2200))&gt;0),1,0)</f>
        <v>1</v>
      </c>
      <c r="G2200" s="34" t="n">
        <f aca="false">B2200/1</f>
        <v>138.445</v>
      </c>
      <c r="H2200" s="34" t="n">
        <f aca="false">IF(F2200=1,G2200,"")</f>
        <v>138.445</v>
      </c>
    </row>
    <row r="2201" customFormat="false" ht="15" hidden="false" customHeight="false" outlineLevel="0" collapsed="false">
      <c r="A2201" s="31" t="n">
        <v>42827.625</v>
      </c>
      <c r="B2201" s="32" t="n">
        <v>139.618</v>
      </c>
      <c r="D2201" s="33" t="n">
        <f aca="false">WEEKDAY(A2201,2)</f>
        <v>7</v>
      </c>
      <c r="E2201" s="33" t="n">
        <f aca="false">HOUR(A2201)+MINUTE(A2201)/60</f>
        <v>15</v>
      </c>
      <c r="F2201" s="33" t="n">
        <f aca="false">IF(OR(D2201&gt;5,E2201&lt;8,E2201&gt;=18,COUNTIF($K$2:$K$10,INT(A2201))&gt;0),1,0)</f>
        <v>1</v>
      </c>
      <c r="G2201" s="34" t="n">
        <f aca="false">B2201/1</f>
        <v>139.618</v>
      </c>
      <c r="H2201" s="34" t="n">
        <f aca="false">IF(F2201=1,G2201,"")</f>
        <v>139.618</v>
      </c>
    </row>
    <row r="2202" customFormat="false" ht="15" hidden="false" customHeight="false" outlineLevel="0" collapsed="false">
      <c r="A2202" s="31" t="n">
        <v>42827.6666666667</v>
      </c>
      <c r="B2202" s="32" t="n">
        <v>139.324</v>
      </c>
      <c r="D2202" s="33" t="n">
        <f aca="false">WEEKDAY(A2202,2)</f>
        <v>7</v>
      </c>
      <c r="E2202" s="33" t="n">
        <f aca="false">HOUR(A2202)+MINUTE(A2202)/60</f>
        <v>16</v>
      </c>
      <c r="F2202" s="33" t="n">
        <f aca="false">IF(OR(D2202&gt;5,E2202&lt;8,E2202&gt;=18,COUNTIF($K$2:$K$10,INT(A2202))&gt;0),1,0)</f>
        <v>1</v>
      </c>
      <c r="G2202" s="34" t="n">
        <f aca="false">B2202/1</f>
        <v>139.324</v>
      </c>
      <c r="H2202" s="34" t="n">
        <f aca="false">IF(F2202=1,G2202,"")</f>
        <v>139.324</v>
      </c>
    </row>
    <row r="2203" customFormat="false" ht="15" hidden="false" customHeight="false" outlineLevel="0" collapsed="false">
      <c r="A2203" s="31" t="n">
        <v>42827.7083333333</v>
      </c>
      <c r="B2203" s="32" t="n">
        <v>136.688</v>
      </c>
      <c r="D2203" s="33" t="n">
        <f aca="false">WEEKDAY(A2203,2)</f>
        <v>7</v>
      </c>
      <c r="E2203" s="33" t="n">
        <f aca="false">HOUR(A2203)+MINUTE(A2203)/60</f>
        <v>17</v>
      </c>
      <c r="F2203" s="33" t="n">
        <f aca="false">IF(OR(D2203&gt;5,E2203&lt;8,E2203&gt;=18,COUNTIF($K$2:$K$10,INT(A2203))&gt;0),1,0)</f>
        <v>1</v>
      </c>
      <c r="G2203" s="34" t="n">
        <f aca="false">B2203/1</f>
        <v>136.688</v>
      </c>
      <c r="H2203" s="34" t="n">
        <f aca="false">IF(F2203=1,G2203,"")</f>
        <v>136.688</v>
      </c>
    </row>
    <row r="2204" customFormat="false" ht="15" hidden="false" customHeight="false" outlineLevel="0" collapsed="false">
      <c r="A2204" s="31" t="n">
        <v>42827.75</v>
      </c>
      <c r="B2204" s="32" t="n">
        <v>66.163</v>
      </c>
      <c r="D2204" s="33" t="n">
        <f aca="false">WEEKDAY(A2204,2)</f>
        <v>7</v>
      </c>
      <c r="E2204" s="33" t="n">
        <f aca="false">HOUR(A2204)+MINUTE(A2204)/60</f>
        <v>18</v>
      </c>
      <c r="F2204" s="33" t="n">
        <f aca="false">IF(OR(D2204&gt;5,E2204&lt;8,E2204&gt;=18,COUNTIF($K$2:$K$10,INT(A2204))&gt;0),1,0)</f>
        <v>1</v>
      </c>
      <c r="G2204" s="34" t="n">
        <f aca="false">B2204/1</f>
        <v>66.163</v>
      </c>
      <c r="H2204" s="34" t="n">
        <f aca="false">IF(F2204=1,G2204,"")</f>
        <v>66.163</v>
      </c>
    </row>
    <row r="2205" customFormat="false" ht="15" hidden="false" customHeight="false" outlineLevel="0" collapsed="false">
      <c r="A2205" s="31" t="n">
        <v>42827.7916666667</v>
      </c>
      <c r="B2205" s="32" t="n">
        <v>57.566</v>
      </c>
      <c r="D2205" s="33" t="n">
        <f aca="false">WEEKDAY(A2205,2)</f>
        <v>7</v>
      </c>
      <c r="E2205" s="33" t="n">
        <f aca="false">HOUR(A2205)+MINUTE(A2205)/60</f>
        <v>19</v>
      </c>
      <c r="F2205" s="33" t="n">
        <f aca="false">IF(OR(D2205&gt;5,E2205&lt;8,E2205&gt;=18,COUNTIF($K$2:$K$10,INT(A2205))&gt;0),1,0)</f>
        <v>1</v>
      </c>
      <c r="G2205" s="34" t="n">
        <f aca="false">B2205/1</f>
        <v>57.566</v>
      </c>
      <c r="H2205" s="34" t="n">
        <f aca="false">IF(F2205=1,G2205,"")</f>
        <v>57.566</v>
      </c>
    </row>
    <row r="2206" customFormat="false" ht="15" hidden="false" customHeight="false" outlineLevel="0" collapsed="false">
      <c r="A2206" s="31" t="n">
        <v>42827.8333333333</v>
      </c>
      <c r="B2206" s="32" t="n">
        <v>62.896</v>
      </c>
      <c r="D2206" s="33" t="n">
        <f aca="false">WEEKDAY(A2206,2)</f>
        <v>7</v>
      </c>
      <c r="E2206" s="33" t="n">
        <f aca="false">HOUR(A2206)+MINUTE(A2206)/60</f>
        <v>20</v>
      </c>
      <c r="F2206" s="33" t="n">
        <f aca="false">IF(OR(D2206&gt;5,E2206&lt;8,E2206&gt;=18,COUNTIF($K$2:$K$10,INT(A2206))&gt;0),1,0)</f>
        <v>1</v>
      </c>
      <c r="G2206" s="34" t="n">
        <f aca="false">B2206/1</f>
        <v>62.896</v>
      </c>
      <c r="H2206" s="34" t="n">
        <f aca="false">IF(F2206=1,G2206,"")</f>
        <v>62.896</v>
      </c>
    </row>
    <row r="2207" customFormat="false" ht="15" hidden="false" customHeight="false" outlineLevel="0" collapsed="false">
      <c r="A2207" s="31" t="n">
        <v>42827.875</v>
      </c>
      <c r="B2207" s="32" t="n">
        <v>61.643</v>
      </c>
      <c r="D2207" s="33" t="n">
        <f aca="false">WEEKDAY(A2207,2)</f>
        <v>7</v>
      </c>
      <c r="E2207" s="33" t="n">
        <f aca="false">HOUR(A2207)+MINUTE(A2207)/60</f>
        <v>21</v>
      </c>
      <c r="F2207" s="33" t="n">
        <f aca="false">IF(OR(D2207&gt;5,E2207&lt;8,E2207&gt;=18,COUNTIF($K$2:$K$10,INT(A2207))&gt;0),1,0)</f>
        <v>1</v>
      </c>
      <c r="G2207" s="34" t="n">
        <f aca="false">B2207/1</f>
        <v>61.643</v>
      </c>
      <c r="H2207" s="34" t="n">
        <f aca="false">IF(F2207=1,G2207,"")</f>
        <v>61.643</v>
      </c>
    </row>
    <row r="2208" customFormat="false" ht="15" hidden="false" customHeight="false" outlineLevel="0" collapsed="false">
      <c r="A2208" s="31" t="n">
        <v>42827.9166666667</v>
      </c>
      <c r="B2208" s="32" t="n">
        <v>63.315</v>
      </c>
      <c r="D2208" s="33" t="n">
        <f aca="false">WEEKDAY(A2208,2)</f>
        <v>7</v>
      </c>
      <c r="E2208" s="33" t="n">
        <f aca="false">HOUR(A2208)+MINUTE(A2208)/60</f>
        <v>22</v>
      </c>
      <c r="F2208" s="33" t="n">
        <f aca="false">IF(OR(D2208&gt;5,E2208&lt;8,E2208&gt;=18,COUNTIF($K$2:$K$10,INT(A2208))&gt;0),1,0)</f>
        <v>1</v>
      </c>
      <c r="G2208" s="34" t="n">
        <f aca="false">B2208/1</f>
        <v>63.315</v>
      </c>
      <c r="H2208" s="34" t="n">
        <f aca="false">IF(F2208=1,G2208,"")</f>
        <v>63.315</v>
      </c>
    </row>
    <row r="2209" customFormat="false" ht="15" hidden="false" customHeight="false" outlineLevel="0" collapsed="false">
      <c r="A2209" s="31" t="n">
        <v>42827.9583333333</v>
      </c>
      <c r="B2209" s="32" t="n">
        <v>61.219</v>
      </c>
      <c r="D2209" s="33" t="n">
        <f aca="false">WEEKDAY(A2209,2)</f>
        <v>7</v>
      </c>
      <c r="E2209" s="33" t="n">
        <f aca="false">HOUR(A2209)+MINUTE(A2209)/60</f>
        <v>23</v>
      </c>
      <c r="F2209" s="33" t="n">
        <f aca="false">IF(OR(D2209&gt;5,E2209&lt;8,E2209&gt;=18,COUNTIF($K$2:$K$10,INT(A2209))&gt;0),1,0)</f>
        <v>1</v>
      </c>
      <c r="G2209" s="34" t="n">
        <f aca="false">B2209/1</f>
        <v>61.219</v>
      </c>
      <c r="H2209" s="34" t="n">
        <f aca="false">IF(F2209=1,G2209,"")</f>
        <v>61.219</v>
      </c>
    </row>
    <row r="2210" customFormat="false" ht="15" hidden="false" customHeight="false" outlineLevel="0" collapsed="false">
      <c r="A2210" s="31" t="n">
        <v>42828</v>
      </c>
      <c r="B2210" s="32" t="n">
        <v>61.089</v>
      </c>
      <c r="D2210" s="33" t="n">
        <f aca="false">WEEKDAY(A2210,2)</f>
        <v>1</v>
      </c>
      <c r="E2210" s="33" t="n">
        <f aca="false">HOUR(A2210)+MINUTE(A2210)/60</f>
        <v>0</v>
      </c>
      <c r="F2210" s="33" t="n">
        <f aca="false">IF(OR(D2210&gt;5,E2210&lt;8,E2210&gt;=18,COUNTIF($K$2:$K$10,INT(A2210))&gt;0),1,0)</f>
        <v>1</v>
      </c>
      <c r="G2210" s="34" t="n">
        <f aca="false">B2210/1</f>
        <v>61.089</v>
      </c>
      <c r="H2210" s="34" t="n">
        <f aca="false">IF(F2210=1,G2210,"")</f>
        <v>61.089</v>
      </c>
    </row>
    <row r="2211" customFormat="false" ht="15" hidden="false" customHeight="false" outlineLevel="0" collapsed="false">
      <c r="A2211" s="31" t="n">
        <v>42828.0416666667</v>
      </c>
      <c r="B2211" s="32" t="n">
        <v>56.784</v>
      </c>
      <c r="D2211" s="33" t="n">
        <f aca="false">WEEKDAY(A2211,2)</f>
        <v>1</v>
      </c>
      <c r="E2211" s="33" t="n">
        <f aca="false">HOUR(A2211)+MINUTE(A2211)/60</f>
        <v>1</v>
      </c>
      <c r="F2211" s="33" t="n">
        <f aca="false">IF(OR(D2211&gt;5,E2211&lt;8,E2211&gt;=18,COUNTIF($K$2:$K$10,INT(A2211))&gt;0),1,0)</f>
        <v>1</v>
      </c>
      <c r="G2211" s="34" t="n">
        <f aca="false">B2211/1</f>
        <v>56.784</v>
      </c>
      <c r="H2211" s="34" t="n">
        <f aca="false">IF(F2211=1,G2211,"")</f>
        <v>56.784</v>
      </c>
    </row>
    <row r="2212" customFormat="false" ht="15" hidden="false" customHeight="false" outlineLevel="0" collapsed="false">
      <c r="A2212" s="31" t="n">
        <v>42828.0833333333</v>
      </c>
      <c r="B2212" s="32" t="n">
        <v>58.02</v>
      </c>
      <c r="D2212" s="33" t="n">
        <f aca="false">WEEKDAY(A2212,2)</f>
        <v>1</v>
      </c>
      <c r="E2212" s="33" t="n">
        <f aca="false">HOUR(A2212)+MINUTE(A2212)/60</f>
        <v>2</v>
      </c>
      <c r="F2212" s="33" t="n">
        <f aca="false">IF(OR(D2212&gt;5,E2212&lt;8,E2212&gt;=18,COUNTIF($K$2:$K$10,INT(A2212))&gt;0),1,0)</f>
        <v>1</v>
      </c>
      <c r="G2212" s="34" t="n">
        <f aca="false">B2212/1</f>
        <v>58.02</v>
      </c>
      <c r="H2212" s="34" t="n">
        <f aca="false">IF(F2212=1,G2212,"")</f>
        <v>58.02</v>
      </c>
    </row>
    <row r="2213" customFormat="false" ht="15" hidden="false" customHeight="false" outlineLevel="0" collapsed="false">
      <c r="A2213" s="31" t="n">
        <v>42828.125</v>
      </c>
      <c r="B2213" s="32" t="n">
        <v>58.024</v>
      </c>
      <c r="D2213" s="33" t="n">
        <f aca="false">WEEKDAY(A2213,2)</f>
        <v>1</v>
      </c>
      <c r="E2213" s="33" t="n">
        <f aca="false">HOUR(A2213)+MINUTE(A2213)/60</f>
        <v>3</v>
      </c>
      <c r="F2213" s="33" t="n">
        <f aca="false">IF(OR(D2213&gt;5,E2213&lt;8,E2213&gt;=18,COUNTIF($K$2:$K$10,INT(A2213))&gt;0),1,0)</f>
        <v>1</v>
      </c>
      <c r="G2213" s="34" t="n">
        <f aca="false">B2213/1</f>
        <v>58.024</v>
      </c>
      <c r="H2213" s="34" t="n">
        <f aca="false">IF(F2213=1,G2213,"")</f>
        <v>58.024</v>
      </c>
    </row>
    <row r="2214" customFormat="false" ht="15" hidden="false" customHeight="false" outlineLevel="0" collapsed="false">
      <c r="A2214" s="31" t="n">
        <v>42828.1666666667</v>
      </c>
      <c r="B2214" s="32" t="n">
        <v>56.583</v>
      </c>
      <c r="D2214" s="33" t="n">
        <f aca="false">WEEKDAY(A2214,2)</f>
        <v>1</v>
      </c>
      <c r="E2214" s="33" t="n">
        <f aca="false">HOUR(A2214)+MINUTE(A2214)/60</f>
        <v>4</v>
      </c>
      <c r="F2214" s="33" t="n">
        <f aca="false">IF(OR(D2214&gt;5,E2214&lt;8,E2214&gt;=18,COUNTIF($K$2:$K$10,INT(A2214))&gt;0),1,0)</f>
        <v>1</v>
      </c>
      <c r="G2214" s="34" t="n">
        <f aca="false">B2214/1</f>
        <v>56.583</v>
      </c>
      <c r="H2214" s="34" t="n">
        <f aca="false">IF(F2214=1,G2214,"")</f>
        <v>56.583</v>
      </c>
    </row>
    <row r="2215" customFormat="false" ht="15" hidden="false" customHeight="false" outlineLevel="0" collapsed="false">
      <c r="A2215" s="31" t="n">
        <v>42828.2083333333</v>
      </c>
      <c r="B2215" s="32" t="n">
        <v>55.519</v>
      </c>
      <c r="D2215" s="33" t="n">
        <f aca="false">WEEKDAY(A2215,2)</f>
        <v>1</v>
      </c>
      <c r="E2215" s="33" t="n">
        <f aca="false">HOUR(A2215)+MINUTE(A2215)/60</f>
        <v>5</v>
      </c>
      <c r="F2215" s="33" t="n">
        <f aca="false">IF(OR(D2215&gt;5,E2215&lt;8,E2215&gt;=18,COUNTIF($K$2:$K$10,INT(A2215))&gt;0),1,0)</f>
        <v>1</v>
      </c>
      <c r="G2215" s="34" t="n">
        <f aca="false">B2215/1</f>
        <v>55.519</v>
      </c>
      <c r="H2215" s="34" t="n">
        <f aca="false">IF(F2215=1,G2215,"")</f>
        <v>55.519</v>
      </c>
    </row>
    <row r="2216" customFormat="false" ht="15" hidden="false" customHeight="false" outlineLevel="0" collapsed="false">
      <c r="A2216" s="31" t="n">
        <v>42828.25</v>
      </c>
      <c r="B2216" s="32" t="n">
        <v>58.95</v>
      </c>
      <c r="D2216" s="33" t="n">
        <f aca="false">WEEKDAY(A2216,2)</f>
        <v>1</v>
      </c>
      <c r="E2216" s="33" t="n">
        <f aca="false">HOUR(A2216)+MINUTE(A2216)/60</f>
        <v>6</v>
      </c>
      <c r="F2216" s="33" t="n">
        <f aca="false">IF(OR(D2216&gt;5,E2216&lt;8,E2216&gt;=18,COUNTIF($K$2:$K$10,INT(A2216))&gt;0),1,0)</f>
        <v>1</v>
      </c>
      <c r="G2216" s="34" t="n">
        <f aca="false">B2216/1</f>
        <v>58.95</v>
      </c>
      <c r="H2216" s="34" t="n">
        <f aca="false">IF(F2216=1,G2216,"")</f>
        <v>58.95</v>
      </c>
    </row>
    <row r="2217" customFormat="false" ht="15" hidden="false" customHeight="false" outlineLevel="0" collapsed="false">
      <c r="A2217" s="31" t="n">
        <v>42828.2916666667</v>
      </c>
      <c r="B2217" s="32" t="n">
        <v>80.501</v>
      </c>
      <c r="D2217" s="33" t="n">
        <f aca="false">WEEKDAY(A2217,2)</f>
        <v>1</v>
      </c>
      <c r="E2217" s="33" t="n">
        <f aca="false">HOUR(A2217)+MINUTE(A2217)/60</f>
        <v>7</v>
      </c>
      <c r="F2217" s="33" t="n">
        <f aca="false">IF(OR(D2217&gt;5,E2217&lt;8,E2217&gt;=18,COUNTIF($K$2:$K$10,INT(A2217))&gt;0),1,0)</f>
        <v>1</v>
      </c>
      <c r="G2217" s="34" t="n">
        <f aca="false">B2217/1</f>
        <v>80.501</v>
      </c>
      <c r="H2217" s="34" t="n">
        <f aca="false">IF(F2217=1,G2217,"")</f>
        <v>80.501</v>
      </c>
    </row>
    <row r="2218" customFormat="false" ht="15" hidden="false" customHeight="false" outlineLevel="0" collapsed="false">
      <c r="A2218" s="31" t="n">
        <v>42828.3333333333</v>
      </c>
      <c r="B2218" s="32" t="n">
        <v>170.251</v>
      </c>
      <c r="D2218" s="33" t="n">
        <f aca="false">WEEKDAY(A2218,2)</f>
        <v>1</v>
      </c>
      <c r="E2218" s="33" t="n">
        <f aca="false">HOUR(A2218)+MINUTE(A2218)/60</f>
        <v>8</v>
      </c>
      <c r="F2218" s="33" t="n">
        <f aca="false">IF(OR(D2218&gt;5,E2218&lt;8,E2218&gt;=18,COUNTIF($K$2:$K$10,INT(A2218))&gt;0),1,0)</f>
        <v>0</v>
      </c>
      <c r="G2218" s="34" t="n">
        <f aca="false">B2218/1</f>
        <v>170.251</v>
      </c>
      <c r="H2218" s="34" t="str">
        <f aca="false">IF(F2218=1,G2218,"")</f>
        <v/>
      </c>
    </row>
    <row r="2219" customFormat="false" ht="15" hidden="false" customHeight="false" outlineLevel="0" collapsed="false">
      <c r="A2219" s="31" t="n">
        <v>42828.375</v>
      </c>
      <c r="B2219" s="32" t="n">
        <v>205.989</v>
      </c>
      <c r="D2219" s="33" t="n">
        <f aca="false">WEEKDAY(A2219,2)</f>
        <v>1</v>
      </c>
      <c r="E2219" s="33" t="n">
        <f aca="false">HOUR(A2219)+MINUTE(A2219)/60</f>
        <v>9</v>
      </c>
      <c r="F2219" s="33" t="n">
        <f aca="false">IF(OR(D2219&gt;5,E2219&lt;8,E2219&gt;=18,COUNTIF($K$2:$K$10,INT(A2219))&gt;0),1,0)</f>
        <v>0</v>
      </c>
      <c r="G2219" s="34" t="n">
        <f aca="false">B2219/1</f>
        <v>205.989</v>
      </c>
      <c r="H2219" s="34" t="str">
        <f aca="false">IF(F2219=1,G2219,"")</f>
        <v/>
      </c>
    </row>
    <row r="2220" customFormat="false" ht="15" hidden="false" customHeight="false" outlineLevel="0" collapsed="false">
      <c r="A2220" s="31" t="n">
        <v>42828.4166666667</v>
      </c>
      <c r="B2220" s="32" t="n">
        <v>227.585</v>
      </c>
      <c r="D2220" s="33" t="n">
        <f aca="false">WEEKDAY(A2220,2)</f>
        <v>1</v>
      </c>
      <c r="E2220" s="33" t="n">
        <f aca="false">HOUR(A2220)+MINUTE(A2220)/60</f>
        <v>10</v>
      </c>
      <c r="F2220" s="33" t="n">
        <f aca="false">IF(OR(D2220&gt;5,E2220&lt;8,E2220&gt;=18,COUNTIF($K$2:$K$10,INT(A2220))&gt;0),1,0)</f>
        <v>0</v>
      </c>
      <c r="G2220" s="34" t="n">
        <f aca="false">B2220/1</f>
        <v>227.585</v>
      </c>
      <c r="H2220" s="34" t="str">
        <f aca="false">IF(F2220=1,G2220,"")</f>
        <v/>
      </c>
    </row>
    <row r="2221" customFormat="false" ht="15" hidden="false" customHeight="false" outlineLevel="0" collapsed="false">
      <c r="A2221" s="31" t="n">
        <v>42828.4583333333</v>
      </c>
      <c r="B2221" s="32" t="n">
        <v>242.078</v>
      </c>
      <c r="D2221" s="33" t="n">
        <f aca="false">WEEKDAY(A2221,2)</f>
        <v>1</v>
      </c>
      <c r="E2221" s="33" t="n">
        <f aca="false">HOUR(A2221)+MINUTE(A2221)/60</f>
        <v>11</v>
      </c>
      <c r="F2221" s="33" t="n">
        <f aca="false">IF(OR(D2221&gt;5,E2221&lt;8,E2221&gt;=18,COUNTIF($K$2:$K$10,INT(A2221))&gt;0),1,0)</f>
        <v>0</v>
      </c>
      <c r="G2221" s="34" t="n">
        <f aca="false">B2221/1</f>
        <v>242.078</v>
      </c>
      <c r="H2221" s="34" t="str">
        <f aca="false">IF(F2221=1,G2221,"")</f>
        <v/>
      </c>
    </row>
    <row r="2222" customFormat="false" ht="15" hidden="false" customHeight="false" outlineLevel="0" collapsed="false">
      <c r="A2222" s="31" t="n">
        <v>42828.5</v>
      </c>
      <c r="B2222" s="32" t="n">
        <v>248.708</v>
      </c>
      <c r="D2222" s="33" t="n">
        <f aca="false">WEEKDAY(A2222,2)</f>
        <v>1</v>
      </c>
      <c r="E2222" s="33" t="n">
        <f aca="false">HOUR(A2222)+MINUTE(A2222)/60</f>
        <v>12</v>
      </c>
      <c r="F2222" s="33" t="n">
        <f aca="false">IF(OR(D2222&gt;5,E2222&lt;8,E2222&gt;=18,COUNTIF($K$2:$K$10,INT(A2222))&gt;0),1,0)</f>
        <v>0</v>
      </c>
      <c r="G2222" s="34" t="n">
        <f aca="false">B2222/1</f>
        <v>248.708</v>
      </c>
      <c r="H2222" s="34" t="str">
        <f aca="false">IF(F2222=1,G2222,"")</f>
        <v/>
      </c>
    </row>
    <row r="2223" customFormat="false" ht="15" hidden="false" customHeight="false" outlineLevel="0" collapsed="false">
      <c r="A2223" s="31" t="n">
        <v>42828.5416666667</v>
      </c>
      <c r="B2223" s="32" t="n">
        <v>250.981</v>
      </c>
      <c r="D2223" s="33" t="n">
        <f aca="false">WEEKDAY(A2223,2)</f>
        <v>1</v>
      </c>
      <c r="E2223" s="33" t="n">
        <f aca="false">HOUR(A2223)+MINUTE(A2223)/60</f>
        <v>13</v>
      </c>
      <c r="F2223" s="33" t="n">
        <f aca="false">IF(OR(D2223&gt;5,E2223&lt;8,E2223&gt;=18,COUNTIF($K$2:$K$10,INT(A2223))&gt;0),1,0)</f>
        <v>0</v>
      </c>
      <c r="G2223" s="34" t="n">
        <f aca="false">B2223/1</f>
        <v>250.981</v>
      </c>
      <c r="H2223" s="34" t="str">
        <f aca="false">IF(F2223=1,G2223,"")</f>
        <v/>
      </c>
    </row>
    <row r="2224" customFormat="false" ht="15" hidden="false" customHeight="false" outlineLevel="0" collapsed="false">
      <c r="A2224" s="31" t="n">
        <v>42828.5833333333</v>
      </c>
      <c r="B2224" s="32" t="n">
        <v>245.166</v>
      </c>
      <c r="D2224" s="33" t="n">
        <f aca="false">WEEKDAY(A2224,2)</f>
        <v>1</v>
      </c>
      <c r="E2224" s="33" t="n">
        <f aca="false">HOUR(A2224)+MINUTE(A2224)/60</f>
        <v>14</v>
      </c>
      <c r="F2224" s="33" t="n">
        <f aca="false">IF(OR(D2224&gt;5,E2224&lt;8,E2224&gt;=18,COUNTIF($K$2:$K$10,INT(A2224))&gt;0),1,0)</f>
        <v>0</v>
      </c>
      <c r="G2224" s="34" t="n">
        <f aca="false">B2224/1</f>
        <v>245.166</v>
      </c>
      <c r="H2224" s="34" t="str">
        <f aca="false">IF(F2224=1,G2224,"")</f>
        <v/>
      </c>
    </row>
    <row r="2225" customFormat="false" ht="15" hidden="false" customHeight="false" outlineLevel="0" collapsed="false">
      <c r="A2225" s="31" t="n">
        <v>42828.625</v>
      </c>
      <c r="B2225" s="32" t="n">
        <v>252.471</v>
      </c>
      <c r="D2225" s="33" t="n">
        <f aca="false">WEEKDAY(A2225,2)</f>
        <v>1</v>
      </c>
      <c r="E2225" s="33" t="n">
        <f aca="false">HOUR(A2225)+MINUTE(A2225)/60</f>
        <v>15</v>
      </c>
      <c r="F2225" s="33" t="n">
        <f aca="false">IF(OR(D2225&gt;5,E2225&lt;8,E2225&gt;=18,COUNTIF($K$2:$K$10,INT(A2225))&gt;0),1,0)</f>
        <v>0</v>
      </c>
      <c r="G2225" s="34" t="n">
        <f aca="false">B2225/1</f>
        <v>252.471</v>
      </c>
      <c r="H2225" s="34" t="str">
        <f aca="false">IF(F2225=1,G2225,"")</f>
        <v/>
      </c>
    </row>
    <row r="2226" customFormat="false" ht="15" hidden="false" customHeight="false" outlineLevel="0" collapsed="false">
      <c r="A2226" s="31" t="n">
        <v>42828.6666666667</v>
      </c>
      <c r="B2226" s="32" t="n">
        <v>247.623</v>
      </c>
      <c r="D2226" s="33" t="n">
        <f aca="false">WEEKDAY(A2226,2)</f>
        <v>1</v>
      </c>
      <c r="E2226" s="33" t="n">
        <f aca="false">HOUR(A2226)+MINUTE(A2226)/60</f>
        <v>16</v>
      </c>
      <c r="F2226" s="33" t="n">
        <f aca="false">IF(OR(D2226&gt;5,E2226&lt;8,E2226&gt;=18,COUNTIF($K$2:$K$10,INT(A2226))&gt;0),1,0)</f>
        <v>0</v>
      </c>
      <c r="G2226" s="34" t="n">
        <f aca="false">B2226/1</f>
        <v>247.623</v>
      </c>
      <c r="H2226" s="34" t="str">
        <f aca="false">IF(F2226=1,G2226,"")</f>
        <v/>
      </c>
    </row>
    <row r="2227" customFormat="false" ht="15" hidden="false" customHeight="false" outlineLevel="0" collapsed="false">
      <c r="A2227" s="31" t="n">
        <v>42828.7083333333</v>
      </c>
      <c r="B2227" s="32" t="n">
        <v>242.617</v>
      </c>
      <c r="D2227" s="33" t="n">
        <f aca="false">WEEKDAY(A2227,2)</f>
        <v>1</v>
      </c>
      <c r="E2227" s="33" t="n">
        <f aca="false">HOUR(A2227)+MINUTE(A2227)/60</f>
        <v>17</v>
      </c>
      <c r="F2227" s="33" t="n">
        <f aca="false">IF(OR(D2227&gt;5,E2227&lt;8,E2227&gt;=18,COUNTIF($K$2:$K$10,INT(A2227))&gt;0),1,0)</f>
        <v>0</v>
      </c>
      <c r="G2227" s="34" t="n">
        <f aca="false">B2227/1</f>
        <v>242.617</v>
      </c>
      <c r="H2227" s="34" t="str">
        <f aca="false">IF(F2227=1,G2227,"")</f>
        <v/>
      </c>
    </row>
    <row r="2228" customFormat="false" ht="15" hidden="false" customHeight="false" outlineLevel="0" collapsed="false">
      <c r="A2228" s="31" t="n">
        <v>42828.75</v>
      </c>
      <c r="B2228" s="32" t="n">
        <v>216.447</v>
      </c>
      <c r="D2228" s="33" t="n">
        <f aca="false">WEEKDAY(A2228,2)</f>
        <v>1</v>
      </c>
      <c r="E2228" s="33" t="n">
        <f aca="false">HOUR(A2228)+MINUTE(A2228)/60</f>
        <v>18</v>
      </c>
      <c r="F2228" s="33" t="n">
        <f aca="false">IF(OR(D2228&gt;5,E2228&lt;8,E2228&gt;=18,COUNTIF($K$2:$K$10,INT(A2228))&gt;0),1,0)</f>
        <v>1</v>
      </c>
      <c r="G2228" s="34" t="n">
        <f aca="false">B2228/1</f>
        <v>216.447</v>
      </c>
      <c r="H2228" s="34" t="n">
        <f aca="false">IF(F2228=1,G2228,"")</f>
        <v>216.447</v>
      </c>
    </row>
    <row r="2229" customFormat="false" ht="15" hidden="false" customHeight="false" outlineLevel="0" collapsed="false">
      <c r="A2229" s="31" t="n">
        <v>42828.7916666667</v>
      </c>
      <c r="B2229" s="32" t="n">
        <v>200.457</v>
      </c>
      <c r="D2229" s="33" t="n">
        <f aca="false">WEEKDAY(A2229,2)</f>
        <v>1</v>
      </c>
      <c r="E2229" s="33" t="n">
        <f aca="false">HOUR(A2229)+MINUTE(A2229)/60</f>
        <v>19</v>
      </c>
      <c r="F2229" s="33" t="n">
        <f aca="false">IF(OR(D2229&gt;5,E2229&lt;8,E2229&gt;=18,COUNTIF($K$2:$K$10,INT(A2229))&gt;0),1,0)</f>
        <v>1</v>
      </c>
      <c r="G2229" s="34" t="n">
        <f aca="false">B2229/1</f>
        <v>200.457</v>
      </c>
      <c r="H2229" s="34" t="n">
        <f aca="false">IF(F2229=1,G2229,"")</f>
        <v>200.457</v>
      </c>
    </row>
    <row r="2230" customFormat="false" ht="15" hidden="false" customHeight="false" outlineLevel="0" collapsed="false">
      <c r="A2230" s="31" t="n">
        <v>42828.8333333333</v>
      </c>
      <c r="B2230" s="32" t="n">
        <v>195.746</v>
      </c>
      <c r="D2230" s="33" t="n">
        <f aca="false">WEEKDAY(A2230,2)</f>
        <v>1</v>
      </c>
      <c r="E2230" s="33" t="n">
        <f aca="false">HOUR(A2230)+MINUTE(A2230)/60</f>
        <v>20</v>
      </c>
      <c r="F2230" s="33" t="n">
        <f aca="false">IF(OR(D2230&gt;5,E2230&lt;8,E2230&gt;=18,COUNTIF($K$2:$K$10,INT(A2230))&gt;0),1,0)</f>
        <v>1</v>
      </c>
      <c r="G2230" s="34" t="n">
        <f aca="false">B2230/1</f>
        <v>195.746</v>
      </c>
      <c r="H2230" s="34" t="n">
        <f aca="false">IF(F2230=1,G2230,"")</f>
        <v>195.746</v>
      </c>
    </row>
    <row r="2231" customFormat="false" ht="15" hidden="false" customHeight="false" outlineLevel="0" collapsed="false">
      <c r="A2231" s="31" t="n">
        <v>42828.875</v>
      </c>
      <c r="B2231" s="32" t="n">
        <v>187.601</v>
      </c>
      <c r="D2231" s="33" t="n">
        <f aca="false">WEEKDAY(A2231,2)</f>
        <v>1</v>
      </c>
      <c r="E2231" s="33" t="n">
        <f aca="false">HOUR(A2231)+MINUTE(A2231)/60</f>
        <v>21</v>
      </c>
      <c r="F2231" s="33" t="n">
        <f aca="false">IF(OR(D2231&gt;5,E2231&lt;8,E2231&gt;=18,COUNTIF($K$2:$K$10,INT(A2231))&gt;0),1,0)</f>
        <v>1</v>
      </c>
      <c r="G2231" s="34" t="n">
        <f aca="false">B2231/1</f>
        <v>187.601</v>
      </c>
      <c r="H2231" s="34" t="n">
        <f aca="false">IF(F2231=1,G2231,"")</f>
        <v>187.601</v>
      </c>
    </row>
    <row r="2232" customFormat="false" ht="15" hidden="false" customHeight="false" outlineLevel="0" collapsed="false">
      <c r="A2232" s="31" t="n">
        <v>42828.9166666667</v>
      </c>
      <c r="B2232" s="32" t="n">
        <v>139.222</v>
      </c>
      <c r="D2232" s="33" t="n">
        <f aca="false">WEEKDAY(A2232,2)</f>
        <v>1</v>
      </c>
      <c r="E2232" s="33" t="n">
        <f aca="false">HOUR(A2232)+MINUTE(A2232)/60</f>
        <v>22</v>
      </c>
      <c r="F2232" s="33" t="n">
        <f aca="false">IF(OR(D2232&gt;5,E2232&lt;8,E2232&gt;=18,COUNTIF($K$2:$K$10,INT(A2232))&gt;0),1,0)</f>
        <v>1</v>
      </c>
      <c r="G2232" s="34" t="n">
        <f aca="false">B2232/1</f>
        <v>139.222</v>
      </c>
      <c r="H2232" s="34" t="n">
        <f aca="false">IF(F2232=1,G2232,"")</f>
        <v>139.222</v>
      </c>
    </row>
    <row r="2233" customFormat="false" ht="15" hidden="false" customHeight="false" outlineLevel="0" collapsed="false">
      <c r="A2233" s="31" t="n">
        <v>42828.9583333333</v>
      </c>
      <c r="B2233" s="32" t="n">
        <v>74.573</v>
      </c>
      <c r="D2233" s="33" t="n">
        <f aca="false">WEEKDAY(A2233,2)</f>
        <v>1</v>
      </c>
      <c r="E2233" s="33" t="n">
        <f aca="false">HOUR(A2233)+MINUTE(A2233)/60</f>
        <v>23</v>
      </c>
      <c r="F2233" s="33" t="n">
        <f aca="false">IF(OR(D2233&gt;5,E2233&lt;8,E2233&gt;=18,COUNTIF($K$2:$K$10,INT(A2233))&gt;0),1,0)</f>
        <v>1</v>
      </c>
      <c r="G2233" s="34" t="n">
        <f aca="false">B2233/1</f>
        <v>74.573</v>
      </c>
      <c r="H2233" s="34" t="n">
        <f aca="false">IF(F2233=1,G2233,"")</f>
        <v>74.573</v>
      </c>
    </row>
    <row r="2234" customFormat="false" ht="15" hidden="false" customHeight="false" outlineLevel="0" collapsed="false">
      <c r="A2234" s="31" t="n">
        <v>42829</v>
      </c>
      <c r="B2234" s="32" t="n">
        <v>65.905</v>
      </c>
      <c r="D2234" s="33" t="n">
        <f aca="false">WEEKDAY(A2234,2)</f>
        <v>2</v>
      </c>
      <c r="E2234" s="33" t="n">
        <f aca="false">HOUR(A2234)+MINUTE(A2234)/60</f>
        <v>0</v>
      </c>
      <c r="F2234" s="33" t="n">
        <f aca="false">IF(OR(D2234&gt;5,E2234&lt;8,E2234&gt;=18,COUNTIF($K$2:$K$10,INT(A2234))&gt;0),1,0)</f>
        <v>1</v>
      </c>
      <c r="G2234" s="34" t="n">
        <f aca="false">B2234/1</f>
        <v>65.905</v>
      </c>
      <c r="H2234" s="34" t="n">
        <f aca="false">IF(F2234=1,G2234,"")</f>
        <v>65.905</v>
      </c>
    </row>
    <row r="2235" customFormat="false" ht="15" hidden="false" customHeight="false" outlineLevel="0" collapsed="false">
      <c r="A2235" s="31" t="n">
        <v>42829.0416666667</v>
      </c>
      <c r="B2235" s="32" t="n">
        <v>62.47</v>
      </c>
      <c r="D2235" s="33" t="n">
        <f aca="false">WEEKDAY(A2235,2)</f>
        <v>2</v>
      </c>
      <c r="E2235" s="33" t="n">
        <f aca="false">HOUR(A2235)+MINUTE(A2235)/60</f>
        <v>1</v>
      </c>
      <c r="F2235" s="33" t="n">
        <f aca="false">IF(OR(D2235&gt;5,E2235&lt;8,E2235&gt;=18,COUNTIF($K$2:$K$10,INT(A2235))&gt;0),1,0)</f>
        <v>1</v>
      </c>
      <c r="G2235" s="34" t="n">
        <f aca="false">B2235/1</f>
        <v>62.47</v>
      </c>
      <c r="H2235" s="34" t="n">
        <f aca="false">IF(F2235=1,G2235,"")</f>
        <v>62.47</v>
      </c>
    </row>
    <row r="2236" customFormat="false" ht="15" hidden="false" customHeight="false" outlineLevel="0" collapsed="false">
      <c r="A2236" s="31" t="n">
        <v>42829.0833333333</v>
      </c>
      <c r="B2236" s="32" t="n">
        <v>58.364</v>
      </c>
      <c r="D2236" s="33" t="n">
        <f aca="false">WEEKDAY(A2236,2)</f>
        <v>2</v>
      </c>
      <c r="E2236" s="33" t="n">
        <f aca="false">HOUR(A2236)+MINUTE(A2236)/60</f>
        <v>2</v>
      </c>
      <c r="F2236" s="33" t="n">
        <f aca="false">IF(OR(D2236&gt;5,E2236&lt;8,E2236&gt;=18,COUNTIF($K$2:$K$10,INT(A2236))&gt;0),1,0)</f>
        <v>1</v>
      </c>
      <c r="G2236" s="34" t="n">
        <f aca="false">B2236/1</f>
        <v>58.364</v>
      </c>
      <c r="H2236" s="34" t="n">
        <f aca="false">IF(F2236=1,G2236,"")</f>
        <v>58.364</v>
      </c>
    </row>
    <row r="2237" customFormat="false" ht="15" hidden="false" customHeight="false" outlineLevel="0" collapsed="false">
      <c r="A2237" s="31" t="n">
        <v>42829.125</v>
      </c>
      <c r="B2237" s="32" t="n">
        <v>58.661</v>
      </c>
      <c r="D2237" s="33" t="n">
        <f aca="false">WEEKDAY(A2237,2)</f>
        <v>2</v>
      </c>
      <c r="E2237" s="33" t="n">
        <f aca="false">HOUR(A2237)+MINUTE(A2237)/60</f>
        <v>3</v>
      </c>
      <c r="F2237" s="33" t="n">
        <f aca="false">IF(OR(D2237&gt;5,E2237&lt;8,E2237&gt;=18,COUNTIF($K$2:$K$10,INT(A2237))&gt;0),1,0)</f>
        <v>1</v>
      </c>
      <c r="G2237" s="34" t="n">
        <f aca="false">B2237/1</f>
        <v>58.661</v>
      </c>
      <c r="H2237" s="34" t="n">
        <f aca="false">IF(F2237=1,G2237,"")</f>
        <v>58.661</v>
      </c>
    </row>
    <row r="2238" customFormat="false" ht="15" hidden="false" customHeight="false" outlineLevel="0" collapsed="false">
      <c r="A2238" s="31" t="n">
        <v>42829.1666666667</v>
      </c>
      <c r="B2238" s="32" t="n">
        <v>56.756</v>
      </c>
      <c r="D2238" s="33" t="n">
        <f aca="false">WEEKDAY(A2238,2)</f>
        <v>2</v>
      </c>
      <c r="E2238" s="33" t="n">
        <f aca="false">HOUR(A2238)+MINUTE(A2238)/60</f>
        <v>4</v>
      </c>
      <c r="F2238" s="33" t="n">
        <f aca="false">IF(OR(D2238&gt;5,E2238&lt;8,E2238&gt;=18,COUNTIF($K$2:$K$10,INT(A2238))&gt;0),1,0)</f>
        <v>1</v>
      </c>
      <c r="G2238" s="34" t="n">
        <f aca="false">B2238/1</f>
        <v>56.756</v>
      </c>
      <c r="H2238" s="34" t="n">
        <f aca="false">IF(F2238=1,G2238,"")</f>
        <v>56.756</v>
      </c>
    </row>
    <row r="2239" customFormat="false" ht="15" hidden="false" customHeight="false" outlineLevel="0" collapsed="false">
      <c r="A2239" s="31" t="n">
        <v>42829.2083333333</v>
      </c>
      <c r="B2239" s="32" t="n">
        <v>58.244</v>
      </c>
      <c r="D2239" s="33" t="n">
        <f aca="false">WEEKDAY(A2239,2)</f>
        <v>2</v>
      </c>
      <c r="E2239" s="33" t="n">
        <f aca="false">HOUR(A2239)+MINUTE(A2239)/60</f>
        <v>5</v>
      </c>
      <c r="F2239" s="33" t="n">
        <f aca="false">IF(OR(D2239&gt;5,E2239&lt;8,E2239&gt;=18,COUNTIF($K$2:$K$10,INT(A2239))&gt;0),1,0)</f>
        <v>1</v>
      </c>
      <c r="G2239" s="34" t="n">
        <f aca="false">B2239/1</f>
        <v>58.244</v>
      </c>
      <c r="H2239" s="34" t="n">
        <f aca="false">IF(F2239=1,G2239,"")</f>
        <v>58.244</v>
      </c>
    </row>
    <row r="2240" customFormat="false" ht="15" hidden="false" customHeight="false" outlineLevel="0" collapsed="false">
      <c r="A2240" s="31" t="n">
        <v>42829.25</v>
      </c>
      <c r="B2240" s="32" t="n">
        <v>58.127</v>
      </c>
      <c r="D2240" s="33" t="n">
        <f aca="false">WEEKDAY(A2240,2)</f>
        <v>2</v>
      </c>
      <c r="E2240" s="33" t="n">
        <f aca="false">HOUR(A2240)+MINUTE(A2240)/60</f>
        <v>6</v>
      </c>
      <c r="F2240" s="33" t="n">
        <f aca="false">IF(OR(D2240&gt;5,E2240&lt;8,E2240&gt;=18,COUNTIF($K$2:$K$10,INT(A2240))&gt;0),1,0)</f>
        <v>1</v>
      </c>
      <c r="G2240" s="34" t="n">
        <f aca="false">B2240/1</f>
        <v>58.127</v>
      </c>
      <c r="H2240" s="34" t="n">
        <f aca="false">IF(F2240=1,G2240,"")</f>
        <v>58.127</v>
      </c>
    </row>
    <row r="2241" customFormat="false" ht="15" hidden="false" customHeight="false" outlineLevel="0" collapsed="false">
      <c r="A2241" s="31" t="n">
        <v>42829.2916666667</v>
      </c>
      <c r="B2241" s="32" t="n">
        <v>63.081</v>
      </c>
      <c r="D2241" s="33" t="n">
        <f aca="false">WEEKDAY(A2241,2)</f>
        <v>2</v>
      </c>
      <c r="E2241" s="33" t="n">
        <f aca="false">HOUR(A2241)+MINUTE(A2241)/60</f>
        <v>7</v>
      </c>
      <c r="F2241" s="33" t="n">
        <f aca="false">IF(OR(D2241&gt;5,E2241&lt;8,E2241&gt;=18,COUNTIF($K$2:$K$10,INT(A2241))&gt;0),1,0)</f>
        <v>1</v>
      </c>
      <c r="G2241" s="34" t="n">
        <f aca="false">B2241/1</f>
        <v>63.081</v>
      </c>
      <c r="H2241" s="34" t="n">
        <f aca="false">IF(F2241=1,G2241,"")</f>
        <v>63.081</v>
      </c>
    </row>
    <row r="2242" customFormat="false" ht="15" hidden="false" customHeight="false" outlineLevel="0" collapsed="false">
      <c r="A2242" s="31" t="n">
        <v>42829.3333333333</v>
      </c>
      <c r="B2242" s="32" t="n">
        <v>172.691</v>
      </c>
      <c r="D2242" s="33" t="n">
        <f aca="false">WEEKDAY(A2242,2)</f>
        <v>2</v>
      </c>
      <c r="E2242" s="33" t="n">
        <f aca="false">HOUR(A2242)+MINUTE(A2242)/60</f>
        <v>8</v>
      </c>
      <c r="F2242" s="33" t="n">
        <f aca="false">IF(OR(D2242&gt;5,E2242&lt;8,E2242&gt;=18,COUNTIF($K$2:$K$10,INT(A2242))&gt;0),1,0)</f>
        <v>0</v>
      </c>
      <c r="G2242" s="34" t="n">
        <f aca="false">B2242/1</f>
        <v>172.691</v>
      </c>
      <c r="H2242" s="34" t="str">
        <f aca="false">IF(F2242=1,G2242,"")</f>
        <v/>
      </c>
    </row>
    <row r="2243" customFormat="false" ht="15" hidden="false" customHeight="false" outlineLevel="0" collapsed="false">
      <c r="A2243" s="31" t="n">
        <v>42829.375</v>
      </c>
      <c r="B2243" s="32" t="n">
        <v>213.129</v>
      </c>
      <c r="D2243" s="33" t="n">
        <f aca="false">WEEKDAY(A2243,2)</f>
        <v>2</v>
      </c>
      <c r="E2243" s="33" t="n">
        <f aca="false">HOUR(A2243)+MINUTE(A2243)/60</f>
        <v>9</v>
      </c>
      <c r="F2243" s="33" t="n">
        <f aca="false">IF(OR(D2243&gt;5,E2243&lt;8,E2243&gt;=18,COUNTIF($K$2:$K$10,INT(A2243))&gt;0),1,0)</f>
        <v>0</v>
      </c>
      <c r="G2243" s="34" t="n">
        <f aca="false">B2243/1</f>
        <v>213.129</v>
      </c>
      <c r="H2243" s="34" t="str">
        <f aca="false">IF(F2243=1,G2243,"")</f>
        <v/>
      </c>
    </row>
    <row r="2244" customFormat="false" ht="15" hidden="false" customHeight="false" outlineLevel="0" collapsed="false">
      <c r="A2244" s="31" t="n">
        <v>42829.4166666667</v>
      </c>
      <c r="B2244" s="32" t="n">
        <v>243.222</v>
      </c>
      <c r="D2244" s="33" t="n">
        <f aca="false">WEEKDAY(A2244,2)</f>
        <v>2</v>
      </c>
      <c r="E2244" s="33" t="n">
        <f aca="false">HOUR(A2244)+MINUTE(A2244)/60</f>
        <v>10</v>
      </c>
      <c r="F2244" s="33" t="n">
        <f aca="false">IF(OR(D2244&gt;5,E2244&lt;8,E2244&gt;=18,COUNTIF($K$2:$K$10,INT(A2244))&gt;0),1,0)</f>
        <v>0</v>
      </c>
      <c r="G2244" s="34" t="n">
        <f aca="false">B2244/1</f>
        <v>243.222</v>
      </c>
      <c r="H2244" s="34" t="str">
        <f aca="false">IF(F2244=1,G2244,"")</f>
        <v/>
      </c>
    </row>
    <row r="2245" customFormat="false" ht="15" hidden="false" customHeight="false" outlineLevel="0" collapsed="false">
      <c r="A2245" s="31" t="n">
        <v>42829.4583333333</v>
      </c>
      <c r="B2245" s="32" t="n">
        <v>257.035</v>
      </c>
      <c r="D2245" s="33" t="n">
        <f aca="false">WEEKDAY(A2245,2)</f>
        <v>2</v>
      </c>
      <c r="E2245" s="33" t="n">
        <f aca="false">HOUR(A2245)+MINUTE(A2245)/60</f>
        <v>11</v>
      </c>
      <c r="F2245" s="33" t="n">
        <f aca="false">IF(OR(D2245&gt;5,E2245&lt;8,E2245&gt;=18,COUNTIF($K$2:$K$10,INT(A2245))&gt;0),1,0)</f>
        <v>0</v>
      </c>
      <c r="G2245" s="34" t="n">
        <f aca="false">B2245/1</f>
        <v>257.035</v>
      </c>
      <c r="H2245" s="34" t="str">
        <f aca="false">IF(F2245=1,G2245,"")</f>
        <v/>
      </c>
    </row>
    <row r="2246" customFormat="false" ht="15" hidden="false" customHeight="false" outlineLevel="0" collapsed="false">
      <c r="A2246" s="31" t="n">
        <v>42829.5</v>
      </c>
      <c r="B2246" s="32" t="n">
        <v>260.029</v>
      </c>
      <c r="D2246" s="33" t="n">
        <f aca="false">WEEKDAY(A2246,2)</f>
        <v>2</v>
      </c>
      <c r="E2246" s="33" t="n">
        <f aca="false">HOUR(A2246)+MINUTE(A2246)/60</f>
        <v>12</v>
      </c>
      <c r="F2246" s="33" t="n">
        <f aca="false">IF(OR(D2246&gt;5,E2246&lt;8,E2246&gt;=18,COUNTIF($K$2:$K$10,INT(A2246))&gt;0),1,0)</f>
        <v>0</v>
      </c>
      <c r="G2246" s="34" t="n">
        <f aca="false">B2246/1</f>
        <v>260.029</v>
      </c>
      <c r="H2246" s="34" t="str">
        <f aca="false">IF(F2246=1,G2246,"")</f>
        <v/>
      </c>
    </row>
    <row r="2247" customFormat="false" ht="15" hidden="false" customHeight="false" outlineLevel="0" collapsed="false">
      <c r="A2247" s="31" t="n">
        <v>42829.5416666667</v>
      </c>
      <c r="B2247" s="32" t="n">
        <v>259.447</v>
      </c>
      <c r="D2247" s="33" t="n">
        <f aca="false">WEEKDAY(A2247,2)</f>
        <v>2</v>
      </c>
      <c r="E2247" s="33" t="n">
        <f aca="false">HOUR(A2247)+MINUTE(A2247)/60</f>
        <v>13</v>
      </c>
      <c r="F2247" s="33" t="n">
        <f aca="false">IF(OR(D2247&gt;5,E2247&lt;8,E2247&gt;=18,COUNTIF($K$2:$K$10,INT(A2247))&gt;0),1,0)</f>
        <v>0</v>
      </c>
      <c r="G2247" s="34" t="n">
        <f aca="false">B2247/1</f>
        <v>259.447</v>
      </c>
      <c r="H2247" s="34" t="str">
        <f aca="false">IF(F2247=1,G2247,"")</f>
        <v/>
      </c>
    </row>
    <row r="2248" customFormat="false" ht="15" hidden="false" customHeight="false" outlineLevel="0" collapsed="false">
      <c r="A2248" s="31" t="n">
        <v>42829.5833333333</v>
      </c>
      <c r="B2248" s="32" t="n">
        <v>257.959</v>
      </c>
      <c r="D2248" s="33" t="n">
        <f aca="false">WEEKDAY(A2248,2)</f>
        <v>2</v>
      </c>
      <c r="E2248" s="33" t="n">
        <f aca="false">HOUR(A2248)+MINUTE(A2248)/60</f>
        <v>14</v>
      </c>
      <c r="F2248" s="33" t="n">
        <f aca="false">IF(OR(D2248&gt;5,E2248&lt;8,E2248&gt;=18,COUNTIF($K$2:$K$10,INT(A2248))&gt;0),1,0)</f>
        <v>0</v>
      </c>
      <c r="G2248" s="34" t="n">
        <f aca="false">B2248/1</f>
        <v>257.959</v>
      </c>
      <c r="H2248" s="34" t="str">
        <f aca="false">IF(F2248=1,G2248,"")</f>
        <v/>
      </c>
    </row>
    <row r="2249" customFormat="false" ht="15" hidden="false" customHeight="false" outlineLevel="0" collapsed="false">
      <c r="A2249" s="31" t="n">
        <v>42829.625</v>
      </c>
      <c r="B2249" s="32" t="n">
        <v>263.255</v>
      </c>
      <c r="D2249" s="33" t="n">
        <f aca="false">WEEKDAY(A2249,2)</f>
        <v>2</v>
      </c>
      <c r="E2249" s="33" t="n">
        <f aca="false">HOUR(A2249)+MINUTE(A2249)/60</f>
        <v>15</v>
      </c>
      <c r="F2249" s="33" t="n">
        <f aca="false">IF(OR(D2249&gt;5,E2249&lt;8,E2249&gt;=18,COUNTIF($K$2:$K$10,INT(A2249))&gt;0),1,0)</f>
        <v>0</v>
      </c>
      <c r="G2249" s="34" t="n">
        <f aca="false">B2249/1</f>
        <v>263.255</v>
      </c>
      <c r="H2249" s="34" t="str">
        <f aca="false">IF(F2249=1,G2249,"")</f>
        <v/>
      </c>
    </row>
    <row r="2250" customFormat="false" ht="15" hidden="false" customHeight="false" outlineLevel="0" collapsed="false">
      <c r="A2250" s="31" t="n">
        <v>42829.6666666667</v>
      </c>
      <c r="B2250" s="32" t="n">
        <v>252.814</v>
      </c>
      <c r="D2250" s="33" t="n">
        <f aca="false">WEEKDAY(A2250,2)</f>
        <v>2</v>
      </c>
      <c r="E2250" s="33" t="n">
        <f aca="false">HOUR(A2250)+MINUTE(A2250)/60</f>
        <v>16</v>
      </c>
      <c r="F2250" s="33" t="n">
        <f aca="false">IF(OR(D2250&gt;5,E2250&lt;8,E2250&gt;=18,COUNTIF($K$2:$K$10,INT(A2250))&gt;0),1,0)</f>
        <v>0</v>
      </c>
      <c r="G2250" s="34" t="n">
        <f aca="false">B2250/1</f>
        <v>252.814</v>
      </c>
      <c r="H2250" s="34" t="str">
        <f aca="false">IF(F2250=1,G2250,"")</f>
        <v/>
      </c>
    </row>
    <row r="2251" customFormat="false" ht="15" hidden="false" customHeight="false" outlineLevel="0" collapsed="false">
      <c r="A2251" s="31" t="n">
        <v>42829.7083333333</v>
      </c>
      <c r="B2251" s="32" t="n">
        <v>238.122</v>
      </c>
      <c r="D2251" s="33" t="n">
        <f aca="false">WEEKDAY(A2251,2)</f>
        <v>2</v>
      </c>
      <c r="E2251" s="33" t="n">
        <f aca="false">HOUR(A2251)+MINUTE(A2251)/60</f>
        <v>17</v>
      </c>
      <c r="F2251" s="33" t="n">
        <f aca="false">IF(OR(D2251&gt;5,E2251&lt;8,E2251&gt;=18,COUNTIF($K$2:$K$10,INT(A2251))&gt;0),1,0)</f>
        <v>0</v>
      </c>
      <c r="G2251" s="34" t="n">
        <f aca="false">B2251/1</f>
        <v>238.122</v>
      </c>
      <c r="H2251" s="34" t="str">
        <f aca="false">IF(F2251=1,G2251,"")</f>
        <v/>
      </c>
    </row>
    <row r="2252" customFormat="false" ht="15" hidden="false" customHeight="false" outlineLevel="0" collapsed="false">
      <c r="A2252" s="31" t="n">
        <v>42829.75</v>
      </c>
      <c r="B2252" s="32" t="n">
        <v>224.455</v>
      </c>
      <c r="D2252" s="33" t="n">
        <f aca="false">WEEKDAY(A2252,2)</f>
        <v>2</v>
      </c>
      <c r="E2252" s="33" t="n">
        <f aca="false">HOUR(A2252)+MINUTE(A2252)/60</f>
        <v>18</v>
      </c>
      <c r="F2252" s="33" t="n">
        <f aca="false">IF(OR(D2252&gt;5,E2252&lt;8,E2252&gt;=18,COUNTIF($K$2:$K$10,INT(A2252))&gt;0),1,0)</f>
        <v>1</v>
      </c>
      <c r="G2252" s="34" t="n">
        <f aca="false">B2252/1</f>
        <v>224.455</v>
      </c>
      <c r="H2252" s="34" t="n">
        <f aca="false">IF(F2252=1,G2252,"")</f>
        <v>224.455</v>
      </c>
    </row>
    <row r="2253" customFormat="false" ht="15" hidden="false" customHeight="false" outlineLevel="0" collapsed="false">
      <c r="A2253" s="31" t="n">
        <v>42829.7916666667</v>
      </c>
      <c r="B2253" s="32" t="n">
        <v>210.6</v>
      </c>
      <c r="D2253" s="33" t="n">
        <f aca="false">WEEKDAY(A2253,2)</f>
        <v>2</v>
      </c>
      <c r="E2253" s="33" t="n">
        <f aca="false">HOUR(A2253)+MINUTE(A2253)/60</f>
        <v>19</v>
      </c>
      <c r="F2253" s="33" t="n">
        <f aca="false">IF(OR(D2253&gt;5,E2253&lt;8,E2253&gt;=18,COUNTIF($K$2:$K$10,INT(A2253))&gt;0),1,0)</f>
        <v>1</v>
      </c>
      <c r="G2253" s="34" t="n">
        <f aca="false">B2253/1</f>
        <v>210.6</v>
      </c>
      <c r="H2253" s="34" t="n">
        <f aca="false">IF(F2253=1,G2253,"")</f>
        <v>210.6</v>
      </c>
    </row>
    <row r="2254" customFormat="false" ht="15" hidden="false" customHeight="false" outlineLevel="0" collapsed="false">
      <c r="A2254" s="31" t="n">
        <v>42829.8333333333</v>
      </c>
      <c r="B2254" s="32" t="n">
        <v>199.471</v>
      </c>
      <c r="D2254" s="33" t="n">
        <f aca="false">WEEKDAY(A2254,2)</f>
        <v>2</v>
      </c>
      <c r="E2254" s="33" t="n">
        <f aca="false">HOUR(A2254)+MINUTE(A2254)/60</f>
        <v>20</v>
      </c>
      <c r="F2254" s="33" t="n">
        <f aca="false">IF(OR(D2254&gt;5,E2254&lt;8,E2254&gt;=18,COUNTIF($K$2:$K$10,INT(A2254))&gt;0),1,0)</f>
        <v>1</v>
      </c>
      <c r="G2254" s="34" t="n">
        <f aca="false">B2254/1</f>
        <v>199.471</v>
      </c>
      <c r="H2254" s="34" t="n">
        <f aca="false">IF(F2254=1,G2254,"")</f>
        <v>199.471</v>
      </c>
    </row>
    <row r="2255" customFormat="false" ht="15" hidden="false" customHeight="false" outlineLevel="0" collapsed="false">
      <c r="A2255" s="31" t="n">
        <v>42829.875</v>
      </c>
      <c r="B2255" s="32" t="n">
        <v>199.349</v>
      </c>
      <c r="D2255" s="33" t="n">
        <f aca="false">WEEKDAY(A2255,2)</f>
        <v>2</v>
      </c>
      <c r="E2255" s="33" t="n">
        <f aca="false">HOUR(A2255)+MINUTE(A2255)/60</f>
        <v>21</v>
      </c>
      <c r="F2255" s="33" t="n">
        <f aca="false">IF(OR(D2255&gt;5,E2255&lt;8,E2255&gt;=18,COUNTIF($K$2:$K$10,INT(A2255))&gt;0),1,0)</f>
        <v>1</v>
      </c>
      <c r="G2255" s="34" t="n">
        <f aca="false">B2255/1</f>
        <v>199.349</v>
      </c>
      <c r="H2255" s="34" t="n">
        <f aca="false">IF(F2255=1,G2255,"")</f>
        <v>199.349</v>
      </c>
    </row>
    <row r="2256" customFormat="false" ht="15" hidden="false" customHeight="false" outlineLevel="0" collapsed="false">
      <c r="A2256" s="31" t="n">
        <v>42829.9166666667</v>
      </c>
      <c r="B2256" s="32" t="n">
        <v>136.567</v>
      </c>
      <c r="D2256" s="33" t="n">
        <f aca="false">WEEKDAY(A2256,2)</f>
        <v>2</v>
      </c>
      <c r="E2256" s="33" t="n">
        <f aca="false">HOUR(A2256)+MINUTE(A2256)/60</f>
        <v>22</v>
      </c>
      <c r="F2256" s="33" t="n">
        <f aca="false">IF(OR(D2256&gt;5,E2256&lt;8,E2256&gt;=18,COUNTIF($K$2:$K$10,INT(A2256))&gt;0),1,0)</f>
        <v>1</v>
      </c>
      <c r="G2256" s="34" t="n">
        <f aca="false">B2256/1</f>
        <v>136.567</v>
      </c>
      <c r="H2256" s="34" t="n">
        <f aca="false">IF(F2256=1,G2256,"")</f>
        <v>136.567</v>
      </c>
    </row>
    <row r="2257" customFormat="false" ht="15" hidden="false" customHeight="false" outlineLevel="0" collapsed="false">
      <c r="A2257" s="31" t="n">
        <v>42829.9583333333</v>
      </c>
      <c r="B2257" s="32" t="n">
        <v>70.494</v>
      </c>
      <c r="D2257" s="33" t="n">
        <f aca="false">WEEKDAY(A2257,2)</f>
        <v>2</v>
      </c>
      <c r="E2257" s="33" t="n">
        <f aca="false">HOUR(A2257)+MINUTE(A2257)/60</f>
        <v>23</v>
      </c>
      <c r="F2257" s="33" t="n">
        <f aca="false">IF(OR(D2257&gt;5,E2257&lt;8,E2257&gt;=18,COUNTIF($K$2:$K$10,INT(A2257))&gt;0),1,0)</f>
        <v>1</v>
      </c>
      <c r="G2257" s="34" t="n">
        <f aca="false">B2257/1</f>
        <v>70.494</v>
      </c>
      <c r="H2257" s="34" t="n">
        <f aca="false">IF(F2257=1,G2257,"")</f>
        <v>70.494</v>
      </c>
    </row>
    <row r="2258" customFormat="false" ht="15" hidden="false" customHeight="false" outlineLevel="0" collapsed="false">
      <c r="A2258" s="31" t="n">
        <v>42830</v>
      </c>
      <c r="B2258" s="32" t="n">
        <v>65.141</v>
      </c>
      <c r="D2258" s="33" t="n">
        <f aca="false">WEEKDAY(A2258,2)</f>
        <v>3</v>
      </c>
      <c r="E2258" s="33" t="n">
        <f aca="false">HOUR(A2258)+MINUTE(A2258)/60</f>
        <v>0</v>
      </c>
      <c r="F2258" s="33" t="n">
        <f aca="false">IF(OR(D2258&gt;5,E2258&lt;8,E2258&gt;=18,COUNTIF($K$2:$K$10,INT(A2258))&gt;0),1,0)</f>
        <v>1</v>
      </c>
      <c r="G2258" s="34" t="n">
        <f aca="false">B2258/1</f>
        <v>65.141</v>
      </c>
      <c r="H2258" s="34" t="n">
        <f aca="false">IF(F2258=1,G2258,"")</f>
        <v>65.141</v>
      </c>
    </row>
    <row r="2259" customFormat="false" ht="15" hidden="false" customHeight="false" outlineLevel="0" collapsed="false">
      <c r="A2259" s="31" t="n">
        <v>42830.0416666667</v>
      </c>
      <c r="B2259" s="32" t="n">
        <v>60.407</v>
      </c>
      <c r="D2259" s="33" t="n">
        <f aca="false">WEEKDAY(A2259,2)</f>
        <v>3</v>
      </c>
      <c r="E2259" s="33" t="n">
        <f aca="false">HOUR(A2259)+MINUTE(A2259)/60</f>
        <v>1</v>
      </c>
      <c r="F2259" s="33" t="n">
        <f aca="false">IF(OR(D2259&gt;5,E2259&lt;8,E2259&gt;=18,COUNTIF($K$2:$K$10,INT(A2259))&gt;0),1,0)</f>
        <v>1</v>
      </c>
      <c r="G2259" s="34" t="n">
        <f aca="false">B2259/1</f>
        <v>60.407</v>
      </c>
      <c r="H2259" s="34" t="n">
        <f aca="false">IF(F2259=1,G2259,"")</f>
        <v>60.407</v>
      </c>
    </row>
    <row r="2260" customFormat="false" ht="15" hidden="false" customHeight="false" outlineLevel="0" collapsed="false">
      <c r="A2260" s="31" t="n">
        <v>42830.0833333333</v>
      </c>
      <c r="B2260" s="32" t="n">
        <v>59.06</v>
      </c>
      <c r="D2260" s="33" t="n">
        <f aca="false">WEEKDAY(A2260,2)</f>
        <v>3</v>
      </c>
      <c r="E2260" s="33" t="n">
        <f aca="false">HOUR(A2260)+MINUTE(A2260)/60</f>
        <v>2</v>
      </c>
      <c r="F2260" s="33" t="n">
        <f aca="false">IF(OR(D2260&gt;5,E2260&lt;8,E2260&gt;=18,COUNTIF($K$2:$K$10,INT(A2260))&gt;0),1,0)</f>
        <v>1</v>
      </c>
      <c r="G2260" s="34" t="n">
        <f aca="false">B2260/1</f>
        <v>59.06</v>
      </c>
      <c r="H2260" s="34" t="n">
        <f aca="false">IF(F2260=1,G2260,"")</f>
        <v>59.06</v>
      </c>
    </row>
    <row r="2261" customFormat="false" ht="15" hidden="false" customHeight="false" outlineLevel="0" collapsed="false">
      <c r="A2261" s="31" t="n">
        <v>42830.125</v>
      </c>
      <c r="B2261" s="32" t="n">
        <v>60.963</v>
      </c>
      <c r="D2261" s="33" t="n">
        <f aca="false">WEEKDAY(A2261,2)</f>
        <v>3</v>
      </c>
      <c r="E2261" s="33" t="n">
        <f aca="false">HOUR(A2261)+MINUTE(A2261)/60</f>
        <v>3</v>
      </c>
      <c r="F2261" s="33" t="n">
        <f aca="false">IF(OR(D2261&gt;5,E2261&lt;8,E2261&gt;=18,COUNTIF($K$2:$K$10,INT(A2261))&gt;0),1,0)</f>
        <v>1</v>
      </c>
      <c r="G2261" s="34" t="n">
        <f aca="false">B2261/1</f>
        <v>60.963</v>
      </c>
      <c r="H2261" s="34" t="n">
        <f aca="false">IF(F2261=1,G2261,"")</f>
        <v>60.963</v>
      </c>
    </row>
    <row r="2262" customFormat="false" ht="15" hidden="false" customHeight="false" outlineLevel="0" collapsed="false">
      <c r="A2262" s="31" t="n">
        <v>42830.1666666667</v>
      </c>
      <c r="B2262" s="32" t="n">
        <v>60.44</v>
      </c>
      <c r="D2262" s="33" t="n">
        <f aca="false">WEEKDAY(A2262,2)</f>
        <v>3</v>
      </c>
      <c r="E2262" s="33" t="n">
        <f aca="false">HOUR(A2262)+MINUTE(A2262)/60</f>
        <v>4</v>
      </c>
      <c r="F2262" s="33" t="n">
        <f aca="false">IF(OR(D2262&gt;5,E2262&lt;8,E2262&gt;=18,COUNTIF($K$2:$K$10,INT(A2262))&gt;0),1,0)</f>
        <v>1</v>
      </c>
      <c r="G2262" s="34" t="n">
        <f aca="false">B2262/1</f>
        <v>60.44</v>
      </c>
      <c r="H2262" s="34" t="n">
        <f aca="false">IF(F2262=1,G2262,"")</f>
        <v>60.44</v>
      </c>
    </row>
    <row r="2263" customFormat="false" ht="15" hidden="false" customHeight="false" outlineLevel="0" collapsed="false">
      <c r="A2263" s="31" t="n">
        <v>42830.2083333333</v>
      </c>
      <c r="B2263" s="32" t="n">
        <v>59.824</v>
      </c>
      <c r="D2263" s="33" t="n">
        <f aca="false">WEEKDAY(A2263,2)</f>
        <v>3</v>
      </c>
      <c r="E2263" s="33" t="n">
        <f aca="false">HOUR(A2263)+MINUTE(A2263)/60</f>
        <v>5</v>
      </c>
      <c r="F2263" s="33" t="n">
        <f aca="false">IF(OR(D2263&gt;5,E2263&lt;8,E2263&gt;=18,COUNTIF($K$2:$K$10,INT(A2263))&gt;0),1,0)</f>
        <v>1</v>
      </c>
      <c r="G2263" s="34" t="n">
        <f aca="false">B2263/1</f>
        <v>59.824</v>
      </c>
      <c r="H2263" s="34" t="n">
        <f aca="false">IF(F2263=1,G2263,"")</f>
        <v>59.824</v>
      </c>
    </row>
    <row r="2264" customFormat="false" ht="15" hidden="false" customHeight="false" outlineLevel="0" collapsed="false">
      <c r="A2264" s="31" t="n">
        <v>42830.25</v>
      </c>
      <c r="B2264" s="32" t="n">
        <v>60.538</v>
      </c>
      <c r="D2264" s="33" t="n">
        <f aca="false">WEEKDAY(A2264,2)</f>
        <v>3</v>
      </c>
      <c r="E2264" s="33" t="n">
        <f aca="false">HOUR(A2264)+MINUTE(A2264)/60</f>
        <v>6</v>
      </c>
      <c r="F2264" s="33" t="n">
        <f aca="false">IF(OR(D2264&gt;5,E2264&lt;8,E2264&gt;=18,COUNTIF($K$2:$K$10,INT(A2264))&gt;0),1,0)</f>
        <v>1</v>
      </c>
      <c r="G2264" s="34" t="n">
        <f aca="false">B2264/1</f>
        <v>60.538</v>
      </c>
      <c r="H2264" s="34" t="n">
        <f aca="false">IF(F2264=1,G2264,"")</f>
        <v>60.538</v>
      </c>
    </row>
    <row r="2265" customFormat="false" ht="15" hidden="false" customHeight="false" outlineLevel="0" collapsed="false">
      <c r="A2265" s="31" t="n">
        <v>42830.2916666667</v>
      </c>
      <c r="B2265" s="32" t="n">
        <v>66.106</v>
      </c>
      <c r="D2265" s="33" t="n">
        <f aca="false">WEEKDAY(A2265,2)</f>
        <v>3</v>
      </c>
      <c r="E2265" s="33" t="n">
        <f aca="false">HOUR(A2265)+MINUTE(A2265)/60</f>
        <v>7</v>
      </c>
      <c r="F2265" s="33" t="n">
        <f aca="false">IF(OR(D2265&gt;5,E2265&lt;8,E2265&gt;=18,COUNTIF($K$2:$K$10,INT(A2265))&gt;0),1,0)</f>
        <v>1</v>
      </c>
      <c r="G2265" s="34" t="n">
        <f aca="false">B2265/1</f>
        <v>66.106</v>
      </c>
      <c r="H2265" s="34" t="n">
        <f aca="false">IF(F2265=1,G2265,"")</f>
        <v>66.106</v>
      </c>
    </row>
    <row r="2266" customFormat="false" ht="15" hidden="false" customHeight="false" outlineLevel="0" collapsed="false">
      <c r="A2266" s="31" t="n">
        <v>42830.3333333333</v>
      </c>
      <c r="B2266" s="32" t="n">
        <v>174.569</v>
      </c>
      <c r="D2266" s="33" t="n">
        <f aca="false">WEEKDAY(A2266,2)</f>
        <v>3</v>
      </c>
      <c r="E2266" s="33" t="n">
        <f aca="false">HOUR(A2266)+MINUTE(A2266)/60</f>
        <v>8</v>
      </c>
      <c r="F2266" s="33" t="n">
        <f aca="false">IF(OR(D2266&gt;5,E2266&lt;8,E2266&gt;=18,COUNTIF($K$2:$K$10,INT(A2266))&gt;0),1,0)</f>
        <v>0</v>
      </c>
      <c r="G2266" s="34" t="n">
        <f aca="false">B2266/1</f>
        <v>174.569</v>
      </c>
      <c r="H2266" s="34" t="str">
        <f aca="false">IF(F2266=1,G2266,"")</f>
        <v/>
      </c>
    </row>
    <row r="2267" customFormat="false" ht="15" hidden="false" customHeight="false" outlineLevel="0" collapsed="false">
      <c r="A2267" s="31" t="n">
        <v>42830.375</v>
      </c>
      <c r="B2267" s="32" t="n">
        <v>212.971</v>
      </c>
      <c r="D2267" s="33" t="n">
        <f aca="false">WEEKDAY(A2267,2)</f>
        <v>3</v>
      </c>
      <c r="E2267" s="33" t="n">
        <f aca="false">HOUR(A2267)+MINUTE(A2267)/60</f>
        <v>9</v>
      </c>
      <c r="F2267" s="33" t="n">
        <f aca="false">IF(OR(D2267&gt;5,E2267&lt;8,E2267&gt;=18,COUNTIF($K$2:$K$10,INT(A2267))&gt;0),1,0)</f>
        <v>0</v>
      </c>
      <c r="G2267" s="34" t="n">
        <f aca="false">B2267/1</f>
        <v>212.971</v>
      </c>
      <c r="H2267" s="34" t="str">
        <f aca="false">IF(F2267=1,G2267,"")</f>
        <v/>
      </c>
    </row>
    <row r="2268" customFormat="false" ht="15" hidden="false" customHeight="false" outlineLevel="0" collapsed="false">
      <c r="A2268" s="31" t="n">
        <v>42830.4166666667</v>
      </c>
      <c r="B2268" s="32" t="n">
        <v>237.223</v>
      </c>
      <c r="D2268" s="33" t="n">
        <f aca="false">WEEKDAY(A2268,2)</f>
        <v>3</v>
      </c>
      <c r="E2268" s="33" t="n">
        <f aca="false">HOUR(A2268)+MINUTE(A2268)/60</f>
        <v>10</v>
      </c>
      <c r="F2268" s="33" t="n">
        <f aca="false">IF(OR(D2268&gt;5,E2268&lt;8,E2268&gt;=18,COUNTIF($K$2:$K$10,INT(A2268))&gt;0),1,0)</f>
        <v>0</v>
      </c>
      <c r="G2268" s="34" t="n">
        <f aca="false">B2268/1</f>
        <v>237.223</v>
      </c>
      <c r="H2268" s="34" t="str">
        <f aca="false">IF(F2268=1,G2268,"")</f>
        <v/>
      </c>
    </row>
    <row r="2269" customFormat="false" ht="15" hidden="false" customHeight="false" outlineLevel="0" collapsed="false">
      <c r="A2269" s="31" t="n">
        <v>42830.4583333333</v>
      </c>
      <c r="B2269" s="32" t="n">
        <v>251.275</v>
      </c>
      <c r="D2269" s="33" t="n">
        <f aca="false">WEEKDAY(A2269,2)</f>
        <v>3</v>
      </c>
      <c r="E2269" s="33" t="n">
        <f aca="false">HOUR(A2269)+MINUTE(A2269)/60</f>
        <v>11</v>
      </c>
      <c r="F2269" s="33" t="n">
        <f aca="false">IF(OR(D2269&gt;5,E2269&lt;8,E2269&gt;=18,COUNTIF($K$2:$K$10,INT(A2269))&gt;0),1,0)</f>
        <v>0</v>
      </c>
      <c r="G2269" s="34" t="n">
        <f aca="false">B2269/1</f>
        <v>251.275</v>
      </c>
      <c r="H2269" s="34" t="str">
        <f aca="false">IF(F2269=1,G2269,"")</f>
        <v/>
      </c>
    </row>
    <row r="2270" customFormat="false" ht="15" hidden="false" customHeight="false" outlineLevel="0" collapsed="false">
      <c r="A2270" s="31" t="n">
        <v>42830.5</v>
      </c>
      <c r="B2270" s="32" t="n">
        <v>257.612</v>
      </c>
      <c r="D2270" s="33" t="n">
        <f aca="false">WEEKDAY(A2270,2)</f>
        <v>3</v>
      </c>
      <c r="E2270" s="33" t="n">
        <f aca="false">HOUR(A2270)+MINUTE(A2270)/60</f>
        <v>12</v>
      </c>
      <c r="F2270" s="33" t="n">
        <f aca="false">IF(OR(D2270&gt;5,E2270&lt;8,E2270&gt;=18,COUNTIF($K$2:$K$10,INT(A2270))&gt;0),1,0)</f>
        <v>0</v>
      </c>
      <c r="G2270" s="34" t="n">
        <f aca="false">B2270/1</f>
        <v>257.612</v>
      </c>
      <c r="H2270" s="34" t="str">
        <f aca="false">IF(F2270=1,G2270,"")</f>
        <v/>
      </c>
    </row>
    <row r="2271" customFormat="false" ht="15" hidden="false" customHeight="false" outlineLevel="0" collapsed="false">
      <c r="A2271" s="31" t="n">
        <v>42830.5416666667</v>
      </c>
      <c r="B2271" s="32" t="n">
        <v>254.752</v>
      </c>
      <c r="D2271" s="33" t="n">
        <f aca="false">WEEKDAY(A2271,2)</f>
        <v>3</v>
      </c>
      <c r="E2271" s="33" t="n">
        <f aca="false">HOUR(A2271)+MINUTE(A2271)/60</f>
        <v>13</v>
      </c>
      <c r="F2271" s="33" t="n">
        <f aca="false">IF(OR(D2271&gt;5,E2271&lt;8,E2271&gt;=18,COUNTIF($K$2:$K$10,INT(A2271))&gt;0),1,0)</f>
        <v>0</v>
      </c>
      <c r="G2271" s="34" t="n">
        <f aca="false">B2271/1</f>
        <v>254.752</v>
      </c>
      <c r="H2271" s="34" t="str">
        <f aca="false">IF(F2271=1,G2271,"")</f>
        <v/>
      </c>
    </row>
    <row r="2272" customFormat="false" ht="15" hidden="false" customHeight="false" outlineLevel="0" collapsed="false">
      <c r="A2272" s="31" t="n">
        <v>42830.5833333333</v>
      </c>
      <c r="B2272" s="32" t="n">
        <v>248.518</v>
      </c>
      <c r="D2272" s="33" t="n">
        <f aca="false">WEEKDAY(A2272,2)</f>
        <v>3</v>
      </c>
      <c r="E2272" s="33" t="n">
        <f aca="false">HOUR(A2272)+MINUTE(A2272)/60</f>
        <v>14</v>
      </c>
      <c r="F2272" s="33" t="n">
        <f aca="false">IF(OR(D2272&gt;5,E2272&lt;8,E2272&gt;=18,COUNTIF($K$2:$K$10,INT(A2272))&gt;0),1,0)</f>
        <v>0</v>
      </c>
      <c r="G2272" s="34" t="n">
        <f aca="false">B2272/1</f>
        <v>248.518</v>
      </c>
      <c r="H2272" s="34" t="str">
        <f aca="false">IF(F2272=1,G2272,"")</f>
        <v/>
      </c>
    </row>
    <row r="2273" customFormat="false" ht="15" hidden="false" customHeight="false" outlineLevel="0" collapsed="false">
      <c r="A2273" s="31" t="n">
        <v>42830.625</v>
      </c>
      <c r="B2273" s="32" t="n">
        <v>252.907</v>
      </c>
      <c r="D2273" s="33" t="n">
        <f aca="false">WEEKDAY(A2273,2)</f>
        <v>3</v>
      </c>
      <c r="E2273" s="33" t="n">
        <f aca="false">HOUR(A2273)+MINUTE(A2273)/60</f>
        <v>15</v>
      </c>
      <c r="F2273" s="33" t="n">
        <f aca="false">IF(OR(D2273&gt;5,E2273&lt;8,E2273&gt;=18,COUNTIF($K$2:$K$10,INT(A2273))&gt;0),1,0)</f>
        <v>0</v>
      </c>
      <c r="G2273" s="34" t="n">
        <f aca="false">B2273/1</f>
        <v>252.907</v>
      </c>
      <c r="H2273" s="34" t="str">
        <f aca="false">IF(F2273=1,G2273,"")</f>
        <v/>
      </c>
    </row>
    <row r="2274" customFormat="false" ht="15" hidden="false" customHeight="false" outlineLevel="0" collapsed="false">
      <c r="A2274" s="31" t="n">
        <v>42830.6666666667</v>
      </c>
      <c r="B2274" s="32" t="n">
        <v>252.499</v>
      </c>
      <c r="D2274" s="33" t="n">
        <f aca="false">WEEKDAY(A2274,2)</f>
        <v>3</v>
      </c>
      <c r="E2274" s="33" t="n">
        <f aca="false">HOUR(A2274)+MINUTE(A2274)/60</f>
        <v>16</v>
      </c>
      <c r="F2274" s="33" t="n">
        <f aca="false">IF(OR(D2274&gt;5,E2274&lt;8,E2274&gt;=18,COUNTIF($K$2:$K$10,INT(A2274))&gt;0),1,0)</f>
        <v>0</v>
      </c>
      <c r="G2274" s="34" t="n">
        <f aca="false">B2274/1</f>
        <v>252.499</v>
      </c>
      <c r="H2274" s="34" t="str">
        <f aca="false">IF(F2274=1,G2274,"")</f>
        <v/>
      </c>
    </row>
    <row r="2275" customFormat="false" ht="15" hidden="false" customHeight="false" outlineLevel="0" collapsed="false">
      <c r="A2275" s="31" t="n">
        <v>42830.7083333333</v>
      </c>
      <c r="B2275" s="32" t="n">
        <v>239.625</v>
      </c>
      <c r="D2275" s="33" t="n">
        <f aca="false">WEEKDAY(A2275,2)</f>
        <v>3</v>
      </c>
      <c r="E2275" s="33" t="n">
        <f aca="false">HOUR(A2275)+MINUTE(A2275)/60</f>
        <v>17</v>
      </c>
      <c r="F2275" s="33" t="n">
        <f aca="false">IF(OR(D2275&gt;5,E2275&lt;8,E2275&gt;=18,COUNTIF($K$2:$K$10,INT(A2275))&gt;0),1,0)</f>
        <v>0</v>
      </c>
      <c r="G2275" s="34" t="n">
        <f aca="false">B2275/1</f>
        <v>239.625</v>
      </c>
      <c r="H2275" s="34" t="str">
        <f aca="false">IF(F2275=1,G2275,"")</f>
        <v/>
      </c>
    </row>
    <row r="2276" customFormat="false" ht="15" hidden="false" customHeight="false" outlineLevel="0" collapsed="false">
      <c r="A2276" s="31" t="n">
        <v>42830.75</v>
      </c>
      <c r="B2276" s="32" t="n">
        <v>240.435</v>
      </c>
      <c r="D2276" s="33" t="n">
        <f aca="false">WEEKDAY(A2276,2)</f>
        <v>3</v>
      </c>
      <c r="E2276" s="33" t="n">
        <f aca="false">HOUR(A2276)+MINUTE(A2276)/60</f>
        <v>18</v>
      </c>
      <c r="F2276" s="33" t="n">
        <f aca="false">IF(OR(D2276&gt;5,E2276&lt;8,E2276&gt;=18,COUNTIF($K$2:$K$10,INT(A2276))&gt;0),1,0)</f>
        <v>1</v>
      </c>
      <c r="G2276" s="34" t="n">
        <f aca="false">B2276/1</f>
        <v>240.435</v>
      </c>
      <c r="H2276" s="34" t="n">
        <f aca="false">IF(F2276=1,G2276,"")</f>
        <v>240.435</v>
      </c>
    </row>
    <row r="2277" customFormat="false" ht="15" hidden="false" customHeight="false" outlineLevel="0" collapsed="false">
      <c r="A2277" s="31" t="n">
        <v>42830.7916666667</v>
      </c>
      <c r="B2277" s="32" t="n">
        <v>228.511</v>
      </c>
      <c r="D2277" s="33" t="n">
        <f aca="false">WEEKDAY(A2277,2)</f>
        <v>3</v>
      </c>
      <c r="E2277" s="33" t="n">
        <f aca="false">HOUR(A2277)+MINUTE(A2277)/60</f>
        <v>19</v>
      </c>
      <c r="F2277" s="33" t="n">
        <f aca="false">IF(OR(D2277&gt;5,E2277&lt;8,E2277&gt;=18,COUNTIF($K$2:$K$10,INT(A2277))&gt;0),1,0)</f>
        <v>1</v>
      </c>
      <c r="G2277" s="34" t="n">
        <f aca="false">B2277/1</f>
        <v>228.511</v>
      </c>
      <c r="H2277" s="34" t="n">
        <f aca="false">IF(F2277=1,G2277,"")</f>
        <v>228.511</v>
      </c>
    </row>
    <row r="2278" customFormat="false" ht="15" hidden="false" customHeight="false" outlineLevel="0" collapsed="false">
      <c r="A2278" s="31" t="n">
        <v>42830.8333333333</v>
      </c>
      <c r="B2278" s="32" t="n">
        <v>201.48</v>
      </c>
      <c r="D2278" s="33" t="n">
        <f aca="false">WEEKDAY(A2278,2)</f>
        <v>3</v>
      </c>
      <c r="E2278" s="33" t="n">
        <f aca="false">HOUR(A2278)+MINUTE(A2278)/60</f>
        <v>20</v>
      </c>
      <c r="F2278" s="33" t="n">
        <f aca="false">IF(OR(D2278&gt;5,E2278&lt;8,E2278&gt;=18,COUNTIF($K$2:$K$10,INT(A2278))&gt;0),1,0)</f>
        <v>1</v>
      </c>
      <c r="G2278" s="34" t="n">
        <f aca="false">B2278/1</f>
        <v>201.48</v>
      </c>
      <c r="H2278" s="34" t="n">
        <f aca="false">IF(F2278=1,G2278,"")</f>
        <v>201.48</v>
      </c>
    </row>
    <row r="2279" customFormat="false" ht="15" hidden="false" customHeight="false" outlineLevel="0" collapsed="false">
      <c r="A2279" s="31" t="n">
        <v>42830.875</v>
      </c>
      <c r="B2279" s="32" t="n">
        <v>197.434</v>
      </c>
      <c r="D2279" s="33" t="n">
        <f aca="false">WEEKDAY(A2279,2)</f>
        <v>3</v>
      </c>
      <c r="E2279" s="33" t="n">
        <f aca="false">HOUR(A2279)+MINUTE(A2279)/60</f>
        <v>21</v>
      </c>
      <c r="F2279" s="33" t="n">
        <f aca="false">IF(OR(D2279&gt;5,E2279&lt;8,E2279&gt;=18,COUNTIF($K$2:$K$10,INT(A2279))&gt;0),1,0)</f>
        <v>1</v>
      </c>
      <c r="G2279" s="34" t="n">
        <f aca="false">B2279/1</f>
        <v>197.434</v>
      </c>
      <c r="H2279" s="34" t="n">
        <f aca="false">IF(F2279=1,G2279,"")</f>
        <v>197.434</v>
      </c>
    </row>
    <row r="2280" customFormat="false" ht="15" hidden="false" customHeight="false" outlineLevel="0" collapsed="false">
      <c r="A2280" s="31" t="n">
        <v>42830.9166666667</v>
      </c>
      <c r="B2280" s="32" t="n">
        <v>136.239</v>
      </c>
      <c r="D2280" s="33" t="n">
        <f aca="false">WEEKDAY(A2280,2)</f>
        <v>3</v>
      </c>
      <c r="E2280" s="33" t="n">
        <f aca="false">HOUR(A2280)+MINUTE(A2280)/60</f>
        <v>22</v>
      </c>
      <c r="F2280" s="33" t="n">
        <f aca="false">IF(OR(D2280&gt;5,E2280&lt;8,E2280&gt;=18,COUNTIF($K$2:$K$10,INT(A2280))&gt;0),1,0)</f>
        <v>1</v>
      </c>
      <c r="G2280" s="34" t="n">
        <f aca="false">B2280/1</f>
        <v>136.239</v>
      </c>
      <c r="H2280" s="34" t="n">
        <f aca="false">IF(F2280=1,G2280,"")</f>
        <v>136.239</v>
      </c>
    </row>
    <row r="2281" customFormat="false" ht="15" hidden="false" customHeight="false" outlineLevel="0" collapsed="false">
      <c r="A2281" s="31" t="n">
        <v>42830.9583333333</v>
      </c>
      <c r="B2281" s="32" t="n">
        <v>70.138</v>
      </c>
      <c r="D2281" s="33" t="n">
        <f aca="false">WEEKDAY(A2281,2)</f>
        <v>3</v>
      </c>
      <c r="E2281" s="33" t="n">
        <f aca="false">HOUR(A2281)+MINUTE(A2281)/60</f>
        <v>23</v>
      </c>
      <c r="F2281" s="33" t="n">
        <f aca="false">IF(OR(D2281&gt;5,E2281&lt;8,E2281&gt;=18,COUNTIF($K$2:$K$10,INT(A2281))&gt;0),1,0)</f>
        <v>1</v>
      </c>
      <c r="G2281" s="34" t="n">
        <f aca="false">B2281/1</f>
        <v>70.138</v>
      </c>
      <c r="H2281" s="34" t="n">
        <f aca="false">IF(F2281=1,G2281,"")</f>
        <v>70.138</v>
      </c>
    </row>
    <row r="2282" customFormat="false" ht="15" hidden="false" customHeight="false" outlineLevel="0" collapsed="false">
      <c r="A2282" s="31" t="n">
        <v>42831</v>
      </c>
      <c r="B2282" s="32" t="n">
        <v>66.897</v>
      </c>
      <c r="D2282" s="33" t="n">
        <f aca="false">WEEKDAY(A2282,2)</f>
        <v>4</v>
      </c>
      <c r="E2282" s="33" t="n">
        <f aca="false">HOUR(A2282)+MINUTE(A2282)/60</f>
        <v>0</v>
      </c>
      <c r="F2282" s="33" t="n">
        <f aca="false">IF(OR(D2282&gt;5,E2282&lt;8,E2282&gt;=18,COUNTIF($K$2:$K$10,INT(A2282))&gt;0),1,0)</f>
        <v>1</v>
      </c>
      <c r="G2282" s="34" t="n">
        <f aca="false">B2282/1</f>
        <v>66.897</v>
      </c>
      <c r="H2282" s="34" t="n">
        <f aca="false">IF(F2282=1,G2282,"")</f>
        <v>66.897</v>
      </c>
    </row>
    <row r="2283" customFormat="false" ht="15" hidden="false" customHeight="false" outlineLevel="0" collapsed="false">
      <c r="A2283" s="31" t="n">
        <v>42831.0416666667</v>
      </c>
      <c r="B2283" s="32" t="n">
        <v>62.226</v>
      </c>
      <c r="D2283" s="33" t="n">
        <f aca="false">WEEKDAY(A2283,2)</f>
        <v>4</v>
      </c>
      <c r="E2283" s="33" t="n">
        <f aca="false">HOUR(A2283)+MINUTE(A2283)/60</f>
        <v>1</v>
      </c>
      <c r="F2283" s="33" t="n">
        <f aca="false">IF(OR(D2283&gt;5,E2283&lt;8,E2283&gt;=18,COUNTIF($K$2:$K$10,INT(A2283))&gt;0),1,0)</f>
        <v>1</v>
      </c>
      <c r="G2283" s="34" t="n">
        <f aca="false">B2283/1</f>
        <v>62.226</v>
      </c>
      <c r="H2283" s="34" t="n">
        <f aca="false">IF(F2283=1,G2283,"")</f>
        <v>62.226</v>
      </c>
    </row>
    <row r="2284" customFormat="false" ht="15" hidden="false" customHeight="false" outlineLevel="0" collapsed="false">
      <c r="A2284" s="31" t="n">
        <v>42831.0833333333</v>
      </c>
      <c r="B2284" s="32" t="n">
        <v>57.337</v>
      </c>
      <c r="D2284" s="33" t="n">
        <f aca="false">WEEKDAY(A2284,2)</f>
        <v>4</v>
      </c>
      <c r="E2284" s="33" t="n">
        <f aca="false">HOUR(A2284)+MINUTE(A2284)/60</f>
        <v>2</v>
      </c>
      <c r="F2284" s="33" t="n">
        <f aca="false">IF(OR(D2284&gt;5,E2284&lt;8,E2284&gt;=18,COUNTIF($K$2:$K$10,INT(A2284))&gt;0),1,0)</f>
        <v>1</v>
      </c>
      <c r="G2284" s="34" t="n">
        <f aca="false">B2284/1</f>
        <v>57.337</v>
      </c>
      <c r="H2284" s="34" t="n">
        <f aca="false">IF(F2284=1,G2284,"")</f>
        <v>57.337</v>
      </c>
    </row>
    <row r="2285" customFormat="false" ht="15" hidden="false" customHeight="false" outlineLevel="0" collapsed="false">
      <c r="A2285" s="31" t="n">
        <v>42831.125</v>
      </c>
      <c r="B2285" s="32" t="n">
        <v>58.868</v>
      </c>
      <c r="D2285" s="33" t="n">
        <f aca="false">WEEKDAY(A2285,2)</f>
        <v>4</v>
      </c>
      <c r="E2285" s="33" t="n">
        <f aca="false">HOUR(A2285)+MINUTE(A2285)/60</f>
        <v>3</v>
      </c>
      <c r="F2285" s="33" t="n">
        <f aca="false">IF(OR(D2285&gt;5,E2285&lt;8,E2285&gt;=18,COUNTIF($K$2:$K$10,INT(A2285))&gt;0),1,0)</f>
        <v>1</v>
      </c>
      <c r="G2285" s="34" t="n">
        <f aca="false">B2285/1</f>
        <v>58.868</v>
      </c>
      <c r="H2285" s="34" t="n">
        <f aca="false">IF(F2285=1,G2285,"")</f>
        <v>58.868</v>
      </c>
    </row>
    <row r="2286" customFormat="false" ht="15" hidden="false" customHeight="false" outlineLevel="0" collapsed="false">
      <c r="A2286" s="31" t="n">
        <v>42831.1666666667</v>
      </c>
      <c r="B2286" s="32" t="n">
        <v>60.081</v>
      </c>
      <c r="D2286" s="33" t="n">
        <f aca="false">WEEKDAY(A2286,2)</f>
        <v>4</v>
      </c>
      <c r="E2286" s="33" t="n">
        <f aca="false">HOUR(A2286)+MINUTE(A2286)/60</f>
        <v>4</v>
      </c>
      <c r="F2286" s="33" t="n">
        <f aca="false">IF(OR(D2286&gt;5,E2286&lt;8,E2286&gt;=18,COUNTIF($K$2:$K$10,INT(A2286))&gt;0),1,0)</f>
        <v>1</v>
      </c>
      <c r="G2286" s="34" t="n">
        <f aca="false">B2286/1</f>
        <v>60.081</v>
      </c>
      <c r="H2286" s="34" t="n">
        <f aca="false">IF(F2286=1,G2286,"")</f>
        <v>60.081</v>
      </c>
    </row>
    <row r="2287" customFormat="false" ht="15" hidden="false" customHeight="false" outlineLevel="0" collapsed="false">
      <c r="A2287" s="31" t="n">
        <v>42831.2083333333</v>
      </c>
      <c r="B2287" s="32" t="n">
        <v>59.517</v>
      </c>
      <c r="D2287" s="33" t="n">
        <f aca="false">WEEKDAY(A2287,2)</f>
        <v>4</v>
      </c>
      <c r="E2287" s="33" t="n">
        <f aca="false">HOUR(A2287)+MINUTE(A2287)/60</f>
        <v>5</v>
      </c>
      <c r="F2287" s="33" t="n">
        <f aca="false">IF(OR(D2287&gt;5,E2287&lt;8,E2287&gt;=18,COUNTIF($K$2:$K$10,INT(A2287))&gt;0),1,0)</f>
        <v>1</v>
      </c>
      <c r="G2287" s="34" t="n">
        <f aca="false">B2287/1</f>
        <v>59.517</v>
      </c>
      <c r="H2287" s="34" t="n">
        <f aca="false">IF(F2287=1,G2287,"")</f>
        <v>59.517</v>
      </c>
    </row>
    <row r="2288" customFormat="false" ht="15" hidden="false" customHeight="false" outlineLevel="0" collapsed="false">
      <c r="A2288" s="31" t="n">
        <v>42831.25</v>
      </c>
      <c r="B2288" s="32" t="n">
        <v>58.811</v>
      </c>
      <c r="D2288" s="33" t="n">
        <f aca="false">WEEKDAY(A2288,2)</f>
        <v>4</v>
      </c>
      <c r="E2288" s="33" t="n">
        <f aca="false">HOUR(A2288)+MINUTE(A2288)/60</f>
        <v>6</v>
      </c>
      <c r="F2288" s="33" t="n">
        <f aca="false">IF(OR(D2288&gt;5,E2288&lt;8,E2288&gt;=18,COUNTIF($K$2:$K$10,INT(A2288))&gt;0),1,0)</f>
        <v>1</v>
      </c>
      <c r="G2288" s="34" t="n">
        <f aca="false">B2288/1</f>
        <v>58.811</v>
      </c>
      <c r="H2288" s="34" t="n">
        <f aca="false">IF(F2288=1,G2288,"")</f>
        <v>58.811</v>
      </c>
    </row>
    <row r="2289" customFormat="false" ht="15" hidden="false" customHeight="false" outlineLevel="0" collapsed="false">
      <c r="A2289" s="31" t="n">
        <v>42831.2916666667</v>
      </c>
      <c r="B2289" s="32" t="n">
        <v>63.548</v>
      </c>
      <c r="D2289" s="33" t="n">
        <f aca="false">WEEKDAY(A2289,2)</f>
        <v>4</v>
      </c>
      <c r="E2289" s="33" t="n">
        <f aca="false">HOUR(A2289)+MINUTE(A2289)/60</f>
        <v>7</v>
      </c>
      <c r="F2289" s="33" t="n">
        <f aca="false">IF(OR(D2289&gt;5,E2289&lt;8,E2289&gt;=18,COUNTIF($K$2:$K$10,INT(A2289))&gt;0),1,0)</f>
        <v>1</v>
      </c>
      <c r="G2289" s="34" t="n">
        <f aca="false">B2289/1</f>
        <v>63.548</v>
      </c>
      <c r="H2289" s="34" t="n">
        <f aca="false">IF(F2289=1,G2289,"")</f>
        <v>63.548</v>
      </c>
    </row>
    <row r="2290" customFormat="false" ht="15" hidden="false" customHeight="false" outlineLevel="0" collapsed="false">
      <c r="A2290" s="31" t="n">
        <v>42831.3333333333</v>
      </c>
      <c r="B2290" s="32" t="n">
        <v>171.19</v>
      </c>
      <c r="D2290" s="33" t="n">
        <f aca="false">WEEKDAY(A2290,2)</f>
        <v>4</v>
      </c>
      <c r="E2290" s="33" t="n">
        <f aca="false">HOUR(A2290)+MINUTE(A2290)/60</f>
        <v>8</v>
      </c>
      <c r="F2290" s="33" t="n">
        <f aca="false">IF(OR(D2290&gt;5,E2290&lt;8,E2290&gt;=18,COUNTIF($K$2:$K$10,INT(A2290))&gt;0),1,0)</f>
        <v>0</v>
      </c>
      <c r="G2290" s="34" t="n">
        <f aca="false">B2290/1</f>
        <v>171.19</v>
      </c>
      <c r="H2290" s="34" t="str">
        <f aca="false">IF(F2290=1,G2290,"")</f>
        <v/>
      </c>
    </row>
    <row r="2291" customFormat="false" ht="15" hidden="false" customHeight="false" outlineLevel="0" collapsed="false">
      <c r="A2291" s="31" t="n">
        <v>42831.375</v>
      </c>
      <c r="B2291" s="32" t="n">
        <v>217.307</v>
      </c>
      <c r="D2291" s="33" t="n">
        <f aca="false">WEEKDAY(A2291,2)</f>
        <v>4</v>
      </c>
      <c r="E2291" s="33" t="n">
        <f aca="false">HOUR(A2291)+MINUTE(A2291)/60</f>
        <v>9</v>
      </c>
      <c r="F2291" s="33" t="n">
        <f aca="false">IF(OR(D2291&gt;5,E2291&lt;8,E2291&gt;=18,COUNTIF($K$2:$K$10,INT(A2291))&gt;0),1,0)</f>
        <v>0</v>
      </c>
      <c r="G2291" s="34" t="n">
        <f aca="false">B2291/1</f>
        <v>217.307</v>
      </c>
      <c r="H2291" s="34" t="str">
        <f aca="false">IF(F2291=1,G2291,"")</f>
        <v/>
      </c>
    </row>
    <row r="2292" customFormat="false" ht="15" hidden="false" customHeight="false" outlineLevel="0" collapsed="false">
      <c r="A2292" s="31" t="n">
        <v>42831.4166666667</v>
      </c>
      <c r="B2292" s="32" t="n">
        <v>240.797</v>
      </c>
      <c r="D2292" s="33" t="n">
        <f aca="false">WEEKDAY(A2292,2)</f>
        <v>4</v>
      </c>
      <c r="E2292" s="33" t="n">
        <f aca="false">HOUR(A2292)+MINUTE(A2292)/60</f>
        <v>10</v>
      </c>
      <c r="F2292" s="33" t="n">
        <f aca="false">IF(OR(D2292&gt;5,E2292&lt;8,E2292&gt;=18,COUNTIF($K$2:$K$10,INT(A2292))&gt;0),1,0)</f>
        <v>0</v>
      </c>
      <c r="G2292" s="34" t="n">
        <f aca="false">B2292/1</f>
        <v>240.797</v>
      </c>
      <c r="H2292" s="34" t="str">
        <f aca="false">IF(F2292=1,G2292,"")</f>
        <v/>
      </c>
    </row>
    <row r="2293" customFormat="false" ht="15" hidden="false" customHeight="false" outlineLevel="0" collapsed="false">
      <c r="A2293" s="31" t="n">
        <v>42831.4583333333</v>
      </c>
      <c r="B2293" s="32" t="n">
        <v>255.615</v>
      </c>
      <c r="D2293" s="33" t="n">
        <f aca="false">WEEKDAY(A2293,2)</f>
        <v>4</v>
      </c>
      <c r="E2293" s="33" t="n">
        <f aca="false">HOUR(A2293)+MINUTE(A2293)/60</f>
        <v>11</v>
      </c>
      <c r="F2293" s="33" t="n">
        <f aca="false">IF(OR(D2293&gt;5,E2293&lt;8,E2293&gt;=18,COUNTIF($K$2:$K$10,INT(A2293))&gt;0),1,0)</f>
        <v>0</v>
      </c>
      <c r="G2293" s="34" t="n">
        <f aca="false">B2293/1</f>
        <v>255.615</v>
      </c>
      <c r="H2293" s="34" t="str">
        <f aca="false">IF(F2293=1,G2293,"")</f>
        <v/>
      </c>
    </row>
    <row r="2294" customFormat="false" ht="15" hidden="false" customHeight="false" outlineLevel="0" collapsed="false">
      <c r="A2294" s="31" t="n">
        <v>42831.5</v>
      </c>
      <c r="B2294" s="32" t="n">
        <v>261.31</v>
      </c>
      <c r="D2294" s="33" t="n">
        <f aca="false">WEEKDAY(A2294,2)</f>
        <v>4</v>
      </c>
      <c r="E2294" s="33" t="n">
        <f aca="false">HOUR(A2294)+MINUTE(A2294)/60</f>
        <v>12</v>
      </c>
      <c r="F2294" s="33" t="n">
        <f aca="false">IF(OR(D2294&gt;5,E2294&lt;8,E2294&gt;=18,COUNTIF($K$2:$K$10,INT(A2294))&gt;0),1,0)</f>
        <v>0</v>
      </c>
      <c r="G2294" s="34" t="n">
        <f aca="false">B2294/1</f>
        <v>261.31</v>
      </c>
      <c r="H2294" s="34" t="str">
        <f aca="false">IF(F2294=1,G2294,"")</f>
        <v/>
      </c>
    </row>
    <row r="2295" customFormat="false" ht="15" hidden="false" customHeight="false" outlineLevel="0" collapsed="false">
      <c r="A2295" s="31" t="n">
        <v>42831.5416666667</v>
      </c>
      <c r="B2295" s="32" t="n">
        <v>263.97</v>
      </c>
      <c r="D2295" s="33" t="n">
        <f aca="false">WEEKDAY(A2295,2)</f>
        <v>4</v>
      </c>
      <c r="E2295" s="33" t="n">
        <f aca="false">HOUR(A2295)+MINUTE(A2295)/60</f>
        <v>13</v>
      </c>
      <c r="F2295" s="33" t="n">
        <f aca="false">IF(OR(D2295&gt;5,E2295&lt;8,E2295&gt;=18,COUNTIF($K$2:$K$10,INT(A2295))&gt;0),1,0)</f>
        <v>0</v>
      </c>
      <c r="G2295" s="34" t="n">
        <f aca="false">B2295/1</f>
        <v>263.97</v>
      </c>
      <c r="H2295" s="34" t="str">
        <f aca="false">IF(F2295=1,G2295,"")</f>
        <v/>
      </c>
    </row>
    <row r="2296" customFormat="false" ht="15" hidden="false" customHeight="false" outlineLevel="0" collapsed="false">
      <c r="A2296" s="31" t="n">
        <v>42831.5833333333</v>
      </c>
      <c r="B2296" s="32" t="n">
        <v>259.259</v>
      </c>
      <c r="D2296" s="33" t="n">
        <f aca="false">WEEKDAY(A2296,2)</f>
        <v>4</v>
      </c>
      <c r="E2296" s="33" t="n">
        <f aca="false">HOUR(A2296)+MINUTE(A2296)/60</f>
        <v>14</v>
      </c>
      <c r="F2296" s="33" t="n">
        <f aca="false">IF(OR(D2296&gt;5,E2296&lt;8,E2296&gt;=18,COUNTIF($K$2:$K$10,INT(A2296))&gt;0),1,0)</f>
        <v>0</v>
      </c>
      <c r="G2296" s="34" t="n">
        <f aca="false">B2296/1</f>
        <v>259.259</v>
      </c>
      <c r="H2296" s="34" t="str">
        <f aca="false">IF(F2296=1,G2296,"")</f>
        <v/>
      </c>
    </row>
    <row r="2297" customFormat="false" ht="15" hidden="false" customHeight="false" outlineLevel="0" collapsed="false">
      <c r="A2297" s="31" t="n">
        <v>42831.625</v>
      </c>
      <c r="B2297" s="32" t="n">
        <v>251.482</v>
      </c>
      <c r="D2297" s="33" t="n">
        <f aca="false">WEEKDAY(A2297,2)</f>
        <v>4</v>
      </c>
      <c r="E2297" s="33" t="n">
        <f aca="false">HOUR(A2297)+MINUTE(A2297)/60</f>
        <v>15</v>
      </c>
      <c r="F2297" s="33" t="n">
        <f aca="false">IF(OR(D2297&gt;5,E2297&lt;8,E2297&gt;=18,COUNTIF($K$2:$K$10,INT(A2297))&gt;0),1,0)</f>
        <v>0</v>
      </c>
      <c r="G2297" s="34" t="n">
        <f aca="false">B2297/1</f>
        <v>251.482</v>
      </c>
      <c r="H2297" s="34" t="str">
        <f aca="false">IF(F2297=1,G2297,"")</f>
        <v/>
      </c>
    </row>
    <row r="2298" customFormat="false" ht="15" hidden="false" customHeight="false" outlineLevel="0" collapsed="false">
      <c r="A2298" s="31" t="n">
        <v>42831.6666666667</v>
      </c>
      <c r="B2298" s="32" t="n">
        <v>241.447</v>
      </c>
      <c r="D2298" s="33" t="n">
        <f aca="false">WEEKDAY(A2298,2)</f>
        <v>4</v>
      </c>
      <c r="E2298" s="33" t="n">
        <f aca="false">HOUR(A2298)+MINUTE(A2298)/60</f>
        <v>16</v>
      </c>
      <c r="F2298" s="33" t="n">
        <f aca="false">IF(OR(D2298&gt;5,E2298&lt;8,E2298&gt;=18,COUNTIF($K$2:$K$10,INT(A2298))&gt;0),1,0)</f>
        <v>0</v>
      </c>
      <c r="G2298" s="34" t="n">
        <f aca="false">B2298/1</f>
        <v>241.447</v>
      </c>
      <c r="H2298" s="34" t="str">
        <f aca="false">IF(F2298=1,G2298,"")</f>
        <v/>
      </c>
    </row>
    <row r="2299" customFormat="false" ht="15" hidden="false" customHeight="false" outlineLevel="0" collapsed="false">
      <c r="A2299" s="31" t="n">
        <v>42831.7083333333</v>
      </c>
      <c r="B2299" s="32" t="n">
        <v>231.146</v>
      </c>
      <c r="D2299" s="33" t="n">
        <f aca="false">WEEKDAY(A2299,2)</f>
        <v>4</v>
      </c>
      <c r="E2299" s="33" t="n">
        <f aca="false">HOUR(A2299)+MINUTE(A2299)/60</f>
        <v>17</v>
      </c>
      <c r="F2299" s="33" t="n">
        <f aca="false">IF(OR(D2299&gt;5,E2299&lt;8,E2299&gt;=18,COUNTIF($K$2:$K$10,INT(A2299))&gt;0),1,0)</f>
        <v>0</v>
      </c>
      <c r="G2299" s="34" t="n">
        <f aca="false">B2299/1</f>
        <v>231.146</v>
      </c>
      <c r="H2299" s="34" t="str">
        <f aca="false">IF(F2299=1,G2299,"")</f>
        <v/>
      </c>
    </row>
    <row r="2300" customFormat="false" ht="15" hidden="false" customHeight="false" outlineLevel="0" collapsed="false">
      <c r="A2300" s="31" t="n">
        <v>42831.75</v>
      </c>
      <c r="B2300" s="32" t="n">
        <v>207.548</v>
      </c>
      <c r="D2300" s="33" t="n">
        <f aca="false">WEEKDAY(A2300,2)</f>
        <v>4</v>
      </c>
      <c r="E2300" s="33" t="n">
        <f aca="false">HOUR(A2300)+MINUTE(A2300)/60</f>
        <v>18</v>
      </c>
      <c r="F2300" s="33" t="n">
        <f aca="false">IF(OR(D2300&gt;5,E2300&lt;8,E2300&gt;=18,COUNTIF($K$2:$K$10,INT(A2300))&gt;0),1,0)</f>
        <v>1</v>
      </c>
      <c r="G2300" s="34" t="n">
        <f aca="false">B2300/1</f>
        <v>207.548</v>
      </c>
      <c r="H2300" s="34" t="n">
        <f aca="false">IF(F2300=1,G2300,"")</f>
        <v>207.548</v>
      </c>
    </row>
    <row r="2301" customFormat="false" ht="15" hidden="false" customHeight="false" outlineLevel="0" collapsed="false">
      <c r="A2301" s="31" t="n">
        <v>42831.7916666667</v>
      </c>
      <c r="B2301" s="32" t="n">
        <v>202.814</v>
      </c>
      <c r="D2301" s="33" t="n">
        <f aca="false">WEEKDAY(A2301,2)</f>
        <v>4</v>
      </c>
      <c r="E2301" s="33" t="n">
        <f aca="false">HOUR(A2301)+MINUTE(A2301)/60</f>
        <v>19</v>
      </c>
      <c r="F2301" s="33" t="n">
        <f aca="false">IF(OR(D2301&gt;5,E2301&lt;8,E2301&gt;=18,COUNTIF($K$2:$K$10,INT(A2301))&gt;0),1,0)</f>
        <v>1</v>
      </c>
      <c r="G2301" s="34" t="n">
        <f aca="false">B2301/1</f>
        <v>202.814</v>
      </c>
      <c r="H2301" s="34" t="n">
        <f aca="false">IF(F2301=1,G2301,"")</f>
        <v>202.814</v>
      </c>
    </row>
    <row r="2302" customFormat="false" ht="15" hidden="false" customHeight="false" outlineLevel="0" collapsed="false">
      <c r="A2302" s="31" t="n">
        <v>42831.8333333333</v>
      </c>
      <c r="B2302" s="32" t="n">
        <v>193.331</v>
      </c>
      <c r="D2302" s="33" t="n">
        <f aca="false">WEEKDAY(A2302,2)</f>
        <v>4</v>
      </c>
      <c r="E2302" s="33" t="n">
        <f aca="false">HOUR(A2302)+MINUTE(A2302)/60</f>
        <v>20</v>
      </c>
      <c r="F2302" s="33" t="n">
        <f aca="false">IF(OR(D2302&gt;5,E2302&lt;8,E2302&gt;=18,COUNTIF($K$2:$K$10,INT(A2302))&gt;0),1,0)</f>
        <v>1</v>
      </c>
      <c r="G2302" s="34" t="n">
        <f aca="false">B2302/1</f>
        <v>193.331</v>
      </c>
      <c r="H2302" s="34" t="n">
        <f aca="false">IF(F2302=1,G2302,"")</f>
        <v>193.331</v>
      </c>
    </row>
    <row r="2303" customFormat="false" ht="15" hidden="false" customHeight="false" outlineLevel="0" collapsed="false">
      <c r="A2303" s="31" t="n">
        <v>42831.875</v>
      </c>
      <c r="B2303" s="32" t="n">
        <v>186.393</v>
      </c>
      <c r="D2303" s="33" t="n">
        <f aca="false">WEEKDAY(A2303,2)</f>
        <v>4</v>
      </c>
      <c r="E2303" s="33" t="n">
        <f aca="false">HOUR(A2303)+MINUTE(A2303)/60</f>
        <v>21</v>
      </c>
      <c r="F2303" s="33" t="n">
        <f aca="false">IF(OR(D2303&gt;5,E2303&lt;8,E2303&gt;=18,COUNTIF($K$2:$K$10,INT(A2303))&gt;0),1,0)</f>
        <v>1</v>
      </c>
      <c r="G2303" s="34" t="n">
        <f aca="false">B2303/1</f>
        <v>186.393</v>
      </c>
      <c r="H2303" s="34" t="n">
        <f aca="false">IF(F2303=1,G2303,"")</f>
        <v>186.393</v>
      </c>
    </row>
    <row r="2304" customFormat="false" ht="15" hidden="false" customHeight="false" outlineLevel="0" collapsed="false">
      <c r="A2304" s="31" t="n">
        <v>42831.9166666667</v>
      </c>
      <c r="B2304" s="32" t="n">
        <v>130.222</v>
      </c>
      <c r="D2304" s="33" t="n">
        <f aca="false">WEEKDAY(A2304,2)</f>
        <v>4</v>
      </c>
      <c r="E2304" s="33" t="n">
        <f aca="false">HOUR(A2304)+MINUTE(A2304)/60</f>
        <v>22</v>
      </c>
      <c r="F2304" s="33" t="n">
        <f aca="false">IF(OR(D2304&gt;5,E2304&lt;8,E2304&gt;=18,COUNTIF($K$2:$K$10,INT(A2304))&gt;0),1,0)</f>
        <v>1</v>
      </c>
      <c r="G2304" s="34" t="n">
        <f aca="false">B2304/1</f>
        <v>130.222</v>
      </c>
      <c r="H2304" s="34" t="n">
        <f aca="false">IF(F2304=1,G2304,"")</f>
        <v>130.222</v>
      </c>
    </row>
    <row r="2305" customFormat="false" ht="15" hidden="false" customHeight="false" outlineLevel="0" collapsed="false">
      <c r="A2305" s="31" t="n">
        <v>42831.9583333333</v>
      </c>
      <c r="B2305" s="32" t="n">
        <v>68.133</v>
      </c>
      <c r="D2305" s="33" t="n">
        <f aca="false">WEEKDAY(A2305,2)</f>
        <v>4</v>
      </c>
      <c r="E2305" s="33" t="n">
        <f aca="false">HOUR(A2305)+MINUTE(A2305)/60</f>
        <v>23</v>
      </c>
      <c r="F2305" s="33" t="n">
        <f aca="false">IF(OR(D2305&gt;5,E2305&lt;8,E2305&gt;=18,COUNTIF($K$2:$K$10,INT(A2305))&gt;0),1,0)</f>
        <v>1</v>
      </c>
      <c r="G2305" s="34" t="n">
        <f aca="false">B2305/1</f>
        <v>68.133</v>
      </c>
      <c r="H2305" s="34" t="n">
        <f aca="false">IF(F2305=1,G2305,"")</f>
        <v>68.133</v>
      </c>
    </row>
    <row r="2306" customFormat="false" ht="15" hidden="false" customHeight="false" outlineLevel="0" collapsed="false">
      <c r="A2306" s="31" t="n">
        <v>42832</v>
      </c>
      <c r="B2306" s="32" t="n">
        <v>63.603</v>
      </c>
      <c r="D2306" s="33" t="n">
        <f aca="false">WEEKDAY(A2306,2)</f>
        <v>5</v>
      </c>
      <c r="E2306" s="33" t="n">
        <f aca="false">HOUR(A2306)+MINUTE(A2306)/60</f>
        <v>0</v>
      </c>
      <c r="F2306" s="33" t="n">
        <f aca="false">IF(OR(D2306&gt;5,E2306&lt;8,E2306&gt;=18,COUNTIF($K$2:$K$10,INT(A2306))&gt;0),1,0)</f>
        <v>1</v>
      </c>
      <c r="G2306" s="34" t="n">
        <f aca="false">B2306/1</f>
        <v>63.603</v>
      </c>
      <c r="H2306" s="34" t="n">
        <f aca="false">IF(F2306=1,G2306,"")</f>
        <v>63.603</v>
      </c>
    </row>
    <row r="2307" customFormat="false" ht="15" hidden="false" customHeight="false" outlineLevel="0" collapsed="false">
      <c r="A2307" s="31" t="n">
        <v>42832.0416666667</v>
      </c>
      <c r="B2307" s="32" t="n">
        <v>59.507</v>
      </c>
      <c r="D2307" s="33" t="n">
        <f aca="false">WEEKDAY(A2307,2)</f>
        <v>5</v>
      </c>
      <c r="E2307" s="33" t="n">
        <f aca="false">HOUR(A2307)+MINUTE(A2307)/60</f>
        <v>1</v>
      </c>
      <c r="F2307" s="33" t="n">
        <f aca="false">IF(OR(D2307&gt;5,E2307&lt;8,E2307&gt;=18,COUNTIF($K$2:$K$10,INT(A2307))&gt;0),1,0)</f>
        <v>1</v>
      </c>
      <c r="G2307" s="34" t="n">
        <f aca="false">B2307/1</f>
        <v>59.507</v>
      </c>
      <c r="H2307" s="34" t="n">
        <f aca="false">IF(F2307=1,G2307,"")</f>
        <v>59.507</v>
      </c>
    </row>
    <row r="2308" customFormat="false" ht="15" hidden="false" customHeight="false" outlineLevel="0" collapsed="false">
      <c r="A2308" s="31" t="n">
        <v>42832.0833333333</v>
      </c>
      <c r="B2308" s="32" t="n">
        <v>57.834</v>
      </c>
      <c r="D2308" s="33" t="n">
        <f aca="false">WEEKDAY(A2308,2)</f>
        <v>5</v>
      </c>
      <c r="E2308" s="33" t="n">
        <f aca="false">HOUR(A2308)+MINUTE(A2308)/60</f>
        <v>2</v>
      </c>
      <c r="F2308" s="33" t="n">
        <f aca="false">IF(OR(D2308&gt;5,E2308&lt;8,E2308&gt;=18,COUNTIF($K$2:$K$10,INT(A2308))&gt;0),1,0)</f>
        <v>1</v>
      </c>
      <c r="G2308" s="34" t="n">
        <f aca="false">B2308/1</f>
        <v>57.834</v>
      </c>
      <c r="H2308" s="34" t="n">
        <f aca="false">IF(F2308=1,G2308,"")</f>
        <v>57.834</v>
      </c>
    </row>
    <row r="2309" customFormat="false" ht="15" hidden="false" customHeight="false" outlineLevel="0" collapsed="false">
      <c r="A2309" s="31" t="n">
        <v>42832.125</v>
      </c>
      <c r="B2309" s="32" t="n">
        <v>58.097</v>
      </c>
      <c r="D2309" s="33" t="n">
        <f aca="false">WEEKDAY(A2309,2)</f>
        <v>5</v>
      </c>
      <c r="E2309" s="33" t="n">
        <f aca="false">HOUR(A2309)+MINUTE(A2309)/60</f>
        <v>3</v>
      </c>
      <c r="F2309" s="33" t="n">
        <f aca="false">IF(OR(D2309&gt;5,E2309&lt;8,E2309&gt;=18,COUNTIF($K$2:$K$10,INT(A2309))&gt;0),1,0)</f>
        <v>1</v>
      </c>
      <c r="G2309" s="34" t="n">
        <f aca="false">B2309/1</f>
        <v>58.097</v>
      </c>
      <c r="H2309" s="34" t="n">
        <f aca="false">IF(F2309=1,G2309,"")</f>
        <v>58.097</v>
      </c>
    </row>
    <row r="2310" customFormat="false" ht="15" hidden="false" customHeight="false" outlineLevel="0" collapsed="false">
      <c r="A2310" s="31" t="n">
        <v>42832.1666666667</v>
      </c>
      <c r="B2310" s="32" t="n">
        <v>58.168</v>
      </c>
      <c r="D2310" s="33" t="n">
        <f aca="false">WEEKDAY(A2310,2)</f>
        <v>5</v>
      </c>
      <c r="E2310" s="33" t="n">
        <f aca="false">HOUR(A2310)+MINUTE(A2310)/60</f>
        <v>4</v>
      </c>
      <c r="F2310" s="33" t="n">
        <f aca="false">IF(OR(D2310&gt;5,E2310&lt;8,E2310&gt;=18,COUNTIF($K$2:$K$10,INT(A2310))&gt;0),1,0)</f>
        <v>1</v>
      </c>
      <c r="G2310" s="34" t="n">
        <f aca="false">B2310/1</f>
        <v>58.168</v>
      </c>
      <c r="H2310" s="34" t="n">
        <f aca="false">IF(F2310=1,G2310,"")</f>
        <v>58.168</v>
      </c>
    </row>
    <row r="2311" customFormat="false" ht="15" hidden="false" customHeight="false" outlineLevel="0" collapsed="false">
      <c r="A2311" s="31" t="n">
        <v>42832.2083333333</v>
      </c>
      <c r="B2311" s="32" t="n">
        <v>56.99</v>
      </c>
      <c r="D2311" s="33" t="n">
        <f aca="false">WEEKDAY(A2311,2)</f>
        <v>5</v>
      </c>
      <c r="E2311" s="33" t="n">
        <f aca="false">HOUR(A2311)+MINUTE(A2311)/60</f>
        <v>5</v>
      </c>
      <c r="F2311" s="33" t="n">
        <f aca="false">IF(OR(D2311&gt;5,E2311&lt;8,E2311&gt;=18,COUNTIF($K$2:$K$10,INT(A2311))&gt;0),1,0)</f>
        <v>1</v>
      </c>
      <c r="G2311" s="34" t="n">
        <f aca="false">B2311/1</f>
        <v>56.99</v>
      </c>
      <c r="H2311" s="34" t="n">
        <f aca="false">IF(F2311=1,G2311,"")</f>
        <v>56.99</v>
      </c>
    </row>
    <row r="2312" customFormat="false" ht="15" hidden="false" customHeight="false" outlineLevel="0" collapsed="false">
      <c r="A2312" s="31" t="n">
        <v>42832.25</v>
      </c>
      <c r="B2312" s="32" t="n">
        <v>57.623</v>
      </c>
      <c r="D2312" s="33" t="n">
        <f aca="false">WEEKDAY(A2312,2)</f>
        <v>5</v>
      </c>
      <c r="E2312" s="33" t="n">
        <f aca="false">HOUR(A2312)+MINUTE(A2312)/60</f>
        <v>6</v>
      </c>
      <c r="F2312" s="33" t="n">
        <f aca="false">IF(OR(D2312&gt;5,E2312&lt;8,E2312&gt;=18,COUNTIF($K$2:$K$10,INT(A2312))&gt;0),1,0)</f>
        <v>1</v>
      </c>
      <c r="G2312" s="34" t="n">
        <f aca="false">B2312/1</f>
        <v>57.623</v>
      </c>
      <c r="H2312" s="34" t="n">
        <f aca="false">IF(F2312=1,G2312,"")</f>
        <v>57.623</v>
      </c>
    </row>
    <row r="2313" customFormat="false" ht="15" hidden="false" customHeight="false" outlineLevel="0" collapsed="false">
      <c r="A2313" s="31" t="n">
        <v>42832.2916666667</v>
      </c>
      <c r="B2313" s="32" t="n">
        <v>63.925</v>
      </c>
      <c r="D2313" s="33" t="n">
        <f aca="false">WEEKDAY(A2313,2)</f>
        <v>5</v>
      </c>
      <c r="E2313" s="33" t="n">
        <f aca="false">HOUR(A2313)+MINUTE(A2313)/60</f>
        <v>7</v>
      </c>
      <c r="F2313" s="33" t="n">
        <f aca="false">IF(OR(D2313&gt;5,E2313&lt;8,E2313&gt;=18,COUNTIF($K$2:$K$10,INT(A2313))&gt;0),1,0)</f>
        <v>1</v>
      </c>
      <c r="G2313" s="34" t="n">
        <f aca="false">B2313/1</f>
        <v>63.925</v>
      </c>
      <c r="H2313" s="34" t="n">
        <f aca="false">IF(F2313=1,G2313,"")</f>
        <v>63.925</v>
      </c>
    </row>
    <row r="2314" customFormat="false" ht="15" hidden="false" customHeight="false" outlineLevel="0" collapsed="false">
      <c r="A2314" s="31" t="n">
        <v>42832.3333333333</v>
      </c>
      <c r="B2314" s="32" t="n">
        <v>167.372</v>
      </c>
      <c r="D2314" s="33" t="n">
        <f aca="false">WEEKDAY(A2314,2)</f>
        <v>5</v>
      </c>
      <c r="E2314" s="33" t="n">
        <f aca="false">HOUR(A2314)+MINUTE(A2314)/60</f>
        <v>8</v>
      </c>
      <c r="F2314" s="33" t="n">
        <f aca="false">IF(OR(D2314&gt;5,E2314&lt;8,E2314&gt;=18,COUNTIF($K$2:$K$10,INT(A2314))&gt;0),1,0)</f>
        <v>0</v>
      </c>
      <c r="G2314" s="34" t="n">
        <f aca="false">B2314/1</f>
        <v>167.372</v>
      </c>
      <c r="H2314" s="34" t="str">
        <f aca="false">IF(F2314=1,G2314,"")</f>
        <v/>
      </c>
    </row>
    <row r="2315" customFormat="false" ht="15" hidden="false" customHeight="false" outlineLevel="0" collapsed="false">
      <c r="A2315" s="31" t="n">
        <v>42832.375</v>
      </c>
      <c r="B2315" s="32" t="n">
        <v>202.051</v>
      </c>
      <c r="D2315" s="33" t="n">
        <f aca="false">WEEKDAY(A2315,2)</f>
        <v>5</v>
      </c>
      <c r="E2315" s="33" t="n">
        <f aca="false">HOUR(A2315)+MINUTE(A2315)/60</f>
        <v>9</v>
      </c>
      <c r="F2315" s="33" t="n">
        <f aca="false">IF(OR(D2315&gt;5,E2315&lt;8,E2315&gt;=18,COUNTIF($K$2:$K$10,INT(A2315))&gt;0),1,0)</f>
        <v>0</v>
      </c>
      <c r="G2315" s="34" t="n">
        <f aca="false">B2315/1</f>
        <v>202.051</v>
      </c>
      <c r="H2315" s="34" t="str">
        <f aca="false">IF(F2315=1,G2315,"")</f>
        <v/>
      </c>
    </row>
    <row r="2316" customFormat="false" ht="15" hidden="false" customHeight="false" outlineLevel="0" collapsed="false">
      <c r="A2316" s="31" t="n">
        <v>42832.4166666667</v>
      </c>
      <c r="B2316" s="32" t="n">
        <v>220.652</v>
      </c>
      <c r="D2316" s="33" t="n">
        <f aca="false">WEEKDAY(A2316,2)</f>
        <v>5</v>
      </c>
      <c r="E2316" s="33" t="n">
        <f aca="false">HOUR(A2316)+MINUTE(A2316)/60</f>
        <v>10</v>
      </c>
      <c r="F2316" s="33" t="n">
        <f aca="false">IF(OR(D2316&gt;5,E2316&lt;8,E2316&gt;=18,COUNTIF($K$2:$K$10,INT(A2316))&gt;0),1,0)</f>
        <v>0</v>
      </c>
      <c r="G2316" s="34" t="n">
        <f aca="false">B2316/1</f>
        <v>220.652</v>
      </c>
      <c r="H2316" s="34" t="str">
        <f aca="false">IF(F2316=1,G2316,"")</f>
        <v/>
      </c>
    </row>
    <row r="2317" customFormat="false" ht="15" hidden="false" customHeight="false" outlineLevel="0" collapsed="false">
      <c r="A2317" s="31" t="n">
        <v>42832.4583333333</v>
      </c>
      <c r="B2317" s="32" t="n">
        <v>234.994</v>
      </c>
      <c r="D2317" s="33" t="n">
        <f aca="false">WEEKDAY(A2317,2)</f>
        <v>5</v>
      </c>
      <c r="E2317" s="33" t="n">
        <f aca="false">HOUR(A2317)+MINUTE(A2317)/60</f>
        <v>11</v>
      </c>
      <c r="F2317" s="33" t="n">
        <f aca="false">IF(OR(D2317&gt;5,E2317&lt;8,E2317&gt;=18,COUNTIF($K$2:$K$10,INT(A2317))&gt;0),1,0)</f>
        <v>0</v>
      </c>
      <c r="G2317" s="34" t="n">
        <f aca="false">B2317/1</f>
        <v>234.994</v>
      </c>
      <c r="H2317" s="34" t="str">
        <f aca="false">IF(F2317=1,G2317,"")</f>
        <v/>
      </c>
    </row>
    <row r="2318" customFormat="false" ht="15" hidden="false" customHeight="false" outlineLevel="0" collapsed="false">
      <c r="A2318" s="31" t="n">
        <v>42832.5</v>
      </c>
      <c r="B2318" s="32" t="n">
        <v>256.021</v>
      </c>
      <c r="D2318" s="33" t="n">
        <f aca="false">WEEKDAY(A2318,2)</f>
        <v>5</v>
      </c>
      <c r="E2318" s="33" t="n">
        <f aca="false">HOUR(A2318)+MINUTE(A2318)/60</f>
        <v>12</v>
      </c>
      <c r="F2318" s="33" t="n">
        <f aca="false">IF(OR(D2318&gt;5,E2318&lt;8,E2318&gt;=18,COUNTIF($K$2:$K$10,INT(A2318))&gt;0),1,0)</f>
        <v>0</v>
      </c>
      <c r="G2318" s="34" t="n">
        <f aca="false">B2318/1</f>
        <v>256.021</v>
      </c>
      <c r="H2318" s="34" t="str">
        <f aca="false">IF(F2318=1,G2318,"")</f>
        <v/>
      </c>
    </row>
    <row r="2319" customFormat="false" ht="15" hidden="false" customHeight="false" outlineLevel="0" collapsed="false">
      <c r="A2319" s="31" t="n">
        <v>42832.5416666667</v>
      </c>
      <c r="B2319" s="32" t="n">
        <v>239.464</v>
      </c>
      <c r="D2319" s="33" t="n">
        <f aca="false">WEEKDAY(A2319,2)</f>
        <v>5</v>
      </c>
      <c r="E2319" s="33" t="n">
        <f aca="false">HOUR(A2319)+MINUTE(A2319)/60</f>
        <v>13</v>
      </c>
      <c r="F2319" s="33" t="n">
        <f aca="false">IF(OR(D2319&gt;5,E2319&lt;8,E2319&gt;=18,COUNTIF($K$2:$K$10,INT(A2319))&gt;0),1,0)</f>
        <v>0</v>
      </c>
      <c r="G2319" s="34" t="n">
        <f aca="false">B2319/1</f>
        <v>239.464</v>
      </c>
      <c r="H2319" s="34" t="str">
        <f aca="false">IF(F2319=1,G2319,"")</f>
        <v/>
      </c>
    </row>
    <row r="2320" customFormat="false" ht="15" hidden="false" customHeight="false" outlineLevel="0" collapsed="false">
      <c r="A2320" s="31" t="n">
        <v>42832.5833333333</v>
      </c>
      <c r="B2320" s="32" t="n">
        <v>230.677</v>
      </c>
      <c r="D2320" s="33" t="n">
        <f aca="false">WEEKDAY(A2320,2)</f>
        <v>5</v>
      </c>
      <c r="E2320" s="33" t="n">
        <f aca="false">HOUR(A2320)+MINUTE(A2320)/60</f>
        <v>14</v>
      </c>
      <c r="F2320" s="33" t="n">
        <f aca="false">IF(OR(D2320&gt;5,E2320&lt;8,E2320&gt;=18,COUNTIF($K$2:$K$10,INT(A2320))&gt;0),1,0)</f>
        <v>0</v>
      </c>
      <c r="G2320" s="34" t="n">
        <f aca="false">B2320/1</f>
        <v>230.677</v>
      </c>
      <c r="H2320" s="34" t="str">
        <f aca="false">IF(F2320=1,G2320,"")</f>
        <v/>
      </c>
    </row>
    <row r="2321" customFormat="false" ht="15" hidden="false" customHeight="false" outlineLevel="0" collapsed="false">
      <c r="A2321" s="31" t="n">
        <v>42832.625</v>
      </c>
      <c r="B2321" s="32" t="n">
        <v>242.061</v>
      </c>
      <c r="D2321" s="33" t="n">
        <f aca="false">WEEKDAY(A2321,2)</f>
        <v>5</v>
      </c>
      <c r="E2321" s="33" t="n">
        <f aca="false">HOUR(A2321)+MINUTE(A2321)/60</f>
        <v>15</v>
      </c>
      <c r="F2321" s="33" t="n">
        <f aca="false">IF(OR(D2321&gt;5,E2321&lt;8,E2321&gt;=18,COUNTIF($K$2:$K$10,INT(A2321))&gt;0),1,0)</f>
        <v>0</v>
      </c>
      <c r="G2321" s="34" t="n">
        <f aca="false">B2321/1</f>
        <v>242.061</v>
      </c>
      <c r="H2321" s="34" t="str">
        <f aca="false">IF(F2321=1,G2321,"")</f>
        <v/>
      </c>
    </row>
    <row r="2322" customFormat="false" ht="15" hidden="false" customHeight="false" outlineLevel="0" collapsed="false">
      <c r="A2322" s="31" t="n">
        <v>42832.6666666667</v>
      </c>
      <c r="B2322" s="32" t="n">
        <v>231.707</v>
      </c>
      <c r="D2322" s="33" t="n">
        <f aca="false">WEEKDAY(A2322,2)</f>
        <v>5</v>
      </c>
      <c r="E2322" s="33" t="n">
        <f aca="false">HOUR(A2322)+MINUTE(A2322)/60</f>
        <v>16</v>
      </c>
      <c r="F2322" s="33" t="n">
        <f aca="false">IF(OR(D2322&gt;5,E2322&lt;8,E2322&gt;=18,COUNTIF($K$2:$K$10,INT(A2322))&gt;0),1,0)</f>
        <v>0</v>
      </c>
      <c r="G2322" s="34" t="n">
        <f aca="false">B2322/1</f>
        <v>231.707</v>
      </c>
      <c r="H2322" s="34" t="str">
        <f aca="false">IF(F2322=1,G2322,"")</f>
        <v/>
      </c>
    </row>
    <row r="2323" customFormat="false" ht="15" hidden="false" customHeight="false" outlineLevel="0" collapsed="false">
      <c r="A2323" s="31" t="n">
        <v>42832.7083333333</v>
      </c>
      <c r="B2323" s="32" t="n">
        <v>215.578</v>
      </c>
      <c r="D2323" s="33" t="n">
        <f aca="false">WEEKDAY(A2323,2)</f>
        <v>5</v>
      </c>
      <c r="E2323" s="33" t="n">
        <f aca="false">HOUR(A2323)+MINUTE(A2323)/60</f>
        <v>17</v>
      </c>
      <c r="F2323" s="33" t="n">
        <f aca="false">IF(OR(D2323&gt;5,E2323&lt;8,E2323&gt;=18,COUNTIF($K$2:$K$10,INT(A2323))&gt;0),1,0)</f>
        <v>0</v>
      </c>
      <c r="G2323" s="34" t="n">
        <f aca="false">B2323/1</f>
        <v>215.578</v>
      </c>
      <c r="H2323" s="34" t="str">
        <f aca="false">IF(F2323=1,G2323,"")</f>
        <v/>
      </c>
    </row>
    <row r="2324" customFormat="false" ht="15" hidden="false" customHeight="false" outlineLevel="0" collapsed="false">
      <c r="A2324" s="31" t="n">
        <v>42832.75</v>
      </c>
      <c r="B2324" s="32" t="n">
        <v>192.829</v>
      </c>
      <c r="D2324" s="33" t="n">
        <f aca="false">WEEKDAY(A2324,2)</f>
        <v>5</v>
      </c>
      <c r="E2324" s="33" t="n">
        <f aca="false">HOUR(A2324)+MINUTE(A2324)/60</f>
        <v>18</v>
      </c>
      <c r="F2324" s="33" t="n">
        <f aca="false">IF(OR(D2324&gt;5,E2324&lt;8,E2324&gt;=18,COUNTIF($K$2:$K$10,INT(A2324))&gt;0),1,0)</f>
        <v>1</v>
      </c>
      <c r="G2324" s="34" t="n">
        <f aca="false">B2324/1</f>
        <v>192.829</v>
      </c>
      <c r="H2324" s="34" t="n">
        <f aca="false">IF(F2324=1,G2324,"")</f>
        <v>192.829</v>
      </c>
    </row>
    <row r="2325" customFormat="false" ht="15" hidden="false" customHeight="false" outlineLevel="0" collapsed="false">
      <c r="A2325" s="31" t="n">
        <v>42832.7916666667</v>
      </c>
      <c r="B2325" s="32" t="n">
        <v>183.488</v>
      </c>
      <c r="D2325" s="33" t="n">
        <f aca="false">WEEKDAY(A2325,2)</f>
        <v>5</v>
      </c>
      <c r="E2325" s="33" t="n">
        <f aca="false">HOUR(A2325)+MINUTE(A2325)/60</f>
        <v>19</v>
      </c>
      <c r="F2325" s="33" t="n">
        <f aca="false">IF(OR(D2325&gt;5,E2325&lt;8,E2325&gt;=18,COUNTIF($K$2:$K$10,INT(A2325))&gt;0),1,0)</f>
        <v>1</v>
      </c>
      <c r="G2325" s="34" t="n">
        <f aca="false">B2325/1</f>
        <v>183.488</v>
      </c>
      <c r="H2325" s="34" t="n">
        <f aca="false">IF(F2325=1,G2325,"")</f>
        <v>183.488</v>
      </c>
    </row>
    <row r="2326" customFormat="false" ht="15" hidden="false" customHeight="false" outlineLevel="0" collapsed="false">
      <c r="A2326" s="31" t="n">
        <v>42832.8333333333</v>
      </c>
      <c r="B2326" s="32" t="n">
        <v>179.183</v>
      </c>
      <c r="D2326" s="33" t="n">
        <f aca="false">WEEKDAY(A2326,2)</f>
        <v>5</v>
      </c>
      <c r="E2326" s="33" t="n">
        <f aca="false">HOUR(A2326)+MINUTE(A2326)/60</f>
        <v>20</v>
      </c>
      <c r="F2326" s="33" t="n">
        <f aca="false">IF(OR(D2326&gt;5,E2326&lt;8,E2326&gt;=18,COUNTIF($K$2:$K$10,INT(A2326))&gt;0),1,0)</f>
        <v>1</v>
      </c>
      <c r="G2326" s="34" t="n">
        <f aca="false">B2326/1</f>
        <v>179.183</v>
      </c>
      <c r="H2326" s="34" t="n">
        <f aca="false">IF(F2326=1,G2326,"")</f>
        <v>179.183</v>
      </c>
    </row>
    <row r="2327" customFormat="false" ht="15" hidden="false" customHeight="false" outlineLevel="0" collapsed="false">
      <c r="A2327" s="31" t="n">
        <v>42832.875</v>
      </c>
      <c r="B2327" s="32" t="n">
        <v>182.255</v>
      </c>
      <c r="D2327" s="33" t="n">
        <f aca="false">WEEKDAY(A2327,2)</f>
        <v>5</v>
      </c>
      <c r="E2327" s="33" t="n">
        <f aca="false">HOUR(A2327)+MINUTE(A2327)/60</f>
        <v>21</v>
      </c>
      <c r="F2327" s="33" t="n">
        <f aca="false">IF(OR(D2327&gt;5,E2327&lt;8,E2327&gt;=18,COUNTIF($K$2:$K$10,INT(A2327))&gt;0),1,0)</f>
        <v>1</v>
      </c>
      <c r="G2327" s="34" t="n">
        <f aca="false">B2327/1</f>
        <v>182.255</v>
      </c>
      <c r="H2327" s="34" t="n">
        <f aca="false">IF(F2327=1,G2327,"")</f>
        <v>182.255</v>
      </c>
    </row>
    <row r="2328" customFormat="false" ht="15" hidden="false" customHeight="false" outlineLevel="0" collapsed="false">
      <c r="A2328" s="31" t="n">
        <v>42832.9166666667</v>
      </c>
      <c r="B2328" s="32" t="n">
        <v>127.669</v>
      </c>
      <c r="D2328" s="33" t="n">
        <f aca="false">WEEKDAY(A2328,2)</f>
        <v>5</v>
      </c>
      <c r="E2328" s="33" t="n">
        <f aca="false">HOUR(A2328)+MINUTE(A2328)/60</f>
        <v>22</v>
      </c>
      <c r="F2328" s="33" t="n">
        <f aca="false">IF(OR(D2328&gt;5,E2328&lt;8,E2328&gt;=18,COUNTIF($K$2:$K$10,INT(A2328))&gt;0),1,0)</f>
        <v>1</v>
      </c>
      <c r="G2328" s="34" t="n">
        <f aca="false">B2328/1</f>
        <v>127.669</v>
      </c>
      <c r="H2328" s="34" t="n">
        <f aca="false">IF(F2328=1,G2328,"")</f>
        <v>127.669</v>
      </c>
    </row>
    <row r="2329" customFormat="false" ht="15" hidden="false" customHeight="false" outlineLevel="0" collapsed="false">
      <c r="A2329" s="31" t="n">
        <v>42832.9583333333</v>
      </c>
      <c r="B2329" s="32" t="n">
        <v>67.445</v>
      </c>
      <c r="D2329" s="33" t="n">
        <f aca="false">WEEKDAY(A2329,2)</f>
        <v>5</v>
      </c>
      <c r="E2329" s="33" t="n">
        <f aca="false">HOUR(A2329)+MINUTE(A2329)/60</f>
        <v>23</v>
      </c>
      <c r="F2329" s="33" t="n">
        <f aca="false">IF(OR(D2329&gt;5,E2329&lt;8,E2329&gt;=18,COUNTIF($K$2:$K$10,INT(A2329))&gt;0),1,0)</f>
        <v>1</v>
      </c>
      <c r="G2329" s="34" t="n">
        <f aca="false">B2329/1</f>
        <v>67.445</v>
      </c>
      <c r="H2329" s="34" t="n">
        <f aca="false">IF(F2329=1,G2329,"")</f>
        <v>67.445</v>
      </c>
    </row>
    <row r="2330" customFormat="false" ht="15" hidden="false" customHeight="false" outlineLevel="0" collapsed="false">
      <c r="A2330" s="31" t="n">
        <v>42833</v>
      </c>
      <c r="B2330" s="32" t="n">
        <v>62.803</v>
      </c>
      <c r="D2330" s="33" t="n">
        <f aca="false">WEEKDAY(A2330,2)</f>
        <v>6</v>
      </c>
      <c r="E2330" s="33" t="n">
        <f aca="false">HOUR(A2330)+MINUTE(A2330)/60</f>
        <v>0</v>
      </c>
      <c r="F2330" s="33" t="n">
        <f aca="false">IF(OR(D2330&gt;5,E2330&lt;8,E2330&gt;=18,COUNTIF($K$2:$K$10,INT(A2330))&gt;0),1,0)</f>
        <v>1</v>
      </c>
      <c r="G2330" s="34" t="n">
        <f aca="false">B2330/1</f>
        <v>62.803</v>
      </c>
      <c r="H2330" s="34" t="n">
        <f aca="false">IF(F2330=1,G2330,"")</f>
        <v>62.803</v>
      </c>
    </row>
    <row r="2331" customFormat="false" ht="15" hidden="false" customHeight="false" outlineLevel="0" collapsed="false">
      <c r="A2331" s="31" t="n">
        <v>42833.0416666667</v>
      </c>
      <c r="B2331" s="32" t="n">
        <v>57.317</v>
      </c>
      <c r="D2331" s="33" t="n">
        <f aca="false">WEEKDAY(A2331,2)</f>
        <v>6</v>
      </c>
      <c r="E2331" s="33" t="n">
        <f aca="false">HOUR(A2331)+MINUTE(A2331)/60</f>
        <v>1</v>
      </c>
      <c r="F2331" s="33" t="n">
        <f aca="false">IF(OR(D2331&gt;5,E2331&lt;8,E2331&gt;=18,COUNTIF($K$2:$K$10,INT(A2331))&gt;0),1,0)</f>
        <v>1</v>
      </c>
      <c r="G2331" s="34" t="n">
        <f aca="false">B2331/1</f>
        <v>57.317</v>
      </c>
      <c r="H2331" s="34" t="n">
        <f aca="false">IF(F2331=1,G2331,"")</f>
        <v>57.317</v>
      </c>
    </row>
    <row r="2332" customFormat="false" ht="15" hidden="false" customHeight="false" outlineLevel="0" collapsed="false">
      <c r="A2332" s="31" t="n">
        <v>42833.0833333333</v>
      </c>
      <c r="B2332" s="32" t="n">
        <v>57.974</v>
      </c>
      <c r="D2332" s="33" t="n">
        <f aca="false">WEEKDAY(A2332,2)</f>
        <v>6</v>
      </c>
      <c r="E2332" s="33" t="n">
        <f aca="false">HOUR(A2332)+MINUTE(A2332)/60</f>
        <v>2</v>
      </c>
      <c r="F2332" s="33" t="n">
        <f aca="false">IF(OR(D2332&gt;5,E2332&lt;8,E2332&gt;=18,COUNTIF($K$2:$K$10,INT(A2332))&gt;0),1,0)</f>
        <v>1</v>
      </c>
      <c r="G2332" s="34" t="n">
        <f aca="false">B2332/1</f>
        <v>57.974</v>
      </c>
      <c r="H2332" s="34" t="n">
        <f aca="false">IF(F2332=1,G2332,"")</f>
        <v>57.974</v>
      </c>
    </row>
    <row r="2333" customFormat="false" ht="15" hidden="false" customHeight="false" outlineLevel="0" collapsed="false">
      <c r="A2333" s="31" t="n">
        <v>42833.125</v>
      </c>
      <c r="B2333" s="32" t="n">
        <v>59.036</v>
      </c>
      <c r="D2333" s="33" t="n">
        <f aca="false">WEEKDAY(A2333,2)</f>
        <v>6</v>
      </c>
      <c r="E2333" s="33" t="n">
        <f aca="false">HOUR(A2333)+MINUTE(A2333)/60</f>
        <v>3</v>
      </c>
      <c r="F2333" s="33" t="n">
        <f aca="false">IF(OR(D2333&gt;5,E2333&lt;8,E2333&gt;=18,COUNTIF($K$2:$K$10,INT(A2333))&gt;0),1,0)</f>
        <v>1</v>
      </c>
      <c r="G2333" s="34" t="n">
        <f aca="false">B2333/1</f>
        <v>59.036</v>
      </c>
      <c r="H2333" s="34" t="n">
        <f aca="false">IF(F2333=1,G2333,"")</f>
        <v>59.036</v>
      </c>
    </row>
    <row r="2334" customFormat="false" ht="15" hidden="false" customHeight="false" outlineLevel="0" collapsed="false">
      <c r="A2334" s="31" t="n">
        <v>42833.1666666667</v>
      </c>
      <c r="B2334" s="32" t="n">
        <v>54.754</v>
      </c>
      <c r="D2334" s="33" t="n">
        <f aca="false">WEEKDAY(A2334,2)</f>
        <v>6</v>
      </c>
      <c r="E2334" s="33" t="n">
        <f aca="false">HOUR(A2334)+MINUTE(A2334)/60</f>
        <v>4</v>
      </c>
      <c r="F2334" s="33" t="n">
        <f aca="false">IF(OR(D2334&gt;5,E2334&lt;8,E2334&gt;=18,COUNTIF($K$2:$K$10,INT(A2334))&gt;0),1,0)</f>
        <v>1</v>
      </c>
      <c r="G2334" s="34" t="n">
        <f aca="false">B2334/1</f>
        <v>54.754</v>
      </c>
      <c r="H2334" s="34" t="n">
        <f aca="false">IF(F2334=1,G2334,"")</f>
        <v>54.754</v>
      </c>
    </row>
    <row r="2335" customFormat="false" ht="15" hidden="false" customHeight="false" outlineLevel="0" collapsed="false">
      <c r="A2335" s="31" t="n">
        <v>42833.2083333333</v>
      </c>
      <c r="B2335" s="32" t="n">
        <v>55.611</v>
      </c>
      <c r="D2335" s="33" t="n">
        <f aca="false">WEEKDAY(A2335,2)</f>
        <v>6</v>
      </c>
      <c r="E2335" s="33" t="n">
        <f aca="false">HOUR(A2335)+MINUTE(A2335)/60</f>
        <v>5</v>
      </c>
      <c r="F2335" s="33" t="n">
        <f aca="false">IF(OR(D2335&gt;5,E2335&lt;8,E2335&gt;=18,COUNTIF($K$2:$K$10,INT(A2335))&gt;0),1,0)</f>
        <v>1</v>
      </c>
      <c r="G2335" s="34" t="n">
        <f aca="false">B2335/1</f>
        <v>55.611</v>
      </c>
      <c r="H2335" s="34" t="n">
        <f aca="false">IF(F2335=1,G2335,"")</f>
        <v>55.611</v>
      </c>
    </row>
    <row r="2336" customFormat="false" ht="15" hidden="false" customHeight="false" outlineLevel="0" collapsed="false">
      <c r="A2336" s="31" t="n">
        <v>42833.25</v>
      </c>
      <c r="B2336" s="32" t="n">
        <v>56.751</v>
      </c>
      <c r="D2336" s="33" t="n">
        <f aca="false">WEEKDAY(A2336,2)</f>
        <v>6</v>
      </c>
      <c r="E2336" s="33" t="n">
        <f aca="false">HOUR(A2336)+MINUTE(A2336)/60</f>
        <v>6</v>
      </c>
      <c r="F2336" s="33" t="n">
        <f aca="false">IF(OR(D2336&gt;5,E2336&lt;8,E2336&gt;=18,COUNTIF($K$2:$K$10,INT(A2336))&gt;0),1,0)</f>
        <v>1</v>
      </c>
      <c r="G2336" s="34" t="n">
        <f aca="false">B2336/1</f>
        <v>56.751</v>
      </c>
      <c r="H2336" s="34" t="n">
        <f aca="false">IF(F2336=1,G2336,"")</f>
        <v>56.751</v>
      </c>
    </row>
    <row r="2337" customFormat="false" ht="15" hidden="false" customHeight="false" outlineLevel="0" collapsed="false">
      <c r="A2337" s="31" t="n">
        <v>42833.2916666667</v>
      </c>
      <c r="B2337" s="32" t="n">
        <v>55.775</v>
      </c>
      <c r="D2337" s="33" t="n">
        <f aca="false">WEEKDAY(A2337,2)</f>
        <v>6</v>
      </c>
      <c r="E2337" s="33" t="n">
        <f aca="false">HOUR(A2337)+MINUTE(A2337)/60</f>
        <v>7</v>
      </c>
      <c r="F2337" s="33" t="n">
        <f aca="false">IF(OR(D2337&gt;5,E2337&lt;8,E2337&gt;=18,COUNTIF($K$2:$K$10,INT(A2337))&gt;0),1,0)</f>
        <v>1</v>
      </c>
      <c r="G2337" s="34" t="n">
        <f aca="false">B2337/1</f>
        <v>55.775</v>
      </c>
      <c r="H2337" s="34" t="n">
        <f aca="false">IF(F2337=1,G2337,"")</f>
        <v>55.775</v>
      </c>
    </row>
    <row r="2338" customFormat="false" ht="15" hidden="false" customHeight="false" outlineLevel="0" collapsed="false">
      <c r="A2338" s="31" t="n">
        <v>42833.3333333333</v>
      </c>
      <c r="B2338" s="32" t="n">
        <v>120.667</v>
      </c>
      <c r="D2338" s="33" t="n">
        <f aca="false">WEEKDAY(A2338,2)</f>
        <v>6</v>
      </c>
      <c r="E2338" s="33" t="n">
        <f aca="false">HOUR(A2338)+MINUTE(A2338)/60</f>
        <v>8</v>
      </c>
      <c r="F2338" s="33" t="n">
        <f aca="false">IF(OR(D2338&gt;5,E2338&lt;8,E2338&gt;=18,COUNTIF($K$2:$K$10,INT(A2338))&gt;0),1,0)</f>
        <v>1</v>
      </c>
      <c r="G2338" s="34" t="n">
        <f aca="false">B2338/1</f>
        <v>120.667</v>
      </c>
      <c r="H2338" s="34" t="n">
        <f aca="false">IF(F2338=1,G2338,"")</f>
        <v>120.667</v>
      </c>
    </row>
    <row r="2339" customFormat="false" ht="15" hidden="false" customHeight="false" outlineLevel="0" collapsed="false">
      <c r="A2339" s="31" t="n">
        <v>42833.375</v>
      </c>
      <c r="B2339" s="32" t="n">
        <v>158.046</v>
      </c>
      <c r="D2339" s="33" t="n">
        <f aca="false">WEEKDAY(A2339,2)</f>
        <v>6</v>
      </c>
      <c r="E2339" s="33" t="n">
        <f aca="false">HOUR(A2339)+MINUTE(A2339)/60</f>
        <v>9</v>
      </c>
      <c r="F2339" s="33" t="n">
        <f aca="false">IF(OR(D2339&gt;5,E2339&lt;8,E2339&gt;=18,COUNTIF($K$2:$K$10,INT(A2339))&gt;0),1,0)</f>
        <v>1</v>
      </c>
      <c r="G2339" s="34" t="n">
        <f aca="false">B2339/1</f>
        <v>158.046</v>
      </c>
      <c r="H2339" s="34" t="n">
        <f aca="false">IF(F2339=1,G2339,"")</f>
        <v>158.046</v>
      </c>
    </row>
    <row r="2340" customFormat="false" ht="15" hidden="false" customHeight="false" outlineLevel="0" collapsed="false">
      <c r="A2340" s="31" t="n">
        <v>42833.4166666667</v>
      </c>
      <c r="B2340" s="32" t="n">
        <v>162.186</v>
      </c>
      <c r="D2340" s="33" t="n">
        <f aca="false">WEEKDAY(A2340,2)</f>
        <v>6</v>
      </c>
      <c r="E2340" s="33" t="n">
        <f aca="false">HOUR(A2340)+MINUTE(A2340)/60</f>
        <v>10</v>
      </c>
      <c r="F2340" s="33" t="n">
        <f aca="false">IF(OR(D2340&gt;5,E2340&lt;8,E2340&gt;=18,COUNTIF($K$2:$K$10,INT(A2340))&gt;0),1,0)</f>
        <v>1</v>
      </c>
      <c r="G2340" s="34" t="n">
        <f aca="false">B2340/1</f>
        <v>162.186</v>
      </c>
      <c r="H2340" s="34" t="n">
        <f aca="false">IF(F2340=1,G2340,"")</f>
        <v>162.186</v>
      </c>
    </row>
    <row r="2341" customFormat="false" ht="15" hidden="false" customHeight="false" outlineLevel="0" collapsed="false">
      <c r="A2341" s="31" t="n">
        <v>42833.4583333333</v>
      </c>
      <c r="B2341" s="32" t="n">
        <v>164.735</v>
      </c>
      <c r="D2341" s="33" t="n">
        <f aca="false">WEEKDAY(A2341,2)</f>
        <v>6</v>
      </c>
      <c r="E2341" s="33" t="n">
        <f aca="false">HOUR(A2341)+MINUTE(A2341)/60</f>
        <v>11</v>
      </c>
      <c r="F2341" s="33" t="n">
        <f aca="false">IF(OR(D2341&gt;5,E2341&lt;8,E2341&gt;=18,COUNTIF($K$2:$K$10,INT(A2341))&gt;0),1,0)</f>
        <v>1</v>
      </c>
      <c r="G2341" s="34" t="n">
        <f aca="false">B2341/1</f>
        <v>164.735</v>
      </c>
      <c r="H2341" s="34" t="n">
        <f aca="false">IF(F2341=1,G2341,"")</f>
        <v>164.735</v>
      </c>
    </row>
    <row r="2342" customFormat="false" ht="15" hidden="false" customHeight="false" outlineLevel="0" collapsed="false">
      <c r="A2342" s="31" t="n">
        <v>42833.5</v>
      </c>
      <c r="B2342" s="32" t="n">
        <v>168.382</v>
      </c>
      <c r="D2342" s="33" t="n">
        <f aca="false">WEEKDAY(A2342,2)</f>
        <v>6</v>
      </c>
      <c r="E2342" s="33" t="n">
        <f aca="false">HOUR(A2342)+MINUTE(A2342)/60</f>
        <v>12</v>
      </c>
      <c r="F2342" s="33" t="n">
        <f aca="false">IF(OR(D2342&gt;5,E2342&lt;8,E2342&gt;=18,COUNTIF($K$2:$K$10,INT(A2342))&gt;0),1,0)</f>
        <v>1</v>
      </c>
      <c r="G2342" s="34" t="n">
        <f aca="false">B2342/1</f>
        <v>168.382</v>
      </c>
      <c r="H2342" s="34" t="n">
        <f aca="false">IF(F2342=1,G2342,"")</f>
        <v>168.382</v>
      </c>
    </row>
    <row r="2343" customFormat="false" ht="15" hidden="false" customHeight="false" outlineLevel="0" collapsed="false">
      <c r="A2343" s="31" t="n">
        <v>42833.5416666667</v>
      </c>
      <c r="B2343" s="32" t="n">
        <v>174.303</v>
      </c>
      <c r="D2343" s="33" t="n">
        <f aca="false">WEEKDAY(A2343,2)</f>
        <v>6</v>
      </c>
      <c r="E2343" s="33" t="n">
        <f aca="false">HOUR(A2343)+MINUTE(A2343)/60</f>
        <v>13</v>
      </c>
      <c r="F2343" s="33" t="n">
        <f aca="false">IF(OR(D2343&gt;5,E2343&lt;8,E2343&gt;=18,COUNTIF($K$2:$K$10,INT(A2343))&gt;0),1,0)</f>
        <v>1</v>
      </c>
      <c r="G2343" s="34" t="n">
        <f aca="false">B2343/1</f>
        <v>174.303</v>
      </c>
      <c r="H2343" s="34" t="n">
        <f aca="false">IF(F2343=1,G2343,"")</f>
        <v>174.303</v>
      </c>
    </row>
    <row r="2344" customFormat="false" ht="15" hidden="false" customHeight="false" outlineLevel="0" collapsed="false">
      <c r="A2344" s="31" t="n">
        <v>42833.5833333333</v>
      </c>
      <c r="B2344" s="32" t="n">
        <v>178.718</v>
      </c>
      <c r="D2344" s="33" t="n">
        <f aca="false">WEEKDAY(A2344,2)</f>
        <v>6</v>
      </c>
      <c r="E2344" s="33" t="n">
        <f aca="false">HOUR(A2344)+MINUTE(A2344)/60</f>
        <v>14</v>
      </c>
      <c r="F2344" s="33" t="n">
        <f aca="false">IF(OR(D2344&gt;5,E2344&lt;8,E2344&gt;=18,COUNTIF($K$2:$K$10,INT(A2344))&gt;0),1,0)</f>
        <v>1</v>
      </c>
      <c r="G2344" s="34" t="n">
        <f aca="false">B2344/1</f>
        <v>178.718</v>
      </c>
      <c r="H2344" s="34" t="n">
        <f aca="false">IF(F2344=1,G2344,"")</f>
        <v>178.718</v>
      </c>
    </row>
    <row r="2345" customFormat="false" ht="15" hidden="false" customHeight="false" outlineLevel="0" collapsed="false">
      <c r="A2345" s="31" t="n">
        <v>42833.625</v>
      </c>
      <c r="B2345" s="32" t="n">
        <v>182.43</v>
      </c>
      <c r="D2345" s="33" t="n">
        <f aca="false">WEEKDAY(A2345,2)</f>
        <v>6</v>
      </c>
      <c r="E2345" s="33" t="n">
        <f aca="false">HOUR(A2345)+MINUTE(A2345)/60</f>
        <v>15</v>
      </c>
      <c r="F2345" s="33" t="n">
        <f aca="false">IF(OR(D2345&gt;5,E2345&lt;8,E2345&gt;=18,COUNTIF($K$2:$K$10,INT(A2345))&gt;0),1,0)</f>
        <v>1</v>
      </c>
      <c r="G2345" s="34" t="n">
        <f aca="false">B2345/1</f>
        <v>182.43</v>
      </c>
      <c r="H2345" s="34" t="n">
        <f aca="false">IF(F2345=1,G2345,"")</f>
        <v>182.43</v>
      </c>
    </row>
    <row r="2346" customFormat="false" ht="15" hidden="false" customHeight="false" outlineLevel="0" collapsed="false">
      <c r="A2346" s="31" t="n">
        <v>42833.6666666667</v>
      </c>
      <c r="B2346" s="32" t="n">
        <v>180.217</v>
      </c>
      <c r="D2346" s="33" t="n">
        <f aca="false">WEEKDAY(A2346,2)</f>
        <v>6</v>
      </c>
      <c r="E2346" s="33" t="n">
        <f aca="false">HOUR(A2346)+MINUTE(A2346)/60</f>
        <v>16</v>
      </c>
      <c r="F2346" s="33" t="n">
        <f aca="false">IF(OR(D2346&gt;5,E2346&lt;8,E2346&gt;=18,COUNTIF($K$2:$K$10,INT(A2346))&gt;0),1,0)</f>
        <v>1</v>
      </c>
      <c r="G2346" s="34" t="n">
        <f aca="false">B2346/1</f>
        <v>180.217</v>
      </c>
      <c r="H2346" s="34" t="n">
        <f aca="false">IF(F2346=1,G2346,"")</f>
        <v>180.217</v>
      </c>
    </row>
    <row r="2347" customFormat="false" ht="15" hidden="false" customHeight="false" outlineLevel="0" collapsed="false">
      <c r="A2347" s="31" t="n">
        <v>42833.7083333333</v>
      </c>
      <c r="B2347" s="32" t="n">
        <v>147.369</v>
      </c>
      <c r="D2347" s="33" t="n">
        <f aca="false">WEEKDAY(A2347,2)</f>
        <v>6</v>
      </c>
      <c r="E2347" s="33" t="n">
        <f aca="false">HOUR(A2347)+MINUTE(A2347)/60</f>
        <v>17</v>
      </c>
      <c r="F2347" s="33" t="n">
        <f aca="false">IF(OR(D2347&gt;5,E2347&lt;8,E2347&gt;=18,COUNTIF($K$2:$K$10,INT(A2347))&gt;0),1,0)</f>
        <v>1</v>
      </c>
      <c r="G2347" s="34" t="n">
        <f aca="false">B2347/1</f>
        <v>147.369</v>
      </c>
      <c r="H2347" s="34" t="n">
        <f aca="false">IF(F2347=1,G2347,"")</f>
        <v>147.369</v>
      </c>
    </row>
    <row r="2348" customFormat="false" ht="15" hidden="false" customHeight="false" outlineLevel="0" collapsed="false">
      <c r="A2348" s="31" t="n">
        <v>42833.75</v>
      </c>
      <c r="B2348" s="32" t="n">
        <v>71.821</v>
      </c>
      <c r="D2348" s="33" t="n">
        <f aca="false">WEEKDAY(A2348,2)</f>
        <v>6</v>
      </c>
      <c r="E2348" s="33" t="n">
        <f aca="false">HOUR(A2348)+MINUTE(A2348)/60</f>
        <v>18</v>
      </c>
      <c r="F2348" s="33" t="n">
        <f aca="false">IF(OR(D2348&gt;5,E2348&lt;8,E2348&gt;=18,COUNTIF($K$2:$K$10,INT(A2348))&gt;0),1,0)</f>
        <v>1</v>
      </c>
      <c r="G2348" s="34" t="n">
        <f aca="false">B2348/1</f>
        <v>71.821</v>
      </c>
      <c r="H2348" s="34" t="n">
        <f aca="false">IF(F2348=1,G2348,"")</f>
        <v>71.821</v>
      </c>
    </row>
    <row r="2349" customFormat="false" ht="15" hidden="false" customHeight="false" outlineLevel="0" collapsed="false">
      <c r="A2349" s="31" t="n">
        <v>42833.7916666667</v>
      </c>
      <c r="B2349" s="32" t="n">
        <v>51.016</v>
      </c>
      <c r="D2349" s="33" t="n">
        <f aca="false">WEEKDAY(A2349,2)</f>
        <v>6</v>
      </c>
      <c r="E2349" s="33" t="n">
        <f aca="false">HOUR(A2349)+MINUTE(A2349)/60</f>
        <v>19</v>
      </c>
      <c r="F2349" s="33" t="n">
        <f aca="false">IF(OR(D2349&gt;5,E2349&lt;8,E2349&gt;=18,COUNTIF($K$2:$K$10,INT(A2349))&gt;0),1,0)</f>
        <v>1</v>
      </c>
      <c r="G2349" s="34" t="n">
        <f aca="false">B2349/1</f>
        <v>51.016</v>
      </c>
      <c r="H2349" s="34" t="n">
        <f aca="false">IF(F2349=1,G2349,"")</f>
        <v>51.016</v>
      </c>
    </row>
    <row r="2350" customFormat="false" ht="15" hidden="false" customHeight="false" outlineLevel="0" collapsed="false">
      <c r="A2350" s="31" t="n">
        <v>42833.8333333333</v>
      </c>
      <c r="B2350" s="32" t="n">
        <v>50.566</v>
      </c>
      <c r="D2350" s="33" t="n">
        <f aca="false">WEEKDAY(A2350,2)</f>
        <v>6</v>
      </c>
      <c r="E2350" s="33" t="n">
        <f aca="false">HOUR(A2350)+MINUTE(A2350)/60</f>
        <v>20</v>
      </c>
      <c r="F2350" s="33" t="n">
        <f aca="false">IF(OR(D2350&gt;5,E2350&lt;8,E2350&gt;=18,COUNTIF($K$2:$K$10,INT(A2350))&gt;0),1,0)</f>
        <v>1</v>
      </c>
      <c r="G2350" s="34" t="n">
        <f aca="false">B2350/1</f>
        <v>50.566</v>
      </c>
      <c r="H2350" s="34" t="n">
        <f aca="false">IF(F2350=1,G2350,"")</f>
        <v>50.566</v>
      </c>
    </row>
    <row r="2351" customFormat="false" ht="15" hidden="false" customHeight="false" outlineLevel="0" collapsed="false">
      <c r="A2351" s="31" t="n">
        <v>42833.875</v>
      </c>
      <c r="B2351" s="32" t="n">
        <v>50.71</v>
      </c>
      <c r="D2351" s="33" t="n">
        <f aca="false">WEEKDAY(A2351,2)</f>
        <v>6</v>
      </c>
      <c r="E2351" s="33" t="n">
        <f aca="false">HOUR(A2351)+MINUTE(A2351)/60</f>
        <v>21</v>
      </c>
      <c r="F2351" s="33" t="n">
        <f aca="false">IF(OR(D2351&gt;5,E2351&lt;8,E2351&gt;=18,COUNTIF($K$2:$K$10,INT(A2351))&gt;0),1,0)</f>
        <v>1</v>
      </c>
      <c r="G2351" s="34" t="n">
        <f aca="false">B2351/1</f>
        <v>50.71</v>
      </c>
      <c r="H2351" s="34" t="n">
        <f aca="false">IF(F2351=1,G2351,"")</f>
        <v>50.71</v>
      </c>
    </row>
    <row r="2352" customFormat="false" ht="15" hidden="false" customHeight="false" outlineLevel="0" collapsed="false">
      <c r="A2352" s="31" t="n">
        <v>42833.9166666667</v>
      </c>
      <c r="B2352" s="32" t="n">
        <v>52.395</v>
      </c>
      <c r="D2352" s="33" t="n">
        <f aca="false">WEEKDAY(A2352,2)</f>
        <v>6</v>
      </c>
      <c r="E2352" s="33" t="n">
        <f aca="false">HOUR(A2352)+MINUTE(A2352)/60</f>
        <v>22</v>
      </c>
      <c r="F2352" s="33" t="n">
        <f aca="false">IF(OR(D2352&gt;5,E2352&lt;8,E2352&gt;=18,COUNTIF($K$2:$K$10,INT(A2352))&gt;0),1,0)</f>
        <v>1</v>
      </c>
      <c r="G2352" s="34" t="n">
        <f aca="false">B2352/1</f>
        <v>52.395</v>
      </c>
      <c r="H2352" s="34" t="n">
        <f aca="false">IF(F2352=1,G2352,"")</f>
        <v>52.395</v>
      </c>
    </row>
    <row r="2353" customFormat="false" ht="15" hidden="false" customHeight="false" outlineLevel="0" collapsed="false">
      <c r="A2353" s="31" t="n">
        <v>42833.9583333333</v>
      </c>
      <c r="B2353" s="32" t="n">
        <v>49.148</v>
      </c>
      <c r="D2353" s="33" t="n">
        <f aca="false">WEEKDAY(A2353,2)</f>
        <v>6</v>
      </c>
      <c r="E2353" s="33" t="n">
        <f aca="false">HOUR(A2353)+MINUTE(A2353)/60</f>
        <v>23</v>
      </c>
      <c r="F2353" s="33" t="n">
        <f aca="false">IF(OR(D2353&gt;5,E2353&lt;8,E2353&gt;=18,COUNTIF($K$2:$K$10,INT(A2353))&gt;0),1,0)</f>
        <v>1</v>
      </c>
      <c r="G2353" s="34" t="n">
        <f aca="false">B2353/1</f>
        <v>49.148</v>
      </c>
      <c r="H2353" s="34" t="n">
        <f aca="false">IF(F2353=1,G2353,"")</f>
        <v>49.148</v>
      </c>
    </row>
    <row r="2354" customFormat="false" ht="15" hidden="false" customHeight="false" outlineLevel="0" collapsed="false">
      <c r="A2354" s="31" t="n">
        <v>42834</v>
      </c>
      <c r="B2354" s="32" t="n">
        <v>50.419</v>
      </c>
      <c r="D2354" s="33" t="n">
        <f aca="false">WEEKDAY(A2354,2)</f>
        <v>7</v>
      </c>
      <c r="E2354" s="33" t="n">
        <f aca="false">HOUR(A2354)+MINUTE(A2354)/60</f>
        <v>0</v>
      </c>
      <c r="F2354" s="33" t="n">
        <f aca="false">IF(OR(D2354&gt;5,E2354&lt;8,E2354&gt;=18,COUNTIF($K$2:$K$10,INT(A2354))&gt;0),1,0)</f>
        <v>1</v>
      </c>
      <c r="G2354" s="34" t="n">
        <f aca="false">B2354/1</f>
        <v>50.419</v>
      </c>
      <c r="H2354" s="34" t="n">
        <f aca="false">IF(F2354=1,G2354,"")</f>
        <v>50.419</v>
      </c>
    </row>
    <row r="2355" customFormat="false" ht="15" hidden="false" customHeight="false" outlineLevel="0" collapsed="false">
      <c r="A2355" s="31" t="n">
        <v>42834.0416666667</v>
      </c>
      <c r="B2355" s="32" t="n">
        <v>47.846</v>
      </c>
      <c r="D2355" s="33" t="n">
        <f aca="false">WEEKDAY(A2355,2)</f>
        <v>7</v>
      </c>
      <c r="E2355" s="33" t="n">
        <f aca="false">HOUR(A2355)+MINUTE(A2355)/60</f>
        <v>1</v>
      </c>
      <c r="F2355" s="33" t="n">
        <f aca="false">IF(OR(D2355&gt;5,E2355&lt;8,E2355&gt;=18,COUNTIF($K$2:$K$10,INT(A2355))&gt;0),1,0)</f>
        <v>1</v>
      </c>
      <c r="G2355" s="34" t="n">
        <f aca="false">B2355/1</f>
        <v>47.846</v>
      </c>
      <c r="H2355" s="34" t="n">
        <f aca="false">IF(F2355=1,G2355,"")</f>
        <v>47.846</v>
      </c>
    </row>
    <row r="2356" customFormat="false" ht="15" hidden="false" customHeight="false" outlineLevel="0" collapsed="false">
      <c r="A2356" s="31" t="n">
        <v>42834.0833333333</v>
      </c>
      <c r="B2356" s="32" t="n">
        <v>50.599</v>
      </c>
      <c r="D2356" s="33" t="n">
        <f aca="false">WEEKDAY(A2356,2)</f>
        <v>7</v>
      </c>
      <c r="E2356" s="33" t="n">
        <f aca="false">HOUR(A2356)+MINUTE(A2356)/60</f>
        <v>2</v>
      </c>
      <c r="F2356" s="33" t="n">
        <f aca="false">IF(OR(D2356&gt;5,E2356&lt;8,E2356&gt;=18,COUNTIF($K$2:$K$10,INT(A2356))&gt;0),1,0)</f>
        <v>1</v>
      </c>
      <c r="G2356" s="34" t="n">
        <f aca="false">B2356/1</f>
        <v>50.599</v>
      </c>
      <c r="H2356" s="34" t="n">
        <f aca="false">IF(F2356=1,G2356,"")</f>
        <v>50.599</v>
      </c>
    </row>
    <row r="2357" customFormat="false" ht="15" hidden="false" customHeight="false" outlineLevel="0" collapsed="false">
      <c r="A2357" s="31" t="n">
        <v>42834.125</v>
      </c>
      <c r="B2357" s="32" t="n">
        <v>48.639</v>
      </c>
      <c r="D2357" s="33" t="n">
        <f aca="false">WEEKDAY(A2357,2)</f>
        <v>7</v>
      </c>
      <c r="E2357" s="33" t="n">
        <f aca="false">HOUR(A2357)+MINUTE(A2357)/60</f>
        <v>3</v>
      </c>
      <c r="F2357" s="33" t="n">
        <f aca="false">IF(OR(D2357&gt;5,E2357&lt;8,E2357&gt;=18,COUNTIF($K$2:$K$10,INT(A2357))&gt;0),1,0)</f>
        <v>1</v>
      </c>
      <c r="G2357" s="34" t="n">
        <f aca="false">B2357/1</f>
        <v>48.639</v>
      </c>
      <c r="H2357" s="34" t="n">
        <f aca="false">IF(F2357=1,G2357,"")</f>
        <v>48.639</v>
      </c>
    </row>
    <row r="2358" customFormat="false" ht="15" hidden="false" customHeight="false" outlineLevel="0" collapsed="false">
      <c r="A2358" s="31" t="n">
        <v>42834.1666666667</v>
      </c>
      <c r="B2358" s="32" t="n">
        <v>49.72</v>
      </c>
      <c r="D2358" s="33" t="n">
        <f aca="false">WEEKDAY(A2358,2)</f>
        <v>7</v>
      </c>
      <c r="E2358" s="33" t="n">
        <f aca="false">HOUR(A2358)+MINUTE(A2358)/60</f>
        <v>4</v>
      </c>
      <c r="F2358" s="33" t="n">
        <f aca="false">IF(OR(D2358&gt;5,E2358&lt;8,E2358&gt;=18,COUNTIF($K$2:$K$10,INT(A2358))&gt;0),1,0)</f>
        <v>1</v>
      </c>
      <c r="G2358" s="34" t="n">
        <f aca="false">B2358/1</f>
        <v>49.72</v>
      </c>
      <c r="H2358" s="34" t="n">
        <f aca="false">IF(F2358=1,G2358,"")</f>
        <v>49.72</v>
      </c>
    </row>
    <row r="2359" customFormat="false" ht="15" hidden="false" customHeight="false" outlineLevel="0" collapsed="false">
      <c r="A2359" s="31" t="n">
        <v>42834.2083333333</v>
      </c>
      <c r="B2359" s="32" t="n">
        <v>49.682</v>
      </c>
      <c r="D2359" s="33" t="n">
        <f aca="false">WEEKDAY(A2359,2)</f>
        <v>7</v>
      </c>
      <c r="E2359" s="33" t="n">
        <f aca="false">HOUR(A2359)+MINUTE(A2359)/60</f>
        <v>5</v>
      </c>
      <c r="F2359" s="33" t="n">
        <f aca="false">IF(OR(D2359&gt;5,E2359&lt;8,E2359&gt;=18,COUNTIF($K$2:$K$10,INT(A2359))&gt;0),1,0)</f>
        <v>1</v>
      </c>
      <c r="G2359" s="34" t="n">
        <f aca="false">B2359/1</f>
        <v>49.682</v>
      </c>
      <c r="H2359" s="34" t="n">
        <f aca="false">IF(F2359=1,G2359,"")</f>
        <v>49.682</v>
      </c>
    </row>
    <row r="2360" customFormat="false" ht="15" hidden="false" customHeight="false" outlineLevel="0" collapsed="false">
      <c r="A2360" s="31" t="n">
        <v>42834.25</v>
      </c>
      <c r="B2360" s="32" t="n">
        <v>49.048</v>
      </c>
      <c r="D2360" s="33" t="n">
        <f aca="false">WEEKDAY(A2360,2)</f>
        <v>7</v>
      </c>
      <c r="E2360" s="33" t="n">
        <f aca="false">HOUR(A2360)+MINUTE(A2360)/60</f>
        <v>6</v>
      </c>
      <c r="F2360" s="33" t="n">
        <f aca="false">IF(OR(D2360&gt;5,E2360&lt;8,E2360&gt;=18,COUNTIF($K$2:$K$10,INT(A2360))&gt;0),1,0)</f>
        <v>1</v>
      </c>
      <c r="G2360" s="34" t="n">
        <f aca="false">B2360/1</f>
        <v>49.048</v>
      </c>
      <c r="H2360" s="34" t="n">
        <f aca="false">IF(F2360=1,G2360,"")</f>
        <v>49.048</v>
      </c>
    </row>
    <row r="2361" customFormat="false" ht="15" hidden="false" customHeight="false" outlineLevel="0" collapsed="false">
      <c r="A2361" s="31" t="n">
        <v>42834.2916666667</v>
      </c>
      <c r="B2361" s="32" t="n">
        <v>52.238</v>
      </c>
      <c r="D2361" s="33" t="n">
        <f aca="false">WEEKDAY(A2361,2)</f>
        <v>7</v>
      </c>
      <c r="E2361" s="33" t="n">
        <f aca="false">HOUR(A2361)+MINUTE(A2361)/60</f>
        <v>7</v>
      </c>
      <c r="F2361" s="33" t="n">
        <f aca="false">IF(OR(D2361&gt;5,E2361&lt;8,E2361&gt;=18,COUNTIF($K$2:$K$10,INT(A2361))&gt;0),1,0)</f>
        <v>1</v>
      </c>
      <c r="G2361" s="34" t="n">
        <f aca="false">B2361/1</f>
        <v>52.238</v>
      </c>
      <c r="H2361" s="34" t="n">
        <f aca="false">IF(F2361=1,G2361,"")</f>
        <v>52.238</v>
      </c>
    </row>
    <row r="2362" customFormat="false" ht="15" hidden="false" customHeight="false" outlineLevel="0" collapsed="false">
      <c r="A2362" s="31" t="n">
        <v>42834.3333333333</v>
      </c>
      <c r="B2362" s="32" t="n">
        <v>50.088</v>
      </c>
      <c r="D2362" s="33" t="n">
        <f aca="false">WEEKDAY(A2362,2)</f>
        <v>7</v>
      </c>
      <c r="E2362" s="33" t="n">
        <f aca="false">HOUR(A2362)+MINUTE(A2362)/60</f>
        <v>8</v>
      </c>
      <c r="F2362" s="33" t="n">
        <f aca="false">IF(OR(D2362&gt;5,E2362&lt;8,E2362&gt;=18,COUNTIF($K$2:$K$10,INT(A2362))&gt;0),1,0)</f>
        <v>1</v>
      </c>
      <c r="G2362" s="34" t="n">
        <f aca="false">B2362/1</f>
        <v>50.088</v>
      </c>
      <c r="H2362" s="34" t="n">
        <f aca="false">IF(F2362=1,G2362,"")</f>
        <v>50.088</v>
      </c>
    </row>
    <row r="2363" customFormat="false" ht="15" hidden="false" customHeight="false" outlineLevel="0" collapsed="false">
      <c r="A2363" s="31" t="n">
        <v>42834.375</v>
      </c>
      <c r="B2363" s="32" t="n">
        <v>52.976</v>
      </c>
      <c r="D2363" s="33" t="n">
        <f aca="false">WEEKDAY(A2363,2)</f>
        <v>7</v>
      </c>
      <c r="E2363" s="33" t="n">
        <f aca="false">HOUR(A2363)+MINUTE(A2363)/60</f>
        <v>9</v>
      </c>
      <c r="F2363" s="33" t="n">
        <f aca="false">IF(OR(D2363&gt;5,E2363&lt;8,E2363&gt;=18,COUNTIF($K$2:$K$10,INT(A2363))&gt;0),1,0)</f>
        <v>1</v>
      </c>
      <c r="G2363" s="34" t="n">
        <f aca="false">B2363/1</f>
        <v>52.976</v>
      </c>
      <c r="H2363" s="34" t="n">
        <f aca="false">IF(F2363=1,G2363,"")</f>
        <v>52.976</v>
      </c>
    </row>
    <row r="2364" customFormat="false" ht="15" hidden="false" customHeight="false" outlineLevel="0" collapsed="false">
      <c r="A2364" s="31" t="n">
        <v>42834.4166666667</v>
      </c>
      <c r="B2364" s="32" t="n">
        <v>48.852</v>
      </c>
      <c r="D2364" s="33" t="n">
        <f aca="false">WEEKDAY(A2364,2)</f>
        <v>7</v>
      </c>
      <c r="E2364" s="33" t="n">
        <f aca="false">HOUR(A2364)+MINUTE(A2364)/60</f>
        <v>10</v>
      </c>
      <c r="F2364" s="33" t="n">
        <f aca="false">IF(OR(D2364&gt;5,E2364&lt;8,E2364&gt;=18,COUNTIF($K$2:$K$10,INT(A2364))&gt;0),1,0)</f>
        <v>1</v>
      </c>
      <c r="G2364" s="34" t="n">
        <f aca="false">B2364/1</f>
        <v>48.852</v>
      </c>
      <c r="H2364" s="34" t="n">
        <f aca="false">IF(F2364=1,G2364,"")</f>
        <v>48.852</v>
      </c>
    </row>
    <row r="2365" customFormat="false" ht="15" hidden="false" customHeight="false" outlineLevel="0" collapsed="false">
      <c r="A2365" s="31" t="n">
        <v>42834.4583333333</v>
      </c>
      <c r="B2365" s="32" t="n">
        <v>51.709</v>
      </c>
      <c r="D2365" s="33" t="n">
        <f aca="false">WEEKDAY(A2365,2)</f>
        <v>7</v>
      </c>
      <c r="E2365" s="33" t="n">
        <f aca="false">HOUR(A2365)+MINUTE(A2365)/60</f>
        <v>11</v>
      </c>
      <c r="F2365" s="33" t="n">
        <f aca="false">IF(OR(D2365&gt;5,E2365&lt;8,E2365&gt;=18,COUNTIF($K$2:$K$10,INT(A2365))&gt;0),1,0)</f>
        <v>1</v>
      </c>
      <c r="G2365" s="34" t="n">
        <f aca="false">B2365/1</f>
        <v>51.709</v>
      </c>
      <c r="H2365" s="34" t="n">
        <f aca="false">IF(F2365=1,G2365,"")</f>
        <v>51.709</v>
      </c>
    </row>
    <row r="2366" customFormat="false" ht="15" hidden="false" customHeight="false" outlineLevel="0" collapsed="false">
      <c r="A2366" s="31" t="n">
        <v>42834.5</v>
      </c>
      <c r="B2366" s="32" t="n">
        <v>53.437</v>
      </c>
      <c r="D2366" s="33" t="n">
        <f aca="false">WEEKDAY(A2366,2)</f>
        <v>7</v>
      </c>
      <c r="E2366" s="33" t="n">
        <f aca="false">HOUR(A2366)+MINUTE(A2366)/60</f>
        <v>12</v>
      </c>
      <c r="F2366" s="33" t="n">
        <f aca="false">IF(OR(D2366&gt;5,E2366&lt;8,E2366&gt;=18,COUNTIF($K$2:$K$10,INT(A2366))&gt;0),1,0)</f>
        <v>1</v>
      </c>
      <c r="G2366" s="34" t="n">
        <f aca="false">B2366/1</f>
        <v>53.437</v>
      </c>
      <c r="H2366" s="34" t="n">
        <f aca="false">IF(F2366=1,G2366,"")</f>
        <v>53.437</v>
      </c>
    </row>
    <row r="2367" customFormat="false" ht="15" hidden="false" customHeight="false" outlineLevel="0" collapsed="false">
      <c r="A2367" s="31" t="n">
        <v>42834.5416666667</v>
      </c>
      <c r="B2367" s="32" t="n">
        <v>120.689</v>
      </c>
      <c r="D2367" s="33" t="n">
        <f aca="false">WEEKDAY(A2367,2)</f>
        <v>7</v>
      </c>
      <c r="E2367" s="33" t="n">
        <f aca="false">HOUR(A2367)+MINUTE(A2367)/60</f>
        <v>13</v>
      </c>
      <c r="F2367" s="33" t="n">
        <f aca="false">IF(OR(D2367&gt;5,E2367&lt;8,E2367&gt;=18,COUNTIF($K$2:$K$10,INT(A2367))&gt;0),1,0)</f>
        <v>1</v>
      </c>
      <c r="G2367" s="34" t="n">
        <f aca="false">B2367/1</f>
        <v>120.689</v>
      </c>
      <c r="H2367" s="34" t="n">
        <f aca="false">IF(F2367=1,G2367,"")</f>
        <v>120.689</v>
      </c>
    </row>
    <row r="2368" customFormat="false" ht="15" hidden="false" customHeight="false" outlineLevel="0" collapsed="false">
      <c r="A2368" s="31" t="n">
        <v>42834.5833333333</v>
      </c>
      <c r="B2368" s="32" t="n">
        <v>156.099</v>
      </c>
      <c r="D2368" s="33" t="n">
        <f aca="false">WEEKDAY(A2368,2)</f>
        <v>7</v>
      </c>
      <c r="E2368" s="33" t="n">
        <f aca="false">HOUR(A2368)+MINUTE(A2368)/60</f>
        <v>14</v>
      </c>
      <c r="F2368" s="33" t="n">
        <f aca="false">IF(OR(D2368&gt;5,E2368&lt;8,E2368&gt;=18,COUNTIF($K$2:$K$10,INT(A2368))&gt;0),1,0)</f>
        <v>1</v>
      </c>
      <c r="G2368" s="34" t="n">
        <f aca="false">B2368/1</f>
        <v>156.099</v>
      </c>
      <c r="H2368" s="34" t="n">
        <f aca="false">IF(F2368=1,G2368,"")</f>
        <v>156.099</v>
      </c>
    </row>
    <row r="2369" customFormat="false" ht="15" hidden="false" customHeight="false" outlineLevel="0" collapsed="false">
      <c r="A2369" s="31" t="n">
        <v>42834.625</v>
      </c>
      <c r="B2369" s="32" t="n">
        <v>161.516</v>
      </c>
      <c r="D2369" s="33" t="n">
        <f aca="false">WEEKDAY(A2369,2)</f>
        <v>7</v>
      </c>
      <c r="E2369" s="33" t="n">
        <f aca="false">HOUR(A2369)+MINUTE(A2369)/60</f>
        <v>15</v>
      </c>
      <c r="F2369" s="33" t="n">
        <f aca="false">IF(OR(D2369&gt;5,E2369&lt;8,E2369&gt;=18,COUNTIF($K$2:$K$10,INT(A2369))&gt;0),1,0)</f>
        <v>1</v>
      </c>
      <c r="G2369" s="34" t="n">
        <f aca="false">B2369/1</f>
        <v>161.516</v>
      </c>
      <c r="H2369" s="34" t="n">
        <f aca="false">IF(F2369=1,G2369,"")</f>
        <v>161.516</v>
      </c>
    </row>
    <row r="2370" customFormat="false" ht="15" hidden="false" customHeight="false" outlineLevel="0" collapsed="false">
      <c r="A2370" s="31" t="n">
        <v>42834.6666666667</v>
      </c>
      <c r="B2370" s="32" t="n">
        <v>160.013</v>
      </c>
      <c r="D2370" s="33" t="n">
        <f aca="false">WEEKDAY(A2370,2)</f>
        <v>7</v>
      </c>
      <c r="E2370" s="33" t="n">
        <f aca="false">HOUR(A2370)+MINUTE(A2370)/60</f>
        <v>16</v>
      </c>
      <c r="F2370" s="33" t="n">
        <f aca="false">IF(OR(D2370&gt;5,E2370&lt;8,E2370&gt;=18,COUNTIF($K$2:$K$10,INT(A2370))&gt;0),1,0)</f>
        <v>1</v>
      </c>
      <c r="G2370" s="34" t="n">
        <f aca="false">B2370/1</f>
        <v>160.013</v>
      </c>
      <c r="H2370" s="34" t="n">
        <f aca="false">IF(F2370=1,G2370,"")</f>
        <v>160.013</v>
      </c>
    </row>
    <row r="2371" customFormat="false" ht="15" hidden="false" customHeight="false" outlineLevel="0" collapsed="false">
      <c r="A2371" s="31" t="n">
        <v>42834.7083333333</v>
      </c>
      <c r="B2371" s="32" t="n">
        <v>158.655</v>
      </c>
      <c r="D2371" s="33" t="n">
        <f aca="false">WEEKDAY(A2371,2)</f>
        <v>7</v>
      </c>
      <c r="E2371" s="33" t="n">
        <f aca="false">HOUR(A2371)+MINUTE(A2371)/60</f>
        <v>17</v>
      </c>
      <c r="F2371" s="33" t="n">
        <f aca="false">IF(OR(D2371&gt;5,E2371&lt;8,E2371&gt;=18,COUNTIF($K$2:$K$10,INT(A2371))&gt;0),1,0)</f>
        <v>1</v>
      </c>
      <c r="G2371" s="34" t="n">
        <f aca="false">B2371/1</f>
        <v>158.655</v>
      </c>
      <c r="H2371" s="34" t="n">
        <f aca="false">IF(F2371=1,G2371,"")</f>
        <v>158.655</v>
      </c>
    </row>
    <row r="2372" customFormat="false" ht="15" hidden="false" customHeight="false" outlineLevel="0" collapsed="false">
      <c r="A2372" s="31" t="n">
        <v>42834.75</v>
      </c>
      <c r="B2372" s="32" t="n">
        <v>62.397</v>
      </c>
      <c r="D2372" s="33" t="n">
        <f aca="false">WEEKDAY(A2372,2)</f>
        <v>7</v>
      </c>
      <c r="E2372" s="33" t="n">
        <f aca="false">HOUR(A2372)+MINUTE(A2372)/60</f>
        <v>18</v>
      </c>
      <c r="F2372" s="33" t="n">
        <f aca="false">IF(OR(D2372&gt;5,E2372&lt;8,E2372&gt;=18,COUNTIF($K$2:$K$10,INT(A2372))&gt;0),1,0)</f>
        <v>1</v>
      </c>
      <c r="G2372" s="34" t="n">
        <f aca="false">B2372/1</f>
        <v>62.397</v>
      </c>
      <c r="H2372" s="34" t="n">
        <f aca="false">IF(F2372=1,G2372,"")</f>
        <v>62.397</v>
      </c>
    </row>
    <row r="2373" customFormat="false" ht="15" hidden="false" customHeight="false" outlineLevel="0" collapsed="false">
      <c r="A2373" s="31" t="n">
        <v>42834.7916666667</v>
      </c>
      <c r="B2373" s="32" t="n">
        <v>51.528</v>
      </c>
      <c r="D2373" s="33" t="n">
        <f aca="false">WEEKDAY(A2373,2)</f>
        <v>7</v>
      </c>
      <c r="E2373" s="33" t="n">
        <f aca="false">HOUR(A2373)+MINUTE(A2373)/60</f>
        <v>19</v>
      </c>
      <c r="F2373" s="33" t="n">
        <f aca="false">IF(OR(D2373&gt;5,E2373&lt;8,E2373&gt;=18,COUNTIF($K$2:$K$10,INT(A2373))&gt;0),1,0)</f>
        <v>1</v>
      </c>
      <c r="G2373" s="34" t="n">
        <f aca="false">B2373/1</f>
        <v>51.528</v>
      </c>
      <c r="H2373" s="34" t="n">
        <f aca="false">IF(F2373=1,G2373,"")</f>
        <v>51.528</v>
      </c>
    </row>
    <row r="2374" customFormat="false" ht="15" hidden="false" customHeight="false" outlineLevel="0" collapsed="false">
      <c r="A2374" s="31" t="n">
        <v>42834.8333333333</v>
      </c>
      <c r="B2374" s="32" t="n">
        <v>54.762</v>
      </c>
      <c r="D2374" s="33" t="n">
        <f aca="false">WEEKDAY(A2374,2)</f>
        <v>7</v>
      </c>
      <c r="E2374" s="33" t="n">
        <f aca="false">HOUR(A2374)+MINUTE(A2374)/60</f>
        <v>20</v>
      </c>
      <c r="F2374" s="33" t="n">
        <f aca="false">IF(OR(D2374&gt;5,E2374&lt;8,E2374&gt;=18,COUNTIF($K$2:$K$10,INT(A2374))&gt;0),1,0)</f>
        <v>1</v>
      </c>
      <c r="G2374" s="34" t="n">
        <f aca="false">B2374/1</f>
        <v>54.762</v>
      </c>
      <c r="H2374" s="34" t="n">
        <f aca="false">IF(F2374=1,G2374,"")</f>
        <v>54.762</v>
      </c>
    </row>
    <row r="2375" customFormat="false" ht="15" hidden="false" customHeight="false" outlineLevel="0" collapsed="false">
      <c r="A2375" s="31" t="n">
        <v>42834.875</v>
      </c>
      <c r="B2375" s="32" t="n">
        <v>57.894</v>
      </c>
      <c r="D2375" s="33" t="n">
        <f aca="false">WEEKDAY(A2375,2)</f>
        <v>7</v>
      </c>
      <c r="E2375" s="33" t="n">
        <f aca="false">HOUR(A2375)+MINUTE(A2375)/60</f>
        <v>21</v>
      </c>
      <c r="F2375" s="33" t="n">
        <f aca="false">IF(OR(D2375&gt;5,E2375&lt;8,E2375&gt;=18,COUNTIF($K$2:$K$10,INT(A2375))&gt;0),1,0)</f>
        <v>1</v>
      </c>
      <c r="G2375" s="34" t="n">
        <f aca="false">B2375/1</f>
        <v>57.894</v>
      </c>
      <c r="H2375" s="34" t="n">
        <f aca="false">IF(F2375=1,G2375,"")</f>
        <v>57.894</v>
      </c>
    </row>
    <row r="2376" customFormat="false" ht="15" hidden="false" customHeight="false" outlineLevel="0" collapsed="false">
      <c r="A2376" s="31" t="n">
        <v>42834.9166666667</v>
      </c>
      <c r="B2376" s="32" t="n">
        <v>57.542</v>
      </c>
      <c r="D2376" s="33" t="n">
        <f aca="false">WEEKDAY(A2376,2)</f>
        <v>7</v>
      </c>
      <c r="E2376" s="33" t="n">
        <f aca="false">HOUR(A2376)+MINUTE(A2376)/60</f>
        <v>22</v>
      </c>
      <c r="F2376" s="33" t="n">
        <f aca="false">IF(OR(D2376&gt;5,E2376&lt;8,E2376&gt;=18,COUNTIF($K$2:$K$10,INT(A2376))&gt;0),1,0)</f>
        <v>1</v>
      </c>
      <c r="G2376" s="34" t="n">
        <f aca="false">B2376/1</f>
        <v>57.542</v>
      </c>
      <c r="H2376" s="34" t="n">
        <f aca="false">IF(F2376=1,G2376,"")</f>
        <v>57.542</v>
      </c>
    </row>
    <row r="2377" customFormat="false" ht="15" hidden="false" customHeight="false" outlineLevel="0" collapsed="false">
      <c r="A2377" s="31" t="n">
        <v>42834.9583333333</v>
      </c>
      <c r="B2377" s="32" t="n">
        <v>59.563</v>
      </c>
      <c r="D2377" s="33" t="n">
        <f aca="false">WEEKDAY(A2377,2)</f>
        <v>7</v>
      </c>
      <c r="E2377" s="33" t="n">
        <f aca="false">HOUR(A2377)+MINUTE(A2377)/60</f>
        <v>23</v>
      </c>
      <c r="F2377" s="33" t="n">
        <f aca="false">IF(OR(D2377&gt;5,E2377&lt;8,E2377&gt;=18,COUNTIF($K$2:$K$10,INT(A2377))&gt;0),1,0)</f>
        <v>1</v>
      </c>
      <c r="G2377" s="34" t="n">
        <f aca="false">B2377/1</f>
        <v>59.563</v>
      </c>
      <c r="H2377" s="34" t="n">
        <f aca="false">IF(F2377=1,G2377,"")</f>
        <v>59.563</v>
      </c>
    </row>
    <row r="2378" customFormat="false" ht="15" hidden="false" customHeight="false" outlineLevel="0" collapsed="false">
      <c r="A2378" s="31" t="n">
        <v>42835</v>
      </c>
      <c r="B2378" s="32" t="n">
        <v>59.418</v>
      </c>
      <c r="D2378" s="33" t="n">
        <f aca="false">WEEKDAY(A2378,2)</f>
        <v>1</v>
      </c>
      <c r="E2378" s="33" t="n">
        <f aca="false">HOUR(A2378)+MINUTE(A2378)/60</f>
        <v>0</v>
      </c>
      <c r="F2378" s="33" t="n">
        <f aca="false">IF(OR(D2378&gt;5,E2378&lt;8,E2378&gt;=18,COUNTIF($K$2:$K$10,INT(A2378))&gt;0),1,0)</f>
        <v>1</v>
      </c>
      <c r="G2378" s="34" t="n">
        <f aca="false">B2378/1</f>
        <v>59.418</v>
      </c>
      <c r="H2378" s="34" t="n">
        <f aca="false">IF(F2378=1,G2378,"")</f>
        <v>59.418</v>
      </c>
    </row>
    <row r="2379" customFormat="false" ht="15" hidden="false" customHeight="false" outlineLevel="0" collapsed="false">
      <c r="A2379" s="31" t="n">
        <v>42835.0416666667</v>
      </c>
      <c r="B2379" s="32" t="n">
        <v>57.09</v>
      </c>
      <c r="D2379" s="33" t="n">
        <f aca="false">WEEKDAY(A2379,2)</f>
        <v>1</v>
      </c>
      <c r="E2379" s="33" t="n">
        <f aca="false">HOUR(A2379)+MINUTE(A2379)/60</f>
        <v>1</v>
      </c>
      <c r="F2379" s="33" t="n">
        <f aca="false">IF(OR(D2379&gt;5,E2379&lt;8,E2379&gt;=18,COUNTIF($K$2:$K$10,INT(A2379))&gt;0),1,0)</f>
        <v>1</v>
      </c>
      <c r="G2379" s="34" t="n">
        <f aca="false">B2379/1</f>
        <v>57.09</v>
      </c>
      <c r="H2379" s="34" t="n">
        <f aca="false">IF(F2379=1,G2379,"")</f>
        <v>57.09</v>
      </c>
    </row>
    <row r="2380" customFormat="false" ht="15" hidden="false" customHeight="false" outlineLevel="0" collapsed="false">
      <c r="A2380" s="31" t="n">
        <v>42835.0833333333</v>
      </c>
      <c r="B2380" s="32" t="n">
        <v>59.753</v>
      </c>
      <c r="D2380" s="33" t="n">
        <f aca="false">WEEKDAY(A2380,2)</f>
        <v>1</v>
      </c>
      <c r="E2380" s="33" t="n">
        <f aca="false">HOUR(A2380)+MINUTE(A2380)/60</f>
        <v>2</v>
      </c>
      <c r="F2380" s="33" t="n">
        <f aca="false">IF(OR(D2380&gt;5,E2380&lt;8,E2380&gt;=18,COUNTIF($K$2:$K$10,INT(A2380))&gt;0),1,0)</f>
        <v>1</v>
      </c>
      <c r="G2380" s="34" t="n">
        <f aca="false">B2380/1</f>
        <v>59.753</v>
      </c>
      <c r="H2380" s="34" t="n">
        <f aca="false">IF(F2380=1,G2380,"")</f>
        <v>59.753</v>
      </c>
    </row>
    <row r="2381" customFormat="false" ht="15" hidden="false" customHeight="false" outlineLevel="0" collapsed="false">
      <c r="A2381" s="31" t="n">
        <v>42835.125</v>
      </c>
      <c r="B2381" s="32" t="n">
        <v>58.218</v>
      </c>
      <c r="D2381" s="33" t="n">
        <f aca="false">WEEKDAY(A2381,2)</f>
        <v>1</v>
      </c>
      <c r="E2381" s="33" t="n">
        <f aca="false">HOUR(A2381)+MINUTE(A2381)/60</f>
        <v>3</v>
      </c>
      <c r="F2381" s="33" t="n">
        <f aca="false">IF(OR(D2381&gt;5,E2381&lt;8,E2381&gt;=18,COUNTIF($K$2:$K$10,INT(A2381))&gt;0),1,0)</f>
        <v>1</v>
      </c>
      <c r="G2381" s="34" t="n">
        <f aca="false">B2381/1</f>
        <v>58.218</v>
      </c>
      <c r="H2381" s="34" t="n">
        <f aca="false">IF(F2381=1,G2381,"")</f>
        <v>58.218</v>
      </c>
    </row>
    <row r="2382" customFormat="false" ht="15" hidden="false" customHeight="false" outlineLevel="0" collapsed="false">
      <c r="A2382" s="31" t="n">
        <v>42835.1666666667</v>
      </c>
      <c r="B2382" s="32" t="n">
        <v>57.593</v>
      </c>
      <c r="D2382" s="33" t="n">
        <f aca="false">WEEKDAY(A2382,2)</f>
        <v>1</v>
      </c>
      <c r="E2382" s="33" t="n">
        <f aca="false">HOUR(A2382)+MINUTE(A2382)/60</f>
        <v>4</v>
      </c>
      <c r="F2382" s="33" t="n">
        <f aca="false">IF(OR(D2382&gt;5,E2382&lt;8,E2382&gt;=18,COUNTIF($K$2:$K$10,INT(A2382))&gt;0),1,0)</f>
        <v>1</v>
      </c>
      <c r="G2382" s="34" t="n">
        <f aca="false">B2382/1</f>
        <v>57.593</v>
      </c>
      <c r="H2382" s="34" t="n">
        <f aca="false">IF(F2382=1,G2382,"")</f>
        <v>57.593</v>
      </c>
    </row>
    <row r="2383" customFormat="false" ht="15" hidden="false" customHeight="false" outlineLevel="0" collapsed="false">
      <c r="A2383" s="31" t="n">
        <v>42835.2083333333</v>
      </c>
      <c r="B2383" s="32" t="n">
        <v>60.12</v>
      </c>
      <c r="D2383" s="33" t="n">
        <f aca="false">WEEKDAY(A2383,2)</f>
        <v>1</v>
      </c>
      <c r="E2383" s="33" t="n">
        <f aca="false">HOUR(A2383)+MINUTE(A2383)/60</f>
        <v>5</v>
      </c>
      <c r="F2383" s="33" t="n">
        <f aca="false">IF(OR(D2383&gt;5,E2383&lt;8,E2383&gt;=18,COUNTIF($K$2:$K$10,INT(A2383))&gt;0),1,0)</f>
        <v>1</v>
      </c>
      <c r="G2383" s="34" t="n">
        <f aca="false">B2383/1</f>
        <v>60.12</v>
      </c>
      <c r="H2383" s="34" t="n">
        <f aca="false">IF(F2383=1,G2383,"")</f>
        <v>60.12</v>
      </c>
    </row>
    <row r="2384" customFormat="false" ht="15" hidden="false" customHeight="false" outlineLevel="0" collapsed="false">
      <c r="A2384" s="31" t="n">
        <v>42835.25</v>
      </c>
      <c r="B2384" s="32" t="n">
        <v>59.422</v>
      </c>
      <c r="D2384" s="33" t="n">
        <f aca="false">WEEKDAY(A2384,2)</f>
        <v>1</v>
      </c>
      <c r="E2384" s="33" t="n">
        <f aca="false">HOUR(A2384)+MINUTE(A2384)/60</f>
        <v>6</v>
      </c>
      <c r="F2384" s="33" t="n">
        <f aca="false">IF(OR(D2384&gt;5,E2384&lt;8,E2384&gt;=18,COUNTIF($K$2:$K$10,INT(A2384))&gt;0),1,0)</f>
        <v>1</v>
      </c>
      <c r="G2384" s="34" t="n">
        <f aca="false">B2384/1</f>
        <v>59.422</v>
      </c>
      <c r="H2384" s="34" t="n">
        <f aca="false">IF(F2384=1,G2384,"")</f>
        <v>59.422</v>
      </c>
    </row>
    <row r="2385" customFormat="false" ht="15" hidden="false" customHeight="false" outlineLevel="0" collapsed="false">
      <c r="A2385" s="31" t="n">
        <v>42835.2916666667</v>
      </c>
      <c r="B2385" s="32" t="n">
        <v>88.596</v>
      </c>
      <c r="D2385" s="33" t="n">
        <f aca="false">WEEKDAY(A2385,2)</f>
        <v>1</v>
      </c>
      <c r="E2385" s="33" t="n">
        <f aca="false">HOUR(A2385)+MINUTE(A2385)/60</f>
        <v>7</v>
      </c>
      <c r="F2385" s="33" t="n">
        <f aca="false">IF(OR(D2385&gt;5,E2385&lt;8,E2385&gt;=18,COUNTIF($K$2:$K$10,INT(A2385))&gt;0),1,0)</f>
        <v>1</v>
      </c>
      <c r="G2385" s="34" t="n">
        <f aca="false">B2385/1</f>
        <v>88.596</v>
      </c>
      <c r="H2385" s="34" t="n">
        <f aca="false">IF(F2385=1,G2385,"")</f>
        <v>88.596</v>
      </c>
    </row>
    <row r="2386" customFormat="false" ht="15" hidden="false" customHeight="false" outlineLevel="0" collapsed="false">
      <c r="A2386" s="31" t="n">
        <v>42835.3333333333</v>
      </c>
      <c r="B2386" s="32" t="n">
        <v>177.358</v>
      </c>
      <c r="D2386" s="33" t="n">
        <f aca="false">WEEKDAY(A2386,2)</f>
        <v>1</v>
      </c>
      <c r="E2386" s="33" t="n">
        <f aca="false">HOUR(A2386)+MINUTE(A2386)/60</f>
        <v>8</v>
      </c>
      <c r="F2386" s="33" t="n">
        <f aca="false">IF(OR(D2386&gt;5,E2386&lt;8,E2386&gt;=18,COUNTIF($K$2:$K$10,INT(A2386))&gt;0),1,0)</f>
        <v>0</v>
      </c>
      <c r="G2386" s="34" t="n">
        <f aca="false">B2386/1</f>
        <v>177.358</v>
      </c>
      <c r="H2386" s="34" t="str">
        <f aca="false">IF(F2386=1,G2386,"")</f>
        <v/>
      </c>
    </row>
    <row r="2387" customFormat="false" ht="15" hidden="false" customHeight="false" outlineLevel="0" collapsed="false">
      <c r="A2387" s="31" t="n">
        <v>42835.375</v>
      </c>
      <c r="B2387" s="32" t="n">
        <v>213.112</v>
      </c>
      <c r="D2387" s="33" t="n">
        <f aca="false">WEEKDAY(A2387,2)</f>
        <v>1</v>
      </c>
      <c r="E2387" s="33" t="n">
        <f aca="false">HOUR(A2387)+MINUTE(A2387)/60</f>
        <v>9</v>
      </c>
      <c r="F2387" s="33" t="n">
        <f aca="false">IF(OR(D2387&gt;5,E2387&lt;8,E2387&gt;=18,COUNTIF($K$2:$K$10,INT(A2387))&gt;0),1,0)</f>
        <v>0</v>
      </c>
      <c r="G2387" s="34" t="n">
        <f aca="false">B2387/1</f>
        <v>213.112</v>
      </c>
      <c r="H2387" s="34" t="str">
        <f aca="false">IF(F2387=1,G2387,"")</f>
        <v/>
      </c>
    </row>
    <row r="2388" customFormat="false" ht="15" hidden="false" customHeight="false" outlineLevel="0" collapsed="false">
      <c r="A2388" s="31" t="n">
        <v>42835.4166666667</v>
      </c>
      <c r="B2388" s="32" t="n">
        <v>230.231</v>
      </c>
      <c r="D2388" s="33" t="n">
        <f aca="false">WEEKDAY(A2388,2)</f>
        <v>1</v>
      </c>
      <c r="E2388" s="33" t="n">
        <f aca="false">HOUR(A2388)+MINUTE(A2388)/60</f>
        <v>10</v>
      </c>
      <c r="F2388" s="33" t="n">
        <f aca="false">IF(OR(D2388&gt;5,E2388&lt;8,E2388&gt;=18,COUNTIF($K$2:$K$10,INT(A2388))&gt;0),1,0)</f>
        <v>0</v>
      </c>
      <c r="G2388" s="34" t="n">
        <f aca="false">B2388/1</f>
        <v>230.231</v>
      </c>
      <c r="H2388" s="34" t="str">
        <f aca="false">IF(F2388=1,G2388,"")</f>
        <v/>
      </c>
    </row>
    <row r="2389" customFormat="false" ht="15" hidden="false" customHeight="false" outlineLevel="0" collapsed="false">
      <c r="A2389" s="31" t="n">
        <v>42835.4583333333</v>
      </c>
      <c r="B2389" s="32" t="n">
        <v>244.053</v>
      </c>
      <c r="D2389" s="33" t="n">
        <f aca="false">WEEKDAY(A2389,2)</f>
        <v>1</v>
      </c>
      <c r="E2389" s="33" t="n">
        <f aca="false">HOUR(A2389)+MINUTE(A2389)/60</f>
        <v>11</v>
      </c>
      <c r="F2389" s="33" t="n">
        <f aca="false">IF(OR(D2389&gt;5,E2389&lt;8,E2389&gt;=18,COUNTIF($K$2:$K$10,INT(A2389))&gt;0),1,0)</f>
        <v>0</v>
      </c>
      <c r="G2389" s="34" t="n">
        <f aca="false">B2389/1</f>
        <v>244.053</v>
      </c>
      <c r="H2389" s="34" t="str">
        <f aca="false">IF(F2389=1,G2389,"")</f>
        <v/>
      </c>
    </row>
    <row r="2390" customFormat="false" ht="15" hidden="false" customHeight="false" outlineLevel="0" collapsed="false">
      <c r="A2390" s="31" t="n">
        <v>42835.5</v>
      </c>
      <c r="B2390" s="32" t="n">
        <v>255.913</v>
      </c>
      <c r="D2390" s="33" t="n">
        <f aca="false">WEEKDAY(A2390,2)</f>
        <v>1</v>
      </c>
      <c r="E2390" s="33" t="n">
        <f aca="false">HOUR(A2390)+MINUTE(A2390)/60</f>
        <v>12</v>
      </c>
      <c r="F2390" s="33" t="n">
        <f aca="false">IF(OR(D2390&gt;5,E2390&lt;8,E2390&gt;=18,COUNTIF($K$2:$K$10,INT(A2390))&gt;0),1,0)</f>
        <v>0</v>
      </c>
      <c r="G2390" s="34" t="n">
        <f aca="false">B2390/1</f>
        <v>255.913</v>
      </c>
      <c r="H2390" s="34" t="str">
        <f aca="false">IF(F2390=1,G2390,"")</f>
        <v/>
      </c>
    </row>
    <row r="2391" customFormat="false" ht="15" hidden="false" customHeight="false" outlineLevel="0" collapsed="false">
      <c r="A2391" s="31" t="n">
        <v>42835.5416666667</v>
      </c>
      <c r="B2391" s="32" t="n">
        <v>249.122</v>
      </c>
      <c r="D2391" s="33" t="n">
        <f aca="false">WEEKDAY(A2391,2)</f>
        <v>1</v>
      </c>
      <c r="E2391" s="33" t="n">
        <f aca="false">HOUR(A2391)+MINUTE(A2391)/60</f>
        <v>13</v>
      </c>
      <c r="F2391" s="33" t="n">
        <f aca="false">IF(OR(D2391&gt;5,E2391&lt;8,E2391&gt;=18,COUNTIF($K$2:$K$10,INT(A2391))&gt;0),1,0)</f>
        <v>0</v>
      </c>
      <c r="G2391" s="34" t="n">
        <f aca="false">B2391/1</f>
        <v>249.122</v>
      </c>
      <c r="H2391" s="34" t="str">
        <f aca="false">IF(F2391=1,G2391,"")</f>
        <v/>
      </c>
    </row>
    <row r="2392" customFormat="false" ht="15" hidden="false" customHeight="false" outlineLevel="0" collapsed="false">
      <c r="A2392" s="31" t="n">
        <v>42835.5833333333</v>
      </c>
      <c r="B2392" s="32" t="n">
        <v>249.155</v>
      </c>
      <c r="D2392" s="33" t="n">
        <f aca="false">WEEKDAY(A2392,2)</f>
        <v>1</v>
      </c>
      <c r="E2392" s="33" t="n">
        <f aca="false">HOUR(A2392)+MINUTE(A2392)/60</f>
        <v>14</v>
      </c>
      <c r="F2392" s="33" t="n">
        <f aca="false">IF(OR(D2392&gt;5,E2392&lt;8,E2392&gt;=18,COUNTIF($K$2:$K$10,INT(A2392))&gt;0),1,0)</f>
        <v>0</v>
      </c>
      <c r="G2392" s="34" t="n">
        <f aca="false">B2392/1</f>
        <v>249.155</v>
      </c>
      <c r="H2392" s="34" t="str">
        <f aca="false">IF(F2392=1,G2392,"")</f>
        <v/>
      </c>
    </row>
    <row r="2393" customFormat="false" ht="15" hidden="false" customHeight="false" outlineLevel="0" collapsed="false">
      <c r="A2393" s="31" t="n">
        <v>42835.625</v>
      </c>
      <c r="B2393" s="32" t="n">
        <v>255.479</v>
      </c>
      <c r="D2393" s="33" t="n">
        <f aca="false">WEEKDAY(A2393,2)</f>
        <v>1</v>
      </c>
      <c r="E2393" s="33" t="n">
        <f aca="false">HOUR(A2393)+MINUTE(A2393)/60</f>
        <v>15</v>
      </c>
      <c r="F2393" s="33" t="n">
        <f aca="false">IF(OR(D2393&gt;5,E2393&lt;8,E2393&gt;=18,COUNTIF($K$2:$K$10,INT(A2393))&gt;0),1,0)</f>
        <v>0</v>
      </c>
      <c r="G2393" s="34" t="n">
        <f aca="false">B2393/1</f>
        <v>255.479</v>
      </c>
      <c r="H2393" s="34" t="str">
        <f aca="false">IF(F2393=1,G2393,"")</f>
        <v/>
      </c>
    </row>
    <row r="2394" customFormat="false" ht="15" hidden="false" customHeight="false" outlineLevel="0" collapsed="false">
      <c r="A2394" s="31" t="n">
        <v>42835.6666666667</v>
      </c>
      <c r="B2394" s="32" t="n">
        <v>259.908</v>
      </c>
      <c r="D2394" s="33" t="n">
        <f aca="false">WEEKDAY(A2394,2)</f>
        <v>1</v>
      </c>
      <c r="E2394" s="33" t="n">
        <f aca="false">HOUR(A2394)+MINUTE(A2394)/60</f>
        <v>16</v>
      </c>
      <c r="F2394" s="33" t="n">
        <f aca="false">IF(OR(D2394&gt;5,E2394&lt;8,E2394&gt;=18,COUNTIF($K$2:$K$10,INT(A2394))&gt;0),1,0)</f>
        <v>0</v>
      </c>
      <c r="G2394" s="34" t="n">
        <f aca="false">B2394/1</f>
        <v>259.908</v>
      </c>
      <c r="H2394" s="34" t="str">
        <f aca="false">IF(F2394=1,G2394,"")</f>
        <v/>
      </c>
    </row>
    <row r="2395" customFormat="false" ht="15" hidden="false" customHeight="false" outlineLevel="0" collapsed="false">
      <c r="A2395" s="31" t="n">
        <v>42835.7083333333</v>
      </c>
      <c r="B2395" s="32" t="n">
        <v>249.309</v>
      </c>
      <c r="D2395" s="33" t="n">
        <f aca="false">WEEKDAY(A2395,2)</f>
        <v>1</v>
      </c>
      <c r="E2395" s="33" t="n">
        <f aca="false">HOUR(A2395)+MINUTE(A2395)/60</f>
        <v>17</v>
      </c>
      <c r="F2395" s="33" t="n">
        <f aca="false">IF(OR(D2395&gt;5,E2395&lt;8,E2395&gt;=18,COUNTIF($K$2:$K$10,INT(A2395))&gt;0),1,0)</f>
        <v>0</v>
      </c>
      <c r="G2395" s="34" t="n">
        <f aca="false">B2395/1</f>
        <v>249.309</v>
      </c>
      <c r="H2395" s="34" t="str">
        <f aca="false">IF(F2395=1,G2395,"")</f>
        <v/>
      </c>
    </row>
    <row r="2396" customFormat="false" ht="15" hidden="false" customHeight="false" outlineLevel="0" collapsed="false">
      <c r="A2396" s="31" t="n">
        <v>42835.75</v>
      </c>
      <c r="B2396" s="32" t="n">
        <v>222.863</v>
      </c>
      <c r="D2396" s="33" t="n">
        <f aca="false">WEEKDAY(A2396,2)</f>
        <v>1</v>
      </c>
      <c r="E2396" s="33" t="n">
        <f aca="false">HOUR(A2396)+MINUTE(A2396)/60</f>
        <v>18</v>
      </c>
      <c r="F2396" s="33" t="n">
        <f aca="false">IF(OR(D2396&gt;5,E2396&lt;8,E2396&gt;=18,COUNTIF($K$2:$K$10,INT(A2396))&gt;0),1,0)</f>
        <v>1</v>
      </c>
      <c r="G2396" s="34" t="n">
        <f aca="false">B2396/1</f>
        <v>222.863</v>
      </c>
      <c r="H2396" s="34" t="n">
        <f aca="false">IF(F2396=1,G2396,"")</f>
        <v>222.863</v>
      </c>
    </row>
    <row r="2397" customFormat="false" ht="15" hidden="false" customHeight="false" outlineLevel="0" collapsed="false">
      <c r="A2397" s="31" t="n">
        <v>42835.7916666667</v>
      </c>
      <c r="B2397" s="32" t="n">
        <v>202.998</v>
      </c>
      <c r="D2397" s="33" t="n">
        <f aca="false">WEEKDAY(A2397,2)</f>
        <v>1</v>
      </c>
      <c r="E2397" s="33" t="n">
        <f aca="false">HOUR(A2397)+MINUTE(A2397)/60</f>
        <v>19</v>
      </c>
      <c r="F2397" s="33" t="n">
        <f aca="false">IF(OR(D2397&gt;5,E2397&lt;8,E2397&gt;=18,COUNTIF($K$2:$K$10,INT(A2397))&gt;0),1,0)</f>
        <v>1</v>
      </c>
      <c r="G2397" s="34" t="n">
        <f aca="false">B2397/1</f>
        <v>202.998</v>
      </c>
      <c r="H2397" s="34" t="n">
        <f aca="false">IF(F2397=1,G2397,"")</f>
        <v>202.998</v>
      </c>
    </row>
    <row r="2398" customFormat="false" ht="15" hidden="false" customHeight="false" outlineLevel="0" collapsed="false">
      <c r="A2398" s="31" t="n">
        <v>42835.8333333333</v>
      </c>
      <c r="B2398" s="32" t="n">
        <v>199.253</v>
      </c>
      <c r="D2398" s="33" t="n">
        <f aca="false">WEEKDAY(A2398,2)</f>
        <v>1</v>
      </c>
      <c r="E2398" s="33" t="n">
        <f aca="false">HOUR(A2398)+MINUTE(A2398)/60</f>
        <v>20</v>
      </c>
      <c r="F2398" s="33" t="n">
        <f aca="false">IF(OR(D2398&gt;5,E2398&lt;8,E2398&gt;=18,COUNTIF($K$2:$K$10,INT(A2398))&gt;0),1,0)</f>
        <v>1</v>
      </c>
      <c r="G2398" s="34" t="n">
        <f aca="false">B2398/1</f>
        <v>199.253</v>
      </c>
      <c r="H2398" s="34" t="n">
        <f aca="false">IF(F2398=1,G2398,"")</f>
        <v>199.253</v>
      </c>
    </row>
    <row r="2399" customFormat="false" ht="15" hidden="false" customHeight="false" outlineLevel="0" collapsed="false">
      <c r="A2399" s="31" t="n">
        <v>42835.875</v>
      </c>
      <c r="B2399" s="32" t="n">
        <v>190.849</v>
      </c>
      <c r="D2399" s="33" t="n">
        <f aca="false">WEEKDAY(A2399,2)</f>
        <v>1</v>
      </c>
      <c r="E2399" s="33" t="n">
        <f aca="false">HOUR(A2399)+MINUTE(A2399)/60</f>
        <v>21</v>
      </c>
      <c r="F2399" s="33" t="n">
        <f aca="false">IF(OR(D2399&gt;5,E2399&lt;8,E2399&gt;=18,COUNTIF($K$2:$K$10,INT(A2399))&gt;0),1,0)</f>
        <v>1</v>
      </c>
      <c r="G2399" s="34" t="n">
        <f aca="false">B2399/1</f>
        <v>190.849</v>
      </c>
      <c r="H2399" s="34" t="n">
        <f aca="false">IF(F2399=1,G2399,"")</f>
        <v>190.849</v>
      </c>
    </row>
    <row r="2400" customFormat="false" ht="15" hidden="false" customHeight="false" outlineLevel="0" collapsed="false">
      <c r="A2400" s="31" t="n">
        <v>42835.9166666667</v>
      </c>
      <c r="B2400" s="32" t="n">
        <v>136.901</v>
      </c>
      <c r="D2400" s="33" t="n">
        <f aca="false">WEEKDAY(A2400,2)</f>
        <v>1</v>
      </c>
      <c r="E2400" s="33" t="n">
        <f aca="false">HOUR(A2400)+MINUTE(A2400)/60</f>
        <v>22</v>
      </c>
      <c r="F2400" s="33" t="n">
        <f aca="false">IF(OR(D2400&gt;5,E2400&lt;8,E2400&gt;=18,COUNTIF($K$2:$K$10,INT(A2400))&gt;0),1,0)</f>
        <v>1</v>
      </c>
      <c r="G2400" s="34" t="n">
        <f aca="false">B2400/1</f>
        <v>136.901</v>
      </c>
      <c r="H2400" s="34" t="n">
        <f aca="false">IF(F2400=1,G2400,"")</f>
        <v>136.901</v>
      </c>
    </row>
    <row r="2401" customFormat="false" ht="15" hidden="false" customHeight="false" outlineLevel="0" collapsed="false">
      <c r="A2401" s="31" t="n">
        <v>42835.9583333333</v>
      </c>
      <c r="B2401" s="32" t="n">
        <v>72.245</v>
      </c>
      <c r="D2401" s="33" t="n">
        <f aca="false">WEEKDAY(A2401,2)</f>
        <v>1</v>
      </c>
      <c r="E2401" s="33" t="n">
        <f aca="false">HOUR(A2401)+MINUTE(A2401)/60</f>
        <v>23</v>
      </c>
      <c r="F2401" s="33" t="n">
        <f aca="false">IF(OR(D2401&gt;5,E2401&lt;8,E2401&gt;=18,COUNTIF($K$2:$K$10,INT(A2401))&gt;0),1,0)</f>
        <v>1</v>
      </c>
      <c r="G2401" s="34" t="n">
        <f aca="false">B2401/1</f>
        <v>72.245</v>
      </c>
      <c r="H2401" s="34" t="n">
        <f aca="false">IF(F2401=1,G2401,"")</f>
        <v>72.245</v>
      </c>
    </row>
    <row r="2402" customFormat="false" ht="15" hidden="false" customHeight="false" outlineLevel="0" collapsed="false">
      <c r="A2402" s="31" t="n">
        <v>42836</v>
      </c>
      <c r="B2402" s="32" t="n">
        <v>67.019</v>
      </c>
      <c r="D2402" s="33" t="n">
        <f aca="false">WEEKDAY(A2402,2)</f>
        <v>2</v>
      </c>
      <c r="E2402" s="33" t="n">
        <f aca="false">HOUR(A2402)+MINUTE(A2402)/60</f>
        <v>0</v>
      </c>
      <c r="F2402" s="33" t="n">
        <f aca="false">IF(OR(D2402&gt;5,E2402&lt;8,E2402&gt;=18,COUNTIF($K$2:$K$10,INT(A2402))&gt;0),1,0)</f>
        <v>1</v>
      </c>
      <c r="G2402" s="34" t="n">
        <f aca="false">B2402/1</f>
        <v>67.019</v>
      </c>
      <c r="H2402" s="34" t="n">
        <f aca="false">IF(F2402=1,G2402,"")</f>
        <v>67.019</v>
      </c>
    </row>
    <row r="2403" customFormat="false" ht="15" hidden="false" customHeight="false" outlineLevel="0" collapsed="false">
      <c r="A2403" s="31" t="n">
        <v>42836.0416666667</v>
      </c>
      <c r="B2403" s="32" t="n">
        <v>62.297</v>
      </c>
      <c r="D2403" s="33" t="n">
        <f aca="false">WEEKDAY(A2403,2)</f>
        <v>2</v>
      </c>
      <c r="E2403" s="33" t="n">
        <f aca="false">HOUR(A2403)+MINUTE(A2403)/60</f>
        <v>1</v>
      </c>
      <c r="F2403" s="33" t="n">
        <f aca="false">IF(OR(D2403&gt;5,E2403&lt;8,E2403&gt;=18,COUNTIF($K$2:$K$10,INT(A2403))&gt;0),1,0)</f>
        <v>1</v>
      </c>
      <c r="G2403" s="34" t="n">
        <f aca="false">B2403/1</f>
        <v>62.297</v>
      </c>
      <c r="H2403" s="34" t="n">
        <f aca="false">IF(F2403=1,G2403,"")</f>
        <v>62.297</v>
      </c>
    </row>
    <row r="2404" customFormat="false" ht="15" hidden="false" customHeight="false" outlineLevel="0" collapsed="false">
      <c r="A2404" s="31" t="n">
        <v>42836.0833333333</v>
      </c>
      <c r="B2404" s="32" t="n">
        <v>63.716</v>
      </c>
      <c r="D2404" s="33" t="n">
        <f aca="false">WEEKDAY(A2404,2)</f>
        <v>2</v>
      </c>
      <c r="E2404" s="33" t="n">
        <f aca="false">HOUR(A2404)+MINUTE(A2404)/60</f>
        <v>2</v>
      </c>
      <c r="F2404" s="33" t="n">
        <f aca="false">IF(OR(D2404&gt;5,E2404&lt;8,E2404&gt;=18,COUNTIF($K$2:$K$10,INT(A2404))&gt;0),1,0)</f>
        <v>1</v>
      </c>
      <c r="G2404" s="34" t="n">
        <f aca="false">B2404/1</f>
        <v>63.716</v>
      </c>
      <c r="H2404" s="34" t="n">
        <f aca="false">IF(F2404=1,G2404,"")</f>
        <v>63.716</v>
      </c>
    </row>
    <row r="2405" customFormat="false" ht="15" hidden="false" customHeight="false" outlineLevel="0" collapsed="false">
      <c r="A2405" s="31" t="n">
        <v>42836.125</v>
      </c>
      <c r="B2405" s="32" t="n">
        <v>60.924</v>
      </c>
      <c r="D2405" s="33" t="n">
        <f aca="false">WEEKDAY(A2405,2)</f>
        <v>2</v>
      </c>
      <c r="E2405" s="33" t="n">
        <f aca="false">HOUR(A2405)+MINUTE(A2405)/60</f>
        <v>3</v>
      </c>
      <c r="F2405" s="33" t="n">
        <f aca="false">IF(OR(D2405&gt;5,E2405&lt;8,E2405&gt;=18,COUNTIF($K$2:$K$10,INT(A2405))&gt;0),1,0)</f>
        <v>1</v>
      </c>
      <c r="G2405" s="34" t="n">
        <f aca="false">B2405/1</f>
        <v>60.924</v>
      </c>
      <c r="H2405" s="34" t="n">
        <f aca="false">IF(F2405=1,G2405,"")</f>
        <v>60.924</v>
      </c>
    </row>
    <row r="2406" customFormat="false" ht="15" hidden="false" customHeight="false" outlineLevel="0" collapsed="false">
      <c r="A2406" s="31" t="n">
        <v>42836.1666666667</v>
      </c>
      <c r="B2406" s="32" t="n">
        <v>59.977</v>
      </c>
      <c r="D2406" s="33" t="n">
        <f aca="false">WEEKDAY(A2406,2)</f>
        <v>2</v>
      </c>
      <c r="E2406" s="33" t="n">
        <f aca="false">HOUR(A2406)+MINUTE(A2406)/60</f>
        <v>4</v>
      </c>
      <c r="F2406" s="33" t="n">
        <f aca="false">IF(OR(D2406&gt;5,E2406&lt;8,E2406&gt;=18,COUNTIF($K$2:$K$10,INT(A2406))&gt;0),1,0)</f>
        <v>1</v>
      </c>
      <c r="G2406" s="34" t="n">
        <f aca="false">B2406/1</f>
        <v>59.977</v>
      </c>
      <c r="H2406" s="34" t="n">
        <f aca="false">IF(F2406=1,G2406,"")</f>
        <v>59.977</v>
      </c>
    </row>
    <row r="2407" customFormat="false" ht="15" hidden="false" customHeight="false" outlineLevel="0" collapsed="false">
      <c r="A2407" s="31" t="n">
        <v>42836.2083333333</v>
      </c>
      <c r="B2407" s="32" t="n">
        <v>61.566</v>
      </c>
      <c r="D2407" s="33" t="n">
        <f aca="false">WEEKDAY(A2407,2)</f>
        <v>2</v>
      </c>
      <c r="E2407" s="33" t="n">
        <f aca="false">HOUR(A2407)+MINUTE(A2407)/60</f>
        <v>5</v>
      </c>
      <c r="F2407" s="33" t="n">
        <f aca="false">IF(OR(D2407&gt;5,E2407&lt;8,E2407&gt;=18,COUNTIF($K$2:$K$10,INT(A2407))&gt;0),1,0)</f>
        <v>1</v>
      </c>
      <c r="G2407" s="34" t="n">
        <f aca="false">B2407/1</f>
        <v>61.566</v>
      </c>
      <c r="H2407" s="34" t="n">
        <f aca="false">IF(F2407=1,G2407,"")</f>
        <v>61.566</v>
      </c>
    </row>
    <row r="2408" customFormat="false" ht="15" hidden="false" customHeight="false" outlineLevel="0" collapsed="false">
      <c r="A2408" s="31" t="n">
        <v>42836.25</v>
      </c>
      <c r="B2408" s="32" t="n">
        <v>62.634</v>
      </c>
      <c r="D2408" s="33" t="n">
        <f aca="false">WEEKDAY(A2408,2)</f>
        <v>2</v>
      </c>
      <c r="E2408" s="33" t="n">
        <f aca="false">HOUR(A2408)+MINUTE(A2408)/60</f>
        <v>6</v>
      </c>
      <c r="F2408" s="33" t="n">
        <f aca="false">IF(OR(D2408&gt;5,E2408&lt;8,E2408&gt;=18,COUNTIF($K$2:$K$10,INT(A2408))&gt;0),1,0)</f>
        <v>1</v>
      </c>
      <c r="G2408" s="34" t="n">
        <f aca="false">B2408/1</f>
        <v>62.634</v>
      </c>
      <c r="H2408" s="34" t="n">
        <f aca="false">IF(F2408=1,G2408,"")</f>
        <v>62.634</v>
      </c>
    </row>
    <row r="2409" customFormat="false" ht="15" hidden="false" customHeight="false" outlineLevel="0" collapsed="false">
      <c r="A2409" s="31" t="n">
        <v>42836.2916666667</v>
      </c>
      <c r="B2409" s="32" t="n">
        <v>64.513</v>
      </c>
      <c r="D2409" s="33" t="n">
        <f aca="false">WEEKDAY(A2409,2)</f>
        <v>2</v>
      </c>
      <c r="E2409" s="33" t="n">
        <f aca="false">HOUR(A2409)+MINUTE(A2409)/60</f>
        <v>7</v>
      </c>
      <c r="F2409" s="33" t="n">
        <f aca="false">IF(OR(D2409&gt;5,E2409&lt;8,E2409&gt;=18,COUNTIF($K$2:$K$10,INT(A2409))&gt;0),1,0)</f>
        <v>1</v>
      </c>
      <c r="G2409" s="34" t="n">
        <f aca="false">B2409/1</f>
        <v>64.513</v>
      </c>
      <c r="H2409" s="34" t="n">
        <f aca="false">IF(F2409=1,G2409,"")</f>
        <v>64.513</v>
      </c>
    </row>
    <row r="2410" customFormat="false" ht="15" hidden="false" customHeight="false" outlineLevel="0" collapsed="false">
      <c r="A2410" s="31" t="n">
        <v>42836.3333333333</v>
      </c>
      <c r="B2410" s="32" t="n">
        <v>171.113</v>
      </c>
      <c r="D2410" s="33" t="n">
        <f aca="false">WEEKDAY(A2410,2)</f>
        <v>2</v>
      </c>
      <c r="E2410" s="33" t="n">
        <f aca="false">HOUR(A2410)+MINUTE(A2410)/60</f>
        <v>8</v>
      </c>
      <c r="F2410" s="33" t="n">
        <f aca="false">IF(OR(D2410&gt;5,E2410&lt;8,E2410&gt;=18,COUNTIF($K$2:$K$10,INT(A2410))&gt;0),1,0)</f>
        <v>0</v>
      </c>
      <c r="G2410" s="34" t="n">
        <f aca="false">B2410/1</f>
        <v>171.113</v>
      </c>
      <c r="H2410" s="34" t="str">
        <f aca="false">IF(F2410=1,G2410,"")</f>
        <v/>
      </c>
    </row>
    <row r="2411" customFormat="false" ht="15" hidden="false" customHeight="false" outlineLevel="0" collapsed="false">
      <c r="A2411" s="31" t="n">
        <v>42836.375</v>
      </c>
      <c r="B2411" s="32" t="n">
        <v>215.401</v>
      </c>
      <c r="D2411" s="33" t="n">
        <f aca="false">WEEKDAY(A2411,2)</f>
        <v>2</v>
      </c>
      <c r="E2411" s="33" t="n">
        <f aca="false">HOUR(A2411)+MINUTE(A2411)/60</f>
        <v>9</v>
      </c>
      <c r="F2411" s="33" t="n">
        <f aca="false">IF(OR(D2411&gt;5,E2411&lt;8,E2411&gt;=18,COUNTIF($K$2:$K$10,INT(A2411))&gt;0),1,0)</f>
        <v>0</v>
      </c>
      <c r="G2411" s="34" t="n">
        <f aca="false">B2411/1</f>
        <v>215.401</v>
      </c>
      <c r="H2411" s="34" t="str">
        <f aca="false">IF(F2411=1,G2411,"")</f>
        <v/>
      </c>
    </row>
    <row r="2412" customFormat="false" ht="15" hidden="false" customHeight="false" outlineLevel="0" collapsed="false">
      <c r="A2412" s="31" t="n">
        <v>42836.4166666667</v>
      </c>
      <c r="B2412" s="32" t="n">
        <v>244.923</v>
      </c>
      <c r="D2412" s="33" t="n">
        <f aca="false">WEEKDAY(A2412,2)</f>
        <v>2</v>
      </c>
      <c r="E2412" s="33" t="n">
        <f aca="false">HOUR(A2412)+MINUTE(A2412)/60</f>
        <v>10</v>
      </c>
      <c r="F2412" s="33" t="n">
        <f aca="false">IF(OR(D2412&gt;5,E2412&lt;8,E2412&gt;=18,COUNTIF($K$2:$K$10,INT(A2412))&gt;0),1,0)</f>
        <v>0</v>
      </c>
      <c r="G2412" s="34" t="n">
        <f aca="false">B2412/1</f>
        <v>244.923</v>
      </c>
      <c r="H2412" s="34" t="str">
        <f aca="false">IF(F2412=1,G2412,"")</f>
        <v/>
      </c>
    </row>
    <row r="2413" customFormat="false" ht="15" hidden="false" customHeight="false" outlineLevel="0" collapsed="false">
      <c r="A2413" s="31" t="n">
        <v>42836.4583333333</v>
      </c>
      <c r="B2413" s="32" t="n">
        <v>285.977</v>
      </c>
      <c r="D2413" s="33" t="n">
        <f aca="false">WEEKDAY(A2413,2)</f>
        <v>2</v>
      </c>
      <c r="E2413" s="33" t="n">
        <f aca="false">HOUR(A2413)+MINUTE(A2413)/60</f>
        <v>11</v>
      </c>
      <c r="F2413" s="33" t="n">
        <f aca="false">IF(OR(D2413&gt;5,E2413&lt;8,E2413&gt;=18,COUNTIF($K$2:$K$10,INT(A2413))&gt;0),1,0)</f>
        <v>0</v>
      </c>
      <c r="G2413" s="34" t="n">
        <f aca="false">B2413/1</f>
        <v>285.977</v>
      </c>
      <c r="H2413" s="34" t="str">
        <f aca="false">IF(F2413=1,G2413,"")</f>
        <v/>
      </c>
    </row>
    <row r="2414" customFormat="false" ht="15" hidden="false" customHeight="false" outlineLevel="0" collapsed="false">
      <c r="A2414" s="31" t="n">
        <v>42836.5</v>
      </c>
      <c r="B2414" s="32" t="n">
        <v>265.965</v>
      </c>
      <c r="D2414" s="33" t="n">
        <f aca="false">WEEKDAY(A2414,2)</f>
        <v>2</v>
      </c>
      <c r="E2414" s="33" t="n">
        <f aca="false">HOUR(A2414)+MINUTE(A2414)/60</f>
        <v>12</v>
      </c>
      <c r="F2414" s="33" t="n">
        <f aca="false">IF(OR(D2414&gt;5,E2414&lt;8,E2414&gt;=18,COUNTIF($K$2:$K$10,INT(A2414))&gt;0),1,0)</f>
        <v>0</v>
      </c>
      <c r="G2414" s="34" t="n">
        <f aca="false">B2414/1</f>
        <v>265.965</v>
      </c>
      <c r="H2414" s="34" t="str">
        <f aca="false">IF(F2414=1,G2414,"")</f>
        <v/>
      </c>
    </row>
    <row r="2415" customFormat="false" ht="15" hidden="false" customHeight="false" outlineLevel="0" collapsed="false">
      <c r="A2415" s="31" t="n">
        <v>42836.5416666667</v>
      </c>
      <c r="B2415" s="32" t="n">
        <v>268.067</v>
      </c>
      <c r="D2415" s="33" t="n">
        <f aca="false">WEEKDAY(A2415,2)</f>
        <v>2</v>
      </c>
      <c r="E2415" s="33" t="n">
        <f aca="false">HOUR(A2415)+MINUTE(A2415)/60</f>
        <v>13</v>
      </c>
      <c r="F2415" s="33" t="n">
        <f aca="false">IF(OR(D2415&gt;5,E2415&lt;8,E2415&gt;=18,COUNTIF($K$2:$K$10,INT(A2415))&gt;0),1,0)</f>
        <v>0</v>
      </c>
      <c r="G2415" s="34" t="n">
        <f aca="false">B2415/1</f>
        <v>268.067</v>
      </c>
      <c r="H2415" s="34" t="str">
        <f aca="false">IF(F2415=1,G2415,"")</f>
        <v/>
      </c>
    </row>
    <row r="2416" customFormat="false" ht="15" hidden="false" customHeight="false" outlineLevel="0" collapsed="false">
      <c r="A2416" s="31" t="n">
        <v>42836.5833333333</v>
      </c>
      <c r="B2416" s="32" t="n">
        <v>280.535</v>
      </c>
      <c r="D2416" s="33" t="n">
        <f aca="false">WEEKDAY(A2416,2)</f>
        <v>2</v>
      </c>
      <c r="E2416" s="33" t="n">
        <f aca="false">HOUR(A2416)+MINUTE(A2416)/60</f>
        <v>14</v>
      </c>
      <c r="F2416" s="33" t="n">
        <f aca="false">IF(OR(D2416&gt;5,E2416&lt;8,E2416&gt;=18,COUNTIF($K$2:$K$10,INT(A2416))&gt;0),1,0)</f>
        <v>0</v>
      </c>
      <c r="G2416" s="34" t="n">
        <f aca="false">B2416/1</f>
        <v>280.535</v>
      </c>
      <c r="H2416" s="34" t="str">
        <f aca="false">IF(F2416=1,G2416,"")</f>
        <v/>
      </c>
    </row>
    <row r="2417" customFormat="false" ht="15" hidden="false" customHeight="false" outlineLevel="0" collapsed="false">
      <c r="A2417" s="31" t="n">
        <v>42836.625</v>
      </c>
      <c r="B2417" s="32" t="n">
        <v>292.133</v>
      </c>
      <c r="D2417" s="33" t="n">
        <f aca="false">WEEKDAY(A2417,2)</f>
        <v>2</v>
      </c>
      <c r="E2417" s="33" t="n">
        <f aca="false">HOUR(A2417)+MINUTE(A2417)/60</f>
        <v>15</v>
      </c>
      <c r="F2417" s="33" t="n">
        <f aca="false">IF(OR(D2417&gt;5,E2417&lt;8,E2417&gt;=18,COUNTIF($K$2:$K$10,INT(A2417))&gt;0),1,0)</f>
        <v>0</v>
      </c>
      <c r="G2417" s="34" t="n">
        <f aca="false">B2417/1</f>
        <v>292.133</v>
      </c>
      <c r="H2417" s="34" t="str">
        <f aca="false">IF(F2417=1,G2417,"")</f>
        <v/>
      </c>
    </row>
    <row r="2418" customFormat="false" ht="15" hidden="false" customHeight="false" outlineLevel="0" collapsed="false">
      <c r="A2418" s="31" t="n">
        <v>42836.6666666667</v>
      </c>
      <c r="B2418" s="32" t="n">
        <v>265.345</v>
      </c>
      <c r="D2418" s="33" t="n">
        <f aca="false">WEEKDAY(A2418,2)</f>
        <v>2</v>
      </c>
      <c r="E2418" s="33" t="n">
        <f aca="false">HOUR(A2418)+MINUTE(A2418)/60</f>
        <v>16</v>
      </c>
      <c r="F2418" s="33" t="n">
        <f aca="false">IF(OR(D2418&gt;5,E2418&lt;8,E2418&gt;=18,COUNTIF($K$2:$K$10,INT(A2418))&gt;0),1,0)</f>
        <v>0</v>
      </c>
      <c r="G2418" s="34" t="n">
        <f aca="false">B2418/1</f>
        <v>265.345</v>
      </c>
      <c r="H2418" s="34" t="str">
        <f aca="false">IF(F2418=1,G2418,"")</f>
        <v/>
      </c>
    </row>
    <row r="2419" customFormat="false" ht="15" hidden="false" customHeight="false" outlineLevel="0" collapsed="false">
      <c r="A2419" s="31" t="n">
        <v>42836.7083333333</v>
      </c>
      <c r="B2419" s="32" t="n">
        <v>241.445</v>
      </c>
      <c r="D2419" s="33" t="n">
        <f aca="false">WEEKDAY(A2419,2)</f>
        <v>2</v>
      </c>
      <c r="E2419" s="33" t="n">
        <f aca="false">HOUR(A2419)+MINUTE(A2419)/60</f>
        <v>17</v>
      </c>
      <c r="F2419" s="33" t="n">
        <f aca="false">IF(OR(D2419&gt;5,E2419&lt;8,E2419&gt;=18,COUNTIF($K$2:$K$10,INT(A2419))&gt;0),1,0)</f>
        <v>0</v>
      </c>
      <c r="G2419" s="34" t="n">
        <f aca="false">B2419/1</f>
        <v>241.445</v>
      </c>
      <c r="H2419" s="34" t="str">
        <f aca="false">IF(F2419=1,G2419,"")</f>
        <v/>
      </c>
    </row>
    <row r="2420" customFormat="false" ht="15" hidden="false" customHeight="false" outlineLevel="0" collapsed="false">
      <c r="A2420" s="31" t="n">
        <v>42836.75</v>
      </c>
      <c r="B2420" s="32" t="n">
        <v>218.885</v>
      </c>
      <c r="D2420" s="33" t="n">
        <f aca="false">WEEKDAY(A2420,2)</f>
        <v>2</v>
      </c>
      <c r="E2420" s="33" t="n">
        <f aca="false">HOUR(A2420)+MINUTE(A2420)/60</f>
        <v>18</v>
      </c>
      <c r="F2420" s="33" t="n">
        <f aca="false">IF(OR(D2420&gt;5,E2420&lt;8,E2420&gt;=18,COUNTIF($K$2:$K$10,INT(A2420))&gt;0),1,0)</f>
        <v>1</v>
      </c>
      <c r="G2420" s="34" t="n">
        <f aca="false">B2420/1</f>
        <v>218.885</v>
      </c>
      <c r="H2420" s="34" t="n">
        <f aca="false">IF(F2420=1,G2420,"")</f>
        <v>218.885</v>
      </c>
    </row>
    <row r="2421" customFormat="false" ht="15" hidden="false" customHeight="false" outlineLevel="0" collapsed="false">
      <c r="A2421" s="31" t="n">
        <v>42836.7916666667</v>
      </c>
      <c r="B2421" s="32" t="n">
        <v>218.349</v>
      </c>
      <c r="D2421" s="33" t="n">
        <f aca="false">WEEKDAY(A2421,2)</f>
        <v>2</v>
      </c>
      <c r="E2421" s="33" t="n">
        <f aca="false">HOUR(A2421)+MINUTE(A2421)/60</f>
        <v>19</v>
      </c>
      <c r="F2421" s="33" t="n">
        <f aca="false">IF(OR(D2421&gt;5,E2421&lt;8,E2421&gt;=18,COUNTIF($K$2:$K$10,INT(A2421))&gt;0),1,0)</f>
        <v>1</v>
      </c>
      <c r="G2421" s="34" t="n">
        <f aca="false">B2421/1</f>
        <v>218.349</v>
      </c>
      <c r="H2421" s="34" t="n">
        <f aca="false">IF(F2421=1,G2421,"")</f>
        <v>218.349</v>
      </c>
    </row>
    <row r="2422" customFormat="false" ht="15" hidden="false" customHeight="false" outlineLevel="0" collapsed="false">
      <c r="A2422" s="31" t="n">
        <v>42836.8333333333</v>
      </c>
      <c r="B2422" s="32" t="n">
        <v>201.55</v>
      </c>
      <c r="D2422" s="33" t="n">
        <f aca="false">WEEKDAY(A2422,2)</f>
        <v>2</v>
      </c>
      <c r="E2422" s="33" t="n">
        <f aca="false">HOUR(A2422)+MINUTE(A2422)/60</f>
        <v>20</v>
      </c>
      <c r="F2422" s="33" t="n">
        <f aca="false">IF(OR(D2422&gt;5,E2422&lt;8,E2422&gt;=18,COUNTIF($K$2:$K$10,INT(A2422))&gt;0),1,0)</f>
        <v>1</v>
      </c>
      <c r="G2422" s="34" t="n">
        <f aca="false">B2422/1</f>
        <v>201.55</v>
      </c>
      <c r="H2422" s="34" t="n">
        <f aca="false">IF(F2422=1,G2422,"")</f>
        <v>201.55</v>
      </c>
    </row>
    <row r="2423" customFormat="false" ht="15" hidden="false" customHeight="false" outlineLevel="0" collapsed="false">
      <c r="A2423" s="31" t="n">
        <v>42836.875</v>
      </c>
      <c r="B2423" s="32" t="n">
        <v>198.601</v>
      </c>
      <c r="D2423" s="33" t="n">
        <f aca="false">WEEKDAY(A2423,2)</f>
        <v>2</v>
      </c>
      <c r="E2423" s="33" t="n">
        <f aca="false">HOUR(A2423)+MINUTE(A2423)/60</f>
        <v>21</v>
      </c>
      <c r="F2423" s="33" t="n">
        <f aca="false">IF(OR(D2423&gt;5,E2423&lt;8,E2423&gt;=18,COUNTIF($K$2:$K$10,INT(A2423))&gt;0),1,0)</f>
        <v>1</v>
      </c>
      <c r="G2423" s="34" t="n">
        <f aca="false">B2423/1</f>
        <v>198.601</v>
      </c>
      <c r="H2423" s="34" t="n">
        <f aca="false">IF(F2423=1,G2423,"")</f>
        <v>198.601</v>
      </c>
    </row>
    <row r="2424" customFormat="false" ht="15" hidden="false" customHeight="false" outlineLevel="0" collapsed="false">
      <c r="A2424" s="31" t="n">
        <v>42836.9166666667</v>
      </c>
      <c r="B2424" s="32" t="n">
        <v>133.439</v>
      </c>
      <c r="D2424" s="33" t="n">
        <f aca="false">WEEKDAY(A2424,2)</f>
        <v>2</v>
      </c>
      <c r="E2424" s="33" t="n">
        <f aca="false">HOUR(A2424)+MINUTE(A2424)/60</f>
        <v>22</v>
      </c>
      <c r="F2424" s="33" t="n">
        <f aca="false">IF(OR(D2424&gt;5,E2424&lt;8,E2424&gt;=18,COUNTIF($K$2:$K$10,INT(A2424))&gt;0),1,0)</f>
        <v>1</v>
      </c>
      <c r="G2424" s="34" t="n">
        <f aca="false">B2424/1</f>
        <v>133.439</v>
      </c>
      <c r="H2424" s="34" t="n">
        <f aca="false">IF(F2424=1,G2424,"")</f>
        <v>133.439</v>
      </c>
    </row>
    <row r="2425" customFormat="false" ht="15" hidden="false" customHeight="false" outlineLevel="0" collapsed="false">
      <c r="A2425" s="31" t="n">
        <v>42836.9583333333</v>
      </c>
      <c r="B2425" s="32" t="n">
        <v>70.668</v>
      </c>
      <c r="D2425" s="33" t="n">
        <f aca="false">WEEKDAY(A2425,2)</f>
        <v>2</v>
      </c>
      <c r="E2425" s="33" t="n">
        <f aca="false">HOUR(A2425)+MINUTE(A2425)/60</f>
        <v>23</v>
      </c>
      <c r="F2425" s="33" t="n">
        <f aca="false">IF(OR(D2425&gt;5,E2425&lt;8,E2425&gt;=18,COUNTIF($K$2:$K$10,INT(A2425))&gt;0),1,0)</f>
        <v>1</v>
      </c>
      <c r="G2425" s="34" t="n">
        <f aca="false">B2425/1</f>
        <v>70.668</v>
      </c>
      <c r="H2425" s="34" t="n">
        <f aca="false">IF(F2425=1,G2425,"")</f>
        <v>70.668</v>
      </c>
    </row>
    <row r="2426" customFormat="false" ht="15" hidden="false" customHeight="false" outlineLevel="0" collapsed="false">
      <c r="A2426" s="31" t="n">
        <v>42837</v>
      </c>
      <c r="B2426" s="32" t="n">
        <v>67.476</v>
      </c>
      <c r="D2426" s="33" t="n">
        <f aca="false">WEEKDAY(A2426,2)</f>
        <v>3</v>
      </c>
      <c r="E2426" s="33" t="n">
        <f aca="false">HOUR(A2426)+MINUTE(A2426)/60</f>
        <v>0</v>
      </c>
      <c r="F2426" s="33" t="n">
        <f aca="false">IF(OR(D2426&gt;5,E2426&lt;8,E2426&gt;=18,COUNTIF($K$2:$K$10,INT(A2426))&gt;0),1,0)</f>
        <v>1</v>
      </c>
      <c r="G2426" s="34" t="n">
        <f aca="false">B2426/1</f>
        <v>67.476</v>
      </c>
      <c r="H2426" s="34" t="n">
        <f aca="false">IF(F2426=1,G2426,"")</f>
        <v>67.476</v>
      </c>
    </row>
    <row r="2427" customFormat="false" ht="15" hidden="false" customHeight="false" outlineLevel="0" collapsed="false">
      <c r="A2427" s="31" t="n">
        <v>42837.0416666667</v>
      </c>
      <c r="B2427" s="32" t="n">
        <v>61.093</v>
      </c>
      <c r="D2427" s="33" t="n">
        <f aca="false">WEEKDAY(A2427,2)</f>
        <v>3</v>
      </c>
      <c r="E2427" s="33" t="n">
        <f aca="false">HOUR(A2427)+MINUTE(A2427)/60</f>
        <v>1</v>
      </c>
      <c r="F2427" s="33" t="n">
        <f aca="false">IF(OR(D2427&gt;5,E2427&lt;8,E2427&gt;=18,COUNTIF($K$2:$K$10,INT(A2427))&gt;0),1,0)</f>
        <v>1</v>
      </c>
      <c r="G2427" s="34" t="n">
        <f aca="false">B2427/1</f>
        <v>61.093</v>
      </c>
      <c r="H2427" s="34" t="n">
        <f aca="false">IF(F2427=1,G2427,"")</f>
        <v>61.093</v>
      </c>
    </row>
    <row r="2428" customFormat="false" ht="15" hidden="false" customHeight="false" outlineLevel="0" collapsed="false">
      <c r="A2428" s="31" t="n">
        <v>42837.0833333333</v>
      </c>
      <c r="B2428" s="32" t="n">
        <v>67.224</v>
      </c>
      <c r="D2428" s="33" t="n">
        <f aca="false">WEEKDAY(A2428,2)</f>
        <v>3</v>
      </c>
      <c r="E2428" s="33" t="n">
        <f aca="false">HOUR(A2428)+MINUTE(A2428)/60</f>
        <v>2</v>
      </c>
      <c r="F2428" s="33" t="n">
        <f aca="false">IF(OR(D2428&gt;5,E2428&lt;8,E2428&gt;=18,COUNTIF($K$2:$K$10,INT(A2428))&gt;0),1,0)</f>
        <v>1</v>
      </c>
      <c r="G2428" s="34" t="n">
        <f aca="false">B2428/1</f>
        <v>67.224</v>
      </c>
      <c r="H2428" s="34" t="n">
        <f aca="false">IF(F2428=1,G2428,"")</f>
        <v>67.224</v>
      </c>
    </row>
    <row r="2429" customFormat="false" ht="15" hidden="false" customHeight="false" outlineLevel="0" collapsed="false">
      <c r="A2429" s="31" t="n">
        <v>42837.125</v>
      </c>
      <c r="B2429" s="32" t="n">
        <v>59.189</v>
      </c>
      <c r="D2429" s="33" t="n">
        <f aca="false">WEEKDAY(A2429,2)</f>
        <v>3</v>
      </c>
      <c r="E2429" s="33" t="n">
        <f aca="false">HOUR(A2429)+MINUTE(A2429)/60</f>
        <v>3</v>
      </c>
      <c r="F2429" s="33" t="n">
        <f aca="false">IF(OR(D2429&gt;5,E2429&lt;8,E2429&gt;=18,COUNTIF($K$2:$K$10,INT(A2429))&gt;0),1,0)</f>
        <v>1</v>
      </c>
      <c r="G2429" s="34" t="n">
        <f aca="false">B2429/1</f>
        <v>59.189</v>
      </c>
      <c r="H2429" s="34" t="n">
        <f aca="false">IF(F2429=1,G2429,"")</f>
        <v>59.189</v>
      </c>
    </row>
    <row r="2430" customFormat="false" ht="15" hidden="false" customHeight="false" outlineLevel="0" collapsed="false">
      <c r="A2430" s="31" t="n">
        <v>42837.1666666667</v>
      </c>
      <c r="B2430" s="32" t="n">
        <v>58.41</v>
      </c>
      <c r="D2430" s="33" t="n">
        <f aca="false">WEEKDAY(A2430,2)</f>
        <v>3</v>
      </c>
      <c r="E2430" s="33" t="n">
        <f aca="false">HOUR(A2430)+MINUTE(A2430)/60</f>
        <v>4</v>
      </c>
      <c r="F2430" s="33" t="n">
        <f aca="false">IF(OR(D2430&gt;5,E2430&lt;8,E2430&gt;=18,COUNTIF($K$2:$K$10,INT(A2430))&gt;0),1,0)</f>
        <v>1</v>
      </c>
      <c r="G2430" s="34" t="n">
        <f aca="false">B2430/1</f>
        <v>58.41</v>
      </c>
      <c r="H2430" s="34" t="n">
        <f aca="false">IF(F2430=1,G2430,"")</f>
        <v>58.41</v>
      </c>
    </row>
    <row r="2431" customFormat="false" ht="15" hidden="false" customHeight="false" outlineLevel="0" collapsed="false">
      <c r="A2431" s="31" t="n">
        <v>42837.2083333333</v>
      </c>
      <c r="B2431" s="32" t="n">
        <v>62.524</v>
      </c>
      <c r="D2431" s="33" t="n">
        <f aca="false">WEEKDAY(A2431,2)</f>
        <v>3</v>
      </c>
      <c r="E2431" s="33" t="n">
        <f aca="false">HOUR(A2431)+MINUTE(A2431)/60</f>
        <v>5</v>
      </c>
      <c r="F2431" s="33" t="n">
        <f aca="false">IF(OR(D2431&gt;5,E2431&lt;8,E2431&gt;=18,COUNTIF($K$2:$K$10,INT(A2431))&gt;0),1,0)</f>
        <v>1</v>
      </c>
      <c r="G2431" s="34" t="n">
        <f aca="false">B2431/1</f>
        <v>62.524</v>
      </c>
      <c r="H2431" s="34" t="n">
        <f aca="false">IF(F2431=1,G2431,"")</f>
        <v>62.524</v>
      </c>
    </row>
    <row r="2432" customFormat="false" ht="15" hidden="false" customHeight="false" outlineLevel="0" collapsed="false">
      <c r="A2432" s="31" t="n">
        <v>42837.25</v>
      </c>
      <c r="B2432" s="32" t="n">
        <v>64.144</v>
      </c>
      <c r="D2432" s="33" t="n">
        <f aca="false">WEEKDAY(A2432,2)</f>
        <v>3</v>
      </c>
      <c r="E2432" s="33" t="n">
        <f aca="false">HOUR(A2432)+MINUTE(A2432)/60</f>
        <v>6</v>
      </c>
      <c r="F2432" s="33" t="n">
        <f aca="false">IF(OR(D2432&gt;5,E2432&lt;8,E2432&gt;=18,COUNTIF($K$2:$K$10,INT(A2432))&gt;0),1,0)</f>
        <v>1</v>
      </c>
      <c r="G2432" s="34" t="n">
        <f aca="false">B2432/1</f>
        <v>64.144</v>
      </c>
      <c r="H2432" s="34" t="n">
        <f aca="false">IF(F2432=1,G2432,"")</f>
        <v>64.144</v>
      </c>
    </row>
    <row r="2433" customFormat="false" ht="15" hidden="false" customHeight="false" outlineLevel="0" collapsed="false">
      <c r="A2433" s="31" t="n">
        <v>42837.2916666667</v>
      </c>
      <c r="B2433" s="32" t="n">
        <v>62.475</v>
      </c>
      <c r="D2433" s="33" t="n">
        <f aca="false">WEEKDAY(A2433,2)</f>
        <v>3</v>
      </c>
      <c r="E2433" s="33" t="n">
        <f aca="false">HOUR(A2433)+MINUTE(A2433)/60</f>
        <v>7</v>
      </c>
      <c r="F2433" s="33" t="n">
        <f aca="false">IF(OR(D2433&gt;5,E2433&lt;8,E2433&gt;=18,COUNTIF($K$2:$K$10,INT(A2433))&gt;0),1,0)</f>
        <v>1</v>
      </c>
      <c r="G2433" s="34" t="n">
        <f aca="false">B2433/1</f>
        <v>62.475</v>
      </c>
      <c r="H2433" s="34" t="n">
        <f aca="false">IF(F2433=1,G2433,"")</f>
        <v>62.475</v>
      </c>
    </row>
    <row r="2434" customFormat="false" ht="15" hidden="false" customHeight="false" outlineLevel="0" collapsed="false">
      <c r="A2434" s="31" t="n">
        <v>42837.3333333333</v>
      </c>
      <c r="B2434" s="32" t="n">
        <v>178.552</v>
      </c>
      <c r="D2434" s="33" t="n">
        <f aca="false">WEEKDAY(A2434,2)</f>
        <v>3</v>
      </c>
      <c r="E2434" s="33" t="n">
        <f aca="false">HOUR(A2434)+MINUTE(A2434)/60</f>
        <v>8</v>
      </c>
      <c r="F2434" s="33" t="n">
        <f aca="false">IF(OR(D2434&gt;5,E2434&lt;8,E2434&gt;=18,COUNTIF($K$2:$K$10,INT(A2434))&gt;0),1,0)</f>
        <v>0</v>
      </c>
      <c r="G2434" s="34" t="n">
        <f aca="false">B2434/1</f>
        <v>178.552</v>
      </c>
      <c r="H2434" s="34" t="str">
        <f aca="false">IF(F2434=1,G2434,"")</f>
        <v/>
      </c>
    </row>
    <row r="2435" customFormat="false" ht="15" hidden="false" customHeight="false" outlineLevel="0" collapsed="false">
      <c r="A2435" s="31" t="n">
        <v>42837.375</v>
      </c>
      <c r="B2435" s="32" t="n">
        <v>211.69</v>
      </c>
      <c r="D2435" s="33" t="n">
        <f aca="false">WEEKDAY(A2435,2)</f>
        <v>3</v>
      </c>
      <c r="E2435" s="33" t="n">
        <f aca="false">HOUR(A2435)+MINUTE(A2435)/60</f>
        <v>9</v>
      </c>
      <c r="F2435" s="33" t="n">
        <f aca="false">IF(OR(D2435&gt;5,E2435&lt;8,E2435&gt;=18,COUNTIF($K$2:$K$10,INT(A2435))&gt;0),1,0)</f>
        <v>0</v>
      </c>
      <c r="G2435" s="34" t="n">
        <f aca="false">B2435/1</f>
        <v>211.69</v>
      </c>
      <c r="H2435" s="34" t="str">
        <f aca="false">IF(F2435=1,G2435,"")</f>
        <v/>
      </c>
    </row>
    <row r="2436" customFormat="false" ht="15" hidden="false" customHeight="false" outlineLevel="0" collapsed="false">
      <c r="A2436" s="31" t="n">
        <v>42837.4166666667</v>
      </c>
      <c r="B2436" s="32" t="n">
        <v>243.985</v>
      </c>
      <c r="D2436" s="33" t="n">
        <f aca="false">WEEKDAY(A2436,2)</f>
        <v>3</v>
      </c>
      <c r="E2436" s="33" t="n">
        <f aca="false">HOUR(A2436)+MINUTE(A2436)/60</f>
        <v>10</v>
      </c>
      <c r="F2436" s="33" t="n">
        <f aca="false">IF(OR(D2436&gt;5,E2436&lt;8,E2436&gt;=18,COUNTIF($K$2:$K$10,INT(A2436))&gt;0),1,0)</f>
        <v>0</v>
      </c>
      <c r="G2436" s="34" t="n">
        <f aca="false">B2436/1</f>
        <v>243.985</v>
      </c>
      <c r="H2436" s="34" t="str">
        <f aca="false">IF(F2436=1,G2436,"")</f>
        <v/>
      </c>
    </row>
    <row r="2437" customFormat="false" ht="15" hidden="false" customHeight="false" outlineLevel="0" collapsed="false">
      <c r="A2437" s="31" t="n">
        <v>42837.4583333333</v>
      </c>
      <c r="B2437" s="32" t="n">
        <v>248.844</v>
      </c>
      <c r="D2437" s="33" t="n">
        <f aca="false">WEEKDAY(A2437,2)</f>
        <v>3</v>
      </c>
      <c r="E2437" s="33" t="n">
        <f aca="false">HOUR(A2437)+MINUTE(A2437)/60</f>
        <v>11</v>
      </c>
      <c r="F2437" s="33" t="n">
        <f aca="false">IF(OR(D2437&gt;5,E2437&lt;8,E2437&gt;=18,COUNTIF($K$2:$K$10,INT(A2437))&gt;0),1,0)</f>
        <v>0</v>
      </c>
      <c r="G2437" s="34" t="n">
        <f aca="false">B2437/1</f>
        <v>248.844</v>
      </c>
      <c r="H2437" s="34" t="str">
        <f aca="false">IF(F2437=1,G2437,"")</f>
        <v/>
      </c>
    </row>
    <row r="2438" customFormat="false" ht="15" hidden="false" customHeight="false" outlineLevel="0" collapsed="false">
      <c r="A2438" s="31" t="n">
        <v>42837.5</v>
      </c>
      <c r="B2438" s="32" t="n">
        <v>264.028</v>
      </c>
      <c r="D2438" s="33" t="n">
        <f aca="false">WEEKDAY(A2438,2)</f>
        <v>3</v>
      </c>
      <c r="E2438" s="33" t="n">
        <f aca="false">HOUR(A2438)+MINUTE(A2438)/60</f>
        <v>12</v>
      </c>
      <c r="F2438" s="33" t="n">
        <f aca="false">IF(OR(D2438&gt;5,E2438&lt;8,E2438&gt;=18,COUNTIF($K$2:$K$10,INT(A2438))&gt;0),1,0)</f>
        <v>0</v>
      </c>
      <c r="G2438" s="34" t="n">
        <f aca="false">B2438/1</f>
        <v>264.028</v>
      </c>
      <c r="H2438" s="34" t="str">
        <f aca="false">IF(F2438=1,G2438,"")</f>
        <v/>
      </c>
    </row>
    <row r="2439" customFormat="false" ht="15" hidden="false" customHeight="false" outlineLevel="0" collapsed="false">
      <c r="A2439" s="31" t="n">
        <v>42837.5416666667</v>
      </c>
      <c r="B2439" s="32" t="n">
        <v>248.447</v>
      </c>
      <c r="D2439" s="33" t="n">
        <f aca="false">WEEKDAY(A2439,2)</f>
        <v>3</v>
      </c>
      <c r="E2439" s="33" t="n">
        <f aca="false">HOUR(A2439)+MINUTE(A2439)/60</f>
        <v>13</v>
      </c>
      <c r="F2439" s="33" t="n">
        <f aca="false">IF(OR(D2439&gt;5,E2439&lt;8,E2439&gt;=18,COUNTIF($K$2:$K$10,INT(A2439))&gt;0),1,0)</f>
        <v>0</v>
      </c>
      <c r="G2439" s="34" t="n">
        <f aca="false">B2439/1</f>
        <v>248.447</v>
      </c>
      <c r="H2439" s="34" t="str">
        <f aca="false">IF(F2439=1,G2439,"")</f>
        <v/>
      </c>
    </row>
    <row r="2440" customFormat="false" ht="15" hidden="false" customHeight="false" outlineLevel="0" collapsed="false">
      <c r="A2440" s="31" t="n">
        <v>42837.5833333333</v>
      </c>
      <c r="B2440" s="32" t="n">
        <v>254.537</v>
      </c>
      <c r="D2440" s="33" t="n">
        <f aca="false">WEEKDAY(A2440,2)</f>
        <v>3</v>
      </c>
      <c r="E2440" s="33" t="n">
        <f aca="false">HOUR(A2440)+MINUTE(A2440)/60</f>
        <v>14</v>
      </c>
      <c r="F2440" s="33" t="n">
        <f aca="false">IF(OR(D2440&gt;5,E2440&lt;8,E2440&gt;=18,COUNTIF($K$2:$K$10,INT(A2440))&gt;0),1,0)</f>
        <v>0</v>
      </c>
      <c r="G2440" s="34" t="n">
        <f aca="false">B2440/1</f>
        <v>254.537</v>
      </c>
      <c r="H2440" s="34" t="str">
        <f aca="false">IF(F2440=1,G2440,"")</f>
        <v/>
      </c>
    </row>
    <row r="2441" customFormat="false" ht="15" hidden="false" customHeight="false" outlineLevel="0" collapsed="false">
      <c r="A2441" s="31" t="n">
        <v>42837.625</v>
      </c>
      <c r="B2441" s="32" t="n">
        <v>249.711</v>
      </c>
      <c r="D2441" s="33" t="n">
        <f aca="false">WEEKDAY(A2441,2)</f>
        <v>3</v>
      </c>
      <c r="E2441" s="33" t="n">
        <f aca="false">HOUR(A2441)+MINUTE(A2441)/60</f>
        <v>15</v>
      </c>
      <c r="F2441" s="33" t="n">
        <f aca="false">IF(OR(D2441&gt;5,E2441&lt;8,E2441&gt;=18,COUNTIF($K$2:$K$10,INT(A2441))&gt;0),1,0)</f>
        <v>0</v>
      </c>
      <c r="G2441" s="34" t="n">
        <f aca="false">B2441/1</f>
        <v>249.711</v>
      </c>
      <c r="H2441" s="34" t="str">
        <f aca="false">IF(F2441=1,G2441,"")</f>
        <v/>
      </c>
    </row>
    <row r="2442" customFormat="false" ht="15" hidden="false" customHeight="false" outlineLevel="0" collapsed="false">
      <c r="A2442" s="31" t="n">
        <v>42837.6666666667</v>
      </c>
      <c r="B2442" s="32" t="n">
        <v>261.103</v>
      </c>
      <c r="D2442" s="33" t="n">
        <f aca="false">WEEKDAY(A2442,2)</f>
        <v>3</v>
      </c>
      <c r="E2442" s="33" t="n">
        <f aca="false">HOUR(A2442)+MINUTE(A2442)/60</f>
        <v>16</v>
      </c>
      <c r="F2442" s="33" t="n">
        <f aca="false">IF(OR(D2442&gt;5,E2442&lt;8,E2442&gt;=18,COUNTIF($K$2:$K$10,INT(A2442))&gt;0),1,0)</f>
        <v>0</v>
      </c>
      <c r="G2442" s="34" t="n">
        <f aca="false">B2442/1</f>
        <v>261.103</v>
      </c>
      <c r="H2442" s="34" t="str">
        <f aca="false">IF(F2442=1,G2442,"")</f>
        <v/>
      </c>
    </row>
    <row r="2443" customFormat="false" ht="15" hidden="false" customHeight="false" outlineLevel="0" collapsed="false">
      <c r="A2443" s="31" t="n">
        <v>42837.7083333333</v>
      </c>
      <c r="B2443" s="32" t="n">
        <v>237.267</v>
      </c>
      <c r="D2443" s="33" t="n">
        <f aca="false">WEEKDAY(A2443,2)</f>
        <v>3</v>
      </c>
      <c r="E2443" s="33" t="n">
        <f aca="false">HOUR(A2443)+MINUTE(A2443)/60</f>
        <v>17</v>
      </c>
      <c r="F2443" s="33" t="n">
        <f aca="false">IF(OR(D2443&gt;5,E2443&lt;8,E2443&gt;=18,COUNTIF($K$2:$K$10,INT(A2443))&gt;0),1,0)</f>
        <v>0</v>
      </c>
      <c r="G2443" s="34" t="n">
        <f aca="false">B2443/1</f>
        <v>237.267</v>
      </c>
      <c r="H2443" s="34" t="str">
        <f aca="false">IF(F2443=1,G2443,"")</f>
        <v/>
      </c>
    </row>
    <row r="2444" customFormat="false" ht="15" hidden="false" customHeight="false" outlineLevel="0" collapsed="false">
      <c r="A2444" s="31" t="n">
        <v>42837.75</v>
      </c>
      <c r="B2444" s="32" t="n">
        <v>217.963</v>
      </c>
      <c r="D2444" s="33" t="n">
        <f aca="false">WEEKDAY(A2444,2)</f>
        <v>3</v>
      </c>
      <c r="E2444" s="33" t="n">
        <f aca="false">HOUR(A2444)+MINUTE(A2444)/60</f>
        <v>18</v>
      </c>
      <c r="F2444" s="33" t="n">
        <f aca="false">IF(OR(D2444&gt;5,E2444&lt;8,E2444&gt;=18,COUNTIF($K$2:$K$10,INT(A2444))&gt;0),1,0)</f>
        <v>1</v>
      </c>
      <c r="G2444" s="34" t="n">
        <f aca="false">B2444/1</f>
        <v>217.963</v>
      </c>
      <c r="H2444" s="34" t="n">
        <f aca="false">IF(F2444=1,G2444,"")</f>
        <v>217.963</v>
      </c>
    </row>
    <row r="2445" customFormat="false" ht="15" hidden="false" customHeight="false" outlineLevel="0" collapsed="false">
      <c r="A2445" s="31" t="n">
        <v>42837.7916666667</v>
      </c>
      <c r="B2445" s="32" t="n">
        <v>208.471</v>
      </c>
      <c r="D2445" s="33" t="n">
        <f aca="false">WEEKDAY(A2445,2)</f>
        <v>3</v>
      </c>
      <c r="E2445" s="33" t="n">
        <f aca="false">HOUR(A2445)+MINUTE(A2445)/60</f>
        <v>19</v>
      </c>
      <c r="F2445" s="33" t="n">
        <f aca="false">IF(OR(D2445&gt;5,E2445&lt;8,E2445&gt;=18,COUNTIF($K$2:$K$10,INT(A2445))&gt;0),1,0)</f>
        <v>1</v>
      </c>
      <c r="G2445" s="34" t="n">
        <f aca="false">B2445/1</f>
        <v>208.471</v>
      </c>
      <c r="H2445" s="34" t="n">
        <f aca="false">IF(F2445=1,G2445,"")</f>
        <v>208.471</v>
      </c>
    </row>
    <row r="2446" customFormat="false" ht="15" hidden="false" customHeight="false" outlineLevel="0" collapsed="false">
      <c r="A2446" s="31" t="n">
        <v>42837.8333333333</v>
      </c>
      <c r="B2446" s="32" t="n">
        <v>205.687</v>
      </c>
      <c r="D2446" s="33" t="n">
        <f aca="false">WEEKDAY(A2446,2)</f>
        <v>3</v>
      </c>
      <c r="E2446" s="33" t="n">
        <f aca="false">HOUR(A2446)+MINUTE(A2446)/60</f>
        <v>20</v>
      </c>
      <c r="F2446" s="33" t="n">
        <f aca="false">IF(OR(D2446&gt;5,E2446&lt;8,E2446&gt;=18,COUNTIF($K$2:$K$10,INT(A2446))&gt;0),1,0)</f>
        <v>1</v>
      </c>
      <c r="G2446" s="34" t="n">
        <f aca="false">B2446/1</f>
        <v>205.687</v>
      </c>
      <c r="H2446" s="34" t="n">
        <f aca="false">IF(F2446=1,G2446,"")</f>
        <v>205.687</v>
      </c>
    </row>
    <row r="2447" customFormat="false" ht="15" hidden="false" customHeight="false" outlineLevel="0" collapsed="false">
      <c r="A2447" s="31" t="n">
        <v>42837.875</v>
      </c>
      <c r="B2447" s="32" t="n">
        <v>195.069</v>
      </c>
      <c r="D2447" s="33" t="n">
        <f aca="false">WEEKDAY(A2447,2)</f>
        <v>3</v>
      </c>
      <c r="E2447" s="33" t="n">
        <f aca="false">HOUR(A2447)+MINUTE(A2447)/60</f>
        <v>21</v>
      </c>
      <c r="F2447" s="33" t="n">
        <f aca="false">IF(OR(D2447&gt;5,E2447&lt;8,E2447&gt;=18,COUNTIF($K$2:$K$10,INT(A2447))&gt;0),1,0)</f>
        <v>1</v>
      </c>
      <c r="G2447" s="34" t="n">
        <f aca="false">B2447/1</f>
        <v>195.069</v>
      </c>
      <c r="H2447" s="34" t="n">
        <f aca="false">IF(F2447=1,G2447,"")</f>
        <v>195.069</v>
      </c>
    </row>
    <row r="2448" customFormat="false" ht="15" hidden="false" customHeight="false" outlineLevel="0" collapsed="false">
      <c r="A2448" s="31" t="n">
        <v>42837.9166666667</v>
      </c>
      <c r="B2448" s="32" t="n">
        <v>136.016</v>
      </c>
      <c r="D2448" s="33" t="n">
        <f aca="false">WEEKDAY(A2448,2)</f>
        <v>3</v>
      </c>
      <c r="E2448" s="33" t="n">
        <f aca="false">HOUR(A2448)+MINUTE(A2448)/60</f>
        <v>22</v>
      </c>
      <c r="F2448" s="33" t="n">
        <f aca="false">IF(OR(D2448&gt;5,E2448&lt;8,E2448&gt;=18,COUNTIF($K$2:$K$10,INT(A2448))&gt;0),1,0)</f>
        <v>1</v>
      </c>
      <c r="G2448" s="34" t="n">
        <f aca="false">B2448/1</f>
        <v>136.016</v>
      </c>
      <c r="H2448" s="34" t="n">
        <f aca="false">IF(F2448=1,G2448,"")</f>
        <v>136.016</v>
      </c>
    </row>
    <row r="2449" customFormat="false" ht="15" hidden="false" customHeight="false" outlineLevel="0" collapsed="false">
      <c r="A2449" s="31" t="n">
        <v>42837.9583333333</v>
      </c>
      <c r="B2449" s="32" t="n">
        <v>69.249</v>
      </c>
      <c r="D2449" s="33" t="n">
        <f aca="false">WEEKDAY(A2449,2)</f>
        <v>3</v>
      </c>
      <c r="E2449" s="33" t="n">
        <f aca="false">HOUR(A2449)+MINUTE(A2449)/60</f>
        <v>23</v>
      </c>
      <c r="F2449" s="33" t="n">
        <f aca="false">IF(OR(D2449&gt;5,E2449&lt;8,E2449&gt;=18,COUNTIF($K$2:$K$10,INT(A2449))&gt;0),1,0)</f>
        <v>1</v>
      </c>
      <c r="G2449" s="34" t="n">
        <f aca="false">B2449/1</f>
        <v>69.249</v>
      </c>
      <c r="H2449" s="34" t="n">
        <f aca="false">IF(F2449=1,G2449,"")</f>
        <v>69.249</v>
      </c>
    </row>
    <row r="2450" customFormat="false" ht="15" hidden="false" customHeight="false" outlineLevel="0" collapsed="false">
      <c r="A2450" s="31" t="n">
        <v>42838</v>
      </c>
      <c r="B2450" s="32" t="n">
        <v>67.84</v>
      </c>
      <c r="D2450" s="33" t="n">
        <f aca="false">WEEKDAY(A2450,2)</f>
        <v>4</v>
      </c>
      <c r="E2450" s="33" t="n">
        <f aca="false">HOUR(A2450)+MINUTE(A2450)/60</f>
        <v>0</v>
      </c>
      <c r="F2450" s="33" t="n">
        <f aca="false">IF(OR(D2450&gt;5,E2450&lt;8,E2450&gt;=18,COUNTIF($K$2:$K$10,INT(A2450))&gt;0),1,0)</f>
        <v>1</v>
      </c>
      <c r="G2450" s="34" t="n">
        <f aca="false">B2450/1</f>
        <v>67.84</v>
      </c>
      <c r="H2450" s="34" t="n">
        <f aca="false">IF(F2450=1,G2450,"")</f>
        <v>67.84</v>
      </c>
    </row>
    <row r="2451" customFormat="false" ht="15" hidden="false" customHeight="false" outlineLevel="0" collapsed="false">
      <c r="A2451" s="31" t="n">
        <v>42838.0416666667</v>
      </c>
      <c r="B2451" s="32" t="n">
        <v>64.156</v>
      </c>
      <c r="D2451" s="33" t="n">
        <f aca="false">WEEKDAY(A2451,2)</f>
        <v>4</v>
      </c>
      <c r="E2451" s="33" t="n">
        <f aca="false">HOUR(A2451)+MINUTE(A2451)/60</f>
        <v>1</v>
      </c>
      <c r="F2451" s="33" t="n">
        <f aca="false">IF(OR(D2451&gt;5,E2451&lt;8,E2451&gt;=18,COUNTIF($K$2:$K$10,INT(A2451))&gt;0),1,0)</f>
        <v>1</v>
      </c>
      <c r="G2451" s="34" t="n">
        <f aca="false">B2451/1</f>
        <v>64.156</v>
      </c>
      <c r="H2451" s="34" t="n">
        <f aca="false">IF(F2451=1,G2451,"")</f>
        <v>64.156</v>
      </c>
    </row>
    <row r="2452" customFormat="false" ht="15" hidden="false" customHeight="false" outlineLevel="0" collapsed="false">
      <c r="A2452" s="31" t="n">
        <v>42838.0833333333</v>
      </c>
      <c r="B2452" s="32" t="n">
        <v>59.425</v>
      </c>
      <c r="D2452" s="33" t="n">
        <f aca="false">WEEKDAY(A2452,2)</f>
        <v>4</v>
      </c>
      <c r="E2452" s="33" t="n">
        <f aca="false">HOUR(A2452)+MINUTE(A2452)/60</f>
        <v>2</v>
      </c>
      <c r="F2452" s="33" t="n">
        <f aca="false">IF(OR(D2452&gt;5,E2452&lt;8,E2452&gt;=18,COUNTIF($K$2:$K$10,INT(A2452))&gt;0),1,0)</f>
        <v>1</v>
      </c>
      <c r="G2452" s="34" t="n">
        <f aca="false">B2452/1</f>
        <v>59.425</v>
      </c>
      <c r="H2452" s="34" t="n">
        <f aca="false">IF(F2452=1,G2452,"")</f>
        <v>59.425</v>
      </c>
    </row>
    <row r="2453" customFormat="false" ht="15" hidden="false" customHeight="false" outlineLevel="0" collapsed="false">
      <c r="A2453" s="31" t="n">
        <v>42838.125</v>
      </c>
      <c r="B2453" s="32" t="n">
        <v>60.354</v>
      </c>
      <c r="D2453" s="33" t="n">
        <f aca="false">WEEKDAY(A2453,2)</f>
        <v>4</v>
      </c>
      <c r="E2453" s="33" t="n">
        <f aca="false">HOUR(A2453)+MINUTE(A2453)/60</f>
        <v>3</v>
      </c>
      <c r="F2453" s="33" t="n">
        <f aca="false">IF(OR(D2453&gt;5,E2453&lt;8,E2453&gt;=18,COUNTIF($K$2:$K$10,INT(A2453))&gt;0),1,0)</f>
        <v>1</v>
      </c>
      <c r="G2453" s="34" t="n">
        <f aca="false">B2453/1</f>
        <v>60.354</v>
      </c>
      <c r="H2453" s="34" t="n">
        <f aca="false">IF(F2453=1,G2453,"")</f>
        <v>60.354</v>
      </c>
    </row>
    <row r="2454" customFormat="false" ht="15" hidden="false" customHeight="false" outlineLevel="0" collapsed="false">
      <c r="A2454" s="31" t="n">
        <v>42838.1666666667</v>
      </c>
      <c r="B2454" s="32" t="n">
        <v>64.735</v>
      </c>
      <c r="D2454" s="33" t="n">
        <f aca="false">WEEKDAY(A2454,2)</f>
        <v>4</v>
      </c>
      <c r="E2454" s="33" t="n">
        <f aca="false">HOUR(A2454)+MINUTE(A2454)/60</f>
        <v>4</v>
      </c>
      <c r="F2454" s="33" t="n">
        <f aca="false">IF(OR(D2454&gt;5,E2454&lt;8,E2454&gt;=18,COUNTIF($K$2:$K$10,INT(A2454))&gt;0),1,0)</f>
        <v>1</v>
      </c>
      <c r="G2454" s="34" t="n">
        <f aca="false">B2454/1</f>
        <v>64.735</v>
      </c>
      <c r="H2454" s="34" t="n">
        <f aca="false">IF(F2454=1,G2454,"")</f>
        <v>64.735</v>
      </c>
    </row>
    <row r="2455" customFormat="false" ht="15" hidden="false" customHeight="false" outlineLevel="0" collapsed="false">
      <c r="A2455" s="31" t="n">
        <v>42838.2083333333</v>
      </c>
      <c r="B2455" s="32" t="n">
        <v>61.773</v>
      </c>
      <c r="D2455" s="33" t="n">
        <f aca="false">WEEKDAY(A2455,2)</f>
        <v>4</v>
      </c>
      <c r="E2455" s="33" t="n">
        <f aca="false">HOUR(A2455)+MINUTE(A2455)/60</f>
        <v>5</v>
      </c>
      <c r="F2455" s="33" t="n">
        <f aca="false">IF(OR(D2455&gt;5,E2455&lt;8,E2455&gt;=18,COUNTIF($K$2:$K$10,INT(A2455))&gt;0),1,0)</f>
        <v>1</v>
      </c>
      <c r="G2455" s="34" t="n">
        <f aca="false">B2455/1</f>
        <v>61.773</v>
      </c>
      <c r="H2455" s="34" t="n">
        <f aca="false">IF(F2455=1,G2455,"")</f>
        <v>61.773</v>
      </c>
    </row>
    <row r="2456" customFormat="false" ht="15" hidden="false" customHeight="false" outlineLevel="0" collapsed="false">
      <c r="A2456" s="31" t="n">
        <v>42838.25</v>
      </c>
      <c r="B2456" s="32" t="n">
        <v>59.242</v>
      </c>
      <c r="D2456" s="33" t="n">
        <f aca="false">WEEKDAY(A2456,2)</f>
        <v>4</v>
      </c>
      <c r="E2456" s="33" t="n">
        <f aca="false">HOUR(A2456)+MINUTE(A2456)/60</f>
        <v>6</v>
      </c>
      <c r="F2456" s="33" t="n">
        <f aca="false">IF(OR(D2456&gt;5,E2456&lt;8,E2456&gt;=18,COUNTIF($K$2:$K$10,INT(A2456))&gt;0),1,0)</f>
        <v>1</v>
      </c>
      <c r="G2456" s="34" t="n">
        <f aca="false">B2456/1</f>
        <v>59.242</v>
      </c>
      <c r="H2456" s="34" t="n">
        <f aca="false">IF(F2456=1,G2456,"")</f>
        <v>59.242</v>
      </c>
    </row>
    <row r="2457" customFormat="false" ht="15" hidden="false" customHeight="false" outlineLevel="0" collapsed="false">
      <c r="A2457" s="31" t="n">
        <v>42838.2916666667</v>
      </c>
      <c r="B2457" s="32" t="n">
        <v>66.892</v>
      </c>
      <c r="D2457" s="33" t="n">
        <f aca="false">WEEKDAY(A2457,2)</f>
        <v>4</v>
      </c>
      <c r="E2457" s="33" t="n">
        <f aca="false">HOUR(A2457)+MINUTE(A2457)/60</f>
        <v>7</v>
      </c>
      <c r="F2457" s="33" t="n">
        <f aca="false">IF(OR(D2457&gt;5,E2457&lt;8,E2457&gt;=18,COUNTIF($K$2:$K$10,INT(A2457))&gt;0),1,0)</f>
        <v>1</v>
      </c>
      <c r="G2457" s="34" t="n">
        <f aca="false">B2457/1</f>
        <v>66.892</v>
      </c>
      <c r="H2457" s="34" t="n">
        <f aca="false">IF(F2457=1,G2457,"")</f>
        <v>66.892</v>
      </c>
    </row>
    <row r="2458" customFormat="false" ht="15" hidden="false" customHeight="false" outlineLevel="0" collapsed="false">
      <c r="A2458" s="31" t="n">
        <v>42838.3333333333</v>
      </c>
      <c r="B2458" s="32" t="n">
        <v>174.792</v>
      </c>
      <c r="D2458" s="33" t="n">
        <f aca="false">WEEKDAY(A2458,2)</f>
        <v>4</v>
      </c>
      <c r="E2458" s="33" t="n">
        <f aca="false">HOUR(A2458)+MINUTE(A2458)/60</f>
        <v>8</v>
      </c>
      <c r="F2458" s="33" t="n">
        <f aca="false">IF(OR(D2458&gt;5,E2458&lt;8,E2458&gt;=18,COUNTIF($K$2:$K$10,INT(A2458))&gt;0),1,0)</f>
        <v>0</v>
      </c>
      <c r="G2458" s="34" t="n">
        <f aca="false">B2458/1</f>
        <v>174.792</v>
      </c>
      <c r="H2458" s="34" t="str">
        <f aca="false">IF(F2458=1,G2458,"")</f>
        <v/>
      </c>
    </row>
    <row r="2459" customFormat="false" ht="15" hidden="false" customHeight="false" outlineLevel="0" collapsed="false">
      <c r="A2459" s="31" t="n">
        <v>42838.375</v>
      </c>
      <c r="B2459" s="32" t="n">
        <v>215.631</v>
      </c>
      <c r="D2459" s="33" t="n">
        <f aca="false">WEEKDAY(A2459,2)</f>
        <v>4</v>
      </c>
      <c r="E2459" s="33" t="n">
        <f aca="false">HOUR(A2459)+MINUTE(A2459)/60</f>
        <v>9</v>
      </c>
      <c r="F2459" s="33" t="n">
        <f aca="false">IF(OR(D2459&gt;5,E2459&lt;8,E2459&gt;=18,COUNTIF($K$2:$K$10,INT(A2459))&gt;0),1,0)</f>
        <v>0</v>
      </c>
      <c r="G2459" s="34" t="n">
        <f aca="false">B2459/1</f>
        <v>215.631</v>
      </c>
      <c r="H2459" s="34" t="str">
        <f aca="false">IF(F2459=1,G2459,"")</f>
        <v/>
      </c>
    </row>
    <row r="2460" customFormat="false" ht="15" hidden="false" customHeight="false" outlineLevel="0" collapsed="false">
      <c r="A2460" s="31" t="n">
        <v>42838.4166666667</v>
      </c>
      <c r="B2460" s="32" t="n">
        <v>244.594</v>
      </c>
      <c r="D2460" s="33" t="n">
        <f aca="false">WEEKDAY(A2460,2)</f>
        <v>4</v>
      </c>
      <c r="E2460" s="33" t="n">
        <f aca="false">HOUR(A2460)+MINUTE(A2460)/60</f>
        <v>10</v>
      </c>
      <c r="F2460" s="33" t="n">
        <f aca="false">IF(OR(D2460&gt;5,E2460&lt;8,E2460&gt;=18,COUNTIF($K$2:$K$10,INT(A2460))&gt;0),1,0)</f>
        <v>0</v>
      </c>
      <c r="G2460" s="34" t="n">
        <f aca="false">B2460/1</f>
        <v>244.594</v>
      </c>
      <c r="H2460" s="34" t="str">
        <f aca="false">IF(F2460=1,G2460,"")</f>
        <v/>
      </c>
    </row>
    <row r="2461" customFormat="false" ht="15" hidden="false" customHeight="false" outlineLevel="0" collapsed="false">
      <c r="A2461" s="31" t="n">
        <v>42838.4583333333</v>
      </c>
      <c r="B2461" s="32" t="n">
        <v>282.541</v>
      </c>
      <c r="D2461" s="33" t="n">
        <f aca="false">WEEKDAY(A2461,2)</f>
        <v>4</v>
      </c>
      <c r="E2461" s="33" t="n">
        <f aca="false">HOUR(A2461)+MINUTE(A2461)/60</f>
        <v>11</v>
      </c>
      <c r="F2461" s="33" t="n">
        <f aca="false">IF(OR(D2461&gt;5,E2461&lt;8,E2461&gt;=18,COUNTIF($K$2:$K$10,INT(A2461))&gt;0),1,0)</f>
        <v>0</v>
      </c>
      <c r="G2461" s="34" t="n">
        <f aca="false">B2461/1</f>
        <v>282.541</v>
      </c>
      <c r="H2461" s="34" t="str">
        <f aca="false">IF(F2461=1,G2461,"")</f>
        <v/>
      </c>
    </row>
    <row r="2462" customFormat="false" ht="15" hidden="false" customHeight="false" outlineLevel="0" collapsed="false">
      <c r="A2462" s="31" t="n">
        <v>42838.5</v>
      </c>
      <c r="B2462" s="32" t="n">
        <v>262.871</v>
      </c>
      <c r="D2462" s="33" t="n">
        <f aca="false">WEEKDAY(A2462,2)</f>
        <v>4</v>
      </c>
      <c r="E2462" s="33" t="n">
        <f aca="false">HOUR(A2462)+MINUTE(A2462)/60</f>
        <v>12</v>
      </c>
      <c r="F2462" s="33" t="n">
        <f aca="false">IF(OR(D2462&gt;5,E2462&lt;8,E2462&gt;=18,COUNTIF($K$2:$K$10,INT(A2462))&gt;0),1,0)</f>
        <v>0</v>
      </c>
      <c r="G2462" s="34" t="n">
        <f aca="false">B2462/1</f>
        <v>262.871</v>
      </c>
      <c r="H2462" s="34" t="str">
        <f aca="false">IF(F2462=1,G2462,"")</f>
        <v/>
      </c>
    </row>
    <row r="2463" customFormat="false" ht="15" hidden="false" customHeight="false" outlineLevel="0" collapsed="false">
      <c r="A2463" s="31" t="n">
        <v>42838.5416666667</v>
      </c>
      <c r="B2463" s="32" t="n">
        <v>250.636</v>
      </c>
      <c r="D2463" s="33" t="n">
        <f aca="false">WEEKDAY(A2463,2)</f>
        <v>4</v>
      </c>
      <c r="E2463" s="33" t="n">
        <f aca="false">HOUR(A2463)+MINUTE(A2463)/60</f>
        <v>13</v>
      </c>
      <c r="F2463" s="33" t="n">
        <f aca="false">IF(OR(D2463&gt;5,E2463&lt;8,E2463&gt;=18,COUNTIF($K$2:$K$10,INT(A2463))&gt;0),1,0)</f>
        <v>0</v>
      </c>
      <c r="G2463" s="34" t="n">
        <f aca="false">B2463/1</f>
        <v>250.636</v>
      </c>
      <c r="H2463" s="34" t="str">
        <f aca="false">IF(F2463=1,G2463,"")</f>
        <v/>
      </c>
    </row>
    <row r="2464" customFormat="false" ht="15" hidden="false" customHeight="false" outlineLevel="0" collapsed="false">
      <c r="A2464" s="31" t="n">
        <v>42838.5833333333</v>
      </c>
      <c r="B2464" s="32" t="n">
        <v>279.507</v>
      </c>
      <c r="D2464" s="33" t="n">
        <f aca="false">WEEKDAY(A2464,2)</f>
        <v>4</v>
      </c>
      <c r="E2464" s="33" t="n">
        <f aca="false">HOUR(A2464)+MINUTE(A2464)/60</f>
        <v>14</v>
      </c>
      <c r="F2464" s="33" t="n">
        <f aca="false">IF(OR(D2464&gt;5,E2464&lt;8,E2464&gt;=18,COUNTIF($K$2:$K$10,INT(A2464))&gt;0),1,0)</f>
        <v>0</v>
      </c>
      <c r="G2464" s="34" t="n">
        <f aca="false">B2464/1</f>
        <v>279.507</v>
      </c>
      <c r="H2464" s="34" t="str">
        <f aca="false">IF(F2464=1,G2464,"")</f>
        <v/>
      </c>
    </row>
    <row r="2465" customFormat="false" ht="15" hidden="false" customHeight="false" outlineLevel="0" collapsed="false">
      <c r="A2465" s="31" t="n">
        <v>42838.625</v>
      </c>
      <c r="B2465" s="32" t="n">
        <v>275.514</v>
      </c>
      <c r="D2465" s="33" t="n">
        <f aca="false">WEEKDAY(A2465,2)</f>
        <v>4</v>
      </c>
      <c r="E2465" s="33" t="n">
        <f aca="false">HOUR(A2465)+MINUTE(A2465)/60</f>
        <v>15</v>
      </c>
      <c r="F2465" s="33" t="n">
        <f aca="false">IF(OR(D2465&gt;5,E2465&lt;8,E2465&gt;=18,COUNTIF($K$2:$K$10,INT(A2465))&gt;0),1,0)</f>
        <v>0</v>
      </c>
      <c r="G2465" s="34" t="n">
        <f aca="false">B2465/1</f>
        <v>275.514</v>
      </c>
      <c r="H2465" s="34" t="str">
        <f aca="false">IF(F2465=1,G2465,"")</f>
        <v/>
      </c>
    </row>
    <row r="2466" customFormat="false" ht="15" hidden="false" customHeight="false" outlineLevel="0" collapsed="false">
      <c r="A2466" s="31" t="n">
        <v>42838.6666666667</v>
      </c>
      <c r="B2466" s="32" t="n">
        <v>245.027</v>
      </c>
      <c r="D2466" s="33" t="n">
        <f aca="false">WEEKDAY(A2466,2)</f>
        <v>4</v>
      </c>
      <c r="E2466" s="33" t="n">
        <f aca="false">HOUR(A2466)+MINUTE(A2466)/60</f>
        <v>16</v>
      </c>
      <c r="F2466" s="33" t="n">
        <f aca="false">IF(OR(D2466&gt;5,E2466&lt;8,E2466&gt;=18,COUNTIF($K$2:$K$10,INT(A2466))&gt;0),1,0)</f>
        <v>0</v>
      </c>
      <c r="G2466" s="34" t="n">
        <f aca="false">B2466/1</f>
        <v>245.027</v>
      </c>
      <c r="H2466" s="34" t="str">
        <f aca="false">IF(F2466=1,G2466,"")</f>
        <v/>
      </c>
    </row>
    <row r="2467" customFormat="false" ht="15" hidden="false" customHeight="false" outlineLevel="0" collapsed="false">
      <c r="A2467" s="31" t="n">
        <v>42838.7083333333</v>
      </c>
      <c r="B2467" s="32" t="n">
        <v>222.812</v>
      </c>
      <c r="D2467" s="33" t="n">
        <f aca="false">WEEKDAY(A2467,2)</f>
        <v>4</v>
      </c>
      <c r="E2467" s="33" t="n">
        <f aca="false">HOUR(A2467)+MINUTE(A2467)/60</f>
        <v>17</v>
      </c>
      <c r="F2467" s="33" t="n">
        <f aca="false">IF(OR(D2467&gt;5,E2467&lt;8,E2467&gt;=18,COUNTIF($K$2:$K$10,INT(A2467))&gt;0),1,0)</f>
        <v>0</v>
      </c>
      <c r="G2467" s="34" t="n">
        <f aca="false">B2467/1</f>
        <v>222.812</v>
      </c>
      <c r="H2467" s="34" t="str">
        <f aca="false">IF(F2467=1,G2467,"")</f>
        <v/>
      </c>
    </row>
    <row r="2468" customFormat="false" ht="15" hidden="false" customHeight="false" outlineLevel="0" collapsed="false">
      <c r="A2468" s="31" t="n">
        <v>42838.75</v>
      </c>
      <c r="B2468" s="32" t="n">
        <v>206.324</v>
      </c>
      <c r="D2468" s="33" t="n">
        <f aca="false">WEEKDAY(A2468,2)</f>
        <v>4</v>
      </c>
      <c r="E2468" s="33" t="n">
        <f aca="false">HOUR(A2468)+MINUTE(A2468)/60</f>
        <v>18</v>
      </c>
      <c r="F2468" s="33" t="n">
        <f aca="false">IF(OR(D2468&gt;5,E2468&lt;8,E2468&gt;=18,COUNTIF($K$2:$K$10,INT(A2468))&gt;0),1,0)</f>
        <v>1</v>
      </c>
      <c r="G2468" s="34" t="n">
        <f aca="false">B2468/1</f>
        <v>206.324</v>
      </c>
      <c r="H2468" s="34" t="n">
        <f aca="false">IF(F2468=1,G2468,"")</f>
        <v>206.324</v>
      </c>
    </row>
    <row r="2469" customFormat="false" ht="15" hidden="false" customHeight="false" outlineLevel="0" collapsed="false">
      <c r="A2469" s="31" t="n">
        <v>42838.7916666667</v>
      </c>
      <c r="B2469" s="32" t="n">
        <v>191.489</v>
      </c>
      <c r="D2469" s="33" t="n">
        <f aca="false">WEEKDAY(A2469,2)</f>
        <v>4</v>
      </c>
      <c r="E2469" s="33" t="n">
        <f aca="false">HOUR(A2469)+MINUTE(A2469)/60</f>
        <v>19</v>
      </c>
      <c r="F2469" s="33" t="n">
        <f aca="false">IF(OR(D2469&gt;5,E2469&lt;8,E2469&gt;=18,COUNTIF($K$2:$K$10,INT(A2469))&gt;0),1,0)</f>
        <v>1</v>
      </c>
      <c r="G2469" s="34" t="n">
        <f aca="false">B2469/1</f>
        <v>191.489</v>
      </c>
      <c r="H2469" s="34" t="n">
        <f aca="false">IF(F2469=1,G2469,"")</f>
        <v>191.489</v>
      </c>
    </row>
    <row r="2470" customFormat="false" ht="15" hidden="false" customHeight="false" outlineLevel="0" collapsed="false">
      <c r="A2470" s="31" t="n">
        <v>42838.8333333333</v>
      </c>
      <c r="B2470" s="32" t="n">
        <v>184.254</v>
      </c>
      <c r="D2470" s="33" t="n">
        <f aca="false">WEEKDAY(A2470,2)</f>
        <v>4</v>
      </c>
      <c r="E2470" s="33" t="n">
        <f aca="false">HOUR(A2470)+MINUTE(A2470)/60</f>
        <v>20</v>
      </c>
      <c r="F2470" s="33" t="n">
        <f aca="false">IF(OR(D2470&gt;5,E2470&lt;8,E2470&gt;=18,COUNTIF($K$2:$K$10,INT(A2470))&gt;0),1,0)</f>
        <v>1</v>
      </c>
      <c r="G2470" s="34" t="n">
        <f aca="false">B2470/1</f>
        <v>184.254</v>
      </c>
      <c r="H2470" s="34" t="n">
        <f aca="false">IF(F2470=1,G2470,"")</f>
        <v>184.254</v>
      </c>
    </row>
    <row r="2471" customFormat="false" ht="15" hidden="false" customHeight="false" outlineLevel="0" collapsed="false">
      <c r="A2471" s="31" t="n">
        <v>42838.875</v>
      </c>
      <c r="B2471" s="32" t="n">
        <v>176.319</v>
      </c>
      <c r="D2471" s="33" t="n">
        <f aca="false">WEEKDAY(A2471,2)</f>
        <v>4</v>
      </c>
      <c r="E2471" s="33" t="n">
        <f aca="false">HOUR(A2471)+MINUTE(A2471)/60</f>
        <v>21</v>
      </c>
      <c r="F2471" s="33" t="n">
        <f aca="false">IF(OR(D2471&gt;5,E2471&lt;8,E2471&gt;=18,COUNTIF($K$2:$K$10,INT(A2471))&gt;0),1,0)</f>
        <v>1</v>
      </c>
      <c r="G2471" s="34" t="n">
        <f aca="false">B2471/1</f>
        <v>176.319</v>
      </c>
      <c r="H2471" s="34" t="n">
        <f aca="false">IF(F2471=1,G2471,"")</f>
        <v>176.319</v>
      </c>
    </row>
    <row r="2472" customFormat="false" ht="15" hidden="false" customHeight="false" outlineLevel="0" collapsed="false">
      <c r="A2472" s="31" t="n">
        <v>42838.9166666667</v>
      </c>
      <c r="B2472" s="32" t="n">
        <v>124.525</v>
      </c>
      <c r="D2472" s="33" t="n">
        <f aca="false">WEEKDAY(A2472,2)</f>
        <v>4</v>
      </c>
      <c r="E2472" s="33" t="n">
        <f aca="false">HOUR(A2472)+MINUTE(A2472)/60</f>
        <v>22</v>
      </c>
      <c r="F2472" s="33" t="n">
        <f aca="false">IF(OR(D2472&gt;5,E2472&lt;8,E2472&gt;=18,COUNTIF($K$2:$K$10,INT(A2472))&gt;0),1,0)</f>
        <v>1</v>
      </c>
      <c r="G2472" s="34" t="n">
        <f aca="false">B2472/1</f>
        <v>124.525</v>
      </c>
      <c r="H2472" s="34" t="n">
        <f aca="false">IF(F2472=1,G2472,"")</f>
        <v>124.525</v>
      </c>
    </row>
    <row r="2473" customFormat="false" ht="15" hidden="false" customHeight="false" outlineLevel="0" collapsed="false">
      <c r="A2473" s="31" t="n">
        <v>42838.9583333333</v>
      </c>
      <c r="B2473" s="32" t="n">
        <v>66.724</v>
      </c>
      <c r="D2473" s="33" t="n">
        <f aca="false">WEEKDAY(A2473,2)</f>
        <v>4</v>
      </c>
      <c r="E2473" s="33" t="n">
        <f aca="false">HOUR(A2473)+MINUTE(A2473)/60</f>
        <v>23</v>
      </c>
      <c r="F2473" s="33" t="n">
        <f aca="false">IF(OR(D2473&gt;5,E2473&lt;8,E2473&gt;=18,COUNTIF($K$2:$K$10,INT(A2473))&gt;0),1,0)</f>
        <v>1</v>
      </c>
      <c r="G2473" s="34" t="n">
        <f aca="false">B2473/1</f>
        <v>66.724</v>
      </c>
      <c r="H2473" s="34" t="n">
        <f aca="false">IF(F2473=1,G2473,"")</f>
        <v>66.724</v>
      </c>
    </row>
    <row r="2474" customFormat="false" ht="15" hidden="false" customHeight="false" outlineLevel="0" collapsed="false">
      <c r="A2474" s="31" t="n">
        <v>42839</v>
      </c>
      <c r="B2474" s="32" t="n">
        <v>56.796</v>
      </c>
      <c r="D2474" s="33" t="n">
        <f aca="false">WEEKDAY(A2474,2)</f>
        <v>5</v>
      </c>
      <c r="E2474" s="33" t="n">
        <f aca="false">HOUR(A2474)+MINUTE(A2474)/60</f>
        <v>0</v>
      </c>
      <c r="F2474" s="33" t="n">
        <f aca="false">IF(OR(D2474&gt;5,E2474&lt;8,E2474&gt;=18,COUNTIF($K$2:$K$10,INT(A2474))&gt;0),1,0)</f>
        <v>1</v>
      </c>
      <c r="G2474" s="34" t="n">
        <f aca="false">B2474/1</f>
        <v>56.796</v>
      </c>
      <c r="H2474" s="34" t="n">
        <f aca="false">IF(F2474=1,G2474,"")</f>
        <v>56.796</v>
      </c>
    </row>
    <row r="2475" customFormat="false" ht="15" hidden="false" customHeight="false" outlineLevel="0" collapsed="false">
      <c r="A2475" s="31" t="n">
        <v>42839.0416666667</v>
      </c>
      <c r="B2475" s="32" t="n">
        <v>53.735</v>
      </c>
      <c r="D2475" s="33" t="n">
        <f aca="false">WEEKDAY(A2475,2)</f>
        <v>5</v>
      </c>
      <c r="E2475" s="33" t="n">
        <f aca="false">HOUR(A2475)+MINUTE(A2475)/60</f>
        <v>1</v>
      </c>
      <c r="F2475" s="33" t="n">
        <f aca="false">IF(OR(D2475&gt;5,E2475&lt;8,E2475&gt;=18,COUNTIF($K$2:$K$10,INT(A2475))&gt;0),1,0)</f>
        <v>1</v>
      </c>
      <c r="G2475" s="34" t="n">
        <f aca="false">B2475/1</f>
        <v>53.735</v>
      </c>
      <c r="H2475" s="34" t="n">
        <f aca="false">IF(F2475=1,G2475,"")</f>
        <v>53.735</v>
      </c>
    </row>
    <row r="2476" customFormat="false" ht="15" hidden="false" customHeight="false" outlineLevel="0" collapsed="false">
      <c r="A2476" s="31" t="n">
        <v>42839.0833333333</v>
      </c>
      <c r="B2476" s="32" t="n">
        <v>57.628</v>
      </c>
      <c r="D2476" s="33" t="n">
        <f aca="false">WEEKDAY(A2476,2)</f>
        <v>5</v>
      </c>
      <c r="E2476" s="33" t="n">
        <f aca="false">HOUR(A2476)+MINUTE(A2476)/60</f>
        <v>2</v>
      </c>
      <c r="F2476" s="33" t="n">
        <f aca="false">IF(OR(D2476&gt;5,E2476&lt;8,E2476&gt;=18,COUNTIF($K$2:$K$10,INT(A2476))&gt;0),1,0)</f>
        <v>1</v>
      </c>
      <c r="G2476" s="34" t="n">
        <f aca="false">B2476/1</f>
        <v>57.628</v>
      </c>
      <c r="H2476" s="34" t="n">
        <f aca="false">IF(F2476=1,G2476,"")</f>
        <v>57.628</v>
      </c>
    </row>
    <row r="2477" customFormat="false" ht="15" hidden="false" customHeight="false" outlineLevel="0" collapsed="false">
      <c r="A2477" s="31" t="n">
        <v>42839.125</v>
      </c>
      <c r="B2477" s="32" t="n">
        <v>54.53</v>
      </c>
      <c r="D2477" s="33" t="n">
        <f aca="false">WEEKDAY(A2477,2)</f>
        <v>5</v>
      </c>
      <c r="E2477" s="33" t="n">
        <f aca="false">HOUR(A2477)+MINUTE(A2477)/60</f>
        <v>3</v>
      </c>
      <c r="F2477" s="33" t="n">
        <f aca="false">IF(OR(D2477&gt;5,E2477&lt;8,E2477&gt;=18,COUNTIF($K$2:$K$10,INT(A2477))&gt;0),1,0)</f>
        <v>1</v>
      </c>
      <c r="G2477" s="34" t="n">
        <f aca="false">B2477/1</f>
        <v>54.53</v>
      </c>
      <c r="H2477" s="34" t="n">
        <f aca="false">IF(F2477=1,G2477,"")</f>
        <v>54.53</v>
      </c>
    </row>
    <row r="2478" customFormat="false" ht="15" hidden="false" customHeight="false" outlineLevel="0" collapsed="false">
      <c r="A2478" s="31" t="n">
        <v>42839.1666666667</v>
      </c>
      <c r="B2478" s="32" t="n">
        <v>52.885</v>
      </c>
      <c r="D2478" s="33" t="n">
        <f aca="false">WEEKDAY(A2478,2)</f>
        <v>5</v>
      </c>
      <c r="E2478" s="33" t="n">
        <f aca="false">HOUR(A2478)+MINUTE(A2478)/60</f>
        <v>4</v>
      </c>
      <c r="F2478" s="33" t="n">
        <f aca="false">IF(OR(D2478&gt;5,E2478&lt;8,E2478&gt;=18,COUNTIF($K$2:$K$10,INT(A2478))&gt;0),1,0)</f>
        <v>1</v>
      </c>
      <c r="G2478" s="34" t="n">
        <f aca="false">B2478/1</f>
        <v>52.885</v>
      </c>
      <c r="H2478" s="34" t="n">
        <f aca="false">IF(F2478=1,G2478,"")</f>
        <v>52.885</v>
      </c>
    </row>
    <row r="2479" customFormat="false" ht="15" hidden="false" customHeight="false" outlineLevel="0" collapsed="false">
      <c r="A2479" s="31" t="n">
        <v>42839.2083333333</v>
      </c>
      <c r="B2479" s="32" t="n">
        <v>55.672</v>
      </c>
      <c r="D2479" s="33" t="n">
        <f aca="false">WEEKDAY(A2479,2)</f>
        <v>5</v>
      </c>
      <c r="E2479" s="33" t="n">
        <f aca="false">HOUR(A2479)+MINUTE(A2479)/60</f>
        <v>5</v>
      </c>
      <c r="F2479" s="33" t="n">
        <f aca="false">IF(OR(D2479&gt;5,E2479&lt;8,E2479&gt;=18,COUNTIF($K$2:$K$10,INT(A2479))&gt;0),1,0)</f>
        <v>1</v>
      </c>
      <c r="G2479" s="34" t="n">
        <f aca="false">B2479/1</f>
        <v>55.672</v>
      </c>
      <c r="H2479" s="34" t="n">
        <f aca="false">IF(F2479=1,G2479,"")</f>
        <v>55.672</v>
      </c>
    </row>
    <row r="2480" customFormat="false" ht="15" hidden="false" customHeight="false" outlineLevel="0" collapsed="false">
      <c r="A2480" s="31" t="n">
        <v>42839.25</v>
      </c>
      <c r="B2480" s="32" t="n">
        <v>55.944</v>
      </c>
      <c r="D2480" s="33" t="n">
        <f aca="false">WEEKDAY(A2480,2)</f>
        <v>5</v>
      </c>
      <c r="E2480" s="33" t="n">
        <f aca="false">HOUR(A2480)+MINUTE(A2480)/60</f>
        <v>6</v>
      </c>
      <c r="F2480" s="33" t="n">
        <f aca="false">IF(OR(D2480&gt;5,E2480&lt;8,E2480&gt;=18,COUNTIF($K$2:$K$10,INT(A2480))&gt;0),1,0)</f>
        <v>1</v>
      </c>
      <c r="G2480" s="34" t="n">
        <f aca="false">B2480/1</f>
        <v>55.944</v>
      </c>
      <c r="H2480" s="34" t="n">
        <f aca="false">IF(F2480=1,G2480,"")</f>
        <v>55.944</v>
      </c>
    </row>
    <row r="2481" customFormat="false" ht="15" hidden="false" customHeight="false" outlineLevel="0" collapsed="false">
      <c r="A2481" s="31" t="n">
        <v>42839.2916666667</v>
      </c>
      <c r="B2481" s="32" t="n">
        <v>59.224</v>
      </c>
      <c r="D2481" s="33" t="n">
        <f aca="false">WEEKDAY(A2481,2)</f>
        <v>5</v>
      </c>
      <c r="E2481" s="33" t="n">
        <f aca="false">HOUR(A2481)+MINUTE(A2481)/60</f>
        <v>7</v>
      </c>
      <c r="F2481" s="33" t="n">
        <f aca="false">IF(OR(D2481&gt;5,E2481&lt;8,E2481&gt;=18,COUNTIF($K$2:$K$10,INT(A2481))&gt;0),1,0)</f>
        <v>1</v>
      </c>
      <c r="G2481" s="34" t="n">
        <f aca="false">B2481/1</f>
        <v>59.224</v>
      </c>
      <c r="H2481" s="34" t="n">
        <f aca="false">IF(F2481=1,G2481,"")</f>
        <v>59.224</v>
      </c>
    </row>
    <row r="2482" customFormat="false" ht="15" hidden="false" customHeight="false" outlineLevel="0" collapsed="false">
      <c r="A2482" s="31" t="n">
        <v>42839.3333333333</v>
      </c>
      <c r="B2482" s="32" t="n">
        <v>162.022</v>
      </c>
      <c r="D2482" s="33" t="n">
        <f aca="false">WEEKDAY(A2482,2)</f>
        <v>5</v>
      </c>
      <c r="E2482" s="33" t="n">
        <f aca="false">HOUR(A2482)+MINUTE(A2482)/60</f>
        <v>8</v>
      </c>
      <c r="F2482" s="33" t="n">
        <f aca="false">IF(OR(D2482&gt;5,E2482&lt;8,E2482&gt;=18,COUNTIF($K$2:$K$10,INT(A2482))&gt;0),1,0)</f>
        <v>0</v>
      </c>
      <c r="G2482" s="34" t="n">
        <f aca="false">B2482/1</f>
        <v>162.022</v>
      </c>
      <c r="H2482" s="34" t="str">
        <f aca="false">IF(F2482=1,G2482,"")</f>
        <v/>
      </c>
    </row>
    <row r="2483" customFormat="false" ht="15" hidden="false" customHeight="false" outlineLevel="0" collapsed="false">
      <c r="A2483" s="31" t="n">
        <v>42839.375</v>
      </c>
      <c r="B2483" s="32" t="n">
        <v>193.181</v>
      </c>
      <c r="D2483" s="33" t="n">
        <f aca="false">WEEKDAY(A2483,2)</f>
        <v>5</v>
      </c>
      <c r="E2483" s="33" t="n">
        <f aca="false">HOUR(A2483)+MINUTE(A2483)/60</f>
        <v>9</v>
      </c>
      <c r="F2483" s="33" t="n">
        <f aca="false">IF(OR(D2483&gt;5,E2483&lt;8,E2483&gt;=18,COUNTIF($K$2:$K$10,INT(A2483))&gt;0),1,0)</f>
        <v>0</v>
      </c>
      <c r="G2483" s="34" t="n">
        <f aca="false">B2483/1</f>
        <v>193.181</v>
      </c>
      <c r="H2483" s="34" t="str">
        <f aca="false">IF(F2483=1,G2483,"")</f>
        <v/>
      </c>
    </row>
    <row r="2484" customFormat="false" ht="15" hidden="false" customHeight="false" outlineLevel="0" collapsed="false">
      <c r="A2484" s="31" t="n">
        <v>42839.4166666667</v>
      </c>
      <c r="B2484" s="32" t="n">
        <v>209.276</v>
      </c>
      <c r="D2484" s="33" t="n">
        <f aca="false">WEEKDAY(A2484,2)</f>
        <v>5</v>
      </c>
      <c r="E2484" s="33" t="n">
        <f aca="false">HOUR(A2484)+MINUTE(A2484)/60</f>
        <v>10</v>
      </c>
      <c r="F2484" s="33" t="n">
        <f aca="false">IF(OR(D2484&gt;5,E2484&lt;8,E2484&gt;=18,COUNTIF($K$2:$K$10,INT(A2484))&gt;0),1,0)</f>
        <v>0</v>
      </c>
      <c r="G2484" s="34" t="n">
        <f aca="false">B2484/1</f>
        <v>209.276</v>
      </c>
      <c r="H2484" s="34" t="str">
        <f aca="false">IF(F2484=1,G2484,"")</f>
        <v/>
      </c>
    </row>
    <row r="2485" customFormat="false" ht="15" hidden="false" customHeight="false" outlineLevel="0" collapsed="false">
      <c r="A2485" s="31" t="n">
        <v>42839.4583333333</v>
      </c>
      <c r="B2485" s="32" t="n">
        <v>229.85</v>
      </c>
      <c r="D2485" s="33" t="n">
        <f aca="false">WEEKDAY(A2485,2)</f>
        <v>5</v>
      </c>
      <c r="E2485" s="33" t="n">
        <f aca="false">HOUR(A2485)+MINUTE(A2485)/60</f>
        <v>11</v>
      </c>
      <c r="F2485" s="33" t="n">
        <f aca="false">IF(OR(D2485&gt;5,E2485&lt;8,E2485&gt;=18,COUNTIF($K$2:$K$10,INT(A2485))&gt;0),1,0)</f>
        <v>0</v>
      </c>
      <c r="G2485" s="34" t="n">
        <f aca="false">B2485/1</f>
        <v>229.85</v>
      </c>
      <c r="H2485" s="34" t="str">
        <f aca="false">IF(F2485=1,G2485,"")</f>
        <v/>
      </c>
    </row>
    <row r="2486" customFormat="false" ht="15" hidden="false" customHeight="false" outlineLevel="0" collapsed="false">
      <c r="A2486" s="31" t="n">
        <v>42839.5</v>
      </c>
      <c r="B2486" s="32" t="n">
        <v>247.921</v>
      </c>
      <c r="D2486" s="33" t="n">
        <f aca="false">WEEKDAY(A2486,2)</f>
        <v>5</v>
      </c>
      <c r="E2486" s="33" t="n">
        <f aca="false">HOUR(A2486)+MINUTE(A2486)/60</f>
        <v>12</v>
      </c>
      <c r="F2486" s="33" t="n">
        <f aca="false">IF(OR(D2486&gt;5,E2486&lt;8,E2486&gt;=18,COUNTIF($K$2:$K$10,INT(A2486))&gt;0),1,0)</f>
        <v>0</v>
      </c>
      <c r="G2486" s="34" t="n">
        <f aca="false">B2486/1</f>
        <v>247.921</v>
      </c>
      <c r="H2486" s="34" t="str">
        <f aca="false">IF(F2486=1,G2486,"")</f>
        <v/>
      </c>
    </row>
    <row r="2487" customFormat="false" ht="15" hidden="false" customHeight="false" outlineLevel="0" collapsed="false">
      <c r="A2487" s="31" t="n">
        <v>42839.5416666667</v>
      </c>
      <c r="B2487" s="32" t="n">
        <v>224.428</v>
      </c>
      <c r="D2487" s="33" t="n">
        <f aca="false">WEEKDAY(A2487,2)</f>
        <v>5</v>
      </c>
      <c r="E2487" s="33" t="n">
        <f aca="false">HOUR(A2487)+MINUTE(A2487)/60</f>
        <v>13</v>
      </c>
      <c r="F2487" s="33" t="n">
        <f aca="false">IF(OR(D2487&gt;5,E2487&lt;8,E2487&gt;=18,COUNTIF($K$2:$K$10,INT(A2487))&gt;0),1,0)</f>
        <v>0</v>
      </c>
      <c r="G2487" s="34" t="n">
        <f aca="false">B2487/1</f>
        <v>224.428</v>
      </c>
      <c r="H2487" s="34" t="str">
        <f aca="false">IF(F2487=1,G2487,"")</f>
        <v/>
      </c>
    </row>
    <row r="2488" customFormat="false" ht="15" hidden="false" customHeight="false" outlineLevel="0" collapsed="false">
      <c r="A2488" s="31" t="n">
        <v>42839.5833333333</v>
      </c>
      <c r="B2488" s="32" t="n">
        <v>221.684</v>
      </c>
      <c r="D2488" s="33" t="n">
        <f aca="false">WEEKDAY(A2488,2)</f>
        <v>5</v>
      </c>
      <c r="E2488" s="33" t="n">
        <f aca="false">HOUR(A2488)+MINUTE(A2488)/60</f>
        <v>14</v>
      </c>
      <c r="F2488" s="33" t="n">
        <f aca="false">IF(OR(D2488&gt;5,E2488&lt;8,E2488&gt;=18,COUNTIF($K$2:$K$10,INT(A2488))&gt;0),1,0)</f>
        <v>0</v>
      </c>
      <c r="G2488" s="34" t="n">
        <f aca="false">B2488/1</f>
        <v>221.684</v>
      </c>
      <c r="H2488" s="34" t="str">
        <f aca="false">IF(F2488=1,G2488,"")</f>
        <v/>
      </c>
    </row>
    <row r="2489" customFormat="false" ht="15" hidden="false" customHeight="false" outlineLevel="0" collapsed="false">
      <c r="A2489" s="31" t="n">
        <v>42839.625</v>
      </c>
      <c r="B2489" s="32" t="n">
        <v>217.64</v>
      </c>
      <c r="D2489" s="33" t="n">
        <f aca="false">WEEKDAY(A2489,2)</f>
        <v>5</v>
      </c>
      <c r="E2489" s="33" t="n">
        <f aca="false">HOUR(A2489)+MINUTE(A2489)/60</f>
        <v>15</v>
      </c>
      <c r="F2489" s="33" t="n">
        <f aca="false">IF(OR(D2489&gt;5,E2489&lt;8,E2489&gt;=18,COUNTIF($K$2:$K$10,INT(A2489))&gt;0),1,0)</f>
        <v>0</v>
      </c>
      <c r="G2489" s="34" t="n">
        <f aca="false">B2489/1</f>
        <v>217.64</v>
      </c>
      <c r="H2489" s="34" t="str">
        <f aca="false">IF(F2489=1,G2489,"")</f>
        <v/>
      </c>
    </row>
    <row r="2490" customFormat="false" ht="15" hidden="false" customHeight="false" outlineLevel="0" collapsed="false">
      <c r="A2490" s="31" t="n">
        <v>42839.6666666667</v>
      </c>
      <c r="B2490" s="32" t="n">
        <v>214.978</v>
      </c>
      <c r="D2490" s="33" t="n">
        <f aca="false">WEEKDAY(A2490,2)</f>
        <v>5</v>
      </c>
      <c r="E2490" s="33" t="n">
        <f aca="false">HOUR(A2490)+MINUTE(A2490)/60</f>
        <v>16</v>
      </c>
      <c r="F2490" s="33" t="n">
        <f aca="false">IF(OR(D2490&gt;5,E2490&lt;8,E2490&gt;=18,COUNTIF($K$2:$K$10,INT(A2490))&gt;0),1,0)</f>
        <v>0</v>
      </c>
      <c r="G2490" s="34" t="n">
        <f aca="false">B2490/1</f>
        <v>214.978</v>
      </c>
      <c r="H2490" s="34" t="str">
        <f aca="false">IF(F2490=1,G2490,"")</f>
        <v/>
      </c>
    </row>
    <row r="2491" customFormat="false" ht="15" hidden="false" customHeight="false" outlineLevel="0" collapsed="false">
      <c r="A2491" s="31" t="n">
        <v>42839.7083333333</v>
      </c>
      <c r="B2491" s="32" t="n">
        <v>206.73</v>
      </c>
      <c r="D2491" s="33" t="n">
        <f aca="false">WEEKDAY(A2491,2)</f>
        <v>5</v>
      </c>
      <c r="E2491" s="33" t="n">
        <f aca="false">HOUR(A2491)+MINUTE(A2491)/60</f>
        <v>17</v>
      </c>
      <c r="F2491" s="33" t="n">
        <f aca="false">IF(OR(D2491&gt;5,E2491&lt;8,E2491&gt;=18,COUNTIF($K$2:$K$10,INT(A2491))&gt;0),1,0)</f>
        <v>0</v>
      </c>
      <c r="G2491" s="34" t="n">
        <f aca="false">B2491/1</f>
        <v>206.73</v>
      </c>
      <c r="H2491" s="34" t="str">
        <f aca="false">IF(F2491=1,G2491,"")</f>
        <v/>
      </c>
    </row>
    <row r="2492" customFormat="false" ht="15" hidden="false" customHeight="false" outlineLevel="0" collapsed="false">
      <c r="A2492" s="31" t="n">
        <v>42839.75</v>
      </c>
      <c r="B2492" s="32" t="n">
        <v>200.022</v>
      </c>
      <c r="D2492" s="33" t="n">
        <f aca="false">WEEKDAY(A2492,2)</f>
        <v>5</v>
      </c>
      <c r="E2492" s="33" t="n">
        <f aca="false">HOUR(A2492)+MINUTE(A2492)/60</f>
        <v>18</v>
      </c>
      <c r="F2492" s="33" t="n">
        <f aca="false">IF(OR(D2492&gt;5,E2492&lt;8,E2492&gt;=18,COUNTIF($K$2:$K$10,INT(A2492))&gt;0),1,0)</f>
        <v>1</v>
      </c>
      <c r="G2492" s="34" t="n">
        <f aca="false">B2492/1</f>
        <v>200.022</v>
      </c>
      <c r="H2492" s="34" t="n">
        <f aca="false">IF(F2492=1,G2492,"")</f>
        <v>200.022</v>
      </c>
    </row>
    <row r="2493" customFormat="false" ht="15" hidden="false" customHeight="false" outlineLevel="0" collapsed="false">
      <c r="A2493" s="31" t="n">
        <v>42839.7916666667</v>
      </c>
      <c r="B2493" s="32" t="n">
        <v>184.701</v>
      </c>
      <c r="D2493" s="33" t="n">
        <f aca="false">WEEKDAY(A2493,2)</f>
        <v>5</v>
      </c>
      <c r="E2493" s="33" t="n">
        <f aca="false">HOUR(A2493)+MINUTE(A2493)/60</f>
        <v>19</v>
      </c>
      <c r="F2493" s="33" t="n">
        <f aca="false">IF(OR(D2493&gt;5,E2493&lt;8,E2493&gt;=18,COUNTIF($K$2:$K$10,INT(A2493))&gt;0),1,0)</f>
        <v>1</v>
      </c>
      <c r="G2493" s="34" t="n">
        <f aca="false">B2493/1</f>
        <v>184.701</v>
      </c>
      <c r="H2493" s="34" t="n">
        <f aca="false">IF(F2493=1,G2493,"")</f>
        <v>184.701</v>
      </c>
    </row>
    <row r="2494" customFormat="false" ht="15" hidden="false" customHeight="false" outlineLevel="0" collapsed="false">
      <c r="A2494" s="31" t="n">
        <v>42839.8333333333</v>
      </c>
      <c r="B2494" s="32" t="n">
        <v>175.706</v>
      </c>
      <c r="D2494" s="33" t="n">
        <f aca="false">WEEKDAY(A2494,2)</f>
        <v>5</v>
      </c>
      <c r="E2494" s="33" t="n">
        <f aca="false">HOUR(A2494)+MINUTE(A2494)/60</f>
        <v>20</v>
      </c>
      <c r="F2494" s="33" t="n">
        <f aca="false">IF(OR(D2494&gt;5,E2494&lt;8,E2494&gt;=18,COUNTIF($K$2:$K$10,INT(A2494))&gt;0),1,0)</f>
        <v>1</v>
      </c>
      <c r="G2494" s="34" t="n">
        <f aca="false">B2494/1</f>
        <v>175.706</v>
      </c>
      <c r="H2494" s="34" t="n">
        <f aca="false">IF(F2494=1,G2494,"")</f>
        <v>175.706</v>
      </c>
    </row>
    <row r="2495" customFormat="false" ht="15" hidden="false" customHeight="false" outlineLevel="0" collapsed="false">
      <c r="A2495" s="31" t="n">
        <v>42839.875</v>
      </c>
      <c r="B2495" s="32" t="n">
        <v>169.66</v>
      </c>
      <c r="D2495" s="33" t="n">
        <f aca="false">WEEKDAY(A2495,2)</f>
        <v>5</v>
      </c>
      <c r="E2495" s="33" t="n">
        <f aca="false">HOUR(A2495)+MINUTE(A2495)/60</f>
        <v>21</v>
      </c>
      <c r="F2495" s="33" t="n">
        <f aca="false">IF(OR(D2495&gt;5,E2495&lt;8,E2495&gt;=18,COUNTIF($K$2:$K$10,INT(A2495))&gt;0),1,0)</f>
        <v>1</v>
      </c>
      <c r="G2495" s="34" t="n">
        <f aca="false">B2495/1</f>
        <v>169.66</v>
      </c>
      <c r="H2495" s="34" t="n">
        <f aca="false">IF(F2495=1,G2495,"")</f>
        <v>169.66</v>
      </c>
    </row>
    <row r="2496" customFormat="false" ht="15" hidden="false" customHeight="false" outlineLevel="0" collapsed="false">
      <c r="A2496" s="31" t="n">
        <v>42839.9166666667</v>
      </c>
      <c r="B2496" s="32" t="n">
        <v>118.654</v>
      </c>
      <c r="D2496" s="33" t="n">
        <f aca="false">WEEKDAY(A2496,2)</f>
        <v>5</v>
      </c>
      <c r="E2496" s="33" t="n">
        <f aca="false">HOUR(A2496)+MINUTE(A2496)/60</f>
        <v>22</v>
      </c>
      <c r="F2496" s="33" t="n">
        <f aca="false">IF(OR(D2496&gt;5,E2496&lt;8,E2496&gt;=18,COUNTIF($K$2:$K$10,INT(A2496))&gt;0),1,0)</f>
        <v>1</v>
      </c>
      <c r="G2496" s="34" t="n">
        <f aca="false">B2496/1</f>
        <v>118.654</v>
      </c>
      <c r="H2496" s="34" t="n">
        <f aca="false">IF(F2496=1,G2496,"")</f>
        <v>118.654</v>
      </c>
    </row>
    <row r="2497" customFormat="false" ht="15" hidden="false" customHeight="false" outlineLevel="0" collapsed="false">
      <c r="A2497" s="31" t="n">
        <v>42839.9583333333</v>
      </c>
      <c r="B2497" s="32" t="n">
        <v>55.218</v>
      </c>
      <c r="D2497" s="33" t="n">
        <f aca="false">WEEKDAY(A2497,2)</f>
        <v>5</v>
      </c>
      <c r="E2497" s="33" t="n">
        <f aca="false">HOUR(A2497)+MINUTE(A2497)/60</f>
        <v>23</v>
      </c>
      <c r="F2497" s="33" t="n">
        <f aca="false">IF(OR(D2497&gt;5,E2497&lt;8,E2497&gt;=18,COUNTIF($K$2:$K$10,INT(A2497))&gt;0),1,0)</f>
        <v>1</v>
      </c>
      <c r="G2497" s="34" t="n">
        <f aca="false">B2497/1</f>
        <v>55.218</v>
      </c>
      <c r="H2497" s="34" t="n">
        <f aca="false">IF(F2497=1,G2497,"")</f>
        <v>55.218</v>
      </c>
    </row>
    <row r="2498" customFormat="false" ht="15" hidden="false" customHeight="false" outlineLevel="0" collapsed="false">
      <c r="A2498" s="31" t="n">
        <v>42840</v>
      </c>
      <c r="B2498" s="32" t="n">
        <v>52.109</v>
      </c>
      <c r="D2498" s="33" t="n">
        <f aca="false">WEEKDAY(A2498,2)</f>
        <v>6</v>
      </c>
      <c r="E2498" s="33" t="n">
        <f aca="false">HOUR(A2498)+MINUTE(A2498)/60</f>
        <v>0</v>
      </c>
      <c r="F2498" s="33" t="n">
        <f aca="false">IF(OR(D2498&gt;5,E2498&lt;8,E2498&gt;=18,COUNTIF($K$2:$K$10,INT(A2498))&gt;0),1,0)</f>
        <v>1</v>
      </c>
      <c r="G2498" s="34" t="n">
        <f aca="false">B2498/1</f>
        <v>52.109</v>
      </c>
      <c r="H2498" s="34" t="n">
        <f aca="false">IF(F2498=1,G2498,"")</f>
        <v>52.109</v>
      </c>
    </row>
    <row r="2499" customFormat="false" ht="15" hidden="false" customHeight="false" outlineLevel="0" collapsed="false">
      <c r="A2499" s="31" t="n">
        <v>42840.0416666667</v>
      </c>
      <c r="B2499" s="32" t="n">
        <v>50.809</v>
      </c>
      <c r="D2499" s="33" t="n">
        <f aca="false">WEEKDAY(A2499,2)</f>
        <v>6</v>
      </c>
      <c r="E2499" s="33" t="n">
        <f aca="false">HOUR(A2499)+MINUTE(A2499)/60</f>
        <v>1</v>
      </c>
      <c r="F2499" s="33" t="n">
        <f aca="false">IF(OR(D2499&gt;5,E2499&lt;8,E2499&gt;=18,COUNTIF($K$2:$K$10,INT(A2499))&gt;0),1,0)</f>
        <v>1</v>
      </c>
      <c r="G2499" s="34" t="n">
        <f aca="false">B2499/1</f>
        <v>50.809</v>
      </c>
      <c r="H2499" s="34" t="n">
        <f aca="false">IF(F2499=1,G2499,"")</f>
        <v>50.809</v>
      </c>
    </row>
    <row r="2500" customFormat="false" ht="15" hidden="false" customHeight="false" outlineLevel="0" collapsed="false">
      <c r="A2500" s="31" t="n">
        <v>42840.0833333333</v>
      </c>
      <c r="B2500" s="32" t="n">
        <v>50.11</v>
      </c>
      <c r="D2500" s="33" t="n">
        <f aca="false">WEEKDAY(A2500,2)</f>
        <v>6</v>
      </c>
      <c r="E2500" s="33" t="n">
        <f aca="false">HOUR(A2500)+MINUTE(A2500)/60</f>
        <v>2</v>
      </c>
      <c r="F2500" s="33" t="n">
        <f aca="false">IF(OR(D2500&gt;5,E2500&lt;8,E2500&gt;=18,COUNTIF($K$2:$K$10,INT(A2500))&gt;0),1,0)</f>
        <v>1</v>
      </c>
      <c r="G2500" s="34" t="n">
        <f aca="false">B2500/1</f>
        <v>50.11</v>
      </c>
      <c r="H2500" s="34" t="n">
        <f aca="false">IF(F2500=1,G2500,"")</f>
        <v>50.11</v>
      </c>
    </row>
    <row r="2501" customFormat="false" ht="15" hidden="false" customHeight="false" outlineLevel="0" collapsed="false">
      <c r="A2501" s="31" t="n">
        <v>42840.125</v>
      </c>
      <c r="B2501" s="32" t="n">
        <v>52.932</v>
      </c>
      <c r="D2501" s="33" t="n">
        <f aca="false">WEEKDAY(A2501,2)</f>
        <v>6</v>
      </c>
      <c r="E2501" s="33" t="n">
        <f aca="false">HOUR(A2501)+MINUTE(A2501)/60</f>
        <v>3</v>
      </c>
      <c r="F2501" s="33" t="n">
        <f aca="false">IF(OR(D2501&gt;5,E2501&lt;8,E2501&gt;=18,COUNTIF($K$2:$K$10,INT(A2501))&gt;0),1,0)</f>
        <v>1</v>
      </c>
      <c r="G2501" s="34" t="n">
        <f aca="false">B2501/1</f>
        <v>52.932</v>
      </c>
      <c r="H2501" s="34" t="n">
        <f aca="false">IF(F2501=1,G2501,"")</f>
        <v>52.932</v>
      </c>
    </row>
    <row r="2502" customFormat="false" ht="15" hidden="false" customHeight="false" outlineLevel="0" collapsed="false">
      <c r="A2502" s="31" t="n">
        <v>42840.1666666667</v>
      </c>
      <c r="B2502" s="32" t="n">
        <v>48.829</v>
      </c>
      <c r="D2502" s="33" t="n">
        <f aca="false">WEEKDAY(A2502,2)</f>
        <v>6</v>
      </c>
      <c r="E2502" s="33" t="n">
        <f aca="false">HOUR(A2502)+MINUTE(A2502)/60</f>
        <v>4</v>
      </c>
      <c r="F2502" s="33" t="n">
        <f aca="false">IF(OR(D2502&gt;5,E2502&lt;8,E2502&gt;=18,COUNTIF($K$2:$K$10,INT(A2502))&gt;0),1,0)</f>
        <v>1</v>
      </c>
      <c r="G2502" s="34" t="n">
        <f aca="false">B2502/1</f>
        <v>48.829</v>
      </c>
      <c r="H2502" s="34" t="n">
        <f aca="false">IF(F2502=1,G2502,"")</f>
        <v>48.829</v>
      </c>
    </row>
    <row r="2503" customFormat="false" ht="15" hidden="false" customHeight="false" outlineLevel="0" collapsed="false">
      <c r="A2503" s="31" t="n">
        <v>42840.2083333333</v>
      </c>
      <c r="B2503" s="32" t="n">
        <v>50.404</v>
      </c>
      <c r="D2503" s="33" t="n">
        <f aca="false">WEEKDAY(A2503,2)</f>
        <v>6</v>
      </c>
      <c r="E2503" s="33" t="n">
        <f aca="false">HOUR(A2503)+MINUTE(A2503)/60</f>
        <v>5</v>
      </c>
      <c r="F2503" s="33" t="n">
        <f aca="false">IF(OR(D2503&gt;5,E2503&lt;8,E2503&gt;=18,COUNTIF($K$2:$K$10,INT(A2503))&gt;0),1,0)</f>
        <v>1</v>
      </c>
      <c r="G2503" s="34" t="n">
        <f aca="false">B2503/1</f>
        <v>50.404</v>
      </c>
      <c r="H2503" s="34" t="n">
        <f aca="false">IF(F2503=1,G2503,"")</f>
        <v>50.404</v>
      </c>
    </row>
    <row r="2504" customFormat="false" ht="15" hidden="false" customHeight="false" outlineLevel="0" collapsed="false">
      <c r="A2504" s="31" t="n">
        <v>42840.25</v>
      </c>
      <c r="B2504" s="32" t="n">
        <v>51.505</v>
      </c>
      <c r="D2504" s="33" t="n">
        <f aca="false">WEEKDAY(A2504,2)</f>
        <v>6</v>
      </c>
      <c r="E2504" s="33" t="n">
        <f aca="false">HOUR(A2504)+MINUTE(A2504)/60</f>
        <v>6</v>
      </c>
      <c r="F2504" s="33" t="n">
        <f aca="false">IF(OR(D2504&gt;5,E2504&lt;8,E2504&gt;=18,COUNTIF($K$2:$K$10,INT(A2504))&gt;0),1,0)</f>
        <v>1</v>
      </c>
      <c r="G2504" s="34" t="n">
        <f aca="false">B2504/1</f>
        <v>51.505</v>
      </c>
      <c r="H2504" s="34" t="n">
        <f aca="false">IF(F2504=1,G2504,"")</f>
        <v>51.505</v>
      </c>
    </row>
    <row r="2505" customFormat="false" ht="15" hidden="false" customHeight="false" outlineLevel="0" collapsed="false">
      <c r="A2505" s="31" t="n">
        <v>42840.2916666667</v>
      </c>
      <c r="B2505" s="32" t="n">
        <v>50.974</v>
      </c>
      <c r="D2505" s="33" t="n">
        <f aca="false">WEEKDAY(A2505,2)</f>
        <v>6</v>
      </c>
      <c r="E2505" s="33" t="n">
        <f aca="false">HOUR(A2505)+MINUTE(A2505)/60</f>
        <v>7</v>
      </c>
      <c r="F2505" s="33" t="n">
        <f aca="false">IF(OR(D2505&gt;5,E2505&lt;8,E2505&gt;=18,COUNTIF($K$2:$K$10,INT(A2505))&gt;0),1,0)</f>
        <v>1</v>
      </c>
      <c r="G2505" s="34" t="n">
        <f aca="false">B2505/1</f>
        <v>50.974</v>
      </c>
      <c r="H2505" s="34" t="n">
        <f aca="false">IF(F2505=1,G2505,"")</f>
        <v>50.974</v>
      </c>
    </row>
    <row r="2506" customFormat="false" ht="15" hidden="false" customHeight="false" outlineLevel="0" collapsed="false">
      <c r="A2506" s="31" t="n">
        <v>42840.3333333333</v>
      </c>
      <c r="B2506" s="32" t="n">
        <v>115.452</v>
      </c>
      <c r="D2506" s="33" t="n">
        <f aca="false">WEEKDAY(A2506,2)</f>
        <v>6</v>
      </c>
      <c r="E2506" s="33" t="n">
        <f aca="false">HOUR(A2506)+MINUTE(A2506)/60</f>
        <v>8</v>
      </c>
      <c r="F2506" s="33" t="n">
        <f aca="false">IF(OR(D2506&gt;5,E2506&lt;8,E2506&gt;=18,COUNTIF($K$2:$K$10,INT(A2506))&gt;0),1,0)</f>
        <v>1</v>
      </c>
      <c r="G2506" s="34" t="n">
        <f aca="false">B2506/1</f>
        <v>115.452</v>
      </c>
      <c r="H2506" s="34" t="n">
        <f aca="false">IF(F2506=1,G2506,"")</f>
        <v>115.452</v>
      </c>
    </row>
    <row r="2507" customFormat="false" ht="15" hidden="false" customHeight="false" outlineLevel="0" collapsed="false">
      <c r="A2507" s="31" t="n">
        <v>42840.375</v>
      </c>
      <c r="B2507" s="32" t="n">
        <v>157.021</v>
      </c>
      <c r="D2507" s="33" t="n">
        <f aca="false">WEEKDAY(A2507,2)</f>
        <v>6</v>
      </c>
      <c r="E2507" s="33" t="n">
        <f aca="false">HOUR(A2507)+MINUTE(A2507)/60</f>
        <v>9</v>
      </c>
      <c r="F2507" s="33" t="n">
        <f aca="false">IF(OR(D2507&gt;5,E2507&lt;8,E2507&gt;=18,COUNTIF($K$2:$K$10,INT(A2507))&gt;0),1,0)</f>
        <v>1</v>
      </c>
      <c r="G2507" s="34" t="n">
        <f aca="false">B2507/1</f>
        <v>157.021</v>
      </c>
      <c r="H2507" s="34" t="n">
        <f aca="false">IF(F2507=1,G2507,"")</f>
        <v>157.021</v>
      </c>
    </row>
    <row r="2508" customFormat="false" ht="15" hidden="false" customHeight="false" outlineLevel="0" collapsed="false">
      <c r="A2508" s="31" t="n">
        <v>42840.4166666667</v>
      </c>
      <c r="B2508" s="32" t="n">
        <v>164.876</v>
      </c>
      <c r="D2508" s="33" t="n">
        <f aca="false">WEEKDAY(A2508,2)</f>
        <v>6</v>
      </c>
      <c r="E2508" s="33" t="n">
        <f aca="false">HOUR(A2508)+MINUTE(A2508)/60</f>
        <v>10</v>
      </c>
      <c r="F2508" s="33" t="n">
        <f aca="false">IF(OR(D2508&gt;5,E2508&lt;8,E2508&gt;=18,COUNTIF($K$2:$K$10,INT(A2508))&gt;0),1,0)</f>
        <v>1</v>
      </c>
      <c r="G2508" s="34" t="n">
        <f aca="false">B2508/1</f>
        <v>164.876</v>
      </c>
      <c r="H2508" s="34" t="n">
        <f aca="false">IF(F2508=1,G2508,"")</f>
        <v>164.876</v>
      </c>
    </row>
    <row r="2509" customFormat="false" ht="15" hidden="false" customHeight="false" outlineLevel="0" collapsed="false">
      <c r="A2509" s="31" t="n">
        <v>42840.4583333333</v>
      </c>
      <c r="B2509" s="32" t="n">
        <v>166.339</v>
      </c>
      <c r="D2509" s="33" t="n">
        <f aca="false">WEEKDAY(A2509,2)</f>
        <v>6</v>
      </c>
      <c r="E2509" s="33" t="n">
        <f aca="false">HOUR(A2509)+MINUTE(A2509)/60</f>
        <v>11</v>
      </c>
      <c r="F2509" s="33" t="n">
        <f aca="false">IF(OR(D2509&gt;5,E2509&lt;8,E2509&gt;=18,COUNTIF($K$2:$K$10,INT(A2509))&gt;0),1,0)</f>
        <v>1</v>
      </c>
      <c r="G2509" s="34" t="n">
        <f aca="false">B2509/1</f>
        <v>166.339</v>
      </c>
      <c r="H2509" s="34" t="n">
        <f aca="false">IF(F2509=1,G2509,"")</f>
        <v>166.339</v>
      </c>
    </row>
    <row r="2510" customFormat="false" ht="15" hidden="false" customHeight="false" outlineLevel="0" collapsed="false">
      <c r="A2510" s="31" t="n">
        <v>42840.5</v>
      </c>
      <c r="B2510" s="32" t="n">
        <v>169.962</v>
      </c>
      <c r="D2510" s="33" t="n">
        <f aca="false">WEEKDAY(A2510,2)</f>
        <v>6</v>
      </c>
      <c r="E2510" s="33" t="n">
        <f aca="false">HOUR(A2510)+MINUTE(A2510)/60</f>
        <v>12</v>
      </c>
      <c r="F2510" s="33" t="n">
        <f aca="false">IF(OR(D2510&gt;5,E2510&lt;8,E2510&gt;=18,COUNTIF($K$2:$K$10,INT(A2510))&gt;0),1,0)</f>
        <v>1</v>
      </c>
      <c r="G2510" s="34" t="n">
        <f aca="false">B2510/1</f>
        <v>169.962</v>
      </c>
      <c r="H2510" s="34" t="n">
        <f aca="false">IF(F2510=1,G2510,"")</f>
        <v>169.962</v>
      </c>
    </row>
    <row r="2511" customFormat="false" ht="15" hidden="false" customHeight="false" outlineLevel="0" collapsed="false">
      <c r="A2511" s="31" t="n">
        <v>42840.5416666667</v>
      </c>
      <c r="B2511" s="32" t="n">
        <v>181.816</v>
      </c>
      <c r="D2511" s="33" t="n">
        <f aca="false">WEEKDAY(A2511,2)</f>
        <v>6</v>
      </c>
      <c r="E2511" s="33" t="n">
        <f aca="false">HOUR(A2511)+MINUTE(A2511)/60</f>
        <v>13</v>
      </c>
      <c r="F2511" s="33" t="n">
        <f aca="false">IF(OR(D2511&gt;5,E2511&lt;8,E2511&gt;=18,COUNTIF($K$2:$K$10,INT(A2511))&gt;0),1,0)</f>
        <v>1</v>
      </c>
      <c r="G2511" s="34" t="n">
        <f aca="false">B2511/1</f>
        <v>181.816</v>
      </c>
      <c r="H2511" s="34" t="n">
        <f aca="false">IF(F2511=1,G2511,"")</f>
        <v>181.816</v>
      </c>
    </row>
    <row r="2512" customFormat="false" ht="15" hidden="false" customHeight="false" outlineLevel="0" collapsed="false">
      <c r="A2512" s="31" t="n">
        <v>42840.5833333333</v>
      </c>
      <c r="B2512" s="32" t="n">
        <v>183.745</v>
      </c>
      <c r="D2512" s="33" t="n">
        <f aca="false">WEEKDAY(A2512,2)</f>
        <v>6</v>
      </c>
      <c r="E2512" s="33" t="n">
        <f aca="false">HOUR(A2512)+MINUTE(A2512)/60</f>
        <v>14</v>
      </c>
      <c r="F2512" s="33" t="n">
        <f aca="false">IF(OR(D2512&gt;5,E2512&lt;8,E2512&gt;=18,COUNTIF($K$2:$K$10,INT(A2512))&gt;0),1,0)</f>
        <v>1</v>
      </c>
      <c r="G2512" s="34" t="n">
        <f aca="false">B2512/1</f>
        <v>183.745</v>
      </c>
      <c r="H2512" s="34" t="n">
        <f aca="false">IF(F2512=1,G2512,"")</f>
        <v>183.745</v>
      </c>
    </row>
    <row r="2513" customFormat="false" ht="15" hidden="false" customHeight="false" outlineLevel="0" collapsed="false">
      <c r="A2513" s="31" t="n">
        <v>42840.625</v>
      </c>
      <c r="B2513" s="32" t="n">
        <v>187.492</v>
      </c>
      <c r="D2513" s="33" t="n">
        <f aca="false">WEEKDAY(A2513,2)</f>
        <v>6</v>
      </c>
      <c r="E2513" s="33" t="n">
        <f aca="false">HOUR(A2513)+MINUTE(A2513)/60</f>
        <v>15</v>
      </c>
      <c r="F2513" s="33" t="n">
        <f aca="false">IF(OR(D2513&gt;5,E2513&lt;8,E2513&gt;=18,COUNTIF($K$2:$K$10,INT(A2513))&gt;0),1,0)</f>
        <v>1</v>
      </c>
      <c r="G2513" s="34" t="n">
        <f aca="false">B2513/1</f>
        <v>187.492</v>
      </c>
      <c r="H2513" s="34" t="n">
        <f aca="false">IF(F2513=1,G2513,"")</f>
        <v>187.492</v>
      </c>
    </row>
    <row r="2514" customFormat="false" ht="15" hidden="false" customHeight="false" outlineLevel="0" collapsed="false">
      <c r="A2514" s="31" t="n">
        <v>42840.6666666667</v>
      </c>
      <c r="B2514" s="32" t="n">
        <v>190.295</v>
      </c>
      <c r="D2514" s="33" t="n">
        <f aca="false">WEEKDAY(A2514,2)</f>
        <v>6</v>
      </c>
      <c r="E2514" s="33" t="n">
        <f aca="false">HOUR(A2514)+MINUTE(A2514)/60</f>
        <v>16</v>
      </c>
      <c r="F2514" s="33" t="n">
        <f aca="false">IF(OR(D2514&gt;5,E2514&lt;8,E2514&gt;=18,COUNTIF($K$2:$K$10,INT(A2514))&gt;0),1,0)</f>
        <v>1</v>
      </c>
      <c r="G2514" s="34" t="n">
        <f aca="false">B2514/1</f>
        <v>190.295</v>
      </c>
      <c r="H2514" s="34" t="n">
        <f aca="false">IF(F2514=1,G2514,"")</f>
        <v>190.295</v>
      </c>
    </row>
    <row r="2515" customFormat="false" ht="15" hidden="false" customHeight="false" outlineLevel="0" collapsed="false">
      <c r="A2515" s="31" t="n">
        <v>42840.7083333333</v>
      </c>
      <c r="B2515" s="32" t="n">
        <v>153.462</v>
      </c>
      <c r="D2515" s="33" t="n">
        <f aca="false">WEEKDAY(A2515,2)</f>
        <v>6</v>
      </c>
      <c r="E2515" s="33" t="n">
        <f aca="false">HOUR(A2515)+MINUTE(A2515)/60</f>
        <v>17</v>
      </c>
      <c r="F2515" s="33" t="n">
        <f aca="false">IF(OR(D2515&gt;5,E2515&lt;8,E2515&gt;=18,COUNTIF($K$2:$K$10,INT(A2515))&gt;0),1,0)</f>
        <v>1</v>
      </c>
      <c r="G2515" s="34" t="n">
        <f aca="false">B2515/1</f>
        <v>153.462</v>
      </c>
      <c r="H2515" s="34" t="n">
        <f aca="false">IF(F2515=1,G2515,"")</f>
        <v>153.462</v>
      </c>
    </row>
    <row r="2516" customFormat="false" ht="15" hidden="false" customHeight="false" outlineLevel="0" collapsed="false">
      <c r="A2516" s="31" t="n">
        <v>42840.75</v>
      </c>
      <c r="B2516" s="32" t="n">
        <v>71.232</v>
      </c>
      <c r="D2516" s="33" t="n">
        <f aca="false">WEEKDAY(A2516,2)</f>
        <v>6</v>
      </c>
      <c r="E2516" s="33" t="n">
        <f aca="false">HOUR(A2516)+MINUTE(A2516)/60</f>
        <v>18</v>
      </c>
      <c r="F2516" s="33" t="n">
        <f aca="false">IF(OR(D2516&gt;5,E2516&lt;8,E2516&gt;=18,COUNTIF($K$2:$K$10,INT(A2516))&gt;0),1,0)</f>
        <v>1</v>
      </c>
      <c r="G2516" s="34" t="n">
        <f aca="false">B2516/1</f>
        <v>71.232</v>
      </c>
      <c r="H2516" s="34" t="n">
        <f aca="false">IF(F2516=1,G2516,"")</f>
        <v>71.232</v>
      </c>
    </row>
    <row r="2517" customFormat="false" ht="15" hidden="false" customHeight="false" outlineLevel="0" collapsed="false">
      <c r="A2517" s="31" t="n">
        <v>42840.7916666667</v>
      </c>
      <c r="B2517" s="32" t="n">
        <v>53.853</v>
      </c>
      <c r="D2517" s="33" t="n">
        <f aca="false">WEEKDAY(A2517,2)</f>
        <v>6</v>
      </c>
      <c r="E2517" s="33" t="n">
        <f aca="false">HOUR(A2517)+MINUTE(A2517)/60</f>
        <v>19</v>
      </c>
      <c r="F2517" s="33" t="n">
        <f aca="false">IF(OR(D2517&gt;5,E2517&lt;8,E2517&gt;=18,COUNTIF($K$2:$K$10,INT(A2517))&gt;0),1,0)</f>
        <v>1</v>
      </c>
      <c r="G2517" s="34" t="n">
        <f aca="false">B2517/1</f>
        <v>53.853</v>
      </c>
      <c r="H2517" s="34" t="n">
        <f aca="false">IF(F2517=1,G2517,"")</f>
        <v>53.853</v>
      </c>
    </row>
    <row r="2518" customFormat="false" ht="15" hidden="false" customHeight="false" outlineLevel="0" collapsed="false">
      <c r="A2518" s="31" t="n">
        <v>42840.8333333333</v>
      </c>
      <c r="B2518" s="32" t="n">
        <v>53.113</v>
      </c>
      <c r="D2518" s="33" t="n">
        <f aca="false">WEEKDAY(A2518,2)</f>
        <v>6</v>
      </c>
      <c r="E2518" s="33" t="n">
        <f aca="false">HOUR(A2518)+MINUTE(A2518)/60</f>
        <v>20</v>
      </c>
      <c r="F2518" s="33" t="n">
        <f aca="false">IF(OR(D2518&gt;5,E2518&lt;8,E2518&gt;=18,COUNTIF($K$2:$K$10,INT(A2518))&gt;0),1,0)</f>
        <v>1</v>
      </c>
      <c r="G2518" s="34" t="n">
        <f aca="false">B2518/1</f>
        <v>53.113</v>
      </c>
      <c r="H2518" s="34" t="n">
        <f aca="false">IF(F2518=1,G2518,"")</f>
        <v>53.113</v>
      </c>
    </row>
    <row r="2519" customFormat="false" ht="15" hidden="false" customHeight="false" outlineLevel="0" collapsed="false">
      <c r="A2519" s="31" t="n">
        <v>42840.875</v>
      </c>
      <c r="B2519" s="32" t="n">
        <v>58.227</v>
      </c>
      <c r="D2519" s="33" t="n">
        <f aca="false">WEEKDAY(A2519,2)</f>
        <v>6</v>
      </c>
      <c r="E2519" s="33" t="n">
        <f aca="false">HOUR(A2519)+MINUTE(A2519)/60</f>
        <v>21</v>
      </c>
      <c r="F2519" s="33" t="n">
        <f aca="false">IF(OR(D2519&gt;5,E2519&lt;8,E2519&gt;=18,COUNTIF($K$2:$K$10,INT(A2519))&gt;0),1,0)</f>
        <v>1</v>
      </c>
      <c r="G2519" s="34" t="n">
        <f aca="false">B2519/1</f>
        <v>58.227</v>
      </c>
      <c r="H2519" s="34" t="n">
        <f aca="false">IF(F2519=1,G2519,"")</f>
        <v>58.227</v>
      </c>
    </row>
    <row r="2520" customFormat="false" ht="15" hidden="false" customHeight="false" outlineLevel="0" collapsed="false">
      <c r="A2520" s="31" t="n">
        <v>42840.9166666667</v>
      </c>
      <c r="B2520" s="32" t="n">
        <v>56.712</v>
      </c>
      <c r="D2520" s="33" t="n">
        <f aca="false">WEEKDAY(A2520,2)</f>
        <v>6</v>
      </c>
      <c r="E2520" s="33" t="n">
        <f aca="false">HOUR(A2520)+MINUTE(A2520)/60</f>
        <v>22</v>
      </c>
      <c r="F2520" s="33" t="n">
        <f aca="false">IF(OR(D2520&gt;5,E2520&lt;8,E2520&gt;=18,COUNTIF($K$2:$K$10,INT(A2520))&gt;0),1,0)</f>
        <v>1</v>
      </c>
      <c r="G2520" s="34" t="n">
        <f aca="false">B2520/1</f>
        <v>56.712</v>
      </c>
      <c r="H2520" s="34" t="n">
        <f aca="false">IF(F2520=1,G2520,"")</f>
        <v>56.712</v>
      </c>
    </row>
    <row r="2521" customFormat="false" ht="15" hidden="false" customHeight="false" outlineLevel="0" collapsed="false">
      <c r="A2521" s="31" t="n">
        <v>42840.9583333333</v>
      </c>
      <c r="B2521" s="32" t="n">
        <v>58.814</v>
      </c>
      <c r="D2521" s="33" t="n">
        <f aca="false">WEEKDAY(A2521,2)</f>
        <v>6</v>
      </c>
      <c r="E2521" s="33" t="n">
        <f aca="false">HOUR(A2521)+MINUTE(A2521)/60</f>
        <v>23</v>
      </c>
      <c r="F2521" s="33" t="n">
        <f aca="false">IF(OR(D2521&gt;5,E2521&lt;8,E2521&gt;=18,COUNTIF($K$2:$K$10,INT(A2521))&gt;0),1,0)</f>
        <v>1</v>
      </c>
      <c r="G2521" s="34" t="n">
        <f aca="false">B2521/1</f>
        <v>58.814</v>
      </c>
      <c r="H2521" s="34" t="n">
        <f aca="false">IF(F2521=1,G2521,"")</f>
        <v>58.814</v>
      </c>
    </row>
    <row r="2522" customFormat="false" ht="15" hidden="false" customHeight="false" outlineLevel="0" collapsed="false">
      <c r="A2522" s="31" t="n">
        <v>42841</v>
      </c>
      <c r="B2522" s="32" t="n">
        <v>59.191</v>
      </c>
      <c r="D2522" s="33" t="n">
        <f aca="false">WEEKDAY(A2522,2)</f>
        <v>7</v>
      </c>
      <c r="E2522" s="33" t="n">
        <f aca="false">HOUR(A2522)+MINUTE(A2522)/60</f>
        <v>0</v>
      </c>
      <c r="F2522" s="33" t="n">
        <f aca="false">IF(OR(D2522&gt;5,E2522&lt;8,E2522&gt;=18,COUNTIF($K$2:$K$10,INT(A2522))&gt;0),1,0)</f>
        <v>1</v>
      </c>
      <c r="G2522" s="34" t="n">
        <f aca="false">B2522/1</f>
        <v>59.191</v>
      </c>
      <c r="H2522" s="34" t="n">
        <f aca="false">IF(F2522=1,G2522,"")</f>
        <v>59.191</v>
      </c>
    </row>
    <row r="2523" customFormat="false" ht="15" hidden="false" customHeight="false" outlineLevel="0" collapsed="false">
      <c r="A2523" s="31" t="n">
        <v>42841.0416666667</v>
      </c>
      <c r="B2523" s="32" t="n">
        <v>56.033</v>
      </c>
      <c r="D2523" s="33" t="n">
        <f aca="false">WEEKDAY(A2523,2)</f>
        <v>7</v>
      </c>
      <c r="E2523" s="33" t="n">
        <f aca="false">HOUR(A2523)+MINUTE(A2523)/60</f>
        <v>1</v>
      </c>
      <c r="F2523" s="33" t="n">
        <f aca="false">IF(OR(D2523&gt;5,E2523&lt;8,E2523&gt;=18,COUNTIF($K$2:$K$10,INT(A2523))&gt;0),1,0)</f>
        <v>1</v>
      </c>
      <c r="G2523" s="34" t="n">
        <f aca="false">B2523/1</f>
        <v>56.033</v>
      </c>
      <c r="H2523" s="34" t="n">
        <f aca="false">IF(F2523=1,G2523,"")</f>
        <v>56.033</v>
      </c>
    </row>
    <row r="2524" customFormat="false" ht="15" hidden="false" customHeight="false" outlineLevel="0" collapsed="false">
      <c r="A2524" s="31" t="n">
        <v>42841.0833333333</v>
      </c>
      <c r="B2524" s="32" t="n">
        <v>57.011</v>
      </c>
      <c r="D2524" s="33" t="n">
        <f aca="false">WEEKDAY(A2524,2)</f>
        <v>7</v>
      </c>
      <c r="E2524" s="33" t="n">
        <f aca="false">HOUR(A2524)+MINUTE(A2524)/60</f>
        <v>2</v>
      </c>
      <c r="F2524" s="33" t="n">
        <f aca="false">IF(OR(D2524&gt;5,E2524&lt;8,E2524&gt;=18,COUNTIF($K$2:$K$10,INT(A2524))&gt;0),1,0)</f>
        <v>1</v>
      </c>
      <c r="G2524" s="34" t="n">
        <f aca="false">B2524/1</f>
        <v>57.011</v>
      </c>
      <c r="H2524" s="34" t="n">
        <f aca="false">IF(F2524=1,G2524,"")</f>
        <v>57.011</v>
      </c>
    </row>
    <row r="2525" customFormat="false" ht="15" hidden="false" customHeight="false" outlineLevel="0" collapsed="false">
      <c r="A2525" s="31" t="n">
        <v>42841.125</v>
      </c>
      <c r="B2525" s="32" t="n">
        <v>57.979</v>
      </c>
      <c r="D2525" s="33" t="n">
        <f aca="false">WEEKDAY(A2525,2)</f>
        <v>7</v>
      </c>
      <c r="E2525" s="33" t="n">
        <f aca="false">HOUR(A2525)+MINUTE(A2525)/60</f>
        <v>3</v>
      </c>
      <c r="F2525" s="33" t="n">
        <f aca="false">IF(OR(D2525&gt;5,E2525&lt;8,E2525&gt;=18,COUNTIF($K$2:$K$10,INT(A2525))&gt;0),1,0)</f>
        <v>1</v>
      </c>
      <c r="G2525" s="34" t="n">
        <f aca="false">B2525/1</f>
        <v>57.979</v>
      </c>
      <c r="H2525" s="34" t="n">
        <f aca="false">IF(F2525=1,G2525,"")</f>
        <v>57.979</v>
      </c>
    </row>
    <row r="2526" customFormat="false" ht="15" hidden="false" customHeight="false" outlineLevel="0" collapsed="false">
      <c r="A2526" s="31" t="n">
        <v>42841.1666666667</v>
      </c>
      <c r="B2526" s="32" t="n">
        <v>57.757</v>
      </c>
      <c r="D2526" s="33" t="n">
        <f aca="false">WEEKDAY(A2526,2)</f>
        <v>7</v>
      </c>
      <c r="E2526" s="33" t="n">
        <f aca="false">HOUR(A2526)+MINUTE(A2526)/60</f>
        <v>4</v>
      </c>
      <c r="F2526" s="33" t="n">
        <f aca="false">IF(OR(D2526&gt;5,E2526&lt;8,E2526&gt;=18,COUNTIF($K$2:$K$10,INT(A2526))&gt;0),1,0)</f>
        <v>1</v>
      </c>
      <c r="G2526" s="34" t="n">
        <f aca="false">B2526/1</f>
        <v>57.757</v>
      </c>
      <c r="H2526" s="34" t="n">
        <f aca="false">IF(F2526=1,G2526,"")</f>
        <v>57.757</v>
      </c>
    </row>
    <row r="2527" customFormat="false" ht="15" hidden="false" customHeight="false" outlineLevel="0" collapsed="false">
      <c r="A2527" s="31" t="n">
        <v>42841.2083333333</v>
      </c>
      <c r="B2527" s="32" t="n">
        <v>57.369</v>
      </c>
      <c r="D2527" s="33" t="n">
        <f aca="false">WEEKDAY(A2527,2)</f>
        <v>7</v>
      </c>
      <c r="E2527" s="33" t="n">
        <f aca="false">HOUR(A2527)+MINUTE(A2527)/60</f>
        <v>5</v>
      </c>
      <c r="F2527" s="33" t="n">
        <f aca="false">IF(OR(D2527&gt;5,E2527&lt;8,E2527&gt;=18,COUNTIF($K$2:$K$10,INT(A2527))&gt;0),1,0)</f>
        <v>1</v>
      </c>
      <c r="G2527" s="34" t="n">
        <f aca="false">B2527/1</f>
        <v>57.369</v>
      </c>
      <c r="H2527" s="34" t="n">
        <f aca="false">IF(F2527=1,G2527,"")</f>
        <v>57.369</v>
      </c>
    </row>
    <row r="2528" customFormat="false" ht="15" hidden="false" customHeight="false" outlineLevel="0" collapsed="false">
      <c r="A2528" s="31" t="n">
        <v>42841.25</v>
      </c>
      <c r="B2528" s="32" t="n">
        <v>57.914</v>
      </c>
      <c r="D2528" s="33" t="n">
        <f aca="false">WEEKDAY(A2528,2)</f>
        <v>7</v>
      </c>
      <c r="E2528" s="33" t="n">
        <f aca="false">HOUR(A2528)+MINUTE(A2528)/60</f>
        <v>6</v>
      </c>
      <c r="F2528" s="33" t="n">
        <f aca="false">IF(OR(D2528&gt;5,E2528&lt;8,E2528&gt;=18,COUNTIF($K$2:$K$10,INT(A2528))&gt;0),1,0)</f>
        <v>1</v>
      </c>
      <c r="G2528" s="34" t="n">
        <f aca="false">B2528/1</f>
        <v>57.914</v>
      </c>
      <c r="H2528" s="34" t="n">
        <f aca="false">IF(F2528=1,G2528,"")</f>
        <v>57.914</v>
      </c>
    </row>
    <row r="2529" customFormat="false" ht="15" hidden="false" customHeight="false" outlineLevel="0" collapsed="false">
      <c r="A2529" s="31" t="n">
        <v>42841.2916666667</v>
      </c>
      <c r="B2529" s="32" t="n">
        <v>58.466</v>
      </c>
      <c r="D2529" s="33" t="n">
        <f aca="false">WEEKDAY(A2529,2)</f>
        <v>7</v>
      </c>
      <c r="E2529" s="33" t="n">
        <f aca="false">HOUR(A2529)+MINUTE(A2529)/60</f>
        <v>7</v>
      </c>
      <c r="F2529" s="33" t="n">
        <f aca="false">IF(OR(D2529&gt;5,E2529&lt;8,E2529&gt;=18,COUNTIF($K$2:$K$10,INT(A2529))&gt;0),1,0)</f>
        <v>1</v>
      </c>
      <c r="G2529" s="34" t="n">
        <f aca="false">B2529/1</f>
        <v>58.466</v>
      </c>
      <c r="H2529" s="34" t="n">
        <f aca="false">IF(F2529=1,G2529,"")</f>
        <v>58.466</v>
      </c>
    </row>
    <row r="2530" customFormat="false" ht="15" hidden="false" customHeight="false" outlineLevel="0" collapsed="false">
      <c r="A2530" s="31" t="n">
        <v>42841.3333333333</v>
      </c>
      <c r="B2530" s="32" t="n">
        <v>53.243</v>
      </c>
      <c r="D2530" s="33" t="n">
        <f aca="false">WEEKDAY(A2530,2)</f>
        <v>7</v>
      </c>
      <c r="E2530" s="33" t="n">
        <f aca="false">HOUR(A2530)+MINUTE(A2530)/60</f>
        <v>8</v>
      </c>
      <c r="F2530" s="33" t="n">
        <f aca="false">IF(OR(D2530&gt;5,E2530&lt;8,E2530&gt;=18,COUNTIF($K$2:$K$10,INT(A2530))&gt;0),1,0)</f>
        <v>1</v>
      </c>
      <c r="G2530" s="34" t="n">
        <f aca="false">B2530/1</f>
        <v>53.243</v>
      </c>
      <c r="H2530" s="34" t="n">
        <f aca="false">IF(F2530=1,G2530,"")</f>
        <v>53.243</v>
      </c>
    </row>
    <row r="2531" customFormat="false" ht="15" hidden="false" customHeight="false" outlineLevel="0" collapsed="false">
      <c r="A2531" s="31" t="n">
        <v>42841.375</v>
      </c>
      <c r="B2531" s="32" t="n">
        <v>56.329</v>
      </c>
      <c r="D2531" s="33" t="n">
        <f aca="false">WEEKDAY(A2531,2)</f>
        <v>7</v>
      </c>
      <c r="E2531" s="33" t="n">
        <f aca="false">HOUR(A2531)+MINUTE(A2531)/60</f>
        <v>9</v>
      </c>
      <c r="F2531" s="33" t="n">
        <f aca="false">IF(OR(D2531&gt;5,E2531&lt;8,E2531&gt;=18,COUNTIF($K$2:$K$10,INT(A2531))&gt;0),1,0)</f>
        <v>1</v>
      </c>
      <c r="G2531" s="34" t="n">
        <f aca="false">B2531/1</f>
        <v>56.329</v>
      </c>
      <c r="H2531" s="34" t="n">
        <f aca="false">IF(F2531=1,G2531,"")</f>
        <v>56.329</v>
      </c>
    </row>
    <row r="2532" customFormat="false" ht="15" hidden="false" customHeight="false" outlineLevel="0" collapsed="false">
      <c r="A2532" s="31" t="n">
        <v>42841.4166666667</v>
      </c>
      <c r="B2532" s="32" t="n">
        <v>55.215</v>
      </c>
      <c r="D2532" s="33" t="n">
        <f aca="false">WEEKDAY(A2532,2)</f>
        <v>7</v>
      </c>
      <c r="E2532" s="33" t="n">
        <f aca="false">HOUR(A2532)+MINUTE(A2532)/60</f>
        <v>10</v>
      </c>
      <c r="F2532" s="33" t="n">
        <f aca="false">IF(OR(D2532&gt;5,E2532&lt;8,E2532&gt;=18,COUNTIF($K$2:$K$10,INT(A2532))&gt;0),1,0)</f>
        <v>1</v>
      </c>
      <c r="G2532" s="34" t="n">
        <f aca="false">B2532/1</f>
        <v>55.215</v>
      </c>
      <c r="H2532" s="34" t="n">
        <f aca="false">IF(F2532=1,G2532,"")</f>
        <v>55.215</v>
      </c>
    </row>
    <row r="2533" customFormat="false" ht="15" hidden="false" customHeight="false" outlineLevel="0" collapsed="false">
      <c r="A2533" s="31" t="n">
        <v>42841.4583333333</v>
      </c>
      <c r="B2533" s="32" t="n">
        <v>56.086</v>
      </c>
      <c r="D2533" s="33" t="n">
        <f aca="false">WEEKDAY(A2533,2)</f>
        <v>7</v>
      </c>
      <c r="E2533" s="33" t="n">
        <f aca="false">HOUR(A2533)+MINUTE(A2533)/60</f>
        <v>11</v>
      </c>
      <c r="F2533" s="33" t="n">
        <f aca="false">IF(OR(D2533&gt;5,E2533&lt;8,E2533&gt;=18,COUNTIF($K$2:$K$10,INT(A2533))&gt;0),1,0)</f>
        <v>1</v>
      </c>
      <c r="G2533" s="34" t="n">
        <f aca="false">B2533/1</f>
        <v>56.086</v>
      </c>
      <c r="H2533" s="34" t="n">
        <f aca="false">IF(F2533=1,G2533,"")</f>
        <v>56.086</v>
      </c>
    </row>
    <row r="2534" customFormat="false" ht="15" hidden="false" customHeight="false" outlineLevel="0" collapsed="false">
      <c r="A2534" s="31" t="n">
        <v>42841.5</v>
      </c>
      <c r="B2534" s="32" t="n">
        <v>52.767</v>
      </c>
      <c r="D2534" s="33" t="n">
        <f aca="false">WEEKDAY(A2534,2)</f>
        <v>7</v>
      </c>
      <c r="E2534" s="33" t="n">
        <f aca="false">HOUR(A2534)+MINUTE(A2534)/60</f>
        <v>12</v>
      </c>
      <c r="F2534" s="33" t="n">
        <f aca="false">IF(OR(D2534&gt;5,E2534&lt;8,E2534&gt;=18,COUNTIF($K$2:$K$10,INT(A2534))&gt;0),1,0)</f>
        <v>1</v>
      </c>
      <c r="G2534" s="34" t="n">
        <f aca="false">B2534/1</f>
        <v>52.767</v>
      </c>
      <c r="H2534" s="34" t="n">
        <f aca="false">IF(F2534=1,G2534,"")</f>
        <v>52.767</v>
      </c>
    </row>
    <row r="2535" customFormat="false" ht="15" hidden="false" customHeight="false" outlineLevel="0" collapsed="false">
      <c r="A2535" s="31" t="n">
        <v>42841.5416666667</v>
      </c>
      <c r="B2535" s="32" t="n">
        <v>115.128</v>
      </c>
      <c r="D2535" s="33" t="n">
        <f aca="false">WEEKDAY(A2535,2)</f>
        <v>7</v>
      </c>
      <c r="E2535" s="33" t="n">
        <f aca="false">HOUR(A2535)+MINUTE(A2535)/60</f>
        <v>13</v>
      </c>
      <c r="F2535" s="33" t="n">
        <f aca="false">IF(OR(D2535&gt;5,E2535&lt;8,E2535&gt;=18,COUNTIF($K$2:$K$10,INT(A2535))&gt;0),1,0)</f>
        <v>1</v>
      </c>
      <c r="G2535" s="34" t="n">
        <f aca="false">B2535/1</f>
        <v>115.128</v>
      </c>
      <c r="H2535" s="34" t="n">
        <f aca="false">IF(F2535=1,G2535,"")</f>
        <v>115.128</v>
      </c>
    </row>
    <row r="2536" customFormat="false" ht="15" hidden="false" customHeight="false" outlineLevel="0" collapsed="false">
      <c r="A2536" s="31" t="n">
        <v>42841.5833333333</v>
      </c>
      <c r="B2536" s="32" t="n">
        <v>142.786</v>
      </c>
      <c r="D2536" s="33" t="n">
        <f aca="false">WEEKDAY(A2536,2)</f>
        <v>7</v>
      </c>
      <c r="E2536" s="33" t="n">
        <f aca="false">HOUR(A2536)+MINUTE(A2536)/60</f>
        <v>14</v>
      </c>
      <c r="F2536" s="33" t="n">
        <f aca="false">IF(OR(D2536&gt;5,E2536&lt;8,E2536&gt;=18,COUNTIF($K$2:$K$10,INT(A2536))&gt;0),1,0)</f>
        <v>1</v>
      </c>
      <c r="G2536" s="34" t="n">
        <f aca="false">B2536/1</f>
        <v>142.786</v>
      </c>
      <c r="H2536" s="34" t="n">
        <f aca="false">IF(F2536=1,G2536,"")</f>
        <v>142.786</v>
      </c>
    </row>
    <row r="2537" customFormat="false" ht="15" hidden="false" customHeight="false" outlineLevel="0" collapsed="false">
      <c r="A2537" s="31" t="n">
        <v>42841.625</v>
      </c>
      <c r="B2537" s="32" t="n">
        <v>140.721</v>
      </c>
      <c r="D2537" s="33" t="n">
        <f aca="false">WEEKDAY(A2537,2)</f>
        <v>7</v>
      </c>
      <c r="E2537" s="33" t="n">
        <f aca="false">HOUR(A2537)+MINUTE(A2537)/60</f>
        <v>15</v>
      </c>
      <c r="F2537" s="33" t="n">
        <f aca="false">IF(OR(D2537&gt;5,E2537&lt;8,E2537&gt;=18,COUNTIF($K$2:$K$10,INT(A2537))&gt;0),1,0)</f>
        <v>1</v>
      </c>
      <c r="G2537" s="34" t="n">
        <f aca="false">B2537/1</f>
        <v>140.721</v>
      </c>
      <c r="H2537" s="34" t="n">
        <f aca="false">IF(F2537=1,G2537,"")</f>
        <v>140.721</v>
      </c>
    </row>
    <row r="2538" customFormat="false" ht="15" hidden="false" customHeight="false" outlineLevel="0" collapsed="false">
      <c r="A2538" s="31" t="n">
        <v>42841.6666666667</v>
      </c>
      <c r="B2538" s="32" t="n">
        <v>150.518</v>
      </c>
      <c r="D2538" s="33" t="n">
        <f aca="false">WEEKDAY(A2538,2)</f>
        <v>7</v>
      </c>
      <c r="E2538" s="33" t="n">
        <f aca="false">HOUR(A2538)+MINUTE(A2538)/60</f>
        <v>16</v>
      </c>
      <c r="F2538" s="33" t="n">
        <f aca="false">IF(OR(D2538&gt;5,E2538&lt;8,E2538&gt;=18,COUNTIF($K$2:$K$10,INT(A2538))&gt;0),1,0)</f>
        <v>1</v>
      </c>
      <c r="G2538" s="34" t="n">
        <f aca="false">B2538/1</f>
        <v>150.518</v>
      </c>
      <c r="H2538" s="34" t="n">
        <f aca="false">IF(F2538=1,G2538,"")</f>
        <v>150.518</v>
      </c>
    </row>
    <row r="2539" customFormat="false" ht="15" hidden="false" customHeight="false" outlineLevel="0" collapsed="false">
      <c r="A2539" s="31" t="n">
        <v>42841.7083333333</v>
      </c>
      <c r="B2539" s="32" t="n">
        <v>143.788</v>
      </c>
      <c r="D2539" s="33" t="n">
        <f aca="false">WEEKDAY(A2539,2)</f>
        <v>7</v>
      </c>
      <c r="E2539" s="33" t="n">
        <f aca="false">HOUR(A2539)+MINUTE(A2539)/60</f>
        <v>17</v>
      </c>
      <c r="F2539" s="33" t="n">
        <f aca="false">IF(OR(D2539&gt;5,E2539&lt;8,E2539&gt;=18,COUNTIF($K$2:$K$10,INT(A2539))&gt;0),1,0)</f>
        <v>1</v>
      </c>
      <c r="G2539" s="34" t="n">
        <f aca="false">B2539/1</f>
        <v>143.788</v>
      </c>
      <c r="H2539" s="34" t="n">
        <f aca="false">IF(F2539=1,G2539,"")</f>
        <v>143.788</v>
      </c>
    </row>
    <row r="2540" customFormat="false" ht="15" hidden="false" customHeight="false" outlineLevel="0" collapsed="false">
      <c r="A2540" s="31" t="n">
        <v>42841.75</v>
      </c>
      <c r="B2540" s="32" t="n">
        <v>66.775</v>
      </c>
      <c r="D2540" s="33" t="n">
        <f aca="false">WEEKDAY(A2540,2)</f>
        <v>7</v>
      </c>
      <c r="E2540" s="33" t="n">
        <f aca="false">HOUR(A2540)+MINUTE(A2540)/60</f>
        <v>18</v>
      </c>
      <c r="F2540" s="33" t="n">
        <f aca="false">IF(OR(D2540&gt;5,E2540&lt;8,E2540&gt;=18,COUNTIF($K$2:$K$10,INT(A2540))&gt;0),1,0)</f>
        <v>1</v>
      </c>
      <c r="G2540" s="34" t="n">
        <f aca="false">B2540/1</f>
        <v>66.775</v>
      </c>
      <c r="H2540" s="34" t="n">
        <f aca="false">IF(F2540=1,G2540,"")</f>
        <v>66.775</v>
      </c>
    </row>
    <row r="2541" customFormat="false" ht="15" hidden="false" customHeight="false" outlineLevel="0" collapsed="false">
      <c r="A2541" s="31" t="n">
        <v>42841.7916666667</v>
      </c>
      <c r="B2541" s="32" t="n">
        <v>54.334</v>
      </c>
      <c r="D2541" s="33" t="n">
        <f aca="false">WEEKDAY(A2541,2)</f>
        <v>7</v>
      </c>
      <c r="E2541" s="33" t="n">
        <f aca="false">HOUR(A2541)+MINUTE(A2541)/60</f>
        <v>19</v>
      </c>
      <c r="F2541" s="33" t="n">
        <f aca="false">IF(OR(D2541&gt;5,E2541&lt;8,E2541&gt;=18,COUNTIF($K$2:$K$10,INT(A2541))&gt;0),1,0)</f>
        <v>1</v>
      </c>
      <c r="G2541" s="34" t="n">
        <f aca="false">B2541/1</f>
        <v>54.334</v>
      </c>
      <c r="H2541" s="34" t="n">
        <f aca="false">IF(F2541=1,G2541,"")</f>
        <v>54.334</v>
      </c>
    </row>
    <row r="2542" customFormat="false" ht="15" hidden="false" customHeight="false" outlineLevel="0" collapsed="false">
      <c r="A2542" s="31" t="n">
        <v>42841.8333333333</v>
      </c>
      <c r="B2542" s="32" t="n">
        <v>51.996</v>
      </c>
      <c r="D2542" s="33" t="n">
        <f aca="false">WEEKDAY(A2542,2)</f>
        <v>7</v>
      </c>
      <c r="E2542" s="33" t="n">
        <f aca="false">HOUR(A2542)+MINUTE(A2542)/60</f>
        <v>20</v>
      </c>
      <c r="F2542" s="33" t="n">
        <f aca="false">IF(OR(D2542&gt;5,E2542&lt;8,E2542&gt;=18,COUNTIF($K$2:$K$10,INT(A2542))&gt;0),1,0)</f>
        <v>1</v>
      </c>
      <c r="G2542" s="34" t="n">
        <f aca="false">B2542/1</f>
        <v>51.996</v>
      </c>
      <c r="H2542" s="34" t="n">
        <f aca="false">IF(F2542=1,G2542,"")</f>
        <v>51.996</v>
      </c>
    </row>
    <row r="2543" customFormat="false" ht="15" hidden="false" customHeight="false" outlineLevel="0" collapsed="false">
      <c r="A2543" s="31" t="n">
        <v>42841.875</v>
      </c>
      <c r="B2543" s="32" t="n">
        <v>59.484</v>
      </c>
      <c r="D2543" s="33" t="n">
        <f aca="false">WEEKDAY(A2543,2)</f>
        <v>7</v>
      </c>
      <c r="E2543" s="33" t="n">
        <f aca="false">HOUR(A2543)+MINUTE(A2543)/60</f>
        <v>21</v>
      </c>
      <c r="F2543" s="33" t="n">
        <f aca="false">IF(OR(D2543&gt;5,E2543&lt;8,E2543&gt;=18,COUNTIF($K$2:$K$10,INT(A2543))&gt;0),1,0)</f>
        <v>1</v>
      </c>
      <c r="G2543" s="34" t="n">
        <f aca="false">B2543/1</f>
        <v>59.484</v>
      </c>
      <c r="H2543" s="34" t="n">
        <f aca="false">IF(F2543=1,G2543,"")</f>
        <v>59.484</v>
      </c>
    </row>
    <row r="2544" customFormat="false" ht="15" hidden="false" customHeight="false" outlineLevel="0" collapsed="false">
      <c r="A2544" s="31" t="n">
        <v>42841.9166666667</v>
      </c>
      <c r="B2544" s="32" t="n">
        <v>56.767</v>
      </c>
      <c r="D2544" s="33" t="n">
        <f aca="false">WEEKDAY(A2544,2)</f>
        <v>7</v>
      </c>
      <c r="E2544" s="33" t="n">
        <f aca="false">HOUR(A2544)+MINUTE(A2544)/60</f>
        <v>22</v>
      </c>
      <c r="F2544" s="33" t="n">
        <f aca="false">IF(OR(D2544&gt;5,E2544&lt;8,E2544&gt;=18,COUNTIF($K$2:$K$10,INT(A2544))&gt;0),1,0)</f>
        <v>1</v>
      </c>
      <c r="G2544" s="34" t="n">
        <f aca="false">B2544/1</f>
        <v>56.767</v>
      </c>
      <c r="H2544" s="34" t="n">
        <f aca="false">IF(F2544=1,G2544,"")</f>
        <v>56.767</v>
      </c>
    </row>
    <row r="2545" customFormat="false" ht="15" hidden="false" customHeight="false" outlineLevel="0" collapsed="false">
      <c r="A2545" s="31" t="n">
        <v>42841.9583333333</v>
      </c>
      <c r="B2545" s="32" t="n">
        <v>59.128</v>
      </c>
      <c r="D2545" s="33" t="n">
        <f aca="false">WEEKDAY(A2545,2)</f>
        <v>7</v>
      </c>
      <c r="E2545" s="33" t="n">
        <f aca="false">HOUR(A2545)+MINUTE(A2545)/60</f>
        <v>23</v>
      </c>
      <c r="F2545" s="33" t="n">
        <f aca="false">IF(OR(D2545&gt;5,E2545&lt;8,E2545&gt;=18,COUNTIF($K$2:$K$10,INT(A2545))&gt;0),1,0)</f>
        <v>1</v>
      </c>
      <c r="G2545" s="34" t="n">
        <f aca="false">B2545/1</f>
        <v>59.128</v>
      </c>
      <c r="H2545" s="34" t="n">
        <f aca="false">IF(F2545=1,G2545,"")</f>
        <v>59.128</v>
      </c>
    </row>
    <row r="2546" customFormat="false" ht="15" hidden="false" customHeight="false" outlineLevel="0" collapsed="false">
      <c r="A2546" s="31" t="n">
        <v>42842</v>
      </c>
      <c r="B2546" s="32" t="n">
        <v>57.994</v>
      </c>
      <c r="D2546" s="33" t="n">
        <f aca="false">WEEKDAY(A2546,2)</f>
        <v>1</v>
      </c>
      <c r="E2546" s="33" t="n">
        <f aca="false">HOUR(A2546)+MINUTE(A2546)/60</f>
        <v>0</v>
      </c>
      <c r="F2546" s="33" t="n">
        <f aca="false">IF(OR(D2546&gt;5,E2546&lt;8,E2546&gt;=18,COUNTIF($K$2:$K$10,INT(A2546))&gt;0),1,0)</f>
        <v>1</v>
      </c>
      <c r="G2546" s="34" t="n">
        <f aca="false">B2546/1</f>
        <v>57.994</v>
      </c>
      <c r="H2546" s="34" t="n">
        <f aca="false">IF(F2546=1,G2546,"")</f>
        <v>57.994</v>
      </c>
    </row>
    <row r="2547" customFormat="false" ht="15" hidden="false" customHeight="false" outlineLevel="0" collapsed="false">
      <c r="A2547" s="31" t="n">
        <v>42842.0416666667</v>
      </c>
      <c r="B2547" s="32" t="n">
        <v>60.699</v>
      </c>
      <c r="D2547" s="33" t="n">
        <f aca="false">WEEKDAY(A2547,2)</f>
        <v>1</v>
      </c>
      <c r="E2547" s="33" t="n">
        <f aca="false">HOUR(A2547)+MINUTE(A2547)/60</f>
        <v>1</v>
      </c>
      <c r="F2547" s="33" t="n">
        <f aca="false">IF(OR(D2547&gt;5,E2547&lt;8,E2547&gt;=18,COUNTIF($K$2:$K$10,INT(A2547))&gt;0),1,0)</f>
        <v>1</v>
      </c>
      <c r="G2547" s="34" t="n">
        <f aca="false">B2547/1</f>
        <v>60.699</v>
      </c>
      <c r="H2547" s="34" t="n">
        <f aca="false">IF(F2547=1,G2547,"")</f>
        <v>60.699</v>
      </c>
    </row>
    <row r="2548" customFormat="false" ht="15" hidden="false" customHeight="false" outlineLevel="0" collapsed="false">
      <c r="A2548" s="31" t="n">
        <v>42842.0833333333</v>
      </c>
      <c r="B2548" s="32" t="n">
        <v>59.208</v>
      </c>
      <c r="D2548" s="33" t="n">
        <f aca="false">WEEKDAY(A2548,2)</f>
        <v>1</v>
      </c>
      <c r="E2548" s="33" t="n">
        <f aca="false">HOUR(A2548)+MINUTE(A2548)/60</f>
        <v>2</v>
      </c>
      <c r="F2548" s="33" t="n">
        <f aca="false">IF(OR(D2548&gt;5,E2548&lt;8,E2548&gt;=18,COUNTIF($K$2:$K$10,INT(A2548))&gt;0),1,0)</f>
        <v>1</v>
      </c>
      <c r="G2548" s="34" t="n">
        <f aca="false">B2548/1</f>
        <v>59.208</v>
      </c>
      <c r="H2548" s="34" t="n">
        <f aca="false">IF(F2548=1,G2548,"")</f>
        <v>59.208</v>
      </c>
    </row>
    <row r="2549" customFormat="false" ht="15" hidden="false" customHeight="false" outlineLevel="0" collapsed="false">
      <c r="A2549" s="31" t="n">
        <v>42842.125</v>
      </c>
      <c r="B2549" s="32" t="n">
        <v>63.842</v>
      </c>
      <c r="D2549" s="33" t="n">
        <f aca="false">WEEKDAY(A2549,2)</f>
        <v>1</v>
      </c>
      <c r="E2549" s="33" t="n">
        <f aca="false">HOUR(A2549)+MINUTE(A2549)/60</f>
        <v>3</v>
      </c>
      <c r="F2549" s="33" t="n">
        <f aca="false">IF(OR(D2549&gt;5,E2549&lt;8,E2549&gt;=18,COUNTIF($K$2:$K$10,INT(A2549))&gt;0),1,0)</f>
        <v>1</v>
      </c>
      <c r="G2549" s="34" t="n">
        <f aca="false">B2549/1</f>
        <v>63.842</v>
      </c>
      <c r="H2549" s="34" t="n">
        <f aca="false">IF(F2549=1,G2549,"")</f>
        <v>63.842</v>
      </c>
    </row>
    <row r="2550" customFormat="false" ht="15" hidden="false" customHeight="false" outlineLevel="0" collapsed="false">
      <c r="A2550" s="31" t="n">
        <v>42842.1666666667</v>
      </c>
      <c r="B2550" s="32" t="n">
        <v>60.382</v>
      </c>
      <c r="D2550" s="33" t="n">
        <f aca="false">WEEKDAY(A2550,2)</f>
        <v>1</v>
      </c>
      <c r="E2550" s="33" t="n">
        <f aca="false">HOUR(A2550)+MINUTE(A2550)/60</f>
        <v>4</v>
      </c>
      <c r="F2550" s="33" t="n">
        <f aca="false">IF(OR(D2550&gt;5,E2550&lt;8,E2550&gt;=18,COUNTIF($K$2:$K$10,INT(A2550))&gt;0),1,0)</f>
        <v>1</v>
      </c>
      <c r="G2550" s="34" t="n">
        <f aca="false">B2550/1</f>
        <v>60.382</v>
      </c>
      <c r="H2550" s="34" t="n">
        <f aca="false">IF(F2550=1,G2550,"")</f>
        <v>60.382</v>
      </c>
    </row>
    <row r="2551" customFormat="false" ht="15" hidden="false" customHeight="false" outlineLevel="0" collapsed="false">
      <c r="A2551" s="31" t="n">
        <v>42842.2083333333</v>
      </c>
      <c r="B2551" s="32" t="n">
        <v>63.25</v>
      </c>
      <c r="D2551" s="33" t="n">
        <f aca="false">WEEKDAY(A2551,2)</f>
        <v>1</v>
      </c>
      <c r="E2551" s="33" t="n">
        <f aca="false">HOUR(A2551)+MINUTE(A2551)/60</f>
        <v>5</v>
      </c>
      <c r="F2551" s="33" t="n">
        <f aca="false">IF(OR(D2551&gt;5,E2551&lt;8,E2551&gt;=18,COUNTIF($K$2:$K$10,INT(A2551))&gt;0),1,0)</f>
        <v>1</v>
      </c>
      <c r="G2551" s="34" t="n">
        <f aca="false">B2551/1</f>
        <v>63.25</v>
      </c>
      <c r="H2551" s="34" t="n">
        <f aca="false">IF(F2551=1,G2551,"")</f>
        <v>63.25</v>
      </c>
    </row>
    <row r="2552" customFormat="false" ht="15" hidden="false" customHeight="false" outlineLevel="0" collapsed="false">
      <c r="A2552" s="31" t="n">
        <v>42842.25</v>
      </c>
      <c r="B2552" s="32" t="n">
        <v>61.298</v>
      </c>
      <c r="D2552" s="33" t="n">
        <f aca="false">WEEKDAY(A2552,2)</f>
        <v>1</v>
      </c>
      <c r="E2552" s="33" t="n">
        <f aca="false">HOUR(A2552)+MINUTE(A2552)/60</f>
        <v>6</v>
      </c>
      <c r="F2552" s="33" t="n">
        <f aca="false">IF(OR(D2552&gt;5,E2552&lt;8,E2552&gt;=18,COUNTIF($K$2:$K$10,INT(A2552))&gt;0),1,0)</f>
        <v>1</v>
      </c>
      <c r="G2552" s="34" t="n">
        <f aca="false">B2552/1</f>
        <v>61.298</v>
      </c>
      <c r="H2552" s="34" t="n">
        <f aca="false">IF(F2552=1,G2552,"")</f>
        <v>61.298</v>
      </c>
    </row>
    <row r="2553" customFormat="false" ht="15" hidden="false" customHeight="false" outlineLevel="0" collapsed="false">
      <c r="A2553" s="31" t="n">
        <v>42842.2916666667</v>
      </c>
      <c r="B2553" s="32" t="n">
        <v>87.823</v>
      </c>
      <c r="D2553" s="33" t="n">
        <f aca="false">WEEKDAY(A2553,2)</f>
        <v>1</v>
      </c>
      <c r="E2553" s="33" t="n">
        <f aca="false">HOUR(A2553)+MINUTE(A2553)/60</f>
        <v>7</v>
      </c>
      <c r="F2553" s="33" t="n">
        <f aca="false">IF(OR(D2553&gt;5,E2553&lt;8,E2553&gt;=18,COUNTIF($K$2:$K$10,INT(A2553))&gt;0),1,0)</f>
        <v>1</v>
      </c>
      <c r="G2553" s="34" t="n">
        <f aca="false">B2553/1</f>
        <v>87.823</v>
      </c>
      <c r="H2553" s="34" t="n">
        <f aca="false">IF(F2553=1,G2553,"")</f>
        <v>87.823</v>
      </c>
    </row>
    <row r="2554" customFormat="false" ht="15" hidden="false" customHeight="false" outlineLevel="0" collapsed="false">
      <c r="A2554" s="31" t="n">
        <v>42842.3333333333</v>
      </c>
      <c r="B2554" s="32" t="n">
        <v>171.374</v>
      </c>
      <c r="D2554" s="33" t="n">
        <f aca="false">WEEKDAY(A2554,2)</f>
        <v>1</v>
      </c>
      <c r="E2554" s="33" t="n">
        <f aca="false">HOUR(A2554)+MINUTE(A2554)/60</f>
        <v>8</v>
      </c>
      <c r="F2554" s="33" t="n">
        <f aca="false">IF(OR(D2554&gt;5,E2554&lt;8,E2554&gt;=18,COUNTIF($K$2:$K$10,INT(A2554))&gt;0),1,0)</f>
        <v>0</v>
      </c>
      <c r="G2554" s="34" t="n">
        <f aca="false">B2554/1</f>
        <v>171.374</v>
      </c>
      <c r="H2554" s="34" t="str">
        <f aca="false">IF(F2554=1,G2554,"")</f>
        <v/>
      </c>
    </row>
    <row r="2555" customFormat="false" ht="15" hidden="false" customHeight="false" outlineLevel="0" collapsed="false">
      <c r="A2555" s="31" t="n">
        <v>42842.375</v>
      </c>
      <c r="B2555" s="32" t="n">
        <v>216.719</v>
      </c>
      <c r="D2555" s="33" t="n">
        <f aca="false">WEEKDAY(A2555,2)</f>
        <v>1</v>
      </c>
      <c r="E2555" s="33" t="n">
        <f aca="false">HOUR(A2555)+MINUTE(A2555)/60</f>
        <v>9</v>
      </c>
      <c r="F2555" s="33" t="n">
        <f aca="false">IF(OR(D2555&gt;5,E2555&lt;8,E2555&gt;=18,COUNTIF($K$2:$K$10,INT(A2555))&gt;0),1,0)</f>
        <v>0</v>
      </c>
      <c r="G2555" s="34" t="n">
        <f aca="false">B2555/1</f>
        <v>216.719</v>
      </c>
      <c r="H2555" s="34" t="str">
        <f aca="false">IF(F2555=1,G2555,"")</f>
        <v/>
      </c>
    </row>
    <row r="2556" customFormat="false" ht="15" hidden="false" customHeight="false" outlineLevel="0" collapsed="false">
      <c r="A2556" s="31" t="n">
        <v>42842.4166666667</v>
      </c>
      <c r="B2556" s="32" t="n">
        <v>243.473</v>
      </c>
      <c r="D2556" s="33" t="n">
        <f aca="false">WEEKDAY(A2556,2)</f>
        <v>1</v>
      </c>
      <c r="E2556" s="33" t="n">
        <f aca="false">HOUR(A2556)+MINUTE(A2556)/60</f>
        <v>10</v>
      </c>
      <c r="F2556" s="33" t="n">
        <f aca="false">IF(OR(D2556&gt;5,E2556&lt;8,E2556&gt;=18,COUNTIF($K$2:$K$10,INT(A2556))&gt;0),1,0)</f>
        <v>0</v>
      </c>
      <c r="G2556" s="34" t="n">
        <f aca="false">B2556/1</f>
        <v>243.473</v>
      </c>
      <c r="H2556" s="34" t="str">
        <f aca="false">IF(F2556=1,G2556,"")</f>
        <v/>
      </c>
    </row>
    <row r="2557" customFormat="false" ht="15" hidden="false" customHeight="false" outlineLevel="0" collapsed="false">
      <c r="A2557" s="31" t="n">
        <v>42842.4583333333</v>
      </c>
      <c r="B2557" s="32" t="n">
        <v>253.841</v>
      </c>
      <c r="D2557" s="33" t="n">
        <f aca="false">WEEKDAY(A2557,2)</f>
        <v>1</v>
      </c>
      <c r="E2557" s="33" t="n">
        <f aca="false">HOUR(A2557)+MINUTE(A2557)/60</f>
        <v>11</v>
      </c>
      <c r="F2557" s="33" t="n">
        <f aca="false">IF(OR(D2557&gt;5,E2557&lt;8,E2557&gt;=18,COUNTIF($K$2:$K$10,INT(A2557))&gt;0),1,0)</f>
        <v>0</v>
      </c>
      <c r="G2557" s="34" t="n">
        <f aca="false">B2557/1</f>
        <v>253.841</v>
      </c>
      <c r="H2557" s="34" t="str">
        <f aca="false">IF(F2557=1,G2557,"")</f>
        <v/>
      </c>
    </row>
    <row r="2558" customFormat="false" ht="15" hidden="false" customHeight="false" outlineLevel="0" collapsed="false">
      <c r="A2558" s="31" t="n">
        <v>42842.5</v>
      </c>
      <c r="B2558" s="32" t="n">
        <v>263.441</v>
      </c>
      <c r="D2558" s="33" t="n">
        <f aca="false">WEEKDAY(A2558,2)</f>
        <v>1</v>
      </c>
      <c r="E2558" s="33" t="n">
        <f aca="false">HOUR(A2558)+MINUTE(A2558)/60</f>
        <v>12</v>
      </c>
      <c r="F2558" s="33" t="n">
        <f aca="false">IF(OR(D2558&gt;5,E2558&lt;8,E2558&gt;=18,COUNTIF($K$2:$K$10,INT(A2558))&gt;0),1,0)</f>
        <v>0</v>
      </c>
      <c r="G2558" s="34" t="n">
        <f aca="false">B2558/1</f>
        <v>263.441</v>
      </c>
      <c r="H2558" s="34" t="str">
        <f aca="false">IF(F2558=1,G2558,"")</f>
        <v/>
      </c>
    </row>
    <row r="2559" customFormat="false" ht="15" hidden="false" customHeight="false" outlineLevel="0" collapsed="false">
      <c r="A2559" s="31" t="n">
        <v>42842.5416666667</v>
      </c>
      <c r="B2559" s="32" t="n">
        <v>257.894</v>
      </c>
      <c r="D2559" s="33" t="n">
        <f aca="false">WEEKDAY(A2559,2)</f>
        <v>1</v>
      </c>
      <c r="E2559" s="33" t="n">
        <f aca="false">HOUR(A2559)+MINUTE(A2559)/60</f>
        <v>13</v>
      </c>
      <c r="F2559" s="33" t="n">
        <f aca="false">IF(OR(D2559&gt;5,E2559&lt;8,E2559&gt;=18,COUNTIF($K$2:$K$10,INT(A2559))&gt;0),1,0)</f>
        <v>0</v>
      </c>
      <c r="G2559" s="34" t="n">
        <f aca="false">B2559/1</f>
        <v>257.894</v>
      </c>
      <c r="H2559" s="34" t="str">
        <f aca="false">IF(F2559=1,G2559,"")</f>
        <v/>
      </c>
    </row>
    <row r="2560" customFormat="false" ht="15" hidden="false" customHeight="false" outlineLevel="0" collapsed="false">
      <c r="A2560" s="31" t="n">
        <v>42842.5833333333</v>
      </c>
      <c r="B2560" s="32" t="n">
        <v>261.565</v>
      </c>
      <c r="D2560" s="33" t="n">
        <f aca="false">WEEKDAY(A2560,2)</f>
        <v>1</v>
      </c>
      <c r="E2560" s="33" t="n">
        <f aca="false">HOUR(A2560)+MINUTE(A2560)/60</f>
        <v>14</v>
      </c>
      <c r="F2560" s="33" t="n">
        <f aca="false">IF(OR(D2560&gt;5,E2560&lt;8,E2560&gt;=18,COUNTIF($K$2:$K$10,INT(A2560))&gt;0),1,0)</f>
        <v>0</v>
      </c>
      <c r="G2560" s="34" t="n">
        <f aca="false">B2560/1</f>
        <v>261.565</v>
      </c>
      <c r="H2560" s="34" t="str">
        <f aca="false">IF(F2560=1,G2560,"")</f>
        <v/>
      </c>
    </row>
    <row r="2561" customFormat="false" ht="15" hidden="false" customHeight="false" outlineLevel="0" collapsed="false">
      <c r="A2561" s="31" t="n">
        <v>42842.625</v>
      </c>
      <c r="B2561" s="32" t="n">
        <v>255.267</v>
      </c>
      <c r="D2561" s="33" t="n">
        <f aca="false">WEEKDAY(A2561,2)</f>
        <v>1</v>
      </c>
      <c r="E2561" s="33" t="n">
        <f aca="false">HOUR(A2561)+MINUTE(A2561)/60</f>
        <v>15</v>
      </c>
      <c r="F2561" s="33" t="n">
        <f aca="false">IF(OR(D2561&gt;5,E2561&lt;8,E2561&gt;=18,COUNTIF($K$2:$K$10,INT(A2561))&gt;0),1,0)</f>
        <v>0</v>
      </c>
      <c r="G2561" s="34" t="n">
        <f aca="false">B2561/1</f>
        <v>255.267</v>
      </c>
      <c r="H2561" s="34" t="str">
        <f aca="false">IF(F2561=1,G2561,"")</f>
        <v/>
      </c>
    </row>
    <row r="2562" customFormat="false" ht="15" hidden="false" customHeight="false" outlineLevel="0" collapsed="false">
      <c r="A2562" s="31" t="n">
        <v>42842.6666666667</v>
      </c>
      <c r="B2562" s="32" t="n">
        <v>260.329</v>
      </c>
      <c r="D2562" s="33" t="n">
        <f aca="false">WEEKDAY(A2562,2)</f>
        <v>1</v>
      </c>
      <c r="E2562" s="33" t="n">
        <f aca="false">HOUR(A2562)+MINUTE(A2562)/60</f>
        <v>16</v>
      </c>
      <c r="F2562" s="33" t="n">
        <f aca="false">IF(OR(D2562&gt;5,E2562&lt;8,E2562&gt;=18,COUNTIF($K$2:$K$10,INT(A2562))&gt;0),1,0)</f>
        <v>0</v>
      </c>
      <c r="G2562" s="34" t="n">
        <f aca="false">B2562/1</f>
        <v>260.329</v>
      </c>
      <c r="H2562" s="34" t="str">
        <f aca="false">IF(F2562=1,G2562,"")</f>
        <v/>
      </c>
    </row>
    <row r="2563" customFormat="false" ht="15" hidden="false" customHeight="false" outlineLevel="0" collapsed="false">
      <c r="A2563" s="31" t="n">
        <v>42842.7083333333</v>
      </c>
      <c r="B2563" s="32" t="n">
        <v>253.759</v>
      </c>
      <c r="D2563" s="33" t="n">
        <f aca="false">WEEKDAY(A2563,2)</f>
        <v>1</v>
      </c>
      <c r="E2563" s="33" t="n">
        <f aca="false">HOUR(A2563)+MINUTE(A2563)/60</f>
        <v>17</v>
      </c>
      <c r="F2563" s="33" t="n">
        <f aca="false">IF(OR(D2563&gt;5,E2563&lt;8,E2563&gt;=18,COUNTIF($K$2:$K$10,INT(A2563))&gt;0),1,0)</f>
        <v>0</v>
      </c>
      <c r="G2563" s="34" t="n">
        <f aca="false">B2563/1</f>
        <v>253.759</v>
      </c>
      <c r="H2563" s="34" t="str">
        <f aca="false">IF(F2563=1,G2563,"")</f>
        <v/>
      </c>
    </row>
    <row r="2564" customFormat="false" ht="15" hidden="false" customHeight="false" outlineLevel="0" collapsed="false">
      <c r="A2564" s="31" t="n">
        <v>42842.75</v>
      </c>
      <c r="B2564" s="32" t="n">
        <v>233.688</v>
      </c>
      <c r="D2564" s="33" t="n">
        <f aca="false">WEEKDAY(A2564,2)</f>
        <v>1</v>
      </c>
      <c r="E2564" s="33" t="n">
        <f aca="false">HOUR(A2564)+MINUTE(A2564)/60</f>
        <v>18</v>
      </c>
      <c r="F2564" s="33" t="n">
        <f aca="false">IF(OR(D2564&gt;5,E2564&lt;8,E2564&gt;=18,COUNTIF($K$2:$K$10,INT(A2564))&gt;0),1,0)</f>
        <v>1</v>
      </c>
      <c r="G2564" s="34" t="n">
        <f aca="false">B2564/1</f>
        <v>233.688</v>
      </c>
      <c r="H2564" s="34" t="n">
        <f aca="false">IF(F2564=1,G2564,"")</f>
        <v>233.688</v>
      </c>
    </row>
    <row r="2565" customFormat="false" ht="15" hidden="false" customHeight="false" outlineLevel="0" collapsed="false">
      <c r="A2565" s="31" t="n">
        <v>42842.7916666667</v>
      </c>
      <c r="B2565" s="32" t="n">
        <v>220.442</v>
      </c>
      <c r="D2565" s="33" t="n">
        <f aca="false">WEEKDAY(A2565,2)</f>
        <v>1</v>
      </c>
      <c r="E2565" s="33" t="n">
        <f aca="false">HOUR(A2565)+MINUTE(A2565)/60</f>
        <v>19</v>
      </c>
      <c r="F2565" s="33" t="n">
        <f aca="false">IF(OR(D2565&gt;5,E2565&lt;8,E2565&gt;=18,COUNTIF($K$2:$K$10,INT(A2565))&gt;0),1,0)</f>
        <v>1</v>
      </c>
      <c r="G2565" s="34" t="n">
        <f aca="false">B2565/1</f>
        <v>220.442</v>
      </c>
      <c r="H2565" s="34" t="n">
        <f aca="false">IF(F2565=1,G2565,"")</f>
        <v>220.442</v>
      </c>
    </row>
    <row r="2566" customFormat="false" ht="15" hidden="false" customHeight="false" outlineLevel="0" collapsed="false">
      <c r="A2566" s="31" t="n">
        <v>42842.8333333333</v>
      </c>
      <c r="B2566" s="32" t="n">
        <v>205.216</v>
      </c>
      <c r="D2566" s="33" t="n">
        <f aca="false">WEEKDAY(A2566,2)</f>
        <v>1</v>
      </c>
      <c r="E2566" s="33" t="n">
        <f aca="false">HOUR(A2566)+MINUTE(A2566)/60</f>
        <v>20</v>
      </c>
      <c r="F2566" s="33" t="n">
        <f aca="false">IF(OR(D2566&gt;5,E2566&lt;8,E2566&gt;=18,COUNTIF($K$2:$K$10,INT(A2566))&gt;0),1,0)</f>
        <v>1</v>
      </c>
      <c r="G2566" s="34" t="n">
        <f aca="false">B2566/1</f>
        <v>205.216</v>
      </c>
      <c r="H2566" s="34" t="n">
        <f aca="false">IF(F2566=1,G2566,"")</f>
        <v>205.216</v>
      </c>
    </row>
    <row r="2567" customFormat="false" ht="15" hidden="false" customHeight="false" outlineLevel="0" collapsed="false">
      <c r="A2567" s="31" t="n">
        <v>42842.875</v>
      </c>
      <c r="B2567" s="32" t="n">
        <v>199.456</v>
      </c>
      <c r="D2567" s="33" t="n">
        <f aca="false">WEEKDAY(A2567,2)</f>
        <v>1</v>
      </c>
      <c r="E2567" s="33" t="n">
        <f aca="false">HOUR(A2567)+MINUTE(A2567)/60</f>
        <v>21</v>
      </c>
      <c r="F2567" s="33" t="n">
        <f aca="false">IF(OR(D2567&gt;5,E2567&lt;8,E2567&gt;=18,COUNTIF($K$2:$K$10,INT(A2567))&gt;0),1,0)</f>
        <v>1</v>
      </c>
      <c r="G2567" s="34" t="n">
        <f aca="false">B2567/1</f>
        <v>199.456</v>
      </c>
      <c r="H2567" s="34" t="n">
        <f aca="false">IF(F2567=1,G2567,"")</f>
        <v>199.456</v>
      </c>
    </row>
    <row r="2568" customFormat="false" ht="15" hidden="false" customHeight="false" outlineLevel="0" collapsed="false">
      <c r="A2568" s="31" t="n">
        <v>42842.9166666667</v>
      </c>
      <c r="B2568" s="32" t="n">
        <v>141.826</v>
      </c>
      <c r="D2568" s="33" t="n">
        <f aca="false">WEEKDAY(A2568,2)</f>
        <v>1</v>
      </c>
      <c r="E2568" s="33" t="n">
        <f aca="false">HOUR(A2568)+MINUTE(A2568)/60</f>
        <v>22</v>
      </c>
      <c r="F2568" s="33" t="n">
        <f aca="false">IF(OR(D2568&gt;5,E2568&lt;8,E2568&gt;=18,COUNTIF($K$2:$K$10,INT(A2568))&gt;0),1,0)</f>
        <v>1</v>
      </c>
      <c r="G2568" s="34" t="n">
        <f aca="false">B2568/1</f>
        <v>141.826</v>
      </c>
      <c r="H2568" s="34" t="n">
        <f aca="false">IF(F2568=1,G2568,"")</f>
        <v>141.826</v>
      </c>
    </row>
    <row r="2569" customFormat="false" ht="15" hidden="false" customHeight="false" outlineLevel="0" collapsed="false">
      <c r="A2569" s="31" t="n">
        <v>42842.9583333333</v>
      </c>
      <c r="B2569" s="32" t="n">
        <v>75.928</v>
      </c>
      <c r="D2569" s="33" t="n">
        <f aca="false">WEEKDAY(A2569,2)</f>
        <v>1</v>
      </c>
      <c r="E2569" s="33" t="n">
        <f aca="false">HOUR(A2569)+MINUTE(A2569)/60</f>
        <v>23</v>
      </c>
      <c r="F2569" s="33" t="n">
        <f aca="false">IF(OR(D2569&gt;5,E2569&lt;8,E2569&gt;=18,COUNTIF($K$2:$K$10,INT(A2569))&gt;0),1,0)</f>
        <v>1</v>
      </c>
      <c r="G2569" s="34" t="n">
        <f aca="false">B2569/1</f>
        <v>75.928</v>
      </c>
      <c r="H2569" s="34" t="n">
        <f aca="false">IF(F2569=1,G2569,"")</f>
        <v>75.928</v>
      </c>
    </row>
    <row r="2570" customFormat="false" ht="15" hidden="false" customHeight="false" outlineLevel="0" collapsed="false">
      <c r="A2570" s="31" t="n">
        <v>42843</v>
      </c>
      <c r="B2570" s="32" t="n">
        <v>69.166</v>
      </c>
      <c r="D2570" s="33" t="n">
        <f aca="false">WEEKDAY(A2570,2)</f>
        <v>2</v>
      </c>
      <c r="E2570" s="33" t="n">
        <f aca="false">HOUR(A2570)+MINUTE(A2570)/60</f>
        <v>0</v>
      </c>
      <c r="F2570" s="33" t="n">
        <f aca="false">IF(OR(D2570&gt;5,E2570&lt;8,E2570&gt;=18,COUNTIF($K$2:$K$10,INT(A2570))&gt;0),1,0)</f>
        <v>1</v>
      </c>
      <c r="G2570" s="34" t="n">
        <f aca="false">B2570/1</f>
        <v>69.166</v>
      </c>
      <c r="H2570" s="34" t="n">
        <f aca="false">IF(F2570=1,G2570,"")</f>
        <v>69.166</v>
      </c>
    </row>
    <row r="2571" customFormat="false" ht="15" hidden="false" customHeight="false" outlineLevel="0" collapsed="false">
      <c r="A2571" s="31" t="n">
        <v>42843.0416666667</v>
      </c>
      <c r="B2571" s="32" t="n">
        <v>64.457</v>
      </c>
      <c r="D2571" s="33" t="n">
        <f aca="false">WEEKDAY(A2571,2)</f>
        <v>2</v>
      </c>
      <c r="E2571" s="33" t="n">
        <f aca="false">HOUR(A2571)+MINUTE(A2571)/60</f>
        <v>1</v>
      </c>
      <c r="F2571" s="33" t="n">
        <f aca="false">IF(OR(D2571&gt;5,E2571&lt;8,E2571&gt;=18,COUNTIF($K$2:$K$10,INT(A2571))&gt;0),1,0)</f>
        <v>1</v>
      </c>
      <c r="G2571" s="34" t="n">
        <f aca="false">B2571/1</f>
        <v>64.457</v>
      </c>
      <c r="H2571" s="34" t="n">
        <f aca="false">IF(F2571=1,G2571,"")</f>
        <v>64.457</v>
      </c>
    </row>
    <row r="2572" customFormat="false" ht="15" hidden="false" customHeight="false" outlineLevel="0" collapsed="false">
      <c r="A2572" s="31" t="n">
        <v>42843.0833333333</v>
      </c>
      <c r="B2572" s="32" t="n">
        <v>65.709</v>
      </c>
      <c r="D2572" s="33" t="n">
        <f aca="false">WEEKDAY(A2572,2)</f>
        <v>2</v>
      </c>
      <c r="E2572" s="33" t="n">
        <f aca="false">HOUR(A2572)+MINUTE(A2572)/60</f>
        <v>2</v>
      </c>
      <c r="F2572" s="33" t="n">
        <f aca="false">IF(OR(D2572&gt;5,E2572&lt;8,E2572&gt;=18,COUNTIF($K$2:$K$10,INT(A2572))&gt;0),1,0)</f>
        <v>1</v>
      </c>
      <c r="G2572" s="34" t="n">
        <f aca="false">B2572/1</f>
        <v>65.709</v>
      </c>
      <c r="H2572" s="34" t="n">
        <f aca="false">IF(F2572=1,G2572,"")</f>
        <v>65.709</v>
      </c>
    </row>
    <row r="2573" customFormat="false" ht="15" hidden="false" customHeight="false" outlineLevel="0" collapsed="false">
      <c r="A2573" s="31" t="n">
        <v>42843.125</v>
      </c>
      <c r="B2573" s="32" t="n">
        <v>63.254</v>
      </c>
      <c r="D2573" s="33" t="n">
        <f aca="false">WEEKDAY(A2573,2)</f>
        <v>2</v>
      </c>
      <c r="E2573" s="33" t="n">
        <f aca="false">HOUR(A2573)+MINUTE(A2573)/60</f>
        <v>3</v>
      </c>
      <c r="F2573" s="33" t="n">
        <f aca="false">IF(OR(D2573&gt;5,E2573&lt;8,E2573&gt;=18,COUNTIF($K$2:$K$10,INT(A2573))&gt;0),1,0)</f>
        <v>1</v>
      </c>
      <c r="G2573" s="34" t="n">
        <f aca="false">B2573/1</f>
        <v>63.254</v>
      </c>
      <c r="H2573" s="34" t="n">
        <f aca="false">IF(F2573=1,G2573,"")</f>
        <v>63.254</v>
      </c>
    </row>
    <row r="2574" customFormat="false" ht="15" hidden="false" customHeight="false" outlineLevel="0" collapsed="false">
      <c r="A2574" s="31" t="n">
        <v>42843.1666666667</v>
      </c>
      <c r="B2574" s="32" t="n">
        <v>62.061</v>
      </c>
      <c r="D2574" s="33" t="n">
        <f aca="false">WEEKDAY(A2574,2)</f>
        <v>2</v>
      </c>
      <c r="E2574" s="33" t="n">
        <f aca="false">HOUR(A2574)+MINUTE(A2574)/60</f>
        <v>4</v>
      </c>
      <c r="F2574" s="33" t="n">
        <f aca="false">IF(OR(D2574&gt;5,E2574&lt;8,E2574&gt;=18,COUNTIF($K$2:$K$10,INT(A2574))&gt;0),1,0)</f>
        <v>1</v>
      </c>
      <c r="G2574" s="34" t="n">
        <f aca="false">B2574/1</f>
        <v>62.061</v>
      </c>
      <c r="H2574" s="34" t="n">
        <f aca="false">IF(F2574=1,G2574,"")</f>
        <v>62.061</v>
      </c>
    </row>
    <row r="2575" customFormat="false" ht="15" hidden="false" customHeight="false" outlineLevel="0" collapsed="false">
      <c r="A2575" s="31" t="n">
        <v>42843.2083333333</v>
      </c>
      <c r="B2575" s="32" t="n">
        <v>60.488</v>
      </c>
      <c r="D2575" s="33" t="n">
        <f aca="false">WEEKDAY(A2575,2)</f>
        <v>2</v>
      </c>
      <c r="E2575" s="33" t="n">
        <f aca="false">HOUR(A2575)+MINUTE(A2575)/60</f>
        <v>5</v>
      </c>
      <c r="F2575" s="33" t="n">
        <f aca="false">IF(OR(D2575&gt;5,E2575&lt;8,E2575&gt;=18,COUNTIF($K$2:$K$10,INT(A2575))&gt;0),1,0)</f>
        <v>1</v>
      </c>
      <c r="G2575" s="34" t="n">
        <f aca="false">B2575/1</f>
        <v>60.488</v>
      </c>
      <c r="H2575" s="34" t="n">
        <f aca="false">IF(F2575=1,G2575,"")</f>
        <v>60.488</v>
      </c>
    </row>
    <row r="2576" customFormat="false" ht="15" hidden="false" customHeight="false" outlineLevel="0" collapsed="false">
      <c r="A2576" s="31" t="n">
        <v>42843.25</v>
      </c>
      <c r="B2576" s="32" t="n">
        <v>56.842</v>
      </c>
      <c r="D2576" s="33" t="n">
        <f aca="false">WEEKDAY(A2576,2)</f>
        <v>2</v>
      </c>
      <c r="E2576" s="33" t="n">
        <f aca="false">HOUR(A2576)+MINUTE(A2576)/60</f>
        <v>6</v>
      </c>
      <c r="F2576" s="33" t="n">
        <f aca="false">IF(OR(D2576&gt;5,E2576&lt;8,E2576&gt;=18,COUNTIF($K$2:$K$10,INT(A2576))&gt;0),1,0)</f>
        <v>1</v>
      </c>
      <c r="G2576" s="34" t="n">
        <f aca="false">B2576/1</f>
        <v>56.842</v>
      </c>
      <c r="H2576" s="34" t="n">
        <f aca="false">IF(F2576=1,G2576,"")</f>
        <v>56.842</v>
      </c>
    </row>
    <row r="2577" customFormat="false" ht="15" hidden="false" customHeight="false" outlineLevel="0" collapsed="false">
      <c r="A2577" s="31" t="n">
        <v>42843.2916666667</v>
      </c>
      <c r="B2577" s="32" t="n">
        <v>67.675</v>
      </c>
      <c r="D2577" s="33" t="n">
        <f aca="false">WEEKDAY(A2577,2)</f>
        <v>2</v>
      </c>
      <c r="E2577" s="33" t="n">
        <f aca="false">HOUR(A2577)+MINUTE(A2577)/60</f>
        <v>7</v>
      </c>
      <c r="F2577" s="33" t="n">
        <f aca="false">IF(OR(D2577&gt;5,E2577&lt;8,E2577&gt;=18,COUNTIF($K$2:$K$10,INT(A2577))&gt;0),1,0)</f>
        <v>1</v>
      </c>
      <c r="G2577" s="34" t="n">
        <f aca="false">B2577/1</f>
        <v>67.675</v>
      </c>
      <c r="H2577" s="34" t="n">
        <f aca="false">IF(F2577=1,G2577,"")</f>
        <v>67.675</v>
      </c>
    </row>
    <row r="2578" customFormat="false" ht="15" hidden="false" customHeight="false" outlineLevel="0" collapsed="false">
      <c r="A2578" s="31" t="n">
        <v>42843.3333333333</v>
      </c>
      <c r="B2578" s="32" t="n">
        <v>175.388</v>
      </c>
      <c r="D2578" s="33" t="n">
        <f aca="false">WEEKDAY(A2578,2)</f>
        <v>2</v>
      </c>
      <c r="E2578" s="33" t="n">
        <f aca="false">HOUR(A2578)+MINUTE(A2578)/60</f>
        <v>8</v>
      </c>
      <c r="F2578" s="33" t="n">
        <f aca="false">IF(OR(D2578&gt;5,E2578&lt;8,E2578&gt;=18,COUNTIF($K$2:$K$10,INT(A2578))&gt;0),1,0)</f>
        <v>0</v>
      </c>
      <c r="G2578" s="34" t="n">
        <f aca="false">B2578/1</f>
        <v>175.388</v>
      </c>
      <c r="H2578" s="34" t="str">
        <f aca="false">IF(F2578=1,G2578,"")</f>
        <v/>
      </c>
    </row>
    <row r="2579" customFormat="false" ht="15" hidden="false" customHeight="false" outlineLevel="0" collapsed="false">
      <c r="A2579" s="31" t="n">
        <v>42843.375</v>
      </c>
      <c r="B2579" s="32" t="n">
        <v>218.429</v>
      </c>
      <c r="D2579" s="33" t="n">
        <f aca="false">WEEKDAY(A2579,2)</f>
        <v>2</v>
      </c>
      <c r="E2579" s="33" t="n">
        <f aca="false">HOUR(A2579)+MINUTE(A2579)/60</f>
        <v>9</v>
      </c>
      <c r="F2579" s="33" t="n">
        <f aca="false">IF(OR(D2579&gt;5,E2579&lt;8,E2579&gt;=18,COUNTIF($K$2:$K$10,INT(A2579))&gt;0),1,0)</f>
        <v>0</v>
      </c>
      <c r="G2579" s="34" t="n">
        <f aca="false">B2579/1</f>
        <v>218.429</v>
      </c>
      <c r="H2579" s="34" t="str">
        <f aca="false">IF(F2579=1,G2579,"")</f>
        <v/>
      </c>
    </row>
    <row r="2580" customFormat="false" ht="15" hidden="false" customHeight="false" outlineLevel="0" collapsed="false">
      <c r="A2580" s="31" t="n">
        <v>42843.4166666667</v>
      </c>
      <c r="B2580" s="32" t="n">
        <v>252.88</v>
      </c>
      <c r="D2580" s="33" t="n">
        <f aca="false">WEEKDAY(A2580,2)</f>
        <v>2</v>
      </c>
      <c r="E2580" s="33" t="n">
        <f aca="false">HOUR(A2580)+MINUTE(A2580)/60</f>
        <v>10</v>
      </c>
      <c r="F2580" s="33" t="n">
        <f aca="false">IF(OR(D2580&gt;5,E2580&lt;8,E2580&gt;=18,COUNTIF($K$2:$K$10,INT(A2580))&gt;0),1,0)</f>
        <v>0</v>
      </c>
      <c r="G2580" s="34" t="n">
        <f aca="false">B2580/1</f>
        <v>252.88</v>
      </c>
      <c r="H2580" s="34" t="str">
        <f aca="false">IF(F2580=1,G2580,"")</f>
        <v/>
      </c>
    </row>
    <row r="2581" customFormat="false" ht="15" hidden="false" customHeight="false" outlineLevel="0" collapsed="false">
      <c r="A2581" s="31" t="n">
        <v>42843.4583333333</v>
      </c>
      <c r="B2581" s="32" t="n">
        <v>273.227</v>
      </c>
      <c r="D2581" s="33" t="n">
        <f aca="false">WEEKDAY(A2581,2)</f>
        <v>2</v>
      </c>
      <c r="E2581" s="33" t="n">
        <f aca="false">HOUR(A2581)+MINUTE(A2581)/60</f>
        <v>11</v>
      </c>
      <c r="F2581" s="33" t="n">
        <f aca="false">IF(OR(D2581&gt;5,E2581&lt;8,E2581&gt;=18,COUNTIF($K$2:$K$10,INT(A2581))&gt;0),1,0)</f>
        <v>0</v>
      </c>
      <c r="G2581" s="34" t="n">
        <f aca="false">B2581/1</f>
        <v>273.227</v>
      </c>
      <c r="H2581" s="34" t="str">
        <f aca="false">IF(F2581=1,G2581,"")</f>
        <v/>
      </c>
    </row>
    <row r="2582" customFormat="false" ht="15" hidden="false" customHeight="false" outlineLevel="0" collapsed="false">
      <c r="A2582" s="31" t="n">
        <v>42843.5</v>
      </c>
      <c r="B2582" s="32" t="n">
        <v>260.863</v>
      </c>
      <c r="D2582" s="33" t="n">
        <f aca="false">WEEKDAY(A2582,2)</f>
        <v>2</v>
      </c>
      <c r="E2582" s="33" t="n">
        <f aca="false">HOUR(A2582)+MINUTE(A2582)/60</f>
        <v>12</v>
      </c>
      <c r="F2582" s="33" t="n">
        <f aca="false">IF(OR(D2582&gt;5,E2582&lt;8,E2582&gt;=18,COUNTIF($K$2:$K$10,INT(A2582))&gt;0),1,0)</f>
        <v>0</v>
      </c>
      <c r="G2582" s="34" t="n">
        <f aca="false">B2582/1</f>
        <v>260.863</v>
      </c>
      <c r="H2582" s="34" t="str">
        <f aca="false">IF(F2582=1,G2582,"")</f>
        <v/>
      </c>
    </row>
    <row r="2583" customFormat="false" ht="15" hidden="false" customHeight="false" outlineLevel="0" collapsed="false">
      <c r="A2583" s="31" t="n">
        <v>42843.5416666667</v>
      </c>
      <c r="B2583" s="32" t="n">
        <v>261.934</v>
      </c>
      <c r="D2583" s="33" t="n">
        <f aca="false">WEEKDAY(A2583,2)</f>
        <v>2</v>
      </c>
      <c r="E2583" s="33" t="n">
        <f aca="false">HOUR(A2583)+MINUTE(A2583)/60</f>
        <v>13</v>
      </c>
      <c r="F2583" s="33" t="n">
        <f aca="false">IF(OR(D2583&gt;5,E2583&lt;8,E2583&gt;=18,COUNTIF($K$2:$K$10,INT(A2583))&gt;0),1,0)</f>
        <v>0</v>
      </c>
      <c r="G2583" s="34" t="n">
        <f aca="false">B2583/1</f>
        <v>261.934</v>
      </c>
      <c r="H2583" s="34" t="str">
        <f aca="false">IF(F2583=1,G2583,"")</f>
        <v/>
      </c>
    </row>
    <row r="2584" customFormat="false" ht="15" hidden="false" customHeight="false" outlineLevel="0" collapsed="false">
      <c r="A2584" s="31" t="n">
        <v>42843.5833333333</v>
      </c>
      <c r="B2584" s="32" t="n">
        <v>280.112</v>
      </c>
      <c r="D2584" s="33" t="n">
        <f aca="false">WEEKDAY(A2584,2)</f>
        <v>2</v>
      </c>
      <c r="E2584" s="33" t="n">
        <f aca="false">HOUR(A2584)+MINUTE(A2584)/60</f>
        <v>14</v>
      </c>
      <c r="F2584" s="33" t="n">
        <f aca="false">IF(OR(D2584&gt;5,E2584&lt;8,E2584&gt;=18,COUNTIF($K$2:$K$10,INT(A2584))&gt;0),1,0)</f>
        <v>0</v>
      </c>
      <c r="G2584" s="34" t="n">
        <f aca="false">B2584/1</f>
        <v>280.112</v>
      </c>
      <c r="H2584" s="34" t="str">
        <f aca="false">IF(F2584=1,G2584,"")</f>
        <v/>
      </c>
    </row>
    <row r="2585" customFormat="false" ht="15" hidden="false" customHeight="false" outlineLevel="0" collapsed="false">
      <c r="A2585" s="31" t="n">
        <v>42843.625</v>
      </c>
      <c r="B2585" s="32" t="n">
        <v>271.596</v>
      </c>
      <c r="D2585" s="33" t="n">
        <f aca="false">WEEKDAY(A2585,2)</f>
        <v>2</v>
      </c>
      <c r="E2585" s="33" t="n">
        <f aca="false">HOUR(A2585)+MINUTE(A2585)/60</f>
        <v>15</v>
      </c>
      <c r="F2585" s="33" t="n">
        <f aca="false">IF(OR(D2585&gt;5,E2585&lt;8,E2585&gt;=18,COUNTIF($K$2:$K$10,INT(A2585))&gt;0),1,0)</f>
        <v>0</v>
      </c>
      <c r="G2585" s="34" t="n">
        <f aca="false">B2585/1</f>
        <v>271.596</v>
      </c>
      <c r="H2585" s="34" t="str">
        <f aca="false">IF(F2585=1,G2585,"")</f>
        <v/>
      </c>
    </row>
    <row r="2586" customFormat="false" ht="15" hidden="false" customHeight="false" outlineLevel="0" collapsed="false">
      <c r="A2586" s="31" t="n">
        <v>42843.6666666667</v>
      </c>
      <c r="B2586" s="32" t="n">
        <v>247.271</v>
      </c>
      <c r="D2586" s="33" t="n">
        <f aca="false">WEEKDAY(A2586,2)</f>
        <v>2</v>
      </c>
      <c r="E2586" s="33" t="n">
        <f aca="false">HOUR(A2586)+MINUTE(A2586)/60</f>
        <v>16</v>
      </c>
      <c r="F2586" s="33" t="n">
        <f aca="false">IF(OR(D2586&gt;5,E2586&lt;8,E2586&gt;=18,COUNTIF($K$2:$K$10,INT(A2586))&gt;0),1,0)</f>
        <v>0</v>
      </c>
      <c r="G2586" s="34" t="n">
        <f aca="false">B2586/1</f>
        <v>247.271</v>
      </c>
      <c r="H2586" s="34" t="str">
        <f aca="false">IF(F2586=1,G2586,"")</f>
        <v/>
      </c>
    </row>
    <row r="2587" customFormat="false" ht="15" hidden="false" customHeight="false" outlineLevel="0" collapsed="false">
      <c r="A2587" s="31" t="n">
        <v>42843.7083333333</v>
      </c>
      <c r="B2587" s="32" t="n">
        <v>235.469</v>
      </c>
      <c r="D2587" s="33" t="n">
        <f aca="false">WEEKDAY(A2587,2)</f>
        <v>2</v>
      </c>
      <c r="E2587" s="33" t="n">
        <f aca="false">HOUR(A2587)+MINUTE(A2587)/60</f>
        <v>17</v>
      </c>
      <c r="F2587" s="33" t="n">
        <f aca="false">IF(OR(D2587&gt;5,E2587&lt;8,E2587&gt;=18,COUNTIF($K$2:$K$10,INT(A2587))&gt;0),1,0)</f>
        <v>0</v>
      </c>
      <c r="G2587" s="34" t="n">
        <f aca="false">B2587/1</f>
        <v>235.469</v>
      </c>
      <c r="H2587" s="34" t="str">
        <f aca="false">IF(F2587=1,G2587,"")</f>
        <v/>
      </c>
    </row>
    <row r="2588" customFormat="false" ht="15" hidden="false" customHeight="false" outlineLevel="0" collapsed="false">
      <c r="A2588" s="31" t="n">
        <v>42843.75</v>
      </c>
      <c r="B2588" s="32" t="n">
        <v>211.586</v>
      </c>
      <c r="D2588" s="33" t="n">
        <f aca="false">WEEKDAY(A2588,2)</f>
        <v>2</v>
      </c>
      <c r="E2588" s="33" t="n">
        <f aca="false">HOUR(A2588)+MINUTE(A2588)/60</f>
        <v>18</v>
      </c>
      <c r="F2588" s="33" t="n">
        <f aca="false">IF(OR(D2588&gt;5,E2588&lt;8,E2588&gt;=18,COUNTIF($K$2:$K$10,INT(A2588))&gt;0),1,0)</f>
        <v>1</v>
      </c>
      <c r="G2588" s="34" t="n">
        <f aca="false">B2588/1</f>
        <v>211.586</v>
      </c>
      <c r="H2588" s="34" t="n">
        <f aca="false">IF(F2588=1,G2588,"")</f>
        <v>211.586</v>
      </c>
    </row>
    <row r="2589" customFormat="false" ht="15" hidden="false" customHeight="false" outlineLevel="0" collapsed="false">
      <c r="A2589" s="31" t="n">
        <v>42843.7916666667</v>
      </c>
      <c r="B2589" s="32" t="n">
        <v>207.279</v>
      </c>
      <c r="D2589" s="33" t="n">
        <f aca="false">WEEKDAY(A2589,2)</f>
        <v>2</v>
      </c>
      <c r="E2589" s="33" t="n">
        <f aca="false">HOUR(A2589)+MINUTE(A2589)/60</f>
        <v>19</v>
      </c>
      <c r="F2589" s="33" t="n">
        <f aca="false">IF(OR(D2589&gt;5,E2589&lt;8,E2589&gt;=18,COUNTIF($K$2:$K$10,INT(A2589))&gt;0),1,0)</f>
        <v>1</v>
      </c>
      <c r="G2589" s="34" t="n">
        <f aca="false">B2589/1</f>
        <v>207.279</v>
      </c>
      <c r="H2589" s="34" t="n">
        <f aca="false">IF(F2589=1,G2589,"")</f>
        <v>207.279</v>
      </c>
    </row>
    <row r="2590" customFormat="false" ht="15" hidden="false" customHeight="false" outlineLevel="0" collapsed="false">
      <c r="A2590" s="31" t="n">
        <v>42843.8333333333</v>
      </c>
      <c r="B2590" s="32" t="n">
        <v>199.007</v>
      </c>
      <c r="D2590" s="33" t="n">
        <f aca="false">WEEKDAY(A2590,2)</f>
        <v>2</v>
      </c>
      <c r="E2590" s="33" t="n">
        <f aca="false">HOUR(A2590)+MINUTE(A2590)/60</f>
        <v>20</v>
      </c>
      <c r="F2590" s="33" t="n">
        <f aca="false">IF(OR(D2590&gt;5,E2590&lt;8,E2590&gt;=18,COUNTIF($K$2:$K$10,INT(A2590))&gt;0),1,0)</f>
        <v>1</v>
      </c>
      <c r="G2590" s="34" t="n">
        <f aca="false">B2590/1</f>
        <v>199.007</v>
      </c>
      <c r="H2590" s="34" t="n">
        <f aca="false">IF(F2590=1,G2590,"")</f>
        <v>199.007</v>
      </c>
    </row>
    <row r="2591" customFormat="false" ht="15" hidden="false" customHeight="false" outlineLevel="0" collapsed="false">
      <c r="A2591" s="31" t="n">
        <v>42843.875</v>
      </c>
      <c r="B2591" s="32" t="n">
        <v>190.488</v>
      </c>
      <c r="D2591" s="33" t="n">
        <f aca="false">WEEKDAY(A2591,2)</f>
        <v>2</v>
      </c>
      <c r="E2591" s="33" t="n">
        <f aca="false">HOUR(A2591)+MINUTE(A2591)/60</f>
        <v>21</v>
      </c>
      <c r="F2591" s="33" t="n">
        <f aca="false">IF(OR(D2591&gt;5,E2591&lt;8,E2591&gt;=18,COUNTIF($K$2:$K$10,INT(A2591))&gt;0),1,0)</f>
        <v>1</v>
      </c>
      <c r="G2591" s="34" t="n">
        <f aca="false">B2591/1</f>
        <v>190.488</v>
      </c>
      <c r="H2591" s="34" t="n">
        <f aca="false">IF(F2591=1,G2591,"")</f>
        <v>190.488</v>
      </c>
    </row>
    <row r="2592" customFormat="false" ht="15" hidden="false" customHeight="false" outlineLevel="0" collapsed="false">
      <c r="A2592" s="31" t="n">
        <v>42843.9166666667</v>
      </c>
      <c r="B2592" s="32" t="n">
        <v>134.879</v>
      </c>
      <c r="D2592" s="33" t="n">
        <f aca="false">WEEKDAY(A2592,2)</f>
        <v>2</v>
      </c>
      <c r="E2592" s="33" t="n">
        <f aca="false">HOUR(A2592)+MINUTE(A2592)/60</f>
        <v>22</v>
      </c>
      <c r="F2592" s="33" t="n">
        <f aca="false">IF(OR(D2592&gt;5,E2592&lt;8,E2592&gt;=18,COUNTIF($K$2:$K$10,INT(A2592))&gt;0),1,0)</f>
        <v>1</v>
      </c>
      <c r="G2592" s="34" t="n">
        <f aca="false">B2592/1</f>
        <v>134.879</v>
      </c>
      <c r="H2592" s="34" t="n">
        <f aca="false">IF(F2592=1,G2592,"")</f>
        <v>134.879</v>
      </c>
    </row>
    <row r="2593" customFormat="false" ht="15" hidden="false" customHeight="false" outlineLevel="0" collapsed="false">
      <c r="A2593" s="31" t="n">
        <v>42843.9583333333</v>
      </c>
      <c r="B2593" s="32" t="n">
        <v>66.059</v>
      </c>
      <c r="D2593" s="33" t="n">
        <f aca="false">WEEKDAY(A2593,2)</f>
        <v>2</v>
      </c>
      <c r="E2593" s="33" t="n">
        <f aca="false">HOUR(A2593)+MINUTE(A2593)/60</f>
        <v>23</v>
      </c>
      <c r="F2593" s="33" t="n">
        <f aca="false">IF(OR(D2593&gt;5,E2593&lt;8,E2593&gt;=18,COUNTIF($K$2:$K$10,INT(A2593))&gt;0),1,0)</f>
        <v>1</v>
      </c>
      <c r="G2593" s="34" t="n">
        <f aca="false">B2593/1</f>
        <v>66.059</v>
      </c>
      <c r="H2593" s="34" t="n">
        <f aca="false">IF(F2593=1,G2593,"")</f>
        <v>66.059</v>
      </c>
    </row>
    <row r="2594" customFormat="false" ht="15" hidden="false" customHeight="false" outlineLevel="0" collapsed="false">
      <c r="A2594" s="31" t="n">
        <v>42844</v>
      </c>
      <c r="B2594" s="32" t="n">
        <v>65.031</v>
      </c>
      <c r="D2594" s="33" t="n">
        <f aca="false">WEEKDAY(A2594,2)</f>
        <v>3</v>
      </c>
      <c r="E2594" s="33" t="n">
        <f aca="false">HOUR(A2594)+MINUTE(A2594)/60</f>
        <v>0</v>
      </c>
      <c r="F2594" s="33" t="n">
        <f aca="false">IF(OR(D2594&gt;5,E2594&lt;8,E2594&gt;=18,COUNTIF($K$2:$K$10,INT(A2594))&gt;0),1,0)</f>
        <v>1</v>
      </c>
      <c r="G2594" s="34" t="n">
        <f aca="false">B2594/1</f>
        <v>65.031</v>
      </c>
      <c r="H2594" s="34" t="n">
        <f aca="false">IF(F2594=1,G2594,"")</f>
        <v>65.031</v>
      </c>
    </row>
    <row r="2595" customFormat="false" ht="15" hidden="false" customHeight="false" outlineLevel="0" collapsed="false">
      <c r="A2595" s="31" t="n">
        <v>42844.0416666667</v>
      </c>
      <c r="B2595" s="32" t="n">
        <v>59.901</v>
      </c>
      <c r="D2595" s="33" t="n">
        <f aca="false">WEEKDAY(A2595,2)</f>
        <v>3</v>
      </c>
      <c r="E2595" s="33" t="n">
        <f aca="false">HOUR(A2595)+MINUTE(A2595)/60</f>
        <v>1</v>
      </c>
      <c r="F2595" s="33" t="n">
        <f aca="false">IF(OR(D2595&gt;5,E2595&lt;8,E2595&gt;=18,COUNTIF($K$2:$K$10,INT(A2595))&gt;0),1,0)</f>
        <v>1</v>
      </c>
      <c r="G2595" s="34" t="n">
        <f aca="false">B2595/1</f>
        <v>59.901</v>
      </c>
      <c r="H2595" s="34" t="n">
        <f aca="false">IF(F2595=1,G2595,"")</f>
        <v>59.901</v>
      </c>
    </row>
    <row r="2596" customFormat="false" ht="15" hidden="false" customHeight="false" outlineLevel="0" collapsed="false">
      <c r="A2596" s="31" t="n">
        <v>42844.0833333333</v>
      </c>
      <c r="B2596" s="32" t="n">
        <v>62.234</v>
      </c>
      <c r="D2596" s="33" t="n">
        <f aca="false">WEEKDAY(A2596,2)</f>
        <v>3</v>
      </c>
      <c r="E2596" s="33" t="n">
        <f aca="false">HOUR(A2596)+MINUTE(A2596)/60</f>
        <v>2</v>
      </c>
      <c r="F2596" s="33" t="n">
        <f aca="false">IF(OR(D2596&gt;5,E2596&lt;8,E2596&gt;=18,COUNTIF($K$2:$K$10,INT(A2596))&gt;0),1,0)</f>
        <v>1</v>
      </c>
      <c r="G2596" s="34" t="n">
        <f aca="false">B2596/1</f>
        <v>62.234</v>
      </c>
      <c r="H2596" s="34" t="n">
        <f aca="false">IF(F2596=1,G2596,"")</f>
        <v>62.234</v>
      </c>
    </row>
    <row r="2597" customFormat="false" ht="15" hidden="false" customHeight="false" outlineLevel="0" collapsed="false">
      <c r="A2597" s="31" t="n">
        <v>42844.125</v>
      </c>
      <c r="B2597" s="32" t="n">
        <v>61.326</v>
      </c>
      <c r="D2597" s="33" t="n">
        <f aca="false">WEEKDAY(A2597,2)</f>
        <v>3</v>
      </c>
      <c r="E2597" s="33" t="n">
        <f aca="false">HOUR(A2597)+MINUTE(A2597)/60</f>
        <v>3</v>
      </c>
      <c r="F2597" s="33" t="n">
        <f aca="false">IF(OR(D2597&gt;5,E2597&lt;8,E2597&gt;=18,COUNTIF($K$2:$K$10,INT(A2597))&gt;0),1,0)</f>
        <v>1</v>
      </c>
      <c r="G2597" s="34" t="n">
        <f aca="false">B2597/1</f>
        <v>61.326</v>
      </c>
      <c r="H2597" s="34" t="n">
        <f aca="false">IF(F2597=1,G2597,"")</f>
        <v>61.326</v>
      </c>
    </row>
    <row r="2598" customFormat="false" ht="15" hidden="false" customHeight="false" outlineLevel="0" collapsed="false">
      <c r="A2598" s="31" t="n">
        <v>42844.1666666667</v>
      </c>
      <c r="B2598" s="32" t="n">
        <v>59.721</v>
      </c>
      <c r="D2598" s="33" t="n">
        <f aca="false">WEEKDAY(A2598,2)</f>
        <v>3</v>
      </c>
      <c r="E2598" s="33" t="n">
        <f aca="false">HOUR(A2598)+MINUTE(A2598)/60</f>
        <v>4</v>
      </c>
      <c r="F2598" s="33" t="n">
        <f aca="false">IF(OR(D2598&gt;5,E2598&lt;8,E2598&gt;=18,COUNTIF($K$2:$K$10,INT(A2598))&gt;0),1,0)</f>
        <v>1</v>
      </c>
      <c r="G2598" s="34" t="n">
        <f aca="false">B2598/1</f>
        <v>59.721</v>
      </c>
      <c r="H2598" s="34" t="n">
        <f aca="false">IF(F2598=1,G2598,"")</f>
        <v>59.721</v>
      </c>
    </row>
    <row r="2599" customFormat="false" ht="15" hidden="false" customHeight="false" outlineLevel="0" collapsed="false">
      <c r="A2599" s="31" t="n">
        <v>42844.2083333333</v>
      </c>
      <c r="B2599" s="32" t="n">
        <v>60.673</v>
      </c>
      <c r="D2599" s="33" t="n">
        <f aca="false">WEEKDAY(A2599,2)</f>
        <v>3</v>
      </c>
      <c r="E2599" s="33" t="n">
        <f aca="false">HOUR(A2599)+MINUTE(A2599)/60</f>
        <v>5</v>
      </c>
      <c r="F2599" s="33" t="n">
        <f aca="false">IF(OR(D2599&gt;5,E2599&lt;8,E2599&gt;=18,COUNTIF($K$2:$K$10,INT(A2599))&gt;0),1,0)</f>
        <v>1</v>
      </c>
      <c r="G2599" s="34" t="n">
        <f aca="false">B2599/1</f>
        <v>60.673</v>
      </c>
      <c r="H2599" s="34" t="n">
        <f aca="false">IF(F2599=1,G2599,"")</f>
        <v>60.673</v>
      </c>
    </row>
    <row r="2600" customFormat="false" ht="15" hidden="false" customHeight="false" outlineLevel="0" collapsed="false">
      <c r="A2600" s="31" t="n">
        <v>42844.25</v>
      </c>
      <c r="B2600" s="32" t="n">
        <v>62.157</v>
      </c>
      <c r="D2600" s="33" t="n">
        <f aca="false">WEEKDAY(A2600,2)</f>
        <v>3</v>
      </c>
      <c r="E2600" s="33" t="n">
        <f aca="false">HOUR(A2600)+MINUTE(A2600)/60</f>
        <v>6</v>
      </c>
      <c r="F2600" s="33" t="n">
        <f aca="false">IF(OR(D2600&gt;5,E2600&lt;8,E2600&gt;=18,COUNTIF($K$2:$K$10,INT(A2600))&gt;0),1,0)</f>
        <v>1</v>
      </c>
      <c r="G2600" s="34" t="n">
        <f aca="false">B2600/1</f>
        <v>62.157</v>
      </c>
      <c r="H2600" s="34" t="n">
        <f aca="false">IF(F2600=1,G2600,"")</f>
        <v>62.157</v>
      </c>
    </row>
    <row r="2601" customFormat="false" ht="15" hidden="false" customHeight="false" outlineLevel="0" collapsed="false">
      <c r="A2601" s="31" t="n">
        <v>42844.2916666667</v>
      </c>
      <c r="B2601" s="32" t="n">
        <v>65.795</v>
      </c>
      <c r="D2601" s="33" t="n">
        <f aca="false">WEEKDAY(A2601,2)</f>
        <v>3</v>
      </c>
      <c r="E2601" s="33" t="n">
        <f aca="false">HOUR(A2601)+MINUTE(A2601)/60</f>
        <v>7</v>
      </c>
      <c r="F2601" s="33" t="n">
        <f aca="false">IF(OR(D2601&gt;5,E2601&lt;8,E2601&gt;=18,COUNTIF($K$2:$K$10,INT(A2601))&gt;0),1,0)</f>
        <v>1</v>
      </c>
      <c r="G2601" s="34" t="n">
        <f aca="false">B2601/1</f>
        <v>65.795</v>
      </c>
      <c r="H2601" s="34" t="n">
        <f aca="false">IF(F2601=1,G2601,"")</f>
        <v>65.795</v>
      </c>
    </row>
    <row r="2602" customFormat="false" ht="15" hidden="false" customHeight="false" outlineLevel="0" collapsed="false">
      <c r="A2602" s="31" t="n">
        <v>42844.3333333333</v>
      </c>
      <c r="B2602" s="32" t="n">
        <v>174.371</v>
      </c>
      <c r="D2602" s="33" t="n">
        <f aca="false">WEEKDAY(A2602,2)</f>
        <v>3</v>
      </c>
      <c r="E2602" s="33" t="n">
        <f aca="false">HOUR(A2602)+MINUTE(A2602)/60</f>
        <v>8</v>
      </c>
      <c r="F2602" s="33" t="n">
        <f aca="false">IF(OR(D2602&gt;5,E2602&lt;8,E2602&gt;=18,COUNTIF($K$2:$K$10,INT(A2602))&gt;0),1,0)</f>
        <v>0</v>
      </c>
      <c r="G2602" s="34" t="n">
        <f aca="false">B2602/1</f>
        <v>174.371</v>
      </c>
      <c r="H2602" s="34" t="str">
        <f aca="false">IF(F2602=1,G2602,"")</f>
        <v/>
      </c>
    </row>
    <row r="2603" customFormat="false" ht="15" hidden="false" customHeight="false" outlineLevel="0" collapsed="false">
      <c r="A2603" s="31" t="n">
        <v>42844.375</v>
      </c>
      <c r="B2603" s="32" t="n">
        <v>214.977</v>
      </c>
      <c r="D2603" s="33" t="n">
        <f aca="false">WEEKDAY(A2603,2)</f>
        <v>3</v>
      </c>
      <c r="E2603" s="33" t="n">
        <f aca="false">HOUR(A2603)+MINUTE(A2603)/60</f>
        <v>9</v>
      </c>
      <c r="F2603" s="33" t="n">
        <f aca="false">IF(OR(D2603&gt;5,E2603&lt;8,E2603&gt;=18,COUNTIF($K$2:$K$10,INT(A2603))&gt;0),1,0)</f>
        <v>0</v>
      </c>
      <c r="G2603" s="34" t="n">
        <f aca="false">B2603/1</f>
        <v>214.977</v>
      </c>
      <c r="H2603" s="34" t="str">
        <f aca="false">IF(F2603=1,G2603,"")</f>
        <v/>
      </c>
    </row>
    <row r="2604" customFormat="false" ht="15" hidden="false" customHeight="false" outlineLevel="0" collapsed="false">
      <c r="A2604" s="31" t="n">
        <v>42844.4166666667</v>
      </c>
      <c r="B2604" s="32" t="n">
        <v>237.343</v>
      </c>
      <c r="D2604" s="33" t="n">
        <f aca="false">WEEKDAY(A2604,2)</f>
        <v>3</v>
      </c>
      <c r="E2604" s="33" t="n">
        <f aca="false">HOUR(A2604)+MINUTE(A2604)/60</f>
        <v>10</v>
      </c>
      <c r="F2604" s="33" t="n">
        <f aca="false">IF(OR(D2604&gt;5,E2604&lt;8,E2604&gt;=18,COUNTIF($K$2:$K$10,INT(A2604))&gt;0),1,0)</f>
        <v>0</v>
      </c>
      <c r="G2604" s="34" t="n">
        <f aca="false">B2604/1</f>
        <v>237.343</v>
      </c>
      <c r="H2604" s="34" t="str">
        <f aca="false">IF(F2604=1,G2604,"")</f>
        <v/>
      </c>
    </row>
    <row r="2605" customFormat="false" ht="15" hidden="false" customHeight="false" outlineLevel="0" collapsed="false">
      <c r="A2605" s="31" t="n">
        <v>42844.4583333333</v>
      </c>
      <c r="B2605" s="32" t="n">
        <v>276.822</v>
      </c>
      <c r="D2605" s="33" t="n">
        <f aca="false">WEEKDAY(A2605,2)</f>
        <v>3</v>
      </c>
      <c r="E2605" s="33" t="n">
        <f aca="false">HOUR(A2605)+MINUTE(A2605)/60</f>
        <v>11</v>
      </c>
      <c r="F2605" s="33" t="n">
        <f aca="false">IF(OR(D2605&gt;5,E2605&lt;8,E2605&gt;=18,COUNTIF($K$2:$K$10,INT(A2605))&gt;0),1,0)</f>
        <v>0</v>
      </c>
      <c r="G2605" s="34" t="n">
        <f aca="false">B2605/1</f>
        <v>276.822</v>
      </c>
      <c r="H2605" s="34" t="str">
        <f aca="false">IF(F2605=1,G2605,"")</f>
        <v/>
      </c>
    </row>
    <row r="2606" customFormat="false" ht="15" hidden="false" customHeight="false" outlineLevel="0" collapsed="false">
      <c r="A2606" s="31" t="n">
        <v>42844.5</v>
      </c>
      <c r="B2606" s="32" t="n">
        <v>241.947</v>
      </c>
      <c r="D2606" s="33" t="n">
        <f aca="false">WEEKDAY(A2606,2)</f>
        <v>3</v>
      </c>
      <c r="E2606" s="33" t="n">
        <f aca="false">HOUR(A2606)+MINUTE(A2606)/60</f>
        <v>12</v>
      </c>
      <c r="F2606" s="33" t="n">
        <f aca="false">IF(OR(D2606&gt;5,E2606&lt;8,E2606&gt;=18,COUNTIF($K$2:$K$10,INT(A2606))&gt;0),1,0)</f>
        <v>0</v>
      </c>
      <c r="G2606" s="34" t="n">
        <f aca="false">B2606/1</f>
        <v>241.947</v>
      </c>
      <c r="H2606" s="34" t="str">
        <f aca="false">IF(F2606=1,G2606,"")</f>
        <v/>
      </c>
    </row>
    <row r="2607" customFormat="false" ht="15" hidden="false" customHeight="false" outlineLevel="0" collapsed="false">
      <c r="A2607" s="31" t="n">
        <v>42844.5416666667</v>
      </c>
      <c r="B2607" s="32" t="n">
        <v>255.52</v>
      </c>
      <c r="D2607" s="33" t="n">
        <f aca="false">WEEKDAY(A2607,2)</f>
        <v>3</v>
      </c>
      <c r="E2607" s="33" t="n">
        <f aca="false">HOUR(A2607)+MINUTE(A2607)/60</f>
        <v>13</v>
      </c>
      <c r="F2607" s="33" t="n">
        <f aca="false">IF(OR(D2607&gt;5,E2607&lt;8,E2607&gt;=18,COUNTIF($K$2:$K$10,INT(A2607))&gt;0),1,0)</f>
        <v>0</v>
      </c>
      <c r="G2607" s="34" t="n">
        <f aca="false">B2607/1</f>
        <v>255.52</v>
      </c>
      <c r="H2607" s="34" t="str">
        <f aca="false">IF(F2607=1,G2607,"")</f>
        <v/>
      </c>
    </row>
    <row r="2608" customFormat="false" ht="15" hidden="false" customHeight="false" outlineLevel="0" collapsed="false">
      <c r="A2608" s="31" t="n">
        <v>42844.5833333333</v>
      </c>
      <c r="B2608" s="32" t="n">
        <v>257.139</v>
      </c>
      <c r="D2608" s="33" t="n">
        <f aca="false">WEEKDAY(A2608,2)</f>
        <v>3</v>
      </c>
      <c r="E2608" s="33" t="n">
        <f aca="false">HOUR(A2608)+MINUTE(A2608)/60</f>
        <v>14</v>
      </c>
      <c r="F2608" s="33" t="n">
        <f aca="false">IF(OR(D2608&gt;5,E2608&lt;8,E2608&gt;=18,COUNTIF($K$2:$K$10,INT(A2608))&gt;0),1,0)</f>
        <v>0</v>
      </c>
      <c r="G2608" s="34" t="n">
        <f aca="false">B2608/1</f>
        <v>257.139</v>
      </c>
      <c r="H2608" s="34" t="str">
        <f aca="false">IF(F2608=1,G2608,"")</f>
        <v/>
      </c>
    </row>
    <row r="2609" customFormat="false" ht="15" hidden="false" customHeight="false" outlineLevel="0" collapsed="false">
      <c r="A2609" s="31" t="n">
        <v>42844.625</v>
      </c>
      <c r="B2609" s="32" t="n">
        <v>250.336</v>
      </c>
      <c r="D2609" s="33" t="n">
        <f aca="false">WEEKDAY(A2609,2)</f>
        <v>3</v>
      </c>
      <c r="E2609" s="33" t="n">
        <f aca="false">HOUR(A2609)+MINUTE(A2609)/60</f>
        <v>15</v>
      </c>
      <c r="F2609" s="33" t="n">
        <f aca="false">IF(OR(D2609&gt;5,E2609&lt;8,E2609&gt;=18,COUNTIF($K$2:$K$10,INT(A2609))&gt;0),1,0)</f>
        <v>0</v>
      </c>
      <c r="G2609" s="34" t="n">
        <f aca="false">B2609/1</f>
        <v>250.336</v>
      </c>
      <c r="H2609" s="34" t="str">
        <f aca="false">IF(F2609=1,G2609,"")</f>
        <v/>
      </c>
    </row>
    <row r="2610" customFormat="false" ht="15" hidden="false" customHeight="false" outlineLevel="0" collapsed="false">
      <c r="A2610" s="31" t="n">
        <v>42844.6666666667</v>
      </c>
      <c r="B2610" s="32" t="n">
        <v>260.177</v>
      </c>
      <c r="D2610" s="33" t="n">
        <f aca="false">WEEKDAY(A2610,2)</f>
        <v>3</v>
      </c>
      <c r="E2610" s="33" t="n">
        <f aca="false">HOUR(A2610)+MINUTE(A2610)/60</f>
        <v>16</v>
      </c>
      <c r="F2610" s="33" t="n">
        <f aca="false">IF(OR(D2610&gt;5,E2610&lt;8,E2610&gt;=18,COUNTIF($K$2:$K$10,INT(A2610))&gt;0),1,0)</f>
        <v>0</v>
      </c>
      <c r="G2610" s="34" t="n">
        <f aca="false">B2610/1</f>
        <v>260.177</v>
      </c>
      <c r="H2610" s="34" t="str">
        <f aca="false">IF(F2610=1,G2610,"")</f>
        <v/>
      </c>
    </row>
    <row r="2611" customFormat="false" ht="15" hidden="false" customHeight="false" outlineLevel="0" collapsed="false">
      <c r="A2611" s="31" t="n">
        <v>42844.7083333333</v>
      </c>
      <c r="B2611" s="32" t="n">
        <v>245.893</v>
      </c>
      <c r="D2611" s="33" t="n">
        <f aca="false">WEEKDAY(A2611,2)</f>
        <v>3</v>
      </c>
      <c r="E2611" s="33" t="n">
        <f aca="false">HOUR(A2611)+MINUTE(A2611)/60</f>
        <v>17</v>
      </c>
      <c r="F2611" s="33" t="n">
        <f aca="false">IF(OR(D2611&gt;5,E2611&lt;8,E2611&gt;=18,COUNTIF($K$2:$K$10,INT(A2611))&gt;0),1,0)</f>
        <v>0</v>
      </c>
      <c r="G2611" s="34" t="n">
        <f aca="false">B2611/1</f>
        <v>245.893</v>
      </c>
      <c r="H2611" s="34" t="str">
        <f aca="false">IF(F2611=1,G2611,"")</f>
        <v/>
      </c>
    </row>
    <row r="2612" customFormat="false" ht="15" hidden="false" customHeight="false" outlineLevel="0" collapsed="false">
      <c r="A2612" s="31" t="n">
        <v>42844.75</v>
      </c>
      <c r="B2612" s="32" t="n">
        <v>223.104</v>
      </c>
      <c r="D2612" s="33" t="n">
        <f aca="false">WEEKDAY(A2612,2)</f>
        <v>3</v>
      </c>
      <c r="E2612" s="33" t="n">
        <f aca="false">HOUR(A2612)+MINUTE(A2612)/60</f>
        <v>18</v>
      </c>
      <c r="F2612" s="33" t="n">
        <f aca="false">IF(OR(D2612&gt;5,E2612&lt;8,E2612&gt;=18,COUNTIF($K$2:$K$10,INT(A2612))&gt;0),1,0)</f>
        <v>1</v>
      </c>
      <c r="G2612" s="34" t="n">
        <f aca="false">B2612/1</f>
        <v>223.104</v>
      </c>
      <c r="H2612" s="34" t="n">
        <f aca="false">IF(F2612=1,G2612,"")</f>
        <v>223.104</v>
      </c>
    </row>
    <row r="2613" customFormat="false" ht="15" hidden="false" customHeight="false" outlineLevel="0" collapsed="false">
      <c r="A2613" s="31" t="n">
        <v>42844.7916666667</v>
      </c>
      <c r="B2613" s="32" t="n">
        <v>213.344</v>
      </c>
      <c r="D2613" s="33" t="n">
        <f aca="false">WEEKDAY(A2613,2)</f>
        <v>3</v>
      </c>
      <c r="E2613" s="33" t="n">
        <f aca="false">HOUR(A2613)+MINUTE(A2613)/60</f>
        <v>19</v>
      </c>
      <c r="F2613" s="33" t="n">
        <f aca="false">IF(OR(D2613&gt;5,E2613&lt;8,E2613&gt;=18,COUNTIF($K$2:$K$10,INT(A2613))&gt;0),1,0)</f>
        <v>1</v>
      </c>
      <c r="G2613" s="34" t="n">
        <f aca="false">B2613/1</f>
        <v>213.344</v>
      </c>
      <c r="H2613" s="34" t="n">
        <f aca="false">IF(F2613=1,G2613,"")</f>
        <v>213.344</v>
      </c>
    </row>
    <row r="2614" customFormat="false" ht="15" hidden="false" customHeight="false" outlineLevel="0" collapsed="false">
      <c r="A2614" s="31" t="n">
        <v>42844.8333333333</v>
      </c>
      <c r="B2614" s="32" t="n">
        <v>203.217</v>
      </c>
      <c r="D2614" s="33" t="n">
        <f aca="false">WEEKDAY(A2614,2)</f>
        <v>3</v>
      </c>
      <c r="E2614" s="33" t="n">
        <f aca="false">HOUR(A2614)+MINUTE(A2614)/60</f>
        <v>20</v>
      </c>
      <c r="F2614" s="33" t="n">
        <f aca="false">IF(OR(D2614&gt;5,E2614&lt;8,E2614&gt;=18,COUNTIF($K$2:$K$10,INT(A2614))&gt;0),1,0)</f>
        <v>1</v>
      </c>
      <c r="G2614" s="34" t="n">
        <f aca="false">B2614/1</f>
        <v>203.217</v>
      </c>
      <c r="H2614" s="34" t="n">
        <f aca="false">IF(F2614=1,G2614,"")</f>
        <v>203.217</v>
      </c>
    </row>
    <row r="2615" customFormat="false" ht="15" hidden="false" customHeight="false" outlineLevel="0" collapsed="false">
      <c r="A2615" s="31" t="n">
        <v>42844.875</v>
      </c>
      <c r="B2615" s="32" t="n">
        <v>188.787</v>
      </c>
      <c r="D2615" s="33" t="n">
        <f aca="false">WEEKDAY(A2615,2)</f>
        <v>3</v>
      </c>
      <c r="E2615" s="33" t="n">
        <f aca="false">HOUR(A2615)+MINUTE(A2615)/60</f>
        <v>21</v>
      </c>
      <c r="F2615" s="33" t="n">
        <f aca="false">IF(OR(D2615&gt;5,E2615&lt;8,E2615&gt;=18,COUNTIF($K$2:$K$10,INT(A2615))&gt;0),1,0)</f>
        <v>1</v>
      </c>
      <c r="G2615" s="34" t="n">
        <f aca="false">B2615/1</f>
        <v>188.787</v>
      </c>
      <c r="H2615" s="34" t="n">
        <f aca="false">IF(F2615=1,G2615,"")</f>
        <v>188.787</v>
      </c>
    </row>
    <row r="2616" customFormat="false" ht="15" hidden="false" customHeight="false" outlineLevel="0" collapsed="false">
      <c r="A2616" s="31" t="n">
        <v>42844.9166666667</v>
      </c>
      <c r="B2616" s="32" t="n">
        <v>135.919</v>
      </c>
      <c r="D2616" s="33" t="n">
        <f aca="false">WEEKDAY(A2616,2)</f>
        <v>3</v>
      </c>
      <c r="E2616" s="33" t="n">
        <f aca="false">HOUR(A2616)+MINUTE(A2616)/60</f>
        <v>22</v>
      </c>
      <c r="F2616" s="33" t="n">
        <f aca="false">IF(OR(D2616&gt;5,E2616&lt;8,E2616&gt;=18,COUNTIF($K$2:$K$10,INT(A2616))&gt;0),1,0)</f>
        <v>1</v>
      </c>
      <c r="G2616" s="34" t="n">
        <f aca="false">B2616/1</f>
        <v>135.919</v>
      </c>
      <c r="H2616" s="34" t="n">
        <f aca="false">IF(F2616=1,G2616,"")</f>
        <v>135.919</v>
      </c>
    </row>
    <row r="2617" customFormat="false" ht="15" hidden="false" customHeight="false" outlineLevel="0" collapsed="false">
      <c r="A2617" s="31" t="n">
        <v>42844.9583333333</v>
      </c>
      <c r="B2617" s="32" t="n">
        <v>67.537</v>
      </c>
      <c r="D2617" s="33" t="n">
        <f aca="false">WEEKDAY(A2617,2)</f>
        <v>3</v>
      </c>
      <c r="E2617" s="33" t="n">
        <f aca="false">HOUR(A2617)+MINUTE(A2617)/60</f>
        <v>23</v>
      </c>
      <c r="F2617" s="33" t="n">
        <f aca="false">IF(OR(D2617&gt;5,E2617&lt;8,E2617&gt;=18,COUNTIF($K$2:$K$10,INT(A2617))&gt;0),1,0)</f>
        <v>1</v>
      </c>
      <c r="G2617" s="34" t="n">
        <f aca="false">B2617/1</f>
        <v>67.537</v>
      </c>
      <c r="H2617" s="34" t="n">
        <f aca="false">IF(F2617=1,G2617,"")</f>
        <v>67.537</v>
      </c>
    </row>
    <row r="2618" customFormat="false" ht="15" hidden="false" customHeight="false" outlineLevel="0" collapsed="false">
      <c r="A2618" s="31" t="n">
        <v>42845</v>
      </c>
      <c r="B2618" s="32" t="n">
        <v>63.308</v>
      </c>
      <c r="D2618" s="33" t="n">
        <f aca="false">WEEKDAY(A2618,2)</f>
        <v>4</v>
      </c>
      <c r="E2618" s="33" t="n">
        <f aca="false">HOUR(A2618)+MINUTE(A2618)/60</f>
        <v>0</v>
      </c>
      <c r="F2618" s="33" t="n">
        <f aca="false">IF(OR(D2618&gt;5,E2618&lt;8,E2618&gt;=18,COUNTIF($K$2:$K$10,INT(A2618))&gt;0),1,0)</f>
        <v>1</v>
      </c>
      <c r="G2618" s="34" t="n">
        <f aca="false">B2618/1</f>
        <v>63.308</v>
      </c>
      <c r="H2618" s="34" t="n">
        <f aca="false">IF(F2618=1,G2618,"")</f>
        <v>63.308</v>
      </c>
    </row>
    <row r="2619" customFormat="false" ht="15" hidden="false" customHeight="false" outlineLevel="0" collapsed="false">
      <c r="A2619" s="31" t="n">
        <v>42845.0416666667</v>
      </c>
      <c r="B2619" s="32" t="n">
        <v>61.849</v>
      </c>
      <c r="D2619" s="33" t="n">
        <f aca="false">WEEKDAY(A2619,2)</f>
        <v>4</v>
      </c>
      <c r="E2619" s="33" t="n">
        <f aca="false">HOUR(A2619)+MINUTE(A2619)/60</f>
        <v>1</v>
      </c>
      <c r="F2619" s="33" t="n">
        <f aca="false">IF(OR(D2619&gt;5,E2619&lt;8,E2619&gt;=18,COUNTIF($K$2:$K$10,INT(A2619))&gt;0),1,0)</f>
        <v>1</v>
      </c>
      <c r="G2619" s="34" t="n">
        <f aca="false">B2619/1</f>
        <v>61.849</v>
      </c>
      <c r="H2619" s="34" t="n">
        <f aca="false">IF(F2619=1,G2619,"")</f>
        <v>61.849</v>
      </c>
    </row>
    <row r="2620" customFormat="false" ht="15" hidden="false" customHeight="false" outlineLevel="0" collapsed="false">
      <c r="A2620" s="31" t="n">
        <v>42845.0833333333</v>
      </c>
      <c r="B2620" s="32" t="n">
        <v>58.67</v>
      </c>
      <c r="D2620" s="33" t="n">
        <f aca="false">WEEKDAY(A2620,2)</f>
        <v>4</v>
      </c>
      <c r="E2620" s="33" t="n">
        <f aca="false">HOUR(A2620)+MINUTE(A2620)/60</f>
        <v>2</v>
      </c>
      <c r="F2620" s="33" t="n">
        <f aca="false">IF(OR(D2620&gt;5,E2620&lt;8,E2620&gt;=18,COUNTIF($K$2:$K$10,INT(A2620))&gt;0),1,0)</f>
        <v>1</v>
      </c>
      <c r="G2620" s="34" t="n">
        <f aca="false">B2620/1</f>
        <v>58.67</v>
      </c>
      <c r="H2620" s="34" t="n">
        <f aca="false">IF(F2620=1,G2620,"")</f>
        <v>58.67</v>
      </c>
    </row>
    <row r="2621" customFormat="false" ht="15" hidden="false" customHeight="false" outlineLevel="0" collapsed="false">
      <c r="A2621" s="31" t="n">
        <v>42845.125</v>
      </c>
      <c r="B2621" s="32" t="n">
        <v>58.072</v>
      </c>
      <c r="D2621" s="33" t="n">
        <f aca="false">WEEKDAY(A2621,2)</f>
        <v>4</v>
      </c>
      <c r="E2621" s="33" t="n">
        <f aca="false">HOUR(A2621)+MINUTE(A2621)/60</f>
        <v>3</v>
      </c>
      <c r="F2621" s="33" t="n">
        <f aca="false">IF(OR(D2621&gt;5,E2621&lt;8,E2621&gt;=18,COUNTIF($K$2:$K$10,INT(A2621))&gt;0),1,0)</f>
        <v>1</v>
      </c>
      <c r="G2621" s="34" t="n">
        <f aca="false">B2621/1</f>
        <v>58.072</v>
      </c>
      <c r="H2621" s="34" t="n">
        <f aca="false">IF(F2621=1,G2621,"")</f>
        <v>58.072</v>
      </c>
    </row>
    <row r="2622" customFormat="false" ht="15" hidden="false" customHeight="false" outlineLevel="0" collapsed="false">
      <c r="A2622" s="31" t="n">
        <v>42845.1666666667</v>
      </c>
      <c r="B2622" s="32" t="n">
        <v>57.815</v>
      </c>
      <c r="D2622" s="33" t="n">
        <f aca="false">WEEKDAY(A2622,2)</f>
        <v>4</v>
      </c>
      <c r="E2622" s="33" t="n">
        <f aca="false">HOUR(A2622)+MINUTE(A2622)/60</f>
        <v>4</v>
      </c>
      <c r="F2622" s="33" t="n">
        <f aca="false">IF(OR(D2622&gt;5,E2622&lt;8,E2622&gt;=18,COUNTIF($K$2:$K$10,INT(A2622))&gt;0),1,0)</f>
        <v>1</v>
      </c>
      <c r="G2622" s="34" t="n">
        <f aca="false">B2622/1</f>
        <v>57.815</v>
      </c>
      <c r="H2622" s="34" t="n">
        <f aca="false">IF(F2622=1,G2622,"")</f>
        <v>57.815</v>
      </c>
    </row>
    <row r="2623" customFormat="false" ht="15" hidden="false" customHeight="false" outlineLevel="0" collapsed="false">
      <c r="A2623" s="31" t="n">
        <v>42845.2083333333</v>
      </c>
      <c r="B2623" s="32" t="n">
        <v>55.438</v>
      </c>
      <c r="D2623" s="33" t="n">
        <f aca="false">WEEKDAY(A2623,2)</f>
        <v>4</v>
      </c>
      <c r="E2623" s="33" t="n">
        <f aca="false">HOUR(A2623)+MINUTE(A2623)/60</f>
        <v>5</v>
      </c>
      <c r="F2623" s="33" t="n">
        <f aca="false">IF(OR(D2623&gt;5,E2623&lt;8,E2623&gt;=18,COUNTIF($K$2:$K$10,INT(A2623))&gt;0),1,0)</f>
        <v>1</v>
      </c>
      <c r="G2623" s="34" t="n">
        <f aca="false">B2623/1</f>
        <v>55.438</v>
      </c>
      <c r="H2623" s="34" t="n">
        <f aca="false">IF(F2623=1,G2623,"")</f>
        <v>55.438</v>
      </c>
    </row>
    <row r="2624" customFormat="false" ht="15" hidden="false" customHeight="false" outlineLevel="0" collapsed="false">
      <c r="A2624" s="31" t="n">
        <v>42845.25</v>
      </c>
      <c r="B2624" s="32" t="n">
        <v>58.292</v>
      </c>
      <c r="D2624" s="33" t="n">
        <f aca="false">WEEKDAY(A2624,2)</f>
        <v>4</v>
      </c>
      <c r="E2624" s="33" t="n">
        <f aca="false">HOUR(A2624)+MINUTE(A2624)/60</f>
        <v>6</v>
      </c>
      <c r="F2624" s="33" t="n">
        <f aca="false">IF(OR(D2624&gt;5,E2624&lt;8,E2624&gt;=18,COUNTIF($K$2:$K$10,INT(A2624))&gt;0),1,0)</f>
        <v>1</v>
      </c>
      <c r="G2624" s="34" t="n">
        <f aca="false">B2624/1</f>
        <v>58.292</v>
      </c>
      <c r="H2624" s="34" t="n">
        <f aca="false">IF(F2624=1,G2624,"")</f>
        <v>58.292</v>
      </c>
    </row>
    <row r="2625" customFormat="false" ht="15" hidden="false" customHeight="false" outlineLevel="0" collapsed="false">
      <c r="A2625" s="31" t="n">
        <v>42845.2916666667</v>
      </c>
      <c r="B2625" s="32" t="n">
        <v>63.391</v>
      </c>
      <c r="D2625" s="33" t="n">
        <f aca="false">WEEKDAY(A2625,2)</f>
        <v>4</v>
      </c>
      <c r="E2625" s="33" t="n">
        <f aca="false">HOUR(A2625)+MINUTE(A2625)/60</f>
        <v>7</v>
      </c>
      <c r="F2625" s="33" t="n">
        <f aca="false">IF(OR(D2625&gt;5,E2625&lt;8,E2625&gt;=18,COUNTIF($K$2:$K$10,INT(A2625))&gt;0),1,0)</f>
        <v>1</v>
      </c>
      <c r="G2625" s="34" t="n">
        <f aca="false">B2625/1</f>
        <v>63.391</v>
      </c>
      <c r="H2625" s="34" t="n">
        <f aca="false">IF(F2625=1,G2625,"")</f>
        <v>63.391</v>
      </c>
    </row>
    <row r="2626" customFormat="false" ht="15" hidden="false" customHeight="false" outlineLevel="0" collapsed="false">
      <c r="A2626" s="31" t="n">
        <v>42845.3333333333</v>
      </c>
      <c r="B2626" s="32" t="n">
        <v>164.314</v>
      </c>
      <c r="D2626" s="33" t="n">
        <f aca="false">WEEKDAY(A2626,2)</f>
        <v>4</v>
      </c>
      <c r="E2626" s="33" t="n">
        <f aca="false">HOUR(A2626)+MINUTE(A2626)/60</f>
        <v>8</v>
      </c>
      <c r="F2626" s="33" t="n">
        <f aca="false">IF(OR(D2626&gt;5,E2626&lt;8,E2626&gt;=18,COUNTIF($K$2:$K$10,INT(A2626))&gt;0),1,0)</f>
        <v>0</v>
      </c>
      <c r="G2626" s="34" t="n">
        <f aca="false">B2626/1</f>
        <v>164.314</v>
      </c>
      <c r="H2626" s="34" t="str">
        <f aca="false">IF(F2626=1,G2626,"")</f>
        <v/>
      </c>
    </row>
    <row r="2627" customFormat="false" ht="15" hidden="false" customHeight="false" outlineLevel="0" collapsed="false">
      <c r="A2627" s="31" t="n">
        <v>42845.375</v>
      </c>
      <c r="B2627" s="32" t="n">
        <v>211.432</v>
      </c>
      <c r="D2627" s="33" t="n">
        <f aca="false">WEEKDAY(A2627,2)</f>
        <v>4</v>
      </c>
      <c r="E2627" s="33" t="n">
        <f aca="false">HOUR(A2627)+MINUTE(A2627)/60</f>
        <v>9</v>
      </c>
      <c r="F2627" s="33" t="n">
        <f aca="false">IF(OR(D2627&gt;5,E2627&lt;8,E2627&gt;=18,COUNTIF($K$2:$K$10,INT(A2627))&gt;0),1,0)</f>
        <v>0</v>
      </c>
      <c r="G2627" s="34" t="n">
        <f aca="false">B2627/1</f>
        <v>211.432</v>
      </c>
      <c r="H2627" s="34" t="str">
        <f aca="false">IF(F2627=1,G2627,"")</f>
        <v/>
      </c>
    </row>
    <row r="2628" customFormat="false" ht="15" hidden="false" customHeight="false" outlineLevel="0" collapsed="false">
      <c r="A2628" s="31" t="n">
        <v>42845.4166666667</v>
      </c>
      <c r="B2628" s="32" t="n">
        <v>246.999</v>
      </c>
      <c r="D2628" s="33" t="n">
        <f aca="false">WEEKDAY(A2628,2)</f>
        <v>4</v>
      </c>
      <c r="E2628" s="33" t="n">
        <f aca="false">HOUR(A2628)+MINUTE(A2628)/60</f>
        <v>10</v>
      </c>
      <c r="F2628" s="33" t="n">
        <f aca="false">IF(OR(D2628&gt;5,E2628&lt;8,E2628&gt;=18,COUNTIF($K$2:$K$10,INT(A2628))&gt;0),1,0)</f>
        <v>0</v>
      </c>
      <c r="G2628" s="34" t="n">
        <f aca="false">B2628/1</f>
        <v>246.999</v>
      </c>
      <c r="H2628" s="34" t="str">
        <f aca="false">IF(F2628=1,G2628,"")</f>
        <v/>
      </c>
    </row>
    <row r="2629" customFormat="false" ht="15" hidden="false" customHeight="false" outlineLevel="0" collapsed="false">
      <c r="A2629" s="31" t="n">
        <v>42845.4583333333</v>
      </c>
      <c r="B2629" s="32" t="n">
        <v>259.656</v>
      </c>
      <c r="D2629" s="33" t="n">
        <f aca="false">WEEKDAY(A2629,2)</f>
        <v>4</v>
      </c>
      <c r="E2629" s="33" t="n">
        <f aca="false">HOUR(A2629)+MINUTE(A2629)/60</f>
        <v>11</v>
      </c>
      <c r="F2629" s="33" t="n">
        <f aca="false">IF(OR(D2629&gt;5,E2629&lt;8,E2629&gt;=18,COUNTIF($K$2:$K$10,INT(A2629))&gt;0),1,0)</f>
        <v>0</v>
      </c>
      <c r="G2629" s="34" t="n">
        <f aca="false">B2629/1</f>
        <v>259.656</v>
      </c>
      <c r="H2629" s="34" t="str">
        <f aca="false">IF(F2629=1,G2629,"")</f>
        <v/>
      </c>
    </row>
    <row r="2630" customFormat="false" ht="15" hidden="false" customHeight="false" outlineLevel="0" collapsed="false">
      <c r="A2630" s="31" t="n">
        <v>42845.5</v>
      </c>
      <c r="B2630" s="32" t="n">
        <v>255.088</v>
      </c>
      <c r="D2630" s="33" t="n">
        <f aca="false">WEEKDAY(A2630,2)</f>
        <v>4</v>
      </c>
      <c r="E2630" s="33" t="n">
        <f aca="false">HOUR(A2630)+MINUTE(A2630)/60</f>
        <v>12</v>
      </c>
      <c r="F2630" s="33" t="n">
        <f aca="false">IF(OR(D2630&gt;5,E2630&lt;8,E2630&gt;=18,COUNTIF($K$2:$K$10,INT(A2630))&gt;0),1,0)</f>
        <v>0</v>
      </c>
      <c r="G2630" s="34" t="n">
        <f aca="false">B2630/1</f>
        <v>255.088</v>
      </c>
      <c r="H2630" s="34" t="str">
        <f aca="false">IF(F2630=1,G2630,"")</f>
        <v/>
      </c>
    </row>
    <row r="2631" customFormat="false" ht="15" hidden="false" customHeight="false" outlineLevel="0" collapsed="false">
      <c r="A2631" s="31" t="n">
        <v>42845.5416666667</v>
      </c>
      <c r="B2631" s="32" t="n">
        <v>258.659</v>
      </c>
      <c r="D2631" s="33" t="n">
        <f aca="false">WEEKDAY(A2631,2)</f>
        <v>4</v>
      </c>
      <c r="E2631" s="33" t="n">
        <f aca="false">HOUR(A2631)+MINUTE(A2631)/60</f>
        <v>13</v>
      </c>
      <c r="F2631" s="33" t="n">
        <f aca="false">IF(OR(D2631&gt;5,E2631&lt;8,E2631&gt;=18,COUNTIF($K$2:$K$10,INT(A2631))&gt;0),1,0)</f>
        <v>0</v>
      </c>
      <c r="G2631" s="34" t="n">
        <f aca="false">B2631/1</f>
        <v>258.659</v>
      </c>
      <c r="H2631" s="34" t="str">
        <f aca="false">IF(F2631=1,G2631,"")</f>
        <v/>
      </c>
    </row>
    <row r="2632" customFormat="false" ht="15" hidden="false" customHeight="false" outlineLevel="0" collapsed="false">
      <c r="A2632" s="31" t="n">
        <v>42845.5833333333</v>
      </c>
      <c r="B2632" s="32" t="n">
        <v>275.17</v>
      </c>
      <c r="D2632" s="33" t="n">
        <f aca="false">WEEKDAY(A2632,2)</f>
        <v>4</v>
      </c>
      <c r="E2632" s="33" t="n">
        <f aca="false">HOUR(A2632)+MINUTE(A2632)/60</f>
        <v>14</v>
      </c>
      <c r="F2632" s="33" t="n">
        <f aca="false">IF(OR(D2632&gt;5,E2632&lt;8,E2632&gt;=18,COUNTIF($K$2:$K$10,INT(A2632))&gt;0),1,0)</f>
        <v>0</v>
      </c>
      <c r="G2632" s="34" t="n">
        <f aca="false">B2632/1</f>
        <v>275.17</v>
      </c>
      <c r="H2632" s="34" t="str">
        <f aca="false">IF(F2632=1,G2632,"")</f>
        <v/>
      </c>
    </row>
    <row r="2633" customFormat="false" ht="15" hidden="false" customHeight="false" outlineLevel="0" collapsed="false">
      <c r="A2633" s="31" t="n">
        <v>42845.625</v>
      </c>
      <c r="B2633" s="32" t="n">
        <v>267.003</v>
      </c>
      <c r="D2633" s="33" t="n">
        <f aca="false">WEEKDAY(A2633,2)</f>
        <v>4</v>
      </c>
      <c r="E2633" s="33" t="n">
        <f aca="false">HOUR(A2633)+MINUTE(A2633)/60</f>
        <v>15</v>
      </c>
      <c r="F2633" s="33" t="n">
        <f aca="false">IF(OR(D2633&gt;5,E2633&lt;8,E2633&gt;=18,COUNTIF($K$2:$K$10,INT(A2633))&gt;0),1,0)</f>
        <v>0</v>
      </c>
      <c r="G2633" s="34" t="n">
        <f aca="false">B2633/1</f>
        <v>267.003</v>
      </c>
      <c r="H2633" s="34" t="str">
        <f aca="false">IF(F2633=1,G2633,"")</f>
        <v/>
      </c>
    </row>
    <row r="2634" customFormat="false" ht="15" hidden="false" customHeight="false" outlineLevel="0" collapsed="false">
      <c r="A2634" s="31" t="n">
        <v>42845.6666666667</v>
      </c>
      <c r="B2634" s="32" t="n">
        <v>247.379</v>
      </c>
      <c r="D2634" s="33" t="n">
        <f aca="false">WEEKDAY(A2634,2)</f>
        <v>4</v>
      </c>
      <c r="E2634" s="33" t="n">
        <f aca="false">HOUR(A2634)+MINUTE(A2634)/60</f>
        <v>16</v>
      </c>
      <c r="F2634" s="33" t="n">
        <f aca="false">IF(OR(D2634&gt;5,E2634&lt;8,E2634&gt;=18,COUNTIF($K$2:$K$10,INT(A2634))&gt;0),1,0)</f>
        <v>0</v>
      </c>
      <c r="G2634" s="34" t="n">
        <f aca="false">B2634/1</f>
        <v>247.379</v>
      </c>
      <c r="H2634" s="34" t="str">
        <f aca="false">IF(F2634=1,G2634,"")</f>
        <v/>
      </c>
    </row>
    <row r="2635" customFormat="false" ht="15" hidden="false" customHeight="false" outlineLevel="0" collapsed="false">
      <c r="A2635" s="31" t="n">
        <v>42845.7083333333</v>
      </c>
      <c r="B2635" s="32" t="n">
        <v>235.487</v>
      </c>
      <c r="D2635" s="33" t="n">
        <f aca="false">WEEKDAY(A2635,2)</f>
        <v>4</v>
      </c>
      <c r="E2635" s="33" t="n">
        <f aca="false">HOUR(A2635)+MINUTE(A2635)/60</f>
        <v>17</v>
      </c>
      <c r="F2635" s="33" t="n">
        <f aca="false">IF(OR(D2635&gt;5,E2635&lt;8,E2635&gt;=18,COUNTIF($K$2:$K$10,INT(A2635))&gt;0),1,0)</f>
        <v>0</v>
      </c>
      <c r="G2635" s="34" t="n">
        <f aca="false">B2635/1</f>
        <v>235.487</v>
      </c>
      <c r="H2635" s="34" t="str">
        <f aca="false">IF(F2635=1,G2635,"")</f>
        <v/>
      </c>
    </row>
    <row r="2636" customFormat="false" ht="15" hidden="false" customHeight="false" outlineLevel="0" collapsed="false">
      <c r="A2636" s="31" t="n">
        <v>42845.75</v>
      </c>
      <c r="B2636" s="32" t="n">
        <v>213.839</v>
      </c>
      <c r="D2636" s="33" t="n">
        <f aca="false">WEEKDAY(A2636,2)</f>
        <v>4</v>
      </c>
      <c r="E2636" s="33" t="n">
        <f aca="false">HOUR(A2636)+MINUTE(A2636)/60</f>
        <v>18</v>
      </c>
      <c r="F2636" s="33" t="n">
        <f aca="false">IF(OR(D2636&gt;5,E2636&lt;8,E2636&gt;=18,COUNTIF($K$2:$K$10,INT(A2636))&gt;0),1,0)</f>
        <v>1</v>
      </c>
      <c r="G2636" s="34" t="n">
        <f aca="false">B2636/1</f>
        <v>213.839</v>
      </c>
      <c r="H2636" s="34" t="n">
        <f aca="false">IF(F2636=1,G2636,"")</f>
        <v>213.839</v>
      </c>
    </row>
    <row r="2637" customFormat="false" ht="15" hidden="false" customHeight="false" outlineLevel="0" collapsed="false">
      <c r="A2637" s="31" t="n">
        <v>42845.7916666667</v>
      </c>
      <c r="B2637" s="32" t="n">
        <v>201.326</v>
      </c>
      <c r="D2637" s="33" t="n">
        <f aca="false">WEEKDAY(A2637,2)</f>
        <v>4</v>
      </c>
      <c r="E2637" s="33" t="n">
        <f aca="false">HOUR(A2637)+MINUTE(A2637)/60</f>
        <v>19</v>
      </c>
      <c r="F2637" s="33" t="n">
        <f aca="false">IF(OR(D2637&gt;5,E2637&lt;8,E2637&gt;=18,COUNTIF($K$2:$K$10,INT(A2637))&gt;0),1,0)</f>
        <v>1</v>
      </c>
      <c r="G2637" s="34" t="n">
        <f aca="false">B2637/1</f>
        <v>201.326</v>
      </c>
      <c r="H2637" s="34" t="n">
        <f aca="false">IF(F2637=1,G2637,"")</f>
        <v>201.326</v>
      </c>
    </row>
    <row r="2638" customFormat="false" ht="15" hidden="false" customHeight="false" outlineLevel="0" collapsed="false">
      <c r="A2638" s="31" t="n">
        <v>42845.8333333333</v>
      </c>
      <c r="B2638" s="32" t="n">
        <v>194.638</v>
      </c>
      <c r="D2638" s="33" t="n">
        <f aca="false">WEEKDAY(A2638,2)</f>
        <v>4</v>
      </c>
      <c r="E2638" s="33" t="n">
        <f aca="false">HOUR(A2638)+MINUTE(A2638)/60</f>
        <v>20</v>
      </c>
      <c r="F2638" s="33" t="n">
        <f aca="false">IF(OR(D2638&gt;5,E2638&lt;8,E2638&gt;=18,COUNTIF($K$2:$K$10,INT(A2638))&gt;0),1,0)</f>
        <v>1</v>
      </c>
      <c r="G2638" s="34" t="n">
        <f aca="false">B2638/1</f>
        <v>194.638</v>
      </c>
      <c r="H2638" s="34" t="n">
        <f aca="false">IF(F2638=1,G2638,"")</f>
        <v>194.638</v>
      </c>
    </row>
    <row r="2639" customFormat="false" ht="15" hidden="false" customHeight="false" outlineLevel="0" collapsed="false">
      <c r="A2639" s="31" t="n">
        <v>42845.875</v>
      </c>
      <c r="B2639" s="32" t="n">
        <v>189.305</v>
      </c>
      <c r="D2639" s="33" t="n">
        <f aca="false">WEEKDAY(A2639,2)</f>
        <v>4</v>
      </c>
      <c r="E2639" s="33" t="n">
        <f aca="false">HOUR(A2639)+MINUTE(A2639)/60</f>
        <v>21</v>
      </c>
      <c r="F2639" s="33" t="n">
        <f aca="false">IF(OR(D2639&gt;5,E2639&lt;8,E2639&gt;=18,COUNTIF($K$2:$K$10,INT(A2639))&gt;0),1,0)</f>
        <v>1</v>
      </c>
      <c r="G2639" s="34" t="n">
        <f aca="false">B2639/1</f>
        <v>189.305</v>
      </c>
      <c r="H2639" s="34" t="n">
        <f aca="false">IF(F2639=1,G2639,"")</f>
        <v>189.305</v>
      </c>
    </row>
    <row r="2640" customFormat="false" ht="15" hidden="false" customHeight="false" outlineLevel="0" collapsed="false">
      <c r="A2640" s="31" t="n">
        <v>42845.9166666667</v>
      </c>
      <c r="B2640" s="32" t="n">
        <v>131.416</v>
      </c>
      <c r="D2640" s="33" t="n">
        <f aca="false">WEEKDAY(A2640,2)</f>
        <v>4</v>
      </c>
      <c r="E2640" s="33" t="n">
        <f aca="false">HOUR(A2640)+MINUTE(A2640)/60</f>
        <v>22</v>
      </c>
      <c r="F2640" s="33" t="n">
        <f aca="false">IF(OR(D2640&gt;5,E2640&lt;8,E2640&gt;=18,COUNTIF($K$2:$K$10,INT(A2640))&gt;0),1,0)</f>
        <v>1</v>
      </c>
      <c r="G2640" s="34" t="n">
        <f aca="false">B2640/1</f>
        <v>131.416</v>
      </c>
      <c r="H2640" s="34" t="n">
        <f aca="false">IF(F2640=1,G2640,"")</f>
        <v>131.416</v>
      </c>
    </row>
    <row r="2641" customFormat="false" ht="15" hidden="false" customHeight="false" outlineLevel="0" collapsed="false">
      <c r="A2641" s="31" t="n">
        <v>42845.9583333333</v>
      </c>
      <c r="B2641" s="32" t="n">
        <v>61.794</v>
      </c>
      <c r="D2641" s="33" t="n">
        <f aca="false">WEEKDAY(A2641,2)</f>
        <v>4</v>
      </c>
      <c r="E2641" s="33" t="n">
        <f aca="false">HOUR(A2641)+MINUTE(A2641)/60</f>
        <v>23</v>
      </c>
      <c r="F2641" s="33" t="n">
        <f aca="false">IF(OR(D2641&gt;5,E2641&lt;8,E2641&gt;=18,COUNTIF($K$2:$K$10,INT(A2641))&gt;0),1,0)</f>
        <v>1</v>
      </c>
      <c r="G2641" s="34" t="n">
        <f aca="false">B2641/1</f>
        <v>61.794</v>
      </c>
      <c r="H2641" s="34" t="n">
        <f aca="false">IF(F2641=1,G2641,"")</f>
        <v>61.794</v>
      </c>
    </row>
    <row r="2642" customFormat="false" ht="15" hidden="false" customHeight="false" outlineLevel="0" collapsed="false">
      <c r="A2642" s="31" t="n">
        <v>42846</v>
      </c>
      <c r="B2642" s="32" t="n">
        <v>63.131</v>
      </c>
      <c r="D2642" s="33" t="n">
        <f aca="false">WEEKDAY(A2642,2)</f>
        <v>5</v>
      </c>
      <c r="E2642" s="33" t="n">
        <f aca="false">HOUR(A2642)+MINUTE(A2642)/60</f>
        <v>0</v>
      </c>
      <c r="F2642" s="33" t="n">
        <f aca="false">IF(OR(D2642&gt;5,E2642&lt;8,E2642&gt;=18,COUNTIF($K$2:$K$10,INT(A2642))&gt;0),1,0)</f>
        <v>1</v>
      </c>
      <c r="G2642" s="34" t="n">
        <f aca="false">B2642/1</f>
        <v>63.131</v>
      </c>
      <c r="H2642" s="34" t="n">
        <f aca="false">IF(F2642=1,G2642,"")</f>
        <v>63.131</v>
      </c>
    </row>
    <row r="2643" customFormat="false" ht="15" hidden="false" customHeight="false" outlineLevel="0" collapsed="false">
      <c r="A2643" s="31" t="n">
        <v>42846.0416666667</v>
      </c>
      <c r="B2643" s="32" t="n">
        <v>59.371</v>
      </c>
      <c r="D2643" s="33" t="n">
        <f aca="false">WEEKDAY(A2643,2)</f>
        <v>5</v>
      </c>
      <c r="E2643" s="33" t="n">
        <f aca="false">HOUR(A2643)+MINUTE(A2643)/60</f>
        <v>1</v>
      </c>
      <c r="F2643" s="33" t="n">
        <f aca="false">IF(OR(D2643&gt;5,E2643&lt;8,E2643&gt;=18,COUNTIF($K$2:$K$10,INT(A2643))&gt;0),1,0)</f>
        <v>1</v>
      </c>
      <c r="G2643" s="34" t="n">
        <f aca="false">B2643/1</f>
        <v>59.371</v>
      </c>
      <c r="H2643" s="34" t="n">
        <f aca="false">IF(F2643=1,G2643,"")</f>
        <v>59.371</v>
      </c>
    </row>
    <row r="2644" customFormat="false" ht="15" hidden="false" customHeight="false" outlineLevel="0" collapsed="false">
      <c r="A2644" s="31" t="n">
        <v>42846.0833333333</v>
      </c>
      <c r="B2644" s="32" t="n">
        <v>55.857</v>
      </c>
      <c r="D2644" s="33" t="n">
        <f aca="false">WEEKDAY(A2644,2)</f>
        <v>5</v>
      </c>
      <c r="E2644" s="33" t="n">
        <f aca="false">HOUR(A2644)+MINUTE(A2644)/60</f>
        <v>2</v>
      </c>
      <c r="F2644" s="33" t="n">
        <f aca="false">IF(OR(D2644&gt;5,E2644&lt;8,E2644&gt;=18,COUNTIF($K$2:$K$10,INT(A2644))&gt;0),1,0)</f>
        <v>1</v>
      </c>
      <c r="G2644" s="34" t="n">
        <f aca="false">B2644/1</f>
        <v>55.857</v>
      </c>
      <c r="H2644" s="34" t="n">
        <f aca="false">IF(F2644=1,G2644,"")</f>
        <v>55.857</v>
      </c>
    </row>
    <row r="2645" customFormat="false" ht="15" hidden="false" customHeight="false" outlineLevel="0" collapsed="false">
      <c r="A2645" s="31" t="n">
        <v>42846.125</v>
      </c>
      <c r="B2645" s="32" t="n">
        <v>57.977</v>
      </c>
      <c r="D2645" s="33" t="n">
        <f aca="false">WEEKDAY(A2645,2)</f>
        <v>5</v>
      </c>
      <c r="E2645" s="33" t="n">
        <f aca="false">HOUR(A2645)+MINUTE(A2645)/60</f>
        <v>3</v>
      </c>
      <c r="F2645" s="33" t="n">
        <f aca="false">IF(OR(D2645&gt;5,E2645&lt;8,E2645&gt;=18,COUNTIF($K$2:$K$10,INT(A2645))&gt;0),1,0)</f>
        <v>1</v>
      </c>
      <c r="G2645" s="34" t="n">
        <f aca="false">B2645/1</f>
        <v>57.977</v>
      </c>
      <c r="H2645" s="34" t="n">
        <f aca="false">IF(F2645=1,G2645,"")</f>
        <v>57.977</v>
      </c>
    </row>
    <row r="2646" customFormat="false" ht="15" hidden="false" customHeight="false" outlineLevel="0" collapsed="false">
      <c r="A2646" s="31" t="n">
        <v>42846.1666666667</v>
      </c>
      <c r="B2646" s="32" t="n">
        <v>55.09</v>
      </c>
      <c r="D2646" s="33" t="n">
        <f aca="false">WEEKDAY(A2646,2)</f>
        <v>5</v>
      </c>
      <c r="E2646" s="33" t="n">
        <f aca="false">HOUR(A2646)+MINUTE(A2646)/60</f>
        <v>4</v>
      </c>
      <c r="F2646" s="33" t="n">
        <f aca="false">IF(OR(D2646&gt;5,E2646&lt;8,E2646&gt;=18,COUNTIF($K$2:$K$10,INT(A2646))&gt;0),1,0)</f>
        <v>1</v>
      </c>
      <c r="G2646" s="34" t="n">
        <f aca="false">B2646/1</f>
        <v>55.09</v>
      </c>
      <c r="H2646" s="34" t="n">
        <f aca="false">IF(F2646=1,G2646,"")</f>
        <v>55.09</v>
      </c>
    </row>
    <row r="2647" customFormat="false" ht="15" hidden="false" customHeight="false" outlineLevel="0" collapsed="false">
      <c r="A2647" s="31" t="n">
        <v>42846.2083333333</v>
      </c>
      <c r="B2647" s="32" t="n">
        <v>58.203</v>
      </c>
      <c r="D2647" s="33" t="n">
        <f aca="false">WEEKDAY(A2647,2)</f>
        <v>5</v>
      </c>
      <c r="E2647" s="33" t="n">
        <f aca="false">HOUR(A2647)+MINUTE(A2647)/60</f>
        <v>5</v>
      </c>
      <c r="F2647" s="33" t="n">
        <f aca="false">IF(OR(D2647&gt;5,E2647&lt;8,E2647&gt;=18,COUNTIF($K$2:$K$10,INT(A2647))&gt;0),1,0)</f>
        <v>1</v>
      </c>
      <c r="G2647" s="34" t="n">
        <f aca="false">B2647/1</f>
        <v>58.203</v>
      </c>
      <c r="H2647" s="34" t="n">
        <f aca="false">IF(F2647=1,G2647,"")</f>
        <v>58.203</v>
      </c>
    </row>
    <row r="2648" customFormat="false" ht="15" hidden="false" customHeight="false" outlineLevel="0" collapsed="false">
      <c r="A2648" s="31" t="n">
        <v>42846.25</v>
      </c>
      <c r="B2648" s="32" t="n">
        <v>58.324</v>
      </c>
      <c r="D2648" s="33" t="n">
        <f aca="false">WEEKDAY(A2648,2)</f>
        <v>5</v>
      </c>
      <c r="E2648" s="33" t="n">
        <f aca="false">HOUR(A2648)+MINUTE(A2648)/60</f>
        <v>6</v>
      </c>
      <c r="F2648" s="33" t="n">
        <f aca="false">IF(OR(D2648&gt;5,E2648&lt;8,E2648&gt;=18,COUNTIF($K$2:$K$10,INT(A2648))&gt;0),1,0)</f>
        <v>1</v>
      </c>
      <c r="G2648" s="34" t="n">
        <f aca="false">B2648/1</f>
        <v>58.324</v>
      </c>
      <c r="H2648" s="34" t="n">
        <f aca="false">IF(F2648=1,G2648,"")</f>
        <v>58.324</v>
      </c>
    </row>
    <row r="2649" customFormat="false" ht="15" hidden="false" customHeight="false" outlineLevel="0" collapsed="false">
      <c r="A2649" s="31" t="n">
        <v>42846.2916666667</v>
      </c>
      <c r="B2649" s="32" t="n">
        <v>59.075</v>
      </c>
      <c r="D2649" s="33" t="n">
        <f aca="false">WEEKDAY(A2649,2)</f>
        <v>5</v>
      </c>
      <c r="E2649" s="33" t="n">
        <f aca="false">HOUR(A2649)+MINUTE(A2649)/60</f>
        <v>7</v>
      </c>
      <c r="F2649" s="33" t="n">
        <f aca="false">IF(OR(D2649&gt;5,E2649&lt;8,E2649&gt;=18,COUNTIF($K$2:$K$10,INT(A2649))&gt;0),1,0)</f>
        <v>1</v>
      </c>
      <c r="G2649" s="34" t="n">
        <f aca="false">B2649/1</f>
        <v>59.075</v>
      </c>
      <c r="H2649" s="34" t="n">
        <f aca="false">IF(F2649=1,G2649,"")</f>
        <v>59.075</v>
      </c>
    </row>
    <row r="2650" customFormat="false" ht="15" hidden="false" customHeight="false" outlineLevel="0" collapsed="false">
      <c r="A2650" s="31" t="n">
        <v>42846.3333333333</v>
      </c>
      <c r="B2650" s="32" t="n">
        <v>165.782</v>
      </c>
      <c r="D2650" s="33" t="n">
        <f aca="false">WEEKDAY(A2650,2)</f>
        <v>5</v>
      </c>
      <c r="E2650" s="33" t="n">
        <f aca="false">HOUR(A2650)+MINUTE(A2650)/60</f>
        <v>8</v>
      </c>
      <c r="F2650" s="33" t="n">
        <f aca="false">IF(OR(D2650&gt;5,E2650&lt;8,E2650&gt;=18,COUNTIF($K$2:$K$10,INT(A2650))&gt;0),1,0)</f>
        <v>0</v>
      </c>
      <c r="G2650" s="34" t="n">
        <f aca="false">B2650/1</f>
        <v>165.782</v>
      </c>
      <c r="H2650" s="34" t="str">
        <f aca="false">IF(F2650=1,G2650,"")</f>
        <v/>
      </c>
    </row>
    <row r="2651" customFormat="false" ht="15" hidden="false" customHeight="false" outlineLevel="0" collapsed="false">
      <c r="A2651" s="31" t="n">
        <v>42846.375</v>
      </c>
      <c r="B2651" s="32" t="n">
        <v>197.054</v>
      </c>
      <c r="D2651" s="33" t="n">
        <f aca="false">WEEKDAY(A2651,2)</f>
        <v>5</v>
      </c>
      <c r="E2651" s="33" t="n">
        <f aca="false">HOUR(A2651)+MINUTE(A2651)/60</f>
        <v>9</v>
      </c>
      <c r="F2651" s="33" t="n">
        <f aca="false">IF(OR(D2651&gt;5,E2651&lt;8,E2651&gt;=18,COUNTIF($K$2:$K$10,INT(A2651))&gt;0),1,0)</f>
        <v>0</v>
      </c>
      <c r="G2651" s="34" t="n">
        <f aca="false">B2651/1</f>
        <v>197.054</v>
      </c>
      <c r="H2651" s="34" t="str">
        <f aca="false">IF(F2651=1,G2651,"")</f>
        <v/>
      </c>
    </row>
    <row r="2652" customFormat="false" ht="15" hidden="false" customHeight="false" outlineLevel="0" collapsed="false">
      <c r="A2652" s="31" t="n">
        <v>42846.4166666667</v>
      </c>
      <c r="B2652" s="32" t="n">
        <v>212.383</v>
      </c>
      <c r="D2652" s="33" t="n">
        <f aca="false">WEEKDAY(A2652,2)</f>
        <v>5</v>
      </c>
      <c r="E2652" s="33" t="n">
        <f aca="false">HOUR(A2652)+MINUTE(A2652)/60</f>
        <v>10</v>
      </c>
      <c r="F2652" s="33" t="n">
        <f aca="false">IF(OR(D2652&gt;5,E2652&lt;8,E2652&gt;=18,COUNTIF($K$2:$K$10,INT(A2652))&gt;0),1,0)</f>
        <v>0</v>
      </c>
      <c r="G2652" s="34" t="n">
        <f aca="false">B2652/1</f>
        <v>212.383</v>
      </c>
      <c r="H2652" s="34" t="str">
        <f aca="false">IF(F2652=1,G2652,"")</f>
        <v/>
      </c>
    </row>
    <row r="2653" customFormat="false" ht="15" hidden="false" customHeight="false" outlineLevel="0" collapsed="false">
      <c r="A2653" s="31" t="n">
        <v>42846.4583333333</v>
      </c>
      <c r="B2653" s="32" t="n">
        <v>232.975</v>
      </c>
      <c r="D2653" s="33" t="n">
        <f aca="false">WEEKDAY(A2653,2)</f>
        <v>5</v>
      </c>
      <c r="E2653" s="33" t="n">
        <f aca="false">HOUR(A2653)+MINUTE(A2653)/60</f>
        <v>11</v>
      </c>
      <c r="F2653" s="33" t="n">
        <f aca="false">IF(OR(D2653&gt;5,E2653&lt;8,E2653&gt;=18,COUNTIF($K$2:$K$10,INT(A2653))&gt;0),1,0)</f>
        <v>0</v>
      </c>
      <c r="G2653" s="34" t="n">
        <f aca="false">B2653/1</f>
        <v>232.975</v>
      </c>
      <c r="H2653" s="34" t="str">
        <f aca="false">IF(F2653=1,G2653,"")</f>
        <v/>
      </c>
    </row>
    <row r="2654" customFormat="false" ht="15" hidden="false" customHeight="false" outlineLevel="0" collapsed="false">
      <c r="A2654" s="31" t="n">
        <v>42846.5</v>
      </c>
      <c r="B2654" s="32" t="n">
        <v>241.702</v>
      </c>
      <c r="D2654" s="33" t="n">
        <f aca="false">WEEKDAY(A2654,2)</f>
        <v>5</v>
      </c>
      <c r="E2654" s="33" t="n">
        <f aca="false">HOUR(A2654)+MINUTE(A2654)/60</f>
        <v>12</v>
      </c>
      <c r="F2654" s="33" t="n">
        <f aca="false">IF(OR(D2654&gt;5,E2654&lt;8,E2654&gt;=18,COUNTIF($K$2:$K$10,INT(A2654))&gt;0),1,0)</f>
        <v>0</v>
      </c>
      <c r="G2654" s="34" t="n">
        <f aca="false">B2654/1</f>
        <v>241.702</v>
      </c>
      <c r="H2654" s="34" t="str">
        <f aca="false">IF(F2654=1,G2654,"")</f>
        <v/>
      </c>
    </row>
    <row r="2655" customFormat="false" ht="15" hidden="false" customHeight="false" outlineLevel="0" collapsed="false">
      <c r="A2655" s="31" t="n">
        <v>42846.5416666667</v>
      </c>
      <c r="B2655" s="32" t="n">
        <v>235.675</v>
      </c>
      <c r="D2655" s="33" t="n">
        <f aca="false">WEEKDAY(A2655,2)</f>
        <v>5</v>
      </c>
      <c r="E2655" s="33" t="n">
        <f aca="false">HOUR(A2655)+MINUTE(A2655)/60</f>
        <v>13</v>
      </c>
      <c r="F2655" s="33" t="n">
        <f aca="false">IF(OR(D2655&gt;5,E2655&lt;8,E2655&gt;=18,COUNTIF($K$2:$K$10,INT(A2655))&gt;0),1,0)</f>
        <v>0</v>
      </c>
      <c r="G2655" s="34" t="n">
        <f aca="false">B2655/1</f>
        <v>235.675</v>
      </c>
      <c r="H2655" s="34" t="str">
        <f aca="false">IF(F2655=1,G2655,"")</f>
        <v/>
      </c>
    </row>
    <row r="2656" customFormat="false" ht="15" hidden="false" customHeight="false" outlineLevel="0" collapsed="false">
      <c r="A2656" s="31" t="n">
        <v>42846.5833333333</v>
      </c>
      <c r="B2656" s="32" t="n">
        <v>228.672</v>
      </c>
      <c r="D2656" s="33" t="n">
        <f aca="false">WEEKDAY(A2656,2)</f>
        <v>5</v>
      </c>
      <c r="E2656" s="33" t="n">
        <f aca="false">HOUR(A2656)+MINUTE(A2656)/60</f>
        <v>14</v>
      </c>
      <c r="F2656" s="33" t="n">
        <f aca="false">IF(OR(D2656&gt;5,E2656&lt;8,E2656&gt;=18,COUNTIF($K$2:$K$10,INT(A2656))&gt;0),1,0)</f>
        <v>0</v>
      </c>
      <c r="G2656" s="34" t="n">
        <f aca="false">B2656/1</f>
        <v>228.672</v>
      </c>
      <c r="H2656" s="34" t="str">
        <f aca="false">IF(F2656=1,G2656,"")</f>
        <v/>
      </c>
    </row>
    <row r="2657" customFormat="false" ht="15" hidden="false" customHeight="false" outlineLevel="0" collapsed="false">
      <c r="A2657" s="31" t="n">
        <v>42846.625</v>
      </c>
      <c r="B2657" s="32" t="n">
        <v>234.592</v>
      </c>
      <c r="D2657" s="33" t="n">
        <f aca="false">WEEKDAY(A2657,2)</f>
        <v>5</v>
      </c>
      <c r="E2657" s="33" t="n">
        <f aca="false">HOUR(A2657)+MINUTE(A2657)/60</f>
        <v>15</v>
      </c>
      <c r="F2657" s="33" t="n">
        <f aca="false">IF(OR(D2657&gt;5,E2657&lt;8,E2657&gt;=18,COUNTIF($K$2:$K$10,INT(A2657))&gt;0),1,0)</f>
        <v>0</v>
      </c>
      <c r="G2657" s="34" t="n">
        <f aca="false">B2657/1</f>
        <v>234.592</v>
      </c>
      <c r="H2657" s="34" t="str">
        <f aca="false">IF(F2657=1,G2657,"")</f>
        <v/>
      </c>
    </row>
    <row r="2658" customFormat="false" ht="15" hidden="false" customHeight="false" outlineLevel="0" collapsed="false">
      <c r="A2658" s="31" t="n">
        <v>42846.6666666667</v>
      </c>
      <c r="B2658" s="32" t="n">
        <v>220.865</v>
      </c>
      <c r="D2658" s="33" t="n">
        <f aca="false">WEEKDAY(A2658,2)</f>
        <v>5</v>
      </c>
      <c r="E2658" s="33" t="n">
        <f aca="false">HOUR(A2658)+MINUTE(A2658)/60</f>
        <v>16</v>
      </c>
      <c r="F2658" s="33" t="n">
        <f aca="false">IF(OR(D2658&gt;5,E2658&lt;8,E2658&gt;=18,COUNTIF($K$2:$K$10,INT(A2658))&gt;0),1,0)</f>
        <v>0</v>
      </c>
      <c r="G2658" s="34" t="n">
        <f aca="false">B2658/1</f>
        <v>220.865</v>
      </c>
      <c r="H2658" s="34" t="str">
        <f aca="false">IF(F2658=1,G2658,"")</f>
        <v/>
      </c>
    </row>
    <row r="2659" customFormat="false" ht="15" hidden="false" customHeight="false" outlineLevel="0" collapsed="false">
      <c r="A2659" s="31" t="n">
        <v>42846.7083333333</v>
      </c>
      <c r="B2659" s="32" t="n">
        <v>217.172</v>
      </c>
      <c r="D2659" s="33" t="n">
        <f aca="false">WEEKDAY(A2659,2)</f>
        <v>5</v>
      </c>
      <c r="E2659" s="33" t="n">
        <f aca="false">HOUR(A2659)+MINUTE(A2659)/60</f>
        <v>17</v>
      </c>
      <c r="F2659" s="33" t="n">
        <f aca="false">IF(OR(D2659&gt;5,E2659&lt;8,E2659&gt;=18,COUNTIF($K$2:$K$10,INT(A2659))&gt;0),1,0)</f>
        <v>0</v>
      </c>
      <c r="G2659" s="34" t="n">
        <f aca="false">B2659/1</f>
        <v>217.172</v>
      </c>
      <c r="H2659" s="34" t="str">
        <f aca="false">IF(F2659=1,G2659,"")</f>
        <v/>
      </c>
    </row>
    <row r="2660" customFormat="false" ht="15" hidden="false" customHeight="false" outlineLevel="0" collapsed="false">
      <c r="A2660" s="31" t="n">
        <v>42846.75</v>
      </c>
      <c r="B2660" s="32" t="n">
        <v>210.609</v>
      </c>
      <c r="D2660" s="33" t="n">
        <f aca="false">WEEKDAY(A2660,2)</f>
        <v>5</v>
      </c>
      <c r="E2660" s="33" t="n">
        <f aca="false">HOUR(A2660)+MINUTE(A2660)/60</f>
        <v>18</v>
      </c>
      <c r="F2660" s="33" t="n">
        <f aca="false">IF(OR(D2660&gt;5,E2660&lt;8,E2660&gt;=18,COUNTIF($K$2:$K$10,INT(A2660))&gt;0),1,0)</f>
        <v>1</v>
      </c>
      <c r="G2660" s="34" t="n">
        <f aca="false">B2660/1</f>
        <v>210.609</v>
      </c>
      <c r="H2660" s="34" t="n">
        <f aca="false">IF(F2660=1,G2660,"")</f>
        <v>210.609</v>
      </c>
    </row>
    <row r="2661" customFormat="false" ht="15" hidden="false" customHeight="false" outlineLevel="0" collapsed="false">
      <c r="A2661" s="31" t="n">
        <v>42846.7916666667</v>
      </c>
      <c r="B2661" s="32" t="n">
        <v>200.054</v>
      </c>
      <c r="D2661" s="33" t="n">
        <f aca="false">WEEKDAY(A2661,2)</f>
        <v>5</v>
      </c>
      <c r="E2661" s="33" t="n">
        <f aca="false">HOUR(A2661)+MINUTE(A2661)/60</f>
        <v>19</v>
      </c>
      <c r="F2661" s="33" t="n">
        <f aca="false">IF(OR(D2661&gt;5,E2661&lt;8,E2661&gt;=18,COUNTIF($K$2:$K$10,INT(A2661))&gt;0),1,0)</f>
        <v>1</v>
      </c>
      <c r="G2661" s="34" t="n">
        <f aca="false">B2661/1</f>
        <v>200.054</v>
      </c>
      <c r="H2661" s="34" t="n">
        <f aca="false">IF(F2661=1,G2661,"")</f>
        <v>200.054</v>
      </c>
    </row>
    <row r="2662" customFormat="false" ht="15" hidden="false" customHeight="false" outlineLevel="0" collapsed="false">
      <c r="A2662" s="31" t="n">
        <v>42846.8333333333</v>
      </c>
      <c r="B2662" s="32" t="n">
        <v>198.252</v>
      </c>
      <c r="D2662" s="33" t="n">
        <f aca="false">WEEKDAY(A2662,2)</f>
        <v>5</v>
      </c>
      <c r="E2662" s="33" t="n">
        <f aca="false">HOUR(A2662)+MINUTE(A2662)/60</f>
        <v>20</v>
      </c>
      <c r="F2662" s="33" t="n">
        <f aca="false">IF(OR(D2662&gt;5,E2662&lt;8,E2662&gt;=18,COUNTIF($K$2:$K$10,INT(A2662))&gt;0),1,0)</f>
        <v>1</v>
      </c>
      <c r="G2662" s="34" t="n">
        <f aca="false">B2662/1</f>
        <v>198.252</v>
      </c>
      <c r="H2662" s="34" t="n">
        <f aca="false">IF(F2662=1,G2662,"")</f>
        <v>198.252</v>
      </c>
    </row>
    <row r="2663" customFormat="false" ht="15" hidden="false" customHeight="false" outlineLevel="0" collapsed="false">
      <c r="A2663" s="31" t="n">
        <v>42846.875</v>
      </c>
      <c r="B2663" s="32" t="n">
        <v>194.053</v>
      </c>
      <c r="D2663" s="33" t="n">
        <f aca="false">WEEKDAY(A2663,2)</f>
        <v>5</v>
      </c>
      <c r="E2663" s="33" t="n">
        <f aca="false">HOUR(A2663)+MINUTE(A2663)/60</f>
        <v>21</v>
      </c>
      <c r="F2663" s="33" t="n">
        <f aca="false">IF(OR(D2663&gt;5,E2663&lt;8,E2663&gt;=18,COUNTIF($K$2:$K$10,INT(A2663))&gt;0),1,0)</f>
        <v>1</v>
      </c>
      <c r="G2663" s="34" t="n">
        <f aca="false">B2663/1</f>
        <v>194.053</v>
      </c>
      <c r="H2663" s="34" t="n">
        <f aca="false">IF(F2663=1,G2663,"")</f>
        <v>194.053</v>
      </c>
    </row>
    <row r="2664" customFormat="false" ht="15" hidden="false" customHeight="false" outlineLevel="0" collapsed="false">
      <c r="A2664" s="31" t="n">
        <v>42846.9166666667</v>
      </c>
      <c r="B2664" s="32" t="n">
        <v>130.41</v>
      </c>
      <c r="D2664" s="33" t="n">
        <f aca="false">WEEKDAY(A2664,2)</f>
        <v>5</v>
      </c>
      <c r="E2664" s="33" t="n">
        <f aca="false">HOUR(A2664)+MINUTE(A2664)/60</f>
        <v>22</v>
      </c>
      <c r="F2664" s="33" t="n">
        <f aca="false">IF(OR(D2664&gt;5,E2664&lt;8,E2664&gt;=18,COUNTIF($K$2:$K$10,INT(A2664))&gt;0),1,0)</f>
        <v>1</v>
      </c>
      <c r="G2664" s="34" t="n">
        <f aca="false">B2664/1</f>
        <v>130.41</v>
      </c>
      <c r="H2664" s="34" t="n">
        <f aca="false">IF(F2664=1,G2664,"")</f>
        <v>130.41</v>
      </c>
    </row>
    <row r="2665" customFormat="false" ht="15" hidden="false" customHeight="false" outlineLevel="0" collapsed="false">
      <c r="A2665" s="31" t="n">
        <v>42846.9583333333</v>
      </c>
      <c r="B2665" s="32" t="n">
        <v>65.351</v>
      </c>
      <c r="D2665" s="33" t="n">
        <f aca="false">WEEKDAY(A2665,2)</f>
        <v>5</v>
      </c>
      <c r="E2665" s="33" t="n">
        <f aca="false">HOUR(A2665)+MINUTE(A2665)/60</f>
        <v>23</v>
      </c>
      <c r="F2665" s="33" t="n">
        <f aca="false">IF(OR(D2665&gt;5,E2665&lt;8,E2665&gt;=18,COUNTIF($K$2:$K$10,INT(A2665))&gt;0),1,0)</f>
        <v>1</v>
      </c>
      <c r="G2665" s="34" t="n">
        <f aca="false">B2665/1</f>
        <v>65.351</v>
      </c>
      <c r="H2665" s="34" t="n">
        <f aca="false">IF(F2665=1,G2665,"")</f>
        <v>65.351</v>
      </c>
    </row>
    <row r="2666" customFormat="false" ht="15" hidden="false" customHeight="false" outlineLevel="0" collapsed="false">
      <c r="A2666" s="31" t="n">
        <v>42847</v>
      </c>
      <c r="B2666" s="32" t="n">
        <v>61.239</v>
      </c>
      <c r="D2666" s="33" t="n">
        <f aca="false">WEEKDAY(A2666,2)</f>
        <v>6</v>
      </c>
      <c r="E2666" s="33" t="n">
        <f aca="false">HOUR(A2666)+MINUTE(A2666)/60</f>
        <v>0</v>
      </c>
      <c r="F2666" s="33" t="n">
        <f aca="false">IF(OR(D2666&gt;5,E2666&lt;8,E2666&gt;=18,COUNTIF($K$2:$K$10,INT(A2666))&gt;0),1,0)</f>
        <v>1</v>
      </c>
      <c r="G2666" s="34" t="n">
        <f aca="false">B2666/1</f>
        <v>61.239</v>
      </c>
      <c r="H2666" s="34" t="n">
        <f aca="false">IF(F2666=1,G2666,"")</f>
        <v>61.239</v>
      </c>
    </row>
    <row r="2667" customFormat="false" ht="15" hidden="false" customHeight="false" outlineLevel="0" collapsed="false">
      <c r="A2667" s="31" t="n">
        <v>42847.0416666667</v>
      </c>
      <c r="B2667" s="32" t="n">
        <v>59.474</v>
      </c>
      <c r="D2667" s="33" t="n">
        <f aca="false">WEEKDAY(A2667,2)</f>
        <v>6</v>
      </c>
      <c r="E2667" s="33" t="n">
        <f aca="false">HOUR(A2667)+MINUTE(A2667)/60</f>
        <v>1</v>
      </c>
      <c r="F2667" s="33" t="n">
        <f aca="false">IF(OR(D2667&gt;5,E2667&lt;8,E2667&gt;=18,COUNTIF($K$2:$K$10,INT(A2667))&gt;0),1,0)</f>
        <v>1</v>
      </c>
      <c r="G2667" s="34" t="n">
        <f aca="false">B2667/1</f>
        <v>59.474</v>
      </c>
      <c r="H2667" s="34" t="n">
        <f aca="false">IF(F2667=1,G2667,"")</f>
        <v>59.474</v>
      </c>
    </row>
    <row r="2668" customFormat="false" ht="15" hidden="false" customHeight="false" outlineLevel="0" collapsed="false">
      <c r="A2668" s="31" t="n">
        <v>42847.0833333333</v>
      </c>
      <c r="B2668" s="32" t="n">
        <v>58.278</v>
      </c>
      <c r="D2668" s="33" t="n">
        <f aca="false">WEEKDAY(A2668,2)</f>
        <v>6</v>
      </c>
      <c r="E2668" s="33" t="n">
        <f aca="false">HOUR(A2668)+MINUTE(A2668)/60</f>
        <v>2</v>
      </c>
      <c r="F2668" s="33" t="n">
        <f aca="false">IF(OR(D2668&gt;5,E2668&lt;8,E2668&gt;=18,COUNTIF($K$2:$K$10,INT(A2668))&gt;0),1,0)</f>
        <v>1</v>
      </c>
      <c r="G2668" s="34" t="n">
        <f aca="false">B2668/1</f>
        <v>58.278</v>
      </c>
      <c r="H2668" s="34" t="n">
        <f aca="false">IF(F2668=1,G2668,"")</f>
        <v>58.278</v>
      </c>
    </row>
    <row r="2669" customFormat="false" ht="15" hidden="false" customHeight="false" outlineLevel="0" collapsed="false">
      <c r="A2669" s="31" t="n">
        <v>42847.125</v>
      </c>
      <c r="B2669" s="32" t="n">
        <v>61.044</v>
      </c>
      <c r="D2669" s="33" t="n">
        <f aca="false">WEEKDAY(A2669,2)</f>
        <v>6</v>
      </c>
      <c r="E2669" s="33" t="n">
        <f aca="false">HOUR(A2669)+MINUTE(A2669)/60</f>
        <v>3</v>
      </c>
      <c r="F2669" s="33" t="n">
        <f aca="false">IF(OR(D2669&gt;5,E2669&lt;8,E2669&gt;=18,COUNTIF($K$2:$K$10,INT(A2669))&gt;0),1,0)</f>
        <v>1</v>
      </c>
      <c r="G2669" s="34" t="n">
        <f aca="false">B2669/1</f>
        <v>61.044</v>
      </c>
      <c r="H2669" s="34" t="n">
        <f aca="false">IF(F2669=1,G2669,"")</f>
        <v>61.044</v>
      </c>
    </row>
    <row r="2670" customFormat="false" ht="15" hidden="false" customHeight="false" outlineLevel="0" collapsed="false">
      <c r="A2670" s="31" t="n">
        <v>42847.1666666667</v>
      </c>
      <c r="B2670" s="32" t="n">
        <v>59.465</v>
      </c>
      <c r="D2670" s="33" t="n">
        <f aca="false">WEEKDAY(A2670,2)</f>
        <v>6</v>
      </c>
      <c r="E2670" s="33" t="n">
        <f aca="false">HOUR(A2670)+MINUTE(A2670)/60</f>
        <v>4</v>
      </c>
      <c r="F2670" s="33" t="n">
        <f aca="false">IF(OR(D2670&gt;5,E2670&lt;8,E2670&gt;=18,COUNTIF($K$2:$K$10,INT(A2670))&gt;0),1,0)</f>
        <v>1</v>
      </c>
      <c r="G2670" s="34" t="n">
        <f aca="false">B2670/1</f>
        <v>59.465</v>
      </c>
      <c r="H2670" s="34" t="n">
        <f aca="false">IF(F2670=1,G2670,"")</f>
        <v>59.465</v>
      </c>
    </row>
    <row r="2671" customFormat="false" ht="15" hidden="false" customHeight="false" outlineLevel="0" collapsed="false">
      <c r="A2671" s="31" t="n">
        <v>42847.2083333333</v>
      </c>
      <c r="B2671" s="32" t="n">
        <v>61.671</v>
      </c>
      <c r="D2671" s="33" t="n">
        <f aca="false">WEEKDAY(A2671,2)</f>
        <v>6</v>
      </c>
      <c r="E2671" s="33" t="n">
        <f aca="false">HOUR(A2671)+MINUTE(A2671)/60</f>
        <v>5</v>
      </c>
      <c r="F2671" s="33" t="n">
        <f aca="false">IF(OR(D2671&gt;5,E2671&lt;8,E2671&gt;=18,COUNTIF($K$2:$K$10,INT(A2671))&gt;0),1,0)</f>
        <v>1</v>
      </c>
      <c r="G2671" s="34" t="n">
        <f aca="false">B2671/1</f>
        <v>61.671</v>
      </c>
      <c r="H2671" s="34" t="n">
        <f aca="false">IF(F2671=1,G2671,"")</f>
        <v>61.671</v>
      </c>
    </row>
    <row r="2672" customFormat="false" ht="15" hidden="false" customHeight="false" outlineLevel="0" collapsed="false">
      <c r="A2672" s="31" t="n">
        <v>42847.25</v>
      </c>
      <c r="B2672" s="32" t="n">
        <v>60.327</v>
      </c>
      <c r="D2672" s="33" t="n">
        <f aca="false">WEEKDAY(A2672,2)</f>
        <v>6</v>
      </c>
      <c r="E2672" s="33" t="n">
        <f aca="false">HOUR(A2672)+MINUTE(A2672)/60</f>
        <v>6</v>
      </c>
      <c r="F2672" s="33" t="n">
        <f aca="false">IF(OR(D2672&gt;5,E2672&lt;8,E2672&gt;=18,COUNTIF($K$2:$K$10,INT(A2672))&gt;0),1,0)</f>
        <v>1</v>
      </c>
      <c r="G2672" s="34" t="n">
        <f aca="false">B2672/1</f>
        <v>60.327</v>
      </c>
      <c r="H2672" s="34" t="n">
        <f aca="false">IF(F2672=1,G2672,"")</f>
        <v>60.327</v>
      </c>
    </row>
    <row r="2673" customFormat="false" ht="15" hidden="false" customHeight="false" outlineLevel="0" collapsed="false">
      <c r="A2673" s="31" t="n">
        <v>42847.2916666667</v>
      </c>
      <c r="B2673" s="32" t="n">
        <v>58.545</v>
      </c>
      <c r="D2673" s="33" t="n">
        <f aca="false">WEEKDAY(A2673,2)</f>
        <v>6</v>
      </c>
      <c r="E2673" s="33" t="n">
        <f aca="false">HOUR(A2673)+MINUTE(A2673)/60</f>
        <v>7</v>
      </c>
      <c r="F2673" s="33" t="n">
        <f aca="false">IF(OR(D2673&gt;5,E2673&lt;8,E2673&gt;=18,COUNTIF($K$2:$K$10,INT(A2673))&gt;0),1,0)</f>
        <v>1</v>
      </c>
      <c r="G2673" s="34" t="n">
        <f aca="false">B2673/1</f>
        <v>58.545</v>
      </c>
      <c r="H2673" s="34" t="n">
        <f aca="false">IF(F2673=1,G2673,"")</f>
        <v>58.545</v>
      </c>
    </row>
    <row r="2674" customFormat="false" ht="15" hidden="false" customHeight="false" outlineLevel="0" collapsed="false">
      <c r="A2674" s="31" t="n">
        <v>42847.3333333333</v>
      </c>
      <c r="B2674" s="32" t="n">
        <v>123.445</v>
      </c>
      <c r="D2674" s="33" t="n">
        <f aca="false">WEEKDAY(A2674,2)</f>
        <v>6</v>
      </c>
      <c r="E2674" s="33" t="n">
        <f aca="false">HOUR(A2674)+MINUTE(A2674)/60</f>
        <v>8</v>
      </c>
      <c r="F2674" s="33" t="n">
        <f aca="false">IF(OR(D2674&gt;5,E2674&lt;8,E2674&gt;=18,COUNTIF($K$2:$K$10,INT(A2674))&gt;0),1,0)</f>
        <v>1</v>
      </c>
      <c r="G2674" s="34" t="n">
        <f aca="false">B2674/1</f>
        <v>123.445</v>
      </c>
      <c r="H2674" s="34" t="n">
        <f aca="false">IF(F2674=1,G2674,"")</f>
        <v>123.445</v>
      </c>
    </row>
    <row r="2675" customFormat="false" ht="15" hidden="false" customHeight="false" outlineLevel="0" collapsed="false">
      <c r="A2675" s="31" t="n">
        <v>42847.375</v>
      </c>
      <c r="B2675" s="32" t="n">
        <v>169.064</v>
      </c>
      <c r="D2675" s="33" t="n">
        <f aca="false">WEEKDAY(A2675,2)</f>
        <v>6</v>
      </c>
      <c r="E2675" s="33" t="n">
        <f aca="false">HOUR(A2675)+MINUTE(A2675)/60</f>
        <v>9</v>
      </c>
      <c r="F2675" s="33" t="n">
        <f aca="false">IF(OR(D2675&gt;5,E2675&lt;8,E2675&gt;=18,COUNTIF($K$2:$K$10,INT(A2675))&gt;0),1,0)</f>
        <v>1</v>
      </c>
      <c r="G2675" s="34" t="n">
        <f aca="false">B2675/1</f>
        <v>169.064</v>
      </c>
      <c r="H2675" s="34" t="n">
        <f aca="false">IF(F2675=1,G2675,"")</f>
        <v>169.064</v>
      </c>
    </row>
    <row r="2676" customFormat="false" ht="15" hidden="false" customHeight="false" outlineLevel="0" collapsed="false">
      <c r="A2676" s="31" t="n">
        <v>42847.4166666667</v>
      </c>
      <c r="B2676" s="32" t="n">
        <v>173.421</v>
      </c>
      <c r="D2676" s="33" t="n">
        <f aca="false">WEEKDAY(A2676,2)</f>
        <v>6</v>
      </c>
      <c r="E2676" s="33" t="n">
        <f aca="false">HOUR(A2676)+MINUTE(A2676)/60</f>
        <v>10</v>
      </c>
      <c r="F2676" s="33" t="n">
        <f aca="false">IF(OR(D2676&gt;5,E2676&lt;8,E2676&gt;=18,COUNTIF($K$2:$K$10,INT(A2676))&gt;0),1,0)</f>
        <v>1</v>
      </c>
      <c r="G2676" s="34" t="n">
        <f aca="false">B2676/1</f>
        <v>173.421</v>
      </c>
      <c r="H2676" s="34" t="n">
        <f aca="false">IF(F2676=1,G2676,"")</f>
        <v>173.421</v>
      </c>
    </row>
    <row r="2677" customFormat="false" ht="15" hidden="false" customHeight="false" outlineLevel="0" collapsed="false">
      <c r="A2677" s="31" t="n">
        <v>42847.4583333333</v>
      </c>
      <c r="B2677" s="32" t="n">
        <v>184.397</v>
      </c>
      <c r="D2677" s="33" t="n">
        <f aca="false">WEEKDAY(A2677,2)</f>
        <v>6</v>
      </c>
      <c r="E2677" s="33" t="n">
        <f aca="false">HOUR(A2677)+MINUTE(A2677)/60</f>
        <v>11</v>
      </c>
      <c r="F2677" s="33" t="n">
        <f aca="false">IF(OR(D2677&gt;5,E2677&lt;8,E2677&gt;=18,COUNTIF($K$2:$K$10,INT(A2677))&gt;0),1,0)</f>
        <v>1</v>
      </c>
      <c r="G2677" s="34" t="n">
        <f aca="false">B2677/1</f>
        <v>184.397</v>
      </c>
      <c r="H2677" s="34" t="n">
        <f aca="false">IF(F2677=1,G2677,"")</f>
        <v>184.397</v>
      </c>
    </row>
    <row r="2678" customFormat="false" ht="15" hidden="false" customHeight="false" outlineLevel="0" collapsed="false">
      <c r="A2678" s="31" t="n">
        <v>42847.5</v>
      </c>
      <c r="B2678" s="32" t="n">
        <v>182.103</v>
      </c>
      <c r="D2678" s="33" t="n">
        <f aca="false">WEEKDAY(A2678,2)</f>
        <v>6</v>
      </c>
      <c r="E2678" s="33" t="n">
        <f aca="false">HOUR(A2678)+MINUTE(A2678)/60</f>
        <v>12</v>
      </c>
      <c r="F2678" s="33" t="n">
        <f aca="false">IF(OR(D2678&gt;5,E2678&lt;8,E2678&gt;=18,COUNTIF($K$2:$K$10,INT(A2678))&gt;0),1,0)</f>
        <v>1</v>
      </c>
      <c r="G2678" s="34" t="n">
        <f aca="false">B2678/1</f>
        <v>182.103</v>
      </c>
      <c r="H2678" s="34" t="n">
        <f aca="false">IF(F2678=1,G2678,"")</f>
        <v>182.103</v>
      </c>
    </row>
    <row r="2679" customFormat="false" ht="15" hidden="false" customHeight="false" outlineLevel="0" collapsed="false">
      <c r="A2679" s="31" t="n">
        <v>42847.5416666667</v>
      </c>
      <c r="B2679" s="32" t="n">
        <v>192.524</v>
      </c>
      <c r="D2679" s="33" t="n">
        <f aca="false">WEEKDAY(A2679,2)</f>
        <v>6</v>
      </c>
      <c r="E2679" s="33" t="n">
        <f aca="false">HOUR(A2679)+MINUTE(A2679)/60</f>
        <v>13</v>
      </c>
      <c r="F2679" s="33" t="n">
        <f aca="false">IF(OR(D2679&gt;5,E2679&lt;8,E2679&gt;=18,COUNTIF($K$2:$K$10,INT(A2679))&gt;0),1,0)</f>
        <v>1</v>
      </c>
      <c r="G2679" s="34" t="n">
        <f aca="false">B2679/1</f>
        <v>192.524</v>
      </c>
      <c r="H2679" s="34" t="n">
        <f aca="false">IF(F2679=1,G2679,"")</f>
        <v>192.524</v>
      </c>
    </row>
    <row r="2680" customFormat="false" ht="15" hidden="false" customHeight="false" outlineLevel="0" collapsed="false">
      <c r="A2680" s="31" t="n">
        <v>42847.5833333333</v>
      </c>
      <c r="B2680" s="32" t="n">
        <v>193.252</v>
      </c>
      <c r="D2680" s="33" t="n">
        <f aca="false">WEEKDAY(A2680,2)</f>
        <v>6</v>
      </c>
      <c r="E2680" s="33" t="n">
        <f aca="false">HOUR(A2680)+MINUTE(A2680)/60</f>
        <v>14</v>
      </c>
      <c r="F2680" s="33" t="n">
        <f aca="false">IF(OR(D2680&gt;5,E2680&lt;8,E2680&gt;=18,COUNTIF($K$2:$K$10,INT(A2680))&gt;0),1,0)</f>
        <v>1</v>
      </c>
      <c r="G2680" s="34" t="n">
        <f aca="false">B2680/1</f>
        <v>193.252</v>
      </c>
      <c r="H2680" s="34" t="n">
        <f aca="false">IF(F2680=1,G2680,"")</f>
        <v>193.252</v>
      </c>
    </row>
    <row r="2681" customFormat="false" ht="15" hidden="false" customHeight="false" outlineLevel="0" collapsed="false">
      <c r="A2681" s="31" t="n">
        <v>42847.625</v>
      </c>
      <c r="B2681" s="32" t="n">
        <v>200.323</v>
      </c>
      <c r="D2681" s="33" t="n">
        <f aca="false">WEEKDAY(A2681,2)</f>
        <v>6</v>
      </c>
      <c r="E2681" s="33" t="n">
        <f aca="false">HOUR(A2681)+MINUTE(A2681)/60</f>
        <v>15</v>
      </c>
      <c r="F2681" s="33" t="n">
        <f aca="false">IF(OR(D2681&gt;5,E2681&lt;8,E2681&gt;=18,COUNTIF($K$2:$K$10,INT(A2681))&gt;0),1,0)</f>
        <v>1</v>
      </c>
      <c r="G2681" s="34" t="n">
        <f aca="false">B2681/1</f>
        <v>200.323</v>
      </c>
      <c r="H2681" s="34" t="n">
        <f aca="false">IF(F2681=1,G2681,"")</f>
        <v>200.323</v>
      </c>
    </row>
    <row r="2682" customFormat="false" ht="15" hidden="false" customHeight="false" outlineLevel="0" collapsed="false">
      <c r="A2682" s="31" t="n">
        <v>42847.6666666667</v>
      </c>
      <c r="B2682" s="32" t="n">
        <v>202.221</v>
      </c>
      <c r="D2682" s="33" t="n">
        <f aca="false">WEEKDAY(A2682,2)</f>
        <v>6</v>
      </c>
      <c r="E2682" s="33" t="n">
        <f aca="false">HOUR(A2682)+MINUTE(A2682)/60</f>
        <v>16</v>
      </c>
      <c r="F2682" s="33" t="n">
        <f aca="false">IF(OR(D2682&gt;5,E2682&lt;8,E2682&gt;=18,COUNTIF($K$2:$K$10,INT(A2682))&gt;0),1,0)</f>
        <v>1</v>
      </c>
      <c r="G2682" s="34" t="n">
        <f aca="false">B2682/1</f>
        <v>202.221</v>
      </c>
      <c r="H2682" s="34" t="n">
        <f aca="false">IF(F2682=1,G2682,"")</f>
        <v>202.221</v>
      </c>
    </row>
    <row r="2683" customFormat="false" ht="15" hidden="false" customHeight="false" outlineLevel="0" collapsed="false">
      <c r="A2683" s="31" t="n">
        <v>42847.7083333333</v>
      </c>
      <c r="B2683" s="32" t="n">
        <v>187.536</v>
      </c>
      <c r="D2683" s="33" t="n">
        <f aca="false">WEEKDAY(A2683,2)</f>
        <v>6</v>
      </c>
      <c r="E2683" s="33" t="n">
        <f aca="false">HOUR(A2683)+MINUTE(A2683)/60</f>
        <v>17</v>
      </c>
      <c r="F2683" s="33" t="n">
        <f aca="false">IF(OR(D2683&gt;5,E2683&lt;8,E2683&gt;=18,COUNTIF($K$2:$K$10,INT(A2683))&gt;0),1,0)</f>
        <v>1</v>
      </c>
      <c r="G2683" s="34" t="n">
        <f aca="false">B2683/1</f>
        <v>187.536</v>
      </c>
      <c r="H2683" s="34" t="n">
        <f aca="false">IF(F2683=1,G2683,"")</f>
        <v>187.536</v>
      </c>
    </row>
    <row r="2684" customFormat="false" ht="15" hidden="false" customHeight="false" outlineLevel="0" collapsed="false">
      <c r="A2684" s="31" t="n">
        <v>42847.75</v>
      </c>
      <c r="B2684" s="32" t="n">
        <v>82.395</v>
      </c>
      <c r="D2684" s="33" t="n">
        <f aca="false">WEEKDAY(A2684,2)</f>
        <v>6</v>
      </c>
      <c r="E2684" s="33" t="n">
        <f aca="false">HOUR(A2684)+MINUTE(A2684)/60</f>
        <v>18</v>
      </c>
      <c r="F2684" s="33" t="n">
        <f aca="false">IF(OR(D2684&gt;5,E2684&lt;8,E2684&gt;=18,COUNTIF($K$2:$K$10,INT(A2684))&gt;0),1,0)</f>
        <v>1</v>
      </c>
      <c r="G2684" s="34" t="n">
        <f aca="false">B2684/1</f>
        <v>82.395</v>
      </c>
      <c r="H2684" s="34" t="n">
        <f aca="false">IF(F2684=1,G2684,"")</f>
        <v>82.395</v>
      </c>
    </row>
    <row r="2685" customFormat="false" ht="15" hidden="false" customHeight="false" outlineLevel="0" collapsed="false">
      <c r="A2685" s="31" t="n">
        <v>42847.7916666667</v>
      </c>
      <c r="B2685" s="32" t="n">
        <v>65.814</v>
      </c>
      <c r="D2685" s="33" t="n">
        <f aca="false">WEEKDAY(A2685,2)</f>
        <v>6</v>
      </c>
      <c r="E2685" s="33" t="n">
        <f aca="false">HOUR(A2685)+MINUTE(A2685)/60</f>
        <v>19</v>
      </c>
      <c r="F2685" s="33" t="n">
        <f aca="false">IF(OR(D2685&gt;5,E2685&lt;8,E2685&gt;=18,COUNTIF($K$2:$K$10,INT(A2685))&gt;0),1,0)</f>
        <v>1</v>
      </c>
      <c r="G2685" s="34" t="n">
        <f aca="false">B2685/1</f>
        <v>65.814</v>
      </c>
      <c r="H2685" s="34" t="n">
        <f aca="false">IF(F2685=1,G2685,"")</f>
        <v>65.814</v>
      </c>
    </row>
    <row r="2686" customFormat="false" ht="15" hidden="false" customHeight="false" outlineLevel="0" collapsed="false">
      <c r="A2686" s="31" t="n">
        <v>42847.8333333333</v>
      </c>
      <c r="B2686" s="32" t="n">
        <v>63.745</v>
      </c>
      <c r="D2686" s="33" t="n">
        <f aca="false">WEEKDAY(A2686,2)</f>
        <v>6</v>
      </c>
      <c r="E2686" s="33" t="n">
        <f aca="false">HOUR(A2686)+MINUTE(A2686)/60</f>
        <v>20</v>
      </c>
      <c r="F2686" s="33" t="n">
        <f aca="false">IF(OR(D2686&gt;5,E2686&lt;8,E2686&gt;=18,COUNTIF($K$2:$K$10,INT(A2686))&gt;0),1,0)</f>
        <v>1</v>
      </c>
      <c r="G2686" s="34" t="n">
        <f aca="false">B2686/1</f>
        <v>63.745</v>
      </c>
      <c r="H2686" s="34" t="n">
        <f aca="false">IF(F2686=1,G2686,"")</f>
        <v>63.745</v>
      </c>
    </row>
    <row r="2687" customFormat="false" ht="15" hidden="false" customHeight="false" outlineLevel="0" collapsed="false">
      <c r="A2687" s="31" t="n">
        <v>42847.875</v>
      </c>
      <c r="B2687" s="32" t="n">
        <v>65.772</v>
      </c>
      <c r="D2687" s="33" t="n">
        <f aca="false">WEEKDAY(A2687,2)</f>
        <v>6</v>
      </c>
      <c r="E2687" s="33" t="n">
        <f aca="false">HOUR(A2687)+MINUTE(A2687)/60</f>
        <v>21</v>
      </c>
      <c r="F2687" s="33" t="n">
        <f aca="false">IF(OR(D2687&gt;5,E2687&lt;8,E2687&gt;=18,COUNTIF($K$2:$K$10,INT(A2687))&gt;0),1,0)</f>
        <v>1</v>
      </c>
      <c r="G2687" s="34" t="n">
        <f aca="false">B2687/1</f>
        <v>65.772</v>
      </c>
      <c r="H2687" s="34" t="n">
        <f aca="false">IF(F2687=1,G2687,"")</f>
        <v>65.772</v>
      </c>
    </row>
    <row r="2688" customFormat="false" ht="15" hidden="false" customHeight="false" outlineLevel="0" collapsed="false">
      <c r="A2688" s="31" t="n">
        <v>42847.9166666667</v>
      </c>
      <c r="B2688" s="32" t="n">
        <v>64.351</v>
      </c>
      <c r="D2688" s="33" t="n">
        <f aca="false">WEEKDAY(A2688,2)</f>
        <v>6</v>
      </c>
      <c r="E2688" s="33" t="n">
        <f aca="false">HOUR(A2688)+MINUTE(A2688)/60</f>
        <v>22</v>
      </c>
      <c r="F2688" s="33" t="n">
        <f aca="false">IF(OR(D2688&gt;5,E2688&lt;8,E2688&gt;=18,COUNTIF($K$2:$K$10,INT(A2688))&gt;0),1,0)</f>
        <v>1</v>
      </c>
      <c r="G2688" s="34" t="n">
        <f aca="false">B2688/1</f>
        <v>64.351</v>
      </c>
      <c r="H2688" s="34" t="n">
        <f aca="false">IF(F2688=1,G2688,"")</f>
        <v>64.351</v>
      </c>
    </row>
    <row r="2689" customFormat="false" ht="15" hidden="false" customHeight="false" outlineLevel="0" collapsed="false">
      <c r="A2689" s="31" t="n">
        <v>42847.9583333333</v>
      </c>
      <c r="B2689" s="32" t="n">
        <v>66.956</v>
      </c>
      <c r="D2689" s="33" t="n">
        <f aca="false">WEEKDAY(A2689,2)</f>
        <v>6</v>
      </c>
      <c r="E2689" s="33" t="n">
        <f aca="false">HOUR(A2689)+MINUTE(A2689)/60</f>
        <v>23</v>
      </c>
      <c r="F2689" s="33" t="n">
        <f aca="false">IF(OR(D2689&gt;5,E2689&lt;8,E2689&gt;=18,COUNTIF($K$2:$K$10,INT(A2689))&gt;0),1,0)</f>
        <v>1</v>
      </c>
      <c r="G2689" s="34" t="n">
        <f aca="false">B2689/1</f>
        <v>66.956</v>
      </c>
      <c r="H2689" s="34" t="n">
        <f aca="false">IF(F2689=1,G2689,"")</f>
        <v>66.956</v>
      </c>
    </row>
    <row r="2690" customFormat="false" ht="15" hidden="false" customHeight="false" outlineLevel="0" collapsed="false">
      <c r="A2690" s="31" t="n">
        <v>42848</v>
      </c>
      <c r="B2690" s="32" t="n">
        <v>62.374</v>
      </c>
      <c r="D2690" s="33" t="n">
        <f aca="false">WEEKDAY(A2690,2)</f>
        <v>7</v>
      </c>
      <c r="E2690" s="33" t="n">
        <f aca="false">HOUR(A2690)+MINUTE(A2690)/60</f>
        <v>0</v>
      </c>
      <c r="F2690" s="33" t="n">
        <f aca="false">IF(OR(D2690&gt;5,E2690&lt;8,E2690&gt;=18,COUNTIF($K$2:$K$10,INT(A2690))&gt;0),1,0)</f>
        <v>1</v>
      </c>
      <c r="G2690" s="34" t="n">
        <f aca="false">B2690/1</f>
        <v>62.374</v>
      </c>
      <c r="H2690" s="34" t="n">
        <f aca="false">IF(F2690=1,G2690,"")</f>
        <v>62.374</v>
      </c>
    </row>
    <row r="2691" customFormat="false" ht="15" hidden="false" customHeight="false" outlineLevel="0" collapsed="false">
      <c r="A2691" s="31" t="n">
        <v>42848.0416666667</v>
      </c>
      <c r="B2691" s="32" t="n">
        <v>58.955</v>
      </c>
      <c r="D2691" s="33" t="n">
        <f aca="false">WEEKDAY(A2691,2)</f>
        <v>7</v>
      </c>
      <c r="E2691" s="33" t="n">
        <f aca="false">HOUR(A2691)+MINUTE(A2691)/60</f>
        <v>1</v>
      </c>
      <c r="F2691" s="33" t="n">
        <f aca="false">IF(OR(D2691&gt;5,E2691&lt;8,E2691&gt;=18,COUNTIF($K$2:$K$10,INT(A2691))&gt;0),1,0)</f>
        <v>1</v>
      </c>
      <c r="G2691" s="34" t="n">
        <f aca="false">B2691/1</f>
        <v>58.955</v>
      </c>
      <c r="H2691" s="34" t="n">
        <f aca="false">IF(F2691=1,G2691,"")</f>
        <v>58.955</v>
      </c>
    </row>
    <row r="2692" customFormat="false" ht="15" hidden="false" customHeight="false" outlineLevel="0" collapsed="false">
      <c r="A2692" s="31" t="n">
        <v>42848.0833333333</v>
      </c>
      <c r="B2692" s="32" t="n">
        <v>60.126</v>
      </c>
      <c r="D2692" s="33" t="n">
        <f aca="false">WEEKDAY(A2692,2)</f>
        <v>7</v>
      </c>
      <c r="E2692" s="33" t="n">
        <f aca="false">HOUR(A2692)+MINUTE(A2692)/60</f>
        <v>2</v>
      </c>
      <c r="F2692" s="33" t="n">
        <f aca="false">IF(OR(D2692&gt;5,E2692&lt;8,E2692&gt;=18,COUNTIF($K$2:$K$10,INT(A2692))&gt;0),1,0)</f>
        <v>1</v>
      </c>
      <c r="G2692" s="34" t="n">
        <f aca="false">B2692/1</f>
        <v>60.126</v>
      </c>
      <c r="H2692" s="34" t="n">
        <f aca="false">IF(F2692=1,G2692,"")</f>
        <v>60.126</v>
      </c>
    </row>
    <row r="2693" customFormat="false" ht="15" hidden="false" customHeight="false" outlineLevel="0" collapsed="false">
      <c r="A2693" s="31" t="n">
        <v>42848.125</v>
      </c>
      <c r="B2693" s="32" t="n">
        <v>62.923</v>
      </c>
      <c r="D2693" s="33" t="n">
        <f aca="false">WEEKDAY(A2693,2)</f>
        <v>7</v>
      </c>
      <c r="E2693" s="33" t="n">
        <f aca="false">HOUR(A2693)+MINUTE(A2693)/60</f>
        <v>3</v>
      </c>
      <c r="F2693" s="33" t="n">
        <f aca="false">IF(OR(D2693&gt;5,E2693&lt;8,E2693&gt;=18,COUNTIF($K$2:$K$10,INT(A2693))&gt;0),1,0)</f>
        <v>1</v>
      </c>
      <c r="G2693" s="34" t="n">
        <f aca="false">B2693/1</f>
        <v>62.923</v>
      </c>
      <c r="H2693" s="34" t="n">
        <f aca="false">IF(F2693=1,G2693,"")</f>
        <v>62.923</v>
      </c>
    </row>
    <row r="2694" customFormat="false" ht="15" hidden="false" customHeight="false" outlineLevel="0" collapsed="false">
      <c r="A2694" s="31" t="n">
        <v>42848.1666666667</v>
      </c>
      <c r="B2694" s="32" t="n">
        <v>62.538</v>
      </c>
      <c r="D2694" s="33" t="n">
        <f aca="false">WEEKDAY(A2694,2)</f>
        <v>7</v>
      </c>
      <c r="E2694" s="33" t="n">
        <f aca="false">HOUR(A2694)+MINUTE(A2694)/60</f>
        <v>4</v>
      </c>
      <c r="F2694" s="33" t="n">
        <f aca="false">IF(OR(D2694&gt;5,E2694&lt;8,E2694&gt;=18,COUNTIF($K$2:$K$10,INT(A2694))&gt;0),1,0)</f>
        <v>1</v>
      </c>
      <c r="G2694" s="34" t="n">
        <f aca="false">B2694/1</f>
        <v>62.538</v>
      </c>
      <c r="H2694" s="34" t="n">
        <f aca="false">IF(F2694=1,G2694,"")</f>
        <v>62.538</v>
      </c>
    </row>
    <row r="2695" customFormat="false" ht="15" hidden="false" customHeight="false" outlineLevel="0" collapsed="false">
      <c r="A2695" s="31" t="n">
        <v>42848.2083333333</v>
      </c>
      <c r="B2695" s="32" t="n">
        <v>60.396</v>
      </c>
      <c r="D2695" s="33" t="n">
        <f aca="false">WEEKDAY(A2695,2)</f>
        <v>7</v>
      </c>
      <c r="E2695" s="33" t="n">
        <f aca="false">HOUR(A2695)+MINUTE(A2695)/60</f>
        <v>5</v>
      </c>
      <c r="F2695" s="33" t="n">
        <f aca="false">IF(OR(D2695&gt;5,E2695&lt;8,E2695&gt;=18,COUNTIF($K$2:$K$10,INT(A2695))&gt;0),1,0)</f>
        <v>1</v>
      </c>
      <c r="G2695" s="34" t="n">
        <f aca="false">B2695/1</f>
        <v>60.396</v>
      </c>
      <c r="H2695" s="34" t="n">
        <f aca="false">IF(F2695=1,G2695,"")</f>
        <v>60.396</v>
      </c>
    </row>
    <row r="2696" customFormat="false" ht="15" hidden="false" customHeight="false" outlineLevel="0" collapsed="false">
      <c r="A2696" s="31" t="n">
        <v>42848.25</v>
      </c>
      <c r="B2696" s="32" t="n">
        <v>64.113</v>
      </c>
      <c r="D2696" s="33" t="n">
        <f aca="false">WEEKDAY(A2696,2)</f>
        <v>7</v>
      </c>
      <c r="E2696" s="33" t="n">
        <f aca="false">HOUR(A2696)+MINUTE(A2696)/60</f>
        <v>6</v>
      </c>
      <c r="F2696" s="33" t="n">
        <f aca="false">IF(OR(D2696&gt;5,E2696&lt;8,E2696&gt;=18,COUNTIF($K$2:$K$10,INT(A2696))&gt;0),1,0)</f>
        <v>1</v>
      </c>
      <c r="G2696" s="34" t="n">
        <f aca="false">B2696/1</f>
        <v>64.113</v>
      </c>
      <c r="H2696" s="34" t="n">
        <f aca="false">IF(F2696=1,G2696,"")</f>
        <v>64.113</v>
      </c>
    </row>
    <row r="2697" customFormat="false" ht="15" hidden="false" customHeight="false" outlineLevel="0" collapsed="false">
      <c r="A2697" s="31" t="n">
        <v>42848.2916666667</v>
      </c>
      <c r="B2697" s="32" t="n">
        <v>61.63</v>
      </c>
      <c r="D2697" s="33" t="n">
        <f aca="false">WEEKDAY(A2697,2)</f>
        <v>7</v>
      </c>
      <c r="E2697" s="33" t="n">
        <f aca="false">HOUR(A2697)+MINUTE(A2697)/60</f>
        <v>7</v>
      </c>
      <c r="F2697" s="33" t="n">
        <f aca="false">IF(OR(D2697&gt;5,E2697&lt;8,E2697&gt;=18,COUNTIF($K$2:$K$10,INT(A2697))&gt;0),1,0)</f>
        <v>1</v>
      </c>
      <c r="G2697" s="34" t="n">
        <f aca="false">B2697/1</f>
        <v>61.63</v>
      </c>
      <c r="H2697" s="34" t="n">
        <f aca="false">IF(F2697=1,G2697,"")</f>
        <v>61.63</v>
      </c>
    </row>
    <row r="2698" customFormat="false" ht="15" hidden="false" customHeight="false" outlineLevel="0" collapsed="false">
      <c r="A2698" s="31" t="n">
        <v>42848.3333333333</v>
      </c>
      <c r="B2698" s="32" t="n">
        <v>59.687</v>
      </c>
      <c r="D2698" s="33" t="n">
        <f aca="false">WEEKDAY(A2698,2)</f>
        <v>7</v>
      </c>
      <c r="E2698" s="33" t="n">
        <f aca="false">HOUR(A2698)+MINUTE(A2698)/60</f>
        <v>8</v>
      </c>
      <c r="F2698" s="33" t="n">
        <f aca="false">IF(OR(D2698&gt;5,E2698&lt;8,E2698&gt;=18,COUNTIF($K$2:$K$10,INT(A2698))&gt;0),1,0)</f>
        <v>1</v>
      </c>
      <c r="G2698" s="34" t="n">
        <f aca="false">B2698/1</f>
        <v>59.687</v>
      </c>
      <c r="H2698" s="34" t="n">
        <f aca="false">IF(F2698=1,G2698,"")</f>
        <v>59.687</v>
      </c>
    </row>
    <row r="2699" customFormat="false" ht="15" hidden="false" customHeight="false" outlineLevel="0" collapsed="false">
      <c r="A2699" s="31" t="n">
        <v>42848.375</v>
      </c>
      <c r="B2699" s="32" t="n">
        <v>62.24</v>
      </c>
      <c r="D2699" s="33" t="n">
        <f aca="false">WEEKDAY(A2699,2)</f>
        <v>7</v>
      </c>
      <c r="E2699" s="33" t="n">
        <f aca="false">HOUR(A2699)+MINUTE(A2699)/60</f>
        <v>9</v>
      </c>
      <c r="F2699" s="33" t="n">
        <f aca="false">IF(OR(D2699&gt;5,E2699&lt;8,E2699&gt;=18,COUNTIF($K$2:$K$10,INT(A2699))&gt;0),1,0)</f>
        <v>1</v>
      </c>
      <c r="G2699" s="34" t="n">
        <f aca="false">B2699/1</f>
        <v>62.24</v>
      </c>
      <c r="H2699" s="34" t="n">
        <f aca="false">IF(F2699=1,G2699,"")</f>
        <v>62.24</v>
      </c>
    </row>
    <row r="2700" customFormat="false" ht="15" hidden="false" customHeight="false" outlineLevel="0" collapsed="false">
      <c r="A2700" s="31" t="n">
        <v>42848.4166666667</v>
      </c>
      <c r="B2700" s="32" t="n">
        <v>59.797</v>
      </c>
      <c r="D2700" s="33" t="n">
        <f aca="false">WEEKDAY(A2700,2)</f>
        <v>7</v>
      </c>
      <c r="E2700" s="33" t="n">
        <f aca="false">HOUR(A2700)+MINUTE(A2700)/60</f>
        <v>10</v>
      </c>
      <c r="F2700" s="33" t="n">
        <f aca="false">IF(OR(D2700&gt;5,E2700&lt;8,E2700&gt;=18,COUNTIF($K$2:$K$10,INT(A2700))&gt;0),1,0)</f>
        <v>1</v>
      </c>
      <c r="G2700" s="34" t="n">
        <f aca="false">B2700/1</f>
        <v>59.797</v>
      </c>
      <c r="H2700" s="34" t="n">
        <f aca="false">IF(F2700=1,G2700,"")</f>
        <v>59.797</v>
      </c>
    </row>
    <row r="2701" customFormat="false" ht="15" hidden="false" customHeight="false" outlineLevel="0" collapsed="false">
      <c r="A2701" s="31" t="n">
        <v>42848.4583333333</v>
      </c>
      <c r="B2701" s="32" t="n">
        <v>61.008</v>
      </c>
      <c r="D2701" s="33" t="n">
        <f aca="false">WEEKDAY(A2701,2)</f>
        <v>7</v>
      </c>
      <c r="E2701" s="33" t="n">
        <f aca="false">HOUR(A2701)+MINUTE(A2701)/60</f>
        <v>11</v>
      </c>
      <c r="F2701" s="33" t="n">
        <f aca="false">IF(OR(D2701&gt;5,E2701&lt;8,E2701&gt;=18,COUNTIF($K$2:$K$10,INT(A2701))&gt;0),1,0)</f>
        <v>1</v>
      </c>
      <c r="G2701" s="34" t="n">
        <f aca="false">B2701/1</f>
        <v>61.008</v>
      </c>
      <c r="H2701" s="34" t="n">
        <f aca="false">IF(F2701=1,G2701,"")</f>
        <v>61.008</v>
      </c>
    </row>
    <row r="2702" customFormat="false" ht="15" hidden="false" customHeight="false" outlineLevel="0" collapsed="false">
      <c r="A2702" s="31" t="n">
        <v>42848.5</v>
      </c>
      <c r="B2702" s="32" t="n">
        <v>56.85</v>
      </c>
      <c r="D2702" s="33" t="n">
        <f aca="false">WEEKDAY(A2702,2)</f>
        <v>7</v>
      </c>
      <c r="E2702" s="33" t="n">
        <f aca="false">HOUR(A2702)+MINUTE(A2702)/60</f>
        <v>12</v>
      </c>
      <c r="F2702" s="33" t="n">
        <f aca="false">IF(OR(D2702&gt;5,E2702&lt;8,E2702&gt;=18,COUNTIF($K$2:$K$10,INT(A2702))&gt;0),1,0)</f>
        <v>1</v>
      </c>
      <c r="G2702" s="34" t="n">
        <f aca="false">B2702/1</f>
        <v>56.85</v>
      </c>
      <c r="H2702" s="34" t="n">
        <f aca="false">IF(F2702=1,G2702,"")</f>
        <v>56.85</v>
      </c>
    </row>
    <row r="2703" customFormat="false" ht="15" hidden="false" customHeight="false" outlineLevel="0" collapsed="false">
      <c r="A2703" s="31" t="n">
        <v>42848.5416666667</v>
      </c>
      <c r="B2703" s="32" t="n">
        <v>124.951</v>
      </c>
      <c r="D2703" s="33" t="n">
        <f aca="false">WEEKDAY(A2703,2)</f>
        <v>7</v>
      </c>
      <c r="E2703" s="33" t="n">
        <f aca="false">HOUR(A2703)+MINUTE(A2703)/60</f>
        <v>13</v>
      </c>
      <c r="F2703" s="33" t="n">
        <f aca="false">IF(OR(D2703&gt;5,E2703&lt;8,E2703&gt;=18,COUNTIF($K$2:$K$10,INT(A2703))&gt;0),1,0)</f>
        <v>1</v>
      </c>
      <c r="G2703" s="34" t="n">
        <f aca="false">B2703/1</f>
        <v>124.951</v>
      </c>
      <c r="H2703" s="34" t="n">
        <f aca="false">IF(F2703=1,G2703,"")</f>
        <v>124.951</v>
      </c>
    </row>
    <row r="2704" customFormat="false" ht="15" hidden="false" customHeight="false" outlineLevel="0" collapsed="false">
      <c r="A2704" s="31" t="n">
        <v>42848.5833333333</v>
      </c>
      <c r="B2704" s="32" t="n">
        <v>160.553</v>
      </c>
      <c r="D2704" s="33" t="n">
        <f aca="false">WEEKDAY(A2704,2)</f>
        <v>7</v>
      </c>
      <c r="E2704" s="33" t="n">
        <f aca="false">HOUR(A2704)+MINUTE(A2704)/60</f>
        <v>14</v>
      </c>
      <c r="F2704" s="33" t="n">
        <f aca="false">IF(OR(D2704&gt;5,E2704&lt;8,E2704&gt;=18,COUNTIF($K$2:$K$10,INT(A2704))&gt;0),1,0)</f>
        <v>1</v>
      </c>
      <c r="G2704" s="34" t="n">
        <f aca="false">B2704/1</f>
        <v>160.553</v>
      </c>
      <c r="H2704" s="34" t="n">
        <f aca="false">IF(F2704=1,G2704,"")</f>
        <v>160.553</v>
      </c>
    </row>
    <row r="2705" customFormat="false" ht="15" hidden="false" customHeight="false" outlineLevel="0" collapsed="false">
      <c r="A2705" s="31" t="n">
        <v>42848.625</v>
      </c>
      <c r="B2705" s="32" t="n">
        <v>168.528</v>
      </c>
      <c r="D2705" s="33" t="n">
        <f aca="false">WEEKDAY(A2705,2)</f>
        <v>7</v>
      </c>
      <c r="E2705" s="33" t="n">
        <f aca="false">HOUR(A2705)+MINUTE(A2705)/60</f>
        <v>15</v>
      </c>
      <c r="F2705" s="33" t="n">
        <f aca="false">IF(OR(D2705&gt;5,E2705&lt;8,E2705&gt;=18,COUNTIF($K$2:$K$10,INT(A2705))&gt;0),1,0)</f>
        <v>1</v>
      </c>
      <c r="G2705" s="34" t="n">
        <f aca="false">B2705/1</f>
        <v>168.528</v>
      </c>
      <c r="H2705" s="34" t="n">
        <f aca="false">IF(F2705=1,G2705,"")</f>
        <v>168.528</v>
      </c>
    </row>
    <row r="2706" customFormat="false" ht="15" hidden="false" customHeight="false" outlineLevel="0" collapsed="false">
      <c r="A2706" s="31" t="n">
        <v>42848.6666666667</v>
      </c>
      <c r="B2706" s="32" t="n">
        <v>170.826</v>
      </c>
      <c r="D2706" s="33" t="n">
        <f aca="false">WEEKDAY(A2706,2)</f>
        <v>7</v>
      </c>
      <c r="E2706" s="33" t="n">
        <f aca="false">HOUR(A2706)+MINUTE(A2706)/60</f>
        <v>16</v>
      </c>
      <c r="F2706" s="33" t="n">
        <f aca="false">IF(OR(D2706&gt;5,E2706&lt;8,E2706&gt;=18,COUNTIF($K$2:$K$10,INT(A2706))&gt;0),1,0)</f>
        <v>1</v>
      </c>
      <c r="G2706" s="34" t="n">
        <f aca="false">B2706/1</f>
        <v>170.826</v>
      </c>
      <c r="H2706" s="34" t="n">
        <f aca="false">IF(F2706=1,G2706,"")</f>
        <v>170.826</v>
      </c>
    </row>
    <row r="2707" customFormat="false" ht="15" hidden="false" customHeight="false" outlineLevel="0" collapsed="false">
      <c r="A2707" s="31" t="n">
        <v>42848.7083333333</v>
      </c>
      <c r="B2707" s="32" t="n">
        <v>168.398</v>
      </c>
      <c r="D2707" s="33" t="n">
        <f aca="false">WEEKDAY(A2707,2)</f>
        <v>7</v>
      </c>
      <c r="E2707" s="33" t="n">
        <f aca="false">HOUR(A2707)+MINUTE(A2707)/60</f>
        <v>17</v>
      </c>
      <c r="F2707" s="33" t="n">
        <f aca="false">IF(OR(D2707&gt;5,E2707&lt;8,E2707&gt;=18,COUNTIF($K$2:$K$10,INT(A2707))&gt;0),1,0)</f>
        <v>1</v>
      </c>
      <c r="G2707" s="34" t="n">
        <f aca="false">B2707/1</f>
        <v>168.398</v>
      </c>
      <c r="H2707" s="34" t="n">
        <f aca="false">IF(F2707=1,G2707,"")</f>
        <v>168.398</v>
      </c>
    </row>
    <row r="2708" customFormat="false" ht="15" hidden="false" customHeight="false" outlineLevel="0" collapsed="false">
      <c r="A2708" s="31" t="n">
        <v>42848.75</v>
      </c>
      <c r="B2708" s="32" t="n">
        <v>75.353</v>
      </c>
      <c r="D2708" s="33" t="n">
        <f aca="false">WEEKDAY(A2708,2)</f>
        <v>7</v>
      </c>
      <c r="E2708" s="33" t="n">
        <f aca="false">HOUR(A2708)+MINUTE(A2708)/60</f>
        <v>18</v>
      </c>
      <c r="F2708" s="33" t="n">
        <f aca="false">IF(OR(D2708&gt;5,E2708&lt;8,E2708&gt;=18,COUNTIF($K$2:$K$10,INT(A2708))&gt;0),1,0)</f>
        <v>1</v>
      </c>
      <c r="G2708" s="34" t="n">
        <f aca="false">B2708/1</f>
        <v>75.353</v>
      </c>
      <c r="H2708" s="34" t="n">
        <f aca="false">IF(F2708=1,G2708,"")</f>
        <v>75.353</v>
      </c>
    </row>
    <row r="2709" customFormat="false" ht="15" hidden="false" customHeight="false" outlineLevel="0" collapsed="false">
      <c r="A2709" s="31" t="n">
        <v>42848.7916666667</v>
      </c>
      <c r="B2709" s="32" t="n">
        <v>64.746</v>
      </c>
      <c r="D2709" s="33" t="n">
        <f aca="false">WEEKDAY(A2709,2)</f>
        <v>7</v>
      </c>
      <c r="E2709" s="33" t="n">
        <f aca="false">HOUR(A2709)+MINUTE(A2709)/60</f>
        <v>19</v>
      </c>
      <c r="F2709" s="33" t="n">
        <f aca="false">IF(OR(D2709&gt;5,E2709&lt;8,E2709&gt;=18,COUNTIF($K$2:$K$10,INT(A2709))&gt;0),1,0)</f>
        <v>1</v>
      </c>
      <c r="G2709" s="34" t="n">
        <f aca="false">B2709/1</f>
        <v>64.746</v>
      </c>
      <c r="H2709" s="34" t="n">
        <f aca="false">IF(F2709=1,G2709,"")</f>
        <v>64.746</v>
      </c>
    </row>
    <row r="2710" customFormat="false" ht="15" hidden="false" customHeight="false" outlineLevel="0" collapsed="false">
      <c r="A2710" s="31" t="n">
        <v>42848.8333333333</v>
      </c>
      <c r="B2710" s="32" t="n">
        <v>62.48</v>
      </c>
      <c r="D2710" s="33" t="n">
        <f aca="false">WEEKDAY(A2710,2)</f>
        <v>7</v>
      </c>
      <c r="E2710" s="33" t="n">
        <f aca="false">HOUR(A2710)+MINUTE(A2710)/60</f>
        <v>20</v>
      </c>
      <c r="F2710" s="33" t="n">
        <f aca="false">IF(OR(D2710&gt;5,E2710&lt;8,E2710&gt;=18,COUNTIF($K$2:$K$10,INT(A2710))&gt;0),1,0)</f>
        <v>1</v>
      </c>
      <c r="G2710" s="34" t="n">
        <f aca="false">B2710/1</f>
        <v>62.48</v>
      </c>
      <c r="H2710" s="34" t="n">
        <f aca="false">IF(F2710=1,G2710,"")</f>
        <v>62.48</v>
      </c>
    </row>
    <row r="2711" customFormat="false" ht="15" hidden="false" customHeight="false" outlineLevel="0" collapsed="false">
      <c r="A2711" s="31" t="n">
        <v>42848.875</v>
      </c>
      <c r="B2711" s="32" t="n">
        <v>67.449</v>
      </c>
      <c r="D2711" s="33" t="n">
        <f aca="false">WEEKDAY(A2711,2)</f>
        <v>7</v>
      </c>
      <c r="E2711" s="33" t="n">
        <f aca="false">HOUR(A2711)+MINUTE(A2711)/60</f>
        <v>21</v>
      </c>
      <c r="F2711" s="33" t="n">
        <f aca="false">IF(OR(D2711&gt;5,E2711&lt;8,E2711&gt;=18,COUNTIF($K$2:$K$10,INT(A2711))&gt;0),1,0)</f>
        <v>1</v>
      </c>
      <c r="G2711" s="34" t="n">
        <f aca="false">B2711/1</f>
        <v>67.449</v>
      </c>
      <c r="H2711" s="34" t="n">
        <f aca="false">IF(F2711=1,G2711,"")</f>
        <v>67.449</v>
      </c>
    </row>
    <row r="2712" customFormat="false" ht="15" hidden="false" customHeight="false" outlineLevel="0" collapsed="false">
      <c r="A2712" s="31" t="n">
        <v>42848.9166666667</v>
      </c>
      <c r="B2712" s="32" t="n">
        <v>65.965</v>
      </c>
      <c r="D2712" s="33" t="n">
        <f aca="false">WEEKDAY(A2712,2)</f>
        <v>7</v>
      </c>
      <c r="E2712" s="33" t="n">
        <f aca="false">HOUR(A2712)+MINUTE(A2712)/60</f>
        <v>22</v>
      </c>
      <c r="F2712" s="33" t="n">
        <f aca="false">IF(OR(D2712&gt;5,E2712&lt;8,E2712&gt;=18,COUNTIF($K$2:$K$10,INT(A2712))&gt;0),1,0)</f>
        <v>1</v>
      </c>
      <c r="G2712" s="34" t="n">
        <f aca="false">B2712/1</f>
        <v>65.965</v>
      </c>
      <c r="H2712" s="34" t="n">
        <f aca="false">IF(F2712=1,G2712,"")</f>
        <v>65.965</v>
      </c>
    </row>
    <row r="2713" customFormat="false" ht="15" hidden="false" customHeight="false" outlineLevel="0" collapsed="false">
      <c r="A2713" s="31" t="n">
        <v>42848.9583333333</v>
      </c>
      <c r="B2713" s="32" t="n">
        <v>67.997</v>
      </c>
      <c r="D2713" s="33" t="n">
        <f aca="false">WEEKDAY(A2713,2)</f>
        <v>7</v>
      </c>
      <c r="E2713" s="33" t="n">
        <f aca="false">HOUR(A2713)+MINUTE(A2713)/60</f>
        <v>23</v>
      </c>
      <c r="F2713" s="33" t="n">
        <f aca="false">IF(OR(D2713&gt;5,E2713&lt;8,E2713&gt;=18,COUNTIF($K$2:$K$10,INT(A2713))&gt;0),1,0)</f>
        <v>1</v>
      </c>
      <c r="G2713" s="34" t="n">
        <f aca="false">B2713/1</f>
        <v>67.997</v>
      </c>
      <c r="H2713" s="34" t="n">
        <f aca="false">IF(F2713=1,G2713,"")</f>
        <v>67.997</v>
      </c>
    </row>
    <row r="2714" customFormat="false" ht="15" hidden="false" customHeight="false" outlineLevel="0" collapsed="false">
      <c r="A2714" s="31" t="n">
        <v>42849</v>
      </c>
      <c r="B2714" s="32" t="n">
        <v>67.663</v>
      </c>
      <c r="D2714" s="33" t="n">
        <f aca="false">WEEKDAY(A2714,2)</f>
        <v>1</v>
      </c>
      <c r="E2714" s="33" t="n">
        <f aca="false">HOUR(A2714)+MINUTE(A2714)/60</f>
        <v>0</v>
      </c>
      <c r="F2714" s="33" t="n">
        <f aca="false">IF(OR(D2714&gt;5,E2714&lt;8,E2714&gt;=18,COUNTIF($K$2:$K$10,INT(A2714))&gt;0),1,0)</f>
        <v>1</v>
      </c>
      <c r="G2714" s="34" t="n">
        <f aca="false">B2714/1</f>
        <v>67.663</v>
      </c>
      <c r="H2714" s="34" t="n">
        <f aca="false">IF(F2714=1,G2714,"")</f>
        <v>67.663</v>
      </c>
    </row>
    <row r="2715" customFormat="false" ht="15" hidden="false" customHeight="false" outlineLevel="0" collapsed="false">
      <c r="A2715" s="31" t="n">
        <v>42849.0416666667</v>
      </c>
      <c r="B2715" s="32" t="n">
        <v>66.047</v>
      </c>
      <c r="D2715" s="33" t="n">
        <f aca="false">WEEKDAY(A2715,2)</f>
        <v>1</v>
      </c>
      <c r="E2715" s="33" t="n">
        <f aca="false">HOUR(A2715)+MINUTE(A2715)/60</f>
        <v>1</v>
      </c>
      <c r="F2715" s="33" t="n">
        <f aca="false">IF(OR(D2715&gt;5,E2715&lt;8,E2715&gt;=18,COUNTIF($K$2:$K$10,INT(A2715))&gt;0),1,0)</f>
        <v>1</v>
      </c>
      <c r="G2715" s="34" t="n">
        <f aca="false">B2715/1</f>
        <v>66.047</v>
      </c>
      <c r="H2715" s="34" t="n">
        <f aca="false">IF(F2715=1,G2715,"")</f>
        <v>66.047</v>
      </c>
    </row>
    <row r="2716" customFormat="false" ht="15" hidden="false" customHeight="false" outlineLevel="0" collapsed="false">
      <c r="A2716" s="31" t="n">
        <v>42849.0833333333</v>
      </c>
      <c r="B2716" s="32" t="n">
        <v>70.191</v>
      </c>
      <c r="D2716" s="33" t="n">
        <f aca="false">WEEKDAY(A2716,2)</f>
        <v>1</v>
      </c>
      <c r="E2716" s="33" t="n">
        <f aca="false">HOUR(A2716)+MINUTE(A2716)/60</f>
        <v>2</v>
      </c>
      <c r="F2716" s="33" t="n">
        <f aca="false">IF(OR(D2716&gt;5,E2716&lt;8,E2716&gt;=18,COUNTIF($K$2:$K$10,INT(A2716))&gt;0),1,0)</f>
        <v>1</v>
      </c>
      <c r="G2716" s="34" t="n">
        <f aca="false">B2716/1</f>
        <v>70.191</v>
      </c>
      <c r="H2716" s="34" t="n">
        <f aca="false">IF(F2716=1,G2716,"")</f>
        <v>70.191</v>
      </c>
    </row>
    <row r="2717" customFormat="false" ht="15" hidden="false" customHeight="false" outlineLevel="0" collapsed="false">
      <c r="A2717" s="31" t="n">
        <v>42849.125</v>
      </c>
      <c r="B2717" s="32" t="n">
        <v>64.358</v>
      </c>
      <c r="D2717" s="33" t="n">
        <f aca="false">WEEKDAY(A2717,2)</f>
        <v>1</v>
      </c>
      <c r="E2717" s="33" t="n">
        <f aca="false">HOUR(A2717)+MINUTE(A2717)/60</f>
        <v>3</v>
      </c>
      <c r="F2717" s="33" t="n">
        <f aca="false">IF(OR(D2717&gt;5,E2717&lt;8,E2717&gt;=18,COUNTIF($K$2:$K$10,INT(A2717))&gt;0),1,0)</f>
        <v>1</v>
      </c>
      <c r="G2717" s="34" t="n">
        <f aca="false">B2717/1</f>
        <v>64.358</v>
      </c>
      <c r="H2717" s="34" t="n">
        <f aca="false">IF(F2717=1,G2717,"")</f>
        <v>64.358</v>
      </c>
    </row>
    <row r="2718" customFormat="false" ht="15" hidden="false" customHeight="false" outlineLevel="0" collapsed="false">
      <c r="A2718" s="31" t="n">
        <v>42849.1666666667</v>
      </c>
      <c r="B2718" s="32" t="n">
        <v>66.235</v>
      </c>
      <c r="D2718" s="33" t="n">
        <f aca="false">WEEKDAY(A2718,2)</f>
        <v>1</v>
      </c>
      <c r="E2718" s="33" t="n">
        <f aca="false">HOUR(A2718)+MINUTE(A2718)/60</f>
        <v>4</v>
      </c>
      <c r="F2718" s="33" t="n">
        <f aca="false">IF(OR(D2718&gt;5,E2718&lt;8,E2718&gt;=18,COUNTIF($K$2:$K$10,INT(A2718))&gt;0),1,0)</f>
        <v>1</v>
      </c>
      <c r="G2718" s="34" t="n">
        <f aca="false">B2718/1</f>
        <v>66.235</v>
      </c>
      <c r="H2718" s="34" t="n">
        <f aca="false">IF(F2718=1,G2718,"")</f>
        <v>66.235</v>
      </c>
    </row>
    <row r="2719" customFormat="false" ht="15" hidden="false" customHeight="false" outlineLevel="0" collapsed="false">
      <c r="A2719" s="31" t="n">
        <v>42849.2083333333</v>
      </c>
      <c r="B2719" s="32" t="n">
        <v>62.445</v>
      </c>
      <c r="D2719" s="33" t="n">
        <f aca="false">WEEKDAY(A2719,2)</f>
        <v>1</v>
      </c>
      <c r="E2719" s="33" t="n">
        <f aca="false">HOUR(A2719)+MINUTE(A2719)/60</f>
        <v>5</v>
      </c>
      <c r="F2719" s="33" t="n">
        <f aca="false">IF(OR(D2719&gt;5,E2719&lt;8,E2719&gt;=18,COUNTIF($K$2:$K$10,INT(A2719))&gt;0),1,0)</f>
        <v>1</v>
      </c>
      <c r="G2719" s="34" t="n">
        <f aca="false">B2719/1</f>
        <v>62.445</v>
      </c>
      <c r="H2719" s="34" t="n">
        <f aca="false">IF(F2719=1,G2719,"")</f>
        <v>62.445</v>
      </c>
    </row>
    <row r="2720" customFormat="false" ht="15" hidden="false" customHeight="false" outlineLevel="0" collapsed="false">
      <c r="A2720" s="31" t="n">
        <v>42849.25</v>
      </c>
      <c r="B2720" s="32" t="n">
        <v>66.341</v>
      </c>
      <c r="D2720" s="33" t="n">
        <f aca="false">WEEKDAY(A2720,2)</f>
        <v>1</v>
      </c>
      <c r="E2720" s="33" t="n">
        <f aca="false">HOUR(A2720)+MINUTE(A2720)/60</f>
        <v>6</v>
      </c>
      <c r="F2720" s="33" t="n">
        <f aca="false">IF(OR(D2720&gt;5,E2720&lt;8,E2720&gt;=18,COUNTIF($K$2:$K$10,INT(A2720))&gt;0),1,0)</f>
        <v>1</v>
      </c>
      <c r="G2720" s="34" t="n">
        <f aca="false">B2720/1</f>
        <v>66.341</v>
      </c>
      <c r="H2720" s="34" t="n">
        <f aca="false">IF(F2720=1,G2720,"")</f>
        <v>66.341</v>
      </c>
    </row>
    <row r="2721" customFormat="false" ht="15" hidden="false" customHeight="false" outlineLevel="0" collapsed="false">
      <c r="A2721" s="31" t="n">
        <v>42849.2916666667</v>
      </c>
      <c r="B2721" s="32" t="n">
        <v>90.657</v>
      </c>
      <c r="D2721" s="33" t="n">
        <f aca="false">WEEKDAY(A2721,2)</f>
        <v>1</v>
      </c>
      <c r="E2721" s="33" t="n">
        <f aca="false">HOUR(A2721)+MINUTE(A2721)/60</f>
        <v>7</v>
      </c>
      <c r="F2721" s="33" t="n">
        <f aca="false">IF(OR(D2721&gt;5,E2721&lt;8,E2721&gt;=18,COUNTIF($K$2:$K$10,INT(A2721))&gt;0),1,0)</f>
        <v>1</v>
      </c>
      <c r="G2721" s="34" t="n">
        <f aca="false">B2721/1</f>
        <v>90.657</v>
      </c>
      <c r="H2721" s="34" t="n">
        <f aca="false">IF(F2721=1,G2721,"")</f>
        <v>90.657</v>
      </c>
    </row>
    <row r="2722" customFormat="false" ht="15" hidden="false" customHeight="false" outlineLevel="0" collapsed="false">
      <c r="A2722" s="31" t="n">
        <v>42849.3333333333</v>
      </c>
      <c r="B2722" s="32" t="n">
        <v>180.102</v>
      </c>
      <c r="D2722" s="33" t="n">
        <f aca="false">WEEKDAY(A2722,2)</f>
        <v>1</v>
      </c>
      <c r="E2722" s="33" t="n">
        <f aca="false">HOUR(A2722)+MINUTE(A2722)/60</f>
        <v>8</v>
      </c>
      <c r="F2722" s="33" t="n">
        <f aca="false">IF(OR(D2722&gt;5,E2722&lt;8,E2722&gt;=18,COUNTIF($K$2:$K$10,INT(A2722))&gt;0),1,0)</f>
        <v>0</v>
      </c>
      <c r="G2722" s="34" t="n">
        <f aca="false">B2722/1</f>
        <v>180.102</v>
      </c>
      <c r="H2722" s="34" t="str">
        <f aca="false">IF(F2722=1,G2722,"")</f>
        <v/>
      </c>
    </row>
    <row r="2723" customFormat="false" ht="15" hidden="false" customHeight="false" outlineLevel="0" collapsed="false">
      <c r="A2723" s="31" t="n">
        <v>42849.375</v>
      </c>
      <c r="B2723" s="32" t="n">
        <v>215.089</v>
      </c>
      <c r="D2723" s="33" t="n">
        <f aca="false">WEEKDAY(A2723,2)</f>
        <v>1</v>
      </c>
      <c r="E2723" s="33" t="n">
        <f aca="false">HOUR(A2723)+MINUTE(A2723)/60</f>
        <v>9</v>
      </c>
      <c r="F2723" s="33" t="n">
        <f aca="false">IF(OR(D2723&gt;5,E2723&lt;8,E2723&gt;=18,COUNTIF($K$2:$K$10,INT(A2723))&gt;0),1,0)</f>
        <v>0</v>
      </c>
      <c r="G2723" s="34" t="n">
        <f aca="false">B2723/1</f>
        <v>215.089</v>
      </c>
      <c r="H2723" s="34" t="str">
        <f aca="false">IF(F2723=1,G2723,"")</f>
        <v/>
      </c>
    </row>
    <row r="2724" customFormat="false" ht="15" hidden="false" customHeight="false" outlineLevel="0" collapsed="false">
      <c r="A2724" s="31" t="n">
        <v>42849.4166666667</v>
      </c>
      <c r="B2724" s="32" t="n">
        <v>234.128</v>
      </c>
      <c r="D2724" s="33" t="n">
        <f aca="false">WEEKDAY(A2724,2)</f>
        <v>1</v>
      </c>
      <c r="E2724" s="33" t="n">
        <f aca="false">HOUR(A2724)+MINUTE(A2724)/60</f>
        <v>10</v>
      </c>
      <c r="F2724" s="33" t="n">
        <f aca="false">IF(OR(D2724&gt;5,E2724&lt;8,E2724&gt;=18,COUNTIF($K$2:$K$10,INT(A2724))&gt;0),1,0)</f>
        <v>0</v>
      </c>
      <c r="G2724" s="34" t="n">
        <f aca="false">B2724/1</f>
        <v>234.128</v>
      </c>
      <c r="H2724" s="34" t="str">
        <f aca="false">IF(F2724=1,G2724,"")</f>
        <v/>
      </c>
    </row>
    <row r="2725" customFormat="false" ht="15" hidden="false" customHeight="false" outlineLevel="0" collapsed="false">
      <c r="A2725" s="31" t="n">
        <v>42849.4583333333</v>
      </c>
      <c r="B2725" s="32" t="n">
        <v>246.682</v>
      </c>
      <c r="D2725" s="33" t="n">
        <f aca="false">WEEKDAY(A2725,2)</f>
        <v>1</v>
      </c>
      <c r="E2725" s="33" t="n">
        <f aca="false">HOUR(A2725)+MINUTE(A2725)/60</f>
        <v>11</v>
      </c>
      <c r="F2725" s="33" t="n">
        <f aca="false">IF(OR(D2725&gt;5,E2725&lt;8,E2725&gt;=18,COUNTIF($K$2:$K$10,INT(A2725))&gt;0),1,0)</f>
        <v>0</v>
      </c>
      <c r="G2725" s="34" t="n">
        <f aca="false">B2725/1</f>
        <v>246.682</v>
      </c>
      <c r="H2725" s="34" t="str">
        <f aca="false">IF(F2725=1,G2725,"")</f>
        <v/>
      </c>
    </row>
    <row r="2726" customFormat="false" ht="15" hidden="false" customHeight="false" outlineLevel="0" collapsed="false">
      <c r="A2726" s="31" t="n">
        <v>42849.5</v>
      </c>
      <c r="B2726" s="32" t="n">
        <v>258.098</v>
      </c>
      <c r="D2726" s="33" t="n">
        <f aca="false">WEEKDAY(A2726,2)</f>
        <v>1</v>
      </c>
      <c r="E2726" s="33" t="n">
        <f aca="false">HOUR(A2726)+MINUTE(A2726)/60</f>
        <v>12</v>
      </c>
      <c r="F2726" s="33" t="n">
        <f aca="false">IF(OR(D2726&gt;5,E2726&lt;8,E2726&gt;=18,COUNTIF($K$2:$K$10,INT(A2726))&gt;0),1,0)</f>
        <v>0</v>
      </c>
      <c r="G2726" s="34" t="n">
        <f aca="false">B2726/1</f>
        <v>258.098</v>
      </c>
      <c r="H2726" s="34" t="str">
        <f aca="false">IF(F2726=1,G2726,"")</f>
        <v/>
      </c>
    </row>
    <row r="2727" customFormat="false" ht="15" hidden="false" customHeight="false" outlineLevel="0" collapsed="false">
      <c r="A2727" s="31" t="n">
        <v>42849.5416666667</v>
      </c>
      <c r="B2727" s="32" t="n">
        <v>247.832</v>
      </c>
      <c r="D2727" s="33" t="n">
        <f aca="false">WEEKDAY(A2727,2)</f>
        <v>1</v>
      </c>
      <c r="E2727" s="33" t="n">
        <f aca="false">HOUR(A2727)+MINUTE(A2727)/60</f>
        <v>13</v>
      </c>
      <c r="F2727" s="33" t="n">
        <f aca="false">IF(OR(D2727&gt;5,E2727&lt;8,E2727&gt;=18,COUNTIF($K$2:$K$10,INT(A2727))&gt;0),1,0)</f>
        <v>0</v>
      </c>
      <c r="G2727" s="34" t="n">
        <f aca="false">B2727/1</f>
        <v>247.832</v>
      </c>
      <c r="H2727" s="34" t="str">
        <f aca="false">IF(F2727=1,G2727,"")</f>
        <v/>
      </c>
    </row>
    <row r="2728" customFormat="false" ht="15" hidden="false" customHeight="false" outlineLevel="0" collapsed="false">
      <c r="A2728" s="31" t="n">
        <v>42849.5833333333</v>
      </c>
      <c r="B2728" s="32" t="n">
        <v>238.735</v>
      </c>
      <c r="D2728" s="33" t="n">
        <f aca="false">WEEKDAY(A2728,2)</f>
        <v>1</v>
      </c>
      <c r="E2728" s="33" t="n">
        <f aca="false">HOUR(A2728)+MINUTE(A2728)/60</f>
        <v>14</v>
      </c>
      <c r="F2728" s="33" t="n">
        <f aca="false">IF(OR(D2728&gt;5,E2728&lt;8,E2728&gt;=18,COUNTIF($K$2:$K$10,INT(A2728))&gt;0),1,0)</f>
        <v>0</v>
      </c>
      <c r="G2728" s="34" t="n">
        <f aca="false">B2728/1</f>
        <v>238.735</v>
      </c>
      <c r="H2728" s="34" t="str">
        <f aca="false">IF(F2728=1,G2728,"")</f>
        <v/>
      </c>
    </row>
    <row r="2729" customFormat="false" ht="15" hidden="false" customHeight="false" outlineLevel="0" collapsed="false">
      <c r="A2729" s="31" t="n">
        <v>42849.625</v>
      </c>
      <c r="B2729" s="32" t="n">
        <v>245.286</v>
      </c>
      <c r="D2729" s="33" t="n">
        <f aca="false">WEEKDAY(A2729,2)</f>
        <v>1</v>
      </c>
      <c r="E2729" s="33" t="n">
        <f aca="false">HOUR(A2729)+MINUTE(A2729)/60</f>
        <v>15</v>
      </c>
      <c r="F2729" s="33" t="n">
        <f aca="false">IF(OR(D2729&gt;5,E2729&lt;8,E2729&gt;=18,COUNTIF($K$2:$K$10,INT(A2729))&gt;0),1,0)</f>
        <v>0</v>
      </c>
      <c r="G2729" s="34" t="n">
        <f aca="false">B2729/1</f>
        <v>245.286</v>
      </c>
      <c r="H2729" s="34" t="str">
        <f aca="false">IF(F2729=1,G2729,"")</f>
        <v/>
      </c>
    </row>
    <row r="2730" customFormat="false" ht="15" hidden="false" customHeight="false" outlineLevel="0" collapsed="false">
      <c r="A2730" s="31" t="n">
        <v>42849.6666666667</v>
      </c>
      <c r="B2730" s="32" t="n">
        <v>244.02</v>
      </c>
      <c r="D2730" s="33" t="n">
        <f aca="false">WEEKDAY(A2730,2)</f>
        <v>1</v>
      </c>
      <c r="E2730" s="33" t="n">
        <f aca="false">HOUR(A2730)+MINUTE(A2730)/60</f>
        <v>16</v>
      </c>
      <c r="F2730" s="33" t="n">
        <f aca="false">IF(OR(D2730&gt;5,E2730&lt;8,E2730&gt;=18,COUNTIF($K$2:$K$10,INT(A2730))&gt;0),1,0)</f>
        <v>0</v>
      </c>
      <c r="G2730" s="34" t="n">
        <f aca="false">B2730/1</f>
        <v>244.02</v>
      </c>
      <c r="H2730" s="34" t="str">
        <f aca="false">IF(F2730=1,G2730,"")</f>
        <v/>
      </c>
    </row>
    <row r="2731" customFormat="false" ht="15" hidden="false" customHeight="false" outlineLevel="0" collapsed="false">
      <c r="A2731" s="31" t="n">
        <v>42849.7083333333</v>
      </c>
      <c r="B2731" s="32" t="n">
        <v>229.407</v>
      </c>
      <c r="D2731" s="33" t="n">
        <f aca="false">WEEKDAY(A2731,2)</f>
        <v>1</v>
      </c>
      <c r="E2731" s="33" t="n">
        <f aca="false">HOUR(A2731)+MINUTE(A2731)/60</f>
        <v>17</v>
      </c>
      <c r="F2731" s="33" t="n">
        <f aca="false">IF(OR(D2731&gt;5,E2731&lt;8,E2731&gt;=18,COUNTIF($K$2:$K$10,INT(A2731))&gt;0),1,0)</f>
        <v>0</v>
      </c>
      <c r="G2731" s="34" t="n">
        <f aca="false">B2731/1</f>
        <v>229.407</v>
      </c>
      <c r="H2731" s="34" t="str">
        <f aca="false">IF(F2731=1,G2731,"")</f>
        <v/>
      </c>
    </row>
    <row r="2732" customFormat="false" ht="15" hidden="false" customHeight="false" outlineLevel="0" collapsed="false">
      <c r="A2732" s="31" t="n">
        <v>42849.75</v>
      </c>
      <c r="B2732" s="32" t="n">
        <v>213.517</v>
      </c>
      <c r="D2732" s="33" t="n">
        <f aca="false">WEEKDAY(A2732,2)</f>
        <v>1</v>
      </c>
      <c r="E2732" s="33" t="n">
        <f aca="false">HOUR(A2732)+MINUTE(A2732)/60</f>
        <v>18</v>
      </c>
      <c r="F2732" s="33" t="n">
        <f aca="false">IF(OR(D2732&gt;5,E2732&lt;8,E2732&gt;=18,COUNTIF($K$2:$K$10,INT(A2732))&gt;0),1,0)</f>
        <v>1</v>
      </c>
      <c r="G2732" s="34" t="n">
        <f aca="false">B2732/1</f>
        <v>213.517</v>
      </c>
      <c r="H2732" s="34" t="n">
        <f aca="false">IF(F2732=1,G2732,"")</f>
        <v>213.517</v>
      </c>
    </row>
    <row r="2733" customFormat="false" ht="15" hidden="false" customHeight="false" outlineLevel="0" collapsed="false">
      <c r="A2733" s="31" t="n">
        <v>42849.7916666667</v>
      </c>
      <c r="B2733" s="32" t="n">
        <v>194.552</v>
      </c>
      <c r="D2733" s="33" t="n">
        <f aca="false">WEEKDAY(A2733,2)</f>
        <v>1</v>
      </c>
      <c r="E2733" s="33" t="n">
        <f aca="false">HOUR(A2733)+MINUTE(A2733)/60</f>
        <v>19</v>
      </c>
      <c r="F2733" s="33" t="n">
        <f aca="false">IF(OR(D2733&gt;5,E2733&lt;8,E2733&gt;=18,COUNTIF($K$2:$K$10,INT(A2733))&gt;0),1,0)</f>
        <v>1</v>
      </c>
      <c r="G2733" s="34" t="n">
        <f aca="false">B2733/1</f>
        <v>194.552</v>
      </c>
      <c r="H2733" s="34" t="n">
        <f aca="false">IF(F2733=1,G2733,"")</f>
        <v>194.552</v>
      </c>
    </row>
    <row r="2734" customFormat="false" ht="15" hidden="false" customHeight="false" outlineLevel="0" collapsed="false">
      <c r="A2734" s="31" t="n">
        <v>42849.8333333333</v>
      </c>
      <c r="B2734" s="32" t="n">
        <v>186.731</v>
      </c>
      <c r="D2734" s="33" t="n">
        <f aca="false">WEEKDAY(A2734,2)</f>
        <v>1</v>
      </c>
      <c r="E2734" s="33" t="n">
        <f aca="false">HOUR(A2734)+MINUTE(A2734)/60</f>
        <v>20</v>
      </c>
      <c r="F2734" s="33" t="n">
        <f aca="false">IF(OR(D2734&gt;5,E2734&lt;8,E2734&gt;=18,COUNTIF($K$2:$K$10,INT(A2734))&gt;0),1,0)</f>
        <v>1</v>
      </c>
      <c r="G2734" s="34" t="n">
        <f aca="false">B2734/1</f>
        <v>186.731</v>
      </c>
      <c r="H2734" s="34" t="n">
        <f aca="false">IF(F2734=1,G2734,"")</f>
        <v>186.731</v>
      </c>
    </row>
    <row r="2735" customFormat="false" ht="15" hidden="false" customHeight="false" outlineLevel="0" collapsed="false">
      <c r="A2735" s="31" t="n">
        <v>42849.875</v>
      </c>
      <c r="B2735" s="32" t="n">
        <v>185.926</v>
      </c>
      <c r="D2735" s="33" t="n">
        <f aca="false">WEEKDAY(A2735,2)</f>
        <v>1</v>
      </c>
      <c r="E2735" s="33" t="n">
        <f aca="false">HOUR(A2735)+MINUTE(A2735)/60</f>
        <v>21</v>
      </c>
      <c r="F2735" s="33" t="n">
        <f aca="false">IF(OR(D2735&gt;5,E2735&lt;8,E2735&gt;=18,COUNTIF($K$2:$K$10,INT(A2735))&gt;0),1,0)</f>
        <v>1</v>
      </c>
      <c r="G2735" s="34" t="n">
        <f aca="false">B2735/1</f>
        <v>185.926</v>
      </c>
      <c r="H2735" s="34" t="n">
        <f aca="false">IF(F2735=1,G2735,"")</f>
        <v>185.926</v>
      </c>
    </row>
    <row r="2736" customFormat="false" ht="15" hidden="false" customHeight="false" outlineLevel="0" collapsed="false">
      <c r="A2736" s="31" t="n">
        <v>42849.9166666667</v>
      </c>
      <c r="B2736" s="32" t="n">
        <v>130.898</v>
      </c>
      <c r="D2736" s="33" t="n">
        <f aca="false">WEEKDAY(A2736,2)</f>
        <v>1</v>
      </c>
      <c r="E2736" s="33" t="n">
        <f aca="false">HOUR(A2736)+MINUTE(A2736)/60</f>
        <v>22</v>
      </c>
      <c r="F2736" s="33" t="n">
        <f aca="false">IF(OR(D2736&gt;5,E2736&lt;8,E2736&gt;=18,COUNTIF($K$2:$K$10,INT(A2736))&gt;0),1,0)</f>
        <v>1</v>
      </c>
      <c r="G2736" s="34" t="n">
        <f aca="false">B2736/1</f>
        <v>130.898</v>
      </c>
      <c r="H2736" s="34" t="n">
        <f aca="false">IF(F2736=1,G2736,"")</f>
        <v>130.898</v>
      </c>
    </row>
    <row r="2737" customFormat="false" ht="15" hidden="false" customHeight="false" outlineLevel="0" collapsed="false">
      <c r="A2737" s="31" t="n">
        <v>42849.9583333333</v>
      </c>
      <c r="B2737" s="32" t="n">
        <v>69.275</v>
      </c>
      <c r="D2737" s="33" t="n">
        <f aca="false">WEEKDAY(A2737,2)</f>
        <v>1</v>
      </c>
      <c r="E2737" s="33" t="n">
        <f aca="false">HOUR(A2737)+MINUTE(A2737)/60</f>
        <v>23</v>
      </c>
      <c r="F2737" s="33" t="n">
        <f aca="false">IF(OR(D2737&gt;5,E2737&lt;8,E2737&gt;=18,COUNTIF($K$2:$K$10,INT(A2737))&gt;0),1,0)</f>
        <v>1</v>
      </c>
      <c r="G2737" s="34" t="n">
        <f aca="false">B2737/1</f>
        <v>69.275</v>
      </c>
      <c r="H2737" s="34" t="n">
        <f aca="false">IF(F2737=1,G2737,"")</f>
        <v>69.275</v>
      </c>
    </row>
    <row r="2738" customFormat="false" ht="15" hidden="false" customHeight="false" outlineLevel="0" collapsed="false">
      <c r="A2738" s="31" t="n">
        <v>42850</v>
      </c>
      <c r="B2738" s="32" t="n">
        <v>61.403</v>
      </c>
      <c r="D2738" s="33" t="n">
        <f aca="false">WEEKDAY(A2738,2)</f>
        <v>2</v>
      </c>
      <c r="E2738" s="33" t="n">
        <f aca="false">HOUR(A2738)+MINUTE(A2738)/60</f>
        <v>0</v>
      </c>
      <c r="F2738" s="33" t="n">
        <f aca="false">IF(OR(D2738&gt;5,E2738&lt;8,E2738&gt;=18,COUNTIF($K$2:$K$10,INT(A2738))&gt;0),1,0)</f>
        <v>1</v>
      </c>
      <c r="G2738" s="34" t="n">
        <f aca="false">B2738/1</f>
        <v>61.403</v>
      </c>
      <c r="H2738" s="34" t="n">
        <f aca="false">IF(F2738=1,G2738,"")</f>
        <v>61.403</v>
      </c>
    </row>
    <row r="2739" customFormat="false" ht="15" hidden="false" customHeight="false" outlineLevel="0" collapsed="false">
      <c r="A2739" s="31" t="n">
        <v>42850.0416666667</v>
      </c>
      <c r="B2739" s="32" t="n">
        <v>58.664</v>
      </c>
      <c r="D2739" s="33" t="n">
        <f aca="false">WEEKDAY(A2739,2)</f>
        <v>2</v>
      </c>
      <c r="E2739" s="33" t="n">
        <f aca="false">HOUR(A2739)+MINUTE(A2739)/60</f>
        <v>1</v>
      </c>
      <c r="F2739" s="33" t="n">
        <f aca="false">IF(OR(D2739&gt;5,E2739&lt;8,E2739&gt;=18,COUNTIF($K$2:$K$10,INT(A2739))&gt;0),1,0)</f>
        <v>1</v>
      </c>
      <c r="G2739" s="34" t="n">
        <f aca="false">B2739/1</f>
        <v>58.664</v>
      </c>
      <c r="H2739" s="34" t="n">
        <f aca="false">IF(F2739=1,G2739,"")</f>
        <v>58.664</v>
      </c>
    </row>
    <row r="2740" customFormat="false" ht="15" hidden="false" customHeight="false" outlineLevel="0" collapsed="false">
      <c r="A2740" s="31" t="n">
        <v>42850.0833333333</v>
      </c>
      <c r="B2740" s="32" t="n">
        <v>53.484</v>
      </c>
      <c r="D2740" s="33" t="n">
        <f aca="false">WEEKDAY(A2740,2)</f>
        <v>2</v>
      </c>
      <c r="E2740" s="33" t="n">
        <f aca="false">HOUR(A2740)+MINUTE(A2740)/60</f>
        <v>2</v>
      </c>
      <c r="F2740" s="33" t="n">
        <f aca="false">IF(OR(D2740&gt;5,E2740&lt;8,E2740&gt;=18,COUNTIF($K$2:$K$10,INT(A2740))&gt;0),1,0)</f>
        <v>1</v>
      </c>
      <c r="G2740" s="34" t="n">
        <f aca="false">B2740/1</f>
        <v>53.484</v>
      </c>
      <c r="H2740" s="34" t="n">
        <f aca="false">IF(F2740=1,G2740,"")</f>
        <v>53.484</v>
      </c>
    </row>
    <row r="2741" customFormat="false" ht="15" hidden="false" customHeight="false" outlineLevel="0" collapsed="false">
      <c r="A2741" s="31" t="n">
        <v>42850.125</v>
      </c>
      <c r="B2741" s="32" t="n">
        <v>53.067</v>
      </c>
      <c r="D2741" s="33" t="n">
        <f aca="false">WEEKDAY(A2741,2)</f>
        <v>2</v>
      </c>
      <c r="E2741" s="33" t="n">
        <f aca="false">HOUR(A2741)+MINUTE(A2741)/60</f>
        <v>3</v>
      </c>
      <c r="F2741" s="33" t="n">
        <f aca="false">IF(OR(D2741&gt;5,E2741&lt;8,E2741&gt;=18,COUNTIF($K$2:$K$10,INT(A2741))&gt;0),1,0)</f>
        <v>1</v>
      </c>
      <c r="G2741" s="34" t="n">
        <f aca="false">B2741/1</f>
        <v>53.067</v>
      </c>
      <c r="H2741" s="34" t="n">
        <f aca="false">IF(F2741=1,G2741,"")</f>
        <v>53.067</v>
      </c>
    </row>
    <row r="2742" customFormat="false" ht="15" hidden="false" customHeight="false" outlineLevel="0" collapsed="false">
      <c r="A2742" s="31" t="n">
        <v>42850.1666666667</v>
      </c>
      <c r="B2742" s="32" t="n">
        <v>54.68</v>
      </c>
      <c r="D2742" s="33" t="n">
        <f aca="false">WEEKDAY(A2742,2)</f>
        <v>2</v>
      </c>
      <c r="E2742" s="33" t="n">
        <f aca="false">HOUR(A2742)+MINUTE(A2742)/60</f>
        <v>4</v>
      </c>
      <c r="F2742" s="33" t="n">
        <f aca="false">IF(OR(D2742&gt;5,E2742&lt;8,E2742&gt;=18,COUNTIF($K$2:$K$10,INT(A2742))&gt;0),1,0)</f>
        <v>1</v>
      </c>
      <c r="G2742" s="34" t="n">
        <f aca="false">B2742/1</f>
        <v>54.68</v>
      </c>
      <c r="H2742" s="34" t="n">
        <f aca="false">IF(F2742=1,G2742,"")</f>
        <v>54.68</v>
      </c>
    </row>
    <row r="2743" customFormat="false" ht="15" hidden="false" customHeight="false" outlineLevel="0" collapsed="false">
      <c r="A2743" s="31" t="n">
        <v>42850.2083333333</v>
      </c>
      <c r="B2743" s="32" t="n">
        <v>55.168</v>
      </c>
      <c r="D2743" s="33" t="n">
        <f aca="false">WEEKDAY(A2743,2)</f>
        <v>2</v>
      </c>
      <c r="E2743" s="33" t="n">
        <f aca="false">HOUR(A2743)+MINUTE(A2743)/60</f>
        <v>5</v>
      </c>
      <c r="F2743" s="33" t="n">
        <f aca="false">IF(OR(D2743&gt;5,E2743&lt;8,E2743&gt;=18,COUNTIF($K$2:$K$10,INT(A2743))&gt;0),1,0)</f>
        <v>1</v>
      </c>
      <c r="G2743" s="34" t="n">
        <f aca="false">B2743/1</f>
        <v>55.168</v>
      </c>
      <c r="H2743" s="34" t="n">
        <f aca="false">IF(F2743=1,G2743,"")</f>
        <v>55.168</v>
      </c>
    </row>
    <row r="2744" customFormat="false" ht="15" hidden="false" customHeight="false" outlineLevel="0" collapsed="false">
      <c r="A2744" s="31" t="n">
        <v>42850.25</v>
      </c>
      <c r="B2744" s="32" t="n">
        <v>53.651</v>
      </c>
      <c r="D2744" s="33" t="n">
        <f aca="false">WEEKDAY(A2744,2)</f>
        <v>2</v>
      </c>
      <c r="E2744" s="33" t="n">
        <f aca="false">HOUR(A2744)+MINUTE(A2744)/60</f>
        <v>6</v>
      </c>
      <c r="F2744" s="33" t="n">
        <f aca="false">IF(OR(D2744&gt;5,E2744&lt;8,E2744&gt;=18,COUNTIF($K$2:$K$10,INT(A2744))&gt;0),1,0)</f>
        <v>1</v>
      </c>
      <c r="G2744" s="34" t="n">
        <f aca="false">B2744/1</f>
        <v>53.651</v>
      </c>
      <c r="H2744" s="34" t="n">
        <f aca="false">IF(F2744=1,G2744,"")</f>
        <v>53.651</v>
      </c>
    </row>
    <row r="2745" customFormat="false" ht="15" hidden="false" customHeight="false" outlineLevel="0" collapsed="false">
      <c r="A2745" s="31" t="n">
        <v>42850.2916666667</v>
      </c>
      <c r="B2745" s="32" t="n">
        <v>59.347</v>
      </c>
      <c r="D2745" s="33" t="n">
        <f aca="false">WEEKDAY(A2745,2)</f>
        <v>2</v>
      </c>
      <c r="E2745" s="33" t="n">
        <f aca="false">HOUR(A2745)+MINUTE(A2745)/60</f>
        <v>7</v>
      </c>
      <c r="F2745" s="33" t="n">
        <f aca="false">IF(OR(D2745&gt;5,E2745&lt;8,E2745&gt;=18,COUNTIF($K$2:$K$10,INT(A2745))&gt;0),1,0)</f>
        <v>1</v>
      </c>
      <c r="G2745" s="34" t="n">
        <f aca="false">B2745/1</f>
        <v>59.347</v>
      </c>
      <c r="H2745" s="34" t="n">
        <f aca="false">IF(F2745=1,G2745,"")</f>
        <v>59.347</v>
      </c>
    </row>
    <row r="2746" customFormat="false" ht="15" hidden="false" customHeight="false" outlineLevel="0" collapsed="false">
      <c r="A2746" s="31" t="n">
        <v>42850.3333333333</v>
      </c>
      <c r="B2746" s="32" t="n">
        <v>172.489</v>
      </c>
      <c r="D2746" s="33" t="n">
        <f aca="false">WEEKDAY(A2746,2)</f>
        <v>2</v>
      </c>
      <c r="E2746" s="33" t="n">
        <f aca="false">HOUR(A2746)+MINUTE(A2746)/60</f>
        <v>8</v>
      </c>
      <c r="F2746" s="33" t="n">
        <f aca="false">IF(OR(D2746&gt;5,E2746&lt;8,E2746&gt;=18,COUNTIF($K$2:$K$10,INT(A2746))&gt;0),1,0)</f>
        <v>0</v>
      </c>
      <c r="G2746" s="34" t="n">
        <f aca="false">B2746/1</f>
        <v>172.489</v>
      </c>
      <c r="H2746" s="34" t="str">
        <f aca="false">IF(F2746=1,G2746,"")</f>
        <v/>
      </c>
    </row>
    <row r="2747" customFormat="false" ht="15" hidden="false" customHeight="false" outlineLevel="0" collapsed="false">
      <c r="A2747" s="31" t="n">
        <v>42850.375</v>
      </c>
      <c r="B2747" s="32" t="n">
        <v>213.641</v>
      </c>
      <c r="D2747" s="33" t="n">
        <f aca="false">WEEKDAY(A2747,2)</f>
        <v>2</v>
      </c>
      <c r="E2747" s="33" t="n">
        <f aca="false">HOUR(A2747)+MINUTE(A2747)/60</f>
        <v>9</v>
      </c>
      <c r="F2747" s="33" t="n">
        <f aca="false">IF(OR(D2747&gt;5,E2747&lt;8,E2747&gt;=18,COUNTIF($K$2:$K$10,INT(A2747))&gt;0),1,0)</f>
        <v>0</v>
      </c>
      <c r="G2747" s="34" t="n">
        <f aca="false">B2747/1</f>
        <v>213.641</v>
      </c>
      <c r="H2747" s="34" t="str">
        <f aca="false">IF(F2747=1,G2747,"")</f>
        <v/>
      </c>
    </row>
    <row r="2748" customFormat="false" ht="15" hidden="false" customHeight="false" outlineLevel="0" collapsed="false">
      <c r="A2748" s="31" t="n">
        <v>42850.4166666667</v>
      </c>
      <c r="B2748" s="32" t="n">
        <v>240.074</v>
      </c>
      <c r="D2748" s="33" t="n">
        <f aca="false">WEEKDAY(A2748,2)</f>
        <v>2</v>
      </c>
      <c r="E2748" s="33" t="n">
        <f aca="false">HOUR(A2748)+MINUTE(A2748)/60</f>
        <v>10</v>
      </c>
      <c r="F2748" s="33" t="n">
        <f aca="false">IF(OR(D2748&gt;5,E2748&lt;8,E2748&gt;=18,COUNTIF($K$2:$K$10,INT(A2748))&gt;0),1,0)</f>
        <v>0</v>
      </c>
      <c r="G2748" s="34" t="n">
        <f aca="false">B2748/1</f>
        <v>240.074</v>
      </c>
      <c r="H2748" s="34" t="str">
        <f aca="false">IF(F2748=1,G2748,"")</f>
        <v/>
      </c>
    </row>
    <row r="2749" customFormat="false" ht="15" hidden="false" customHeight="false" outlineLevel="0" collapsed="false">
      <c r="A2749" s="31" t="n">
        <v>42850.4583333333</v>
      </c>
      <c r="B2749" s="32" t="n">
        <v>249.976</v>
      </c>
      <c r="D2749" s="33" t="n">
        <f aca="false">WEEKDAY(A2749,2)</f>
        <v>2</v>
      </c>
      <c r="E2749" s="33" t="n">
        <f aca="false">HOUR(A2749)+MINUTE(A2749)/60</f>
        <v>11</v>
      </c>
      <c r="F2749" s="33" t="n">
        <f aca="false">IF(OR(D2749&gt;5,E2749&lt;8,E2749&gt;=18,COUNTIF($K$2:$K$10,INT(A2749))&gt;0),1,0)</f>
        <v>0</v>
      </c>
      <c r="G2749" s="34" t="n">
        <f aca="false">B2749/1</f>
        <v>249.976</v>
      </c>
      <c r="H2749" s="34" t="str">
        <f aca="false">IF(F2749=1,G2749,"")</f>
        <v/>
      </c>
    </row>
    <row r="2750" customFormat="false" ht="15" hidden="false" customHeight="false" outlineLevel="0" collapsed="false">
      <c r="A2750" s="31" t="n">
        <v>42850.5</v>
      </c>
      <c r="B2750" s="32" t="n">
        <v>257.403</v>
      </c>
      <c r="D2750" s="33" t="n">
        <f aca="false">WEEKDAY(A2750,2)</f>
        <v>2</v>
      </c>
      <c r="E2750" s="33" t="n">
        <f aca="false">HOUR(A2750)+MINUTE(A2750)/60</f>
        <v>12</v>
      </c>
      <c r="F2750" s="33" t="n">
        <f aca="false">IF(OR(D2750&gt;5,E2750&lt;8,E2750&gt;=18,COUNTIF($K$2:$K$10,INT(A2750))&gt;0),1,0)</f>
        <v>0</v>
      </c>
      <c r="G2750" s="34" t="n">
        <f aca="false">B2750/1</f>
        <v>257.403</v>
      </c>
      <c r="H2750" s="34" t="str">
        <f aca="false">IF(F2750=1,G2750,"")</f>
        <v/>
      </c>
    </row>
    <row r="2751" customFormat="false" ht="15" hidden="false" customHeight="false" outlineLevel="0" collapsed="false">
      <c r="A2751" s="31" t="n">
        <v>42850.5416666667</v>
      </c>
      <c r="B2751" s="32" t="n">
        <v>252.537</v>
      </c>
      <c r="D2751" s="33" t="n">
        <f aca="false">WEEKDAY(A2751,2)</f>
        <v>2</v>
      </c>
      <c r="E2751" s="33" t="n">
        <f aca="false">HOUR(A2751)+MINUTE(A2751)/60</f>
        <v>13</v>
      </c>
      <c r="F2751" s="33" t="n">
        <f aca="false">IF(OR(D2751&gt;5,E2751&lt;8,E2751&gt;=18,COUNTIF($K$2:$K$10,INT(A2751))&gt;0),1,0)</f>
        <v>0</v>
      </c>
      <c r="G2751" s="34" t="n">
        <f aca="false">B2751/1</f>
        <v>252.537</v>
      </c>
      <c r="H2751" s="34" t="str">
        <f aca="false">IF(F2751=1,G2751,"")</f>
        <v/>
      </c>
    </row>
    <row r="2752" customFormat="false" ht="15" hidden="false" customHeight="false" outlineLevel="0" collapsed="false">
      <c r="A2752" s="31" t="n">
        <v>42850.5833333333</v>
      </c>
      <c r="B2752" s="32" t="n">
        <v>253.697</v>
      </c>
      <c r="D2752" s="33" t="n">
        <f aca="false">WEEKDAY(A2752,2)</f>
        <v>2</v>
      </c>
      <c r="E2752" s="33" t="n">
        <f aca="false">HOUR(A2752)+MINUTE(A2752)/60</f>
        <v>14</v>
      </c>
      <c r="F2752" s="33" t="n">
        <f aca="false">IF(OR(D2752&gt;5,E2752&lt;8,E2752&gt;=18,COUNTIF($K$2:$K$10,INT(A2752))&gt;0),1,0)</f>
        <v>0</v>
      </c>
      <c r="G2752" s="34" t="n">
        <f aca="false">B2752/1</f>
        <v>253.697</v>
      </c>
      <c r="H2752" s="34" t="str">
        <f aca="false">IF(F2752=1,G2752,"")</f>
        <v/>
      </c>
    </row>
    <row r="2753" customFormat="false" ht="15" hidden="false" customHeight="false" outlineLevel="0" collapsed="false">
      <c r="A2753" s="31" t="n">
        <v>42850.625</v>
      </c>
      <c r="B2753" s="32" t="n">
        <v>255.036</v>
      </c>
      <c r="D2753" s="33" t="n">
        <f aca="false">WEEKDAY(A2753,2)</f>
        <v>2</v>
      </c>
      <c r="E2753" s="33" t="n">
        <f aca="false">HOUR(A2753)+MINUTE(A2753)/60</f>
        <v>15</v>
      </c>
      <c r="F2753" s="33" t="n">
        <f aca="false">IF(OR(D2753&gt;5,E2753&lt;8,E2753&gt;=18,COUNTIF($K$2:$K$10,INT(A2753))&gt;0),1,0)</f>
        <v>0</v>
      </c>
      <c r="G2753" s="34" t="n">
        <f aca="false">B2753/1</f>
        <v>255.036</v>
      </c>
      <c r="H2753" s="34" t="str">
        <f aca="false">IF(F2753=1,G2753,"")</f>
        <v/>
      </c>
    </row>
    <row r="2754" customFormat="false" ht="15" hidden="false" customHeight="false" outlineLevel="0" collapsed="false">
      <c r="A2754" s="31" t="n">
        <v>42850.6666666667</v>
      </c>
      <c r="B2754" s="32" t="n">
        <v>245.905</v>
      </c>
      <c r="D2754" s="33" t="n">
        <f aca="false">WEEKDAY(A2754,2)</f>
        <v>2</v>
      </c>
      <c r="E2754" s="33" t="n">
        <f aca="false">HOUR(A2754)+MINUTE(A2754)/60</f>
        <v>16</v>
      </c>
      <c r="F2754" s="33" t="n">
        <f aca="false">IF(OR(D2754&gt;5,E2754&lt;8,E2754&gt;=18,COUNTIF($K$2:$K$10,INT(A2754))&gt;0),1,0)</f>
        <v>0</v>
      </c>
      <c r="G2754" s="34" t="n">
        <f aca="false">B2754/1</f>
        <v>245.905</v>
      </c>
      <c r="H2754" s="34" t="str">
        <f aca="false">IF(F2754=1,G2754,"")</f>
        <v/>
      </c>
    </row>
    <row r="2755" customFormat="false" ht="15" hidden="false" customHeight="false" outlineLevel="0" collapsed="false">
      <c r="A2755" s="31" t="n">
        <v>42850.7083333333</v>
      </c>
      <c r="B2755" s="32" t="n">
        <v>239.324</v>
      </c>
      <c r="D2755" s="33" t="n">
        <f aca="false">WEEKDAY(A2755,2)</f>
        <v>2</v>
      </c>
      <c r="E2755" s="33" t="n">
        <f aca="false">HOUR(A2755)+MINUTE(A2755)/60</f>
        <v>17</v>
      </c>
      <c r="F2755" s="33" t="n">
        <f aca="false">IF(OR(D2755&gt;5,E2755&lt;8,E2755&gt;=18,COUNTIF($K$2:$K$10,INT(A2755))&gt;0),1,0)</f>
        <v>0</v>
      </c>
      <c r="G2755" s="34" t="n">
        <f aca="false">B2755/1</f>
        <v>239.324</v>
      </c>
      <c r="H2755" s="34" t="str">
        <f aca="false">IF(F2755=1,G2755,"")</f>
        <v/>
      </c>
    </row>
    <row r="2756" customFormat="false" ht="15" hidden="false" customHeight="false" outlineLevel="0" collapsed="false">
      <c r="A2756" s="31" t="n">
        <v>42850.75</v>
      </c>
      <c r="B2756" s="32" t="n">
        <v>222.386</v>
      </c>
      <c r="D2756" s="33" t="n">
        <f aca="false">WEEKDAY(A2756,2)</f>
        <v>2</v>
      </c>
      <c r="E2756" s="33" t="n">
        <f aca="false">HOUR(A2756)+MINUTE(A2756)/60</f>
        <v>18</v>
      </c>
      <c r="F2756" s="33" t="n">
        <f aca="false">IF(OR(D2756&gt;5,E2756&lt;8,E2756&gt;=18,COUNTIF($K$2:$K$10,INT(A2756))&gt;0),1,0)</f>
        <v>1</v>
      </c>
      <c r="G2756" s="34" t="n">
        <f aca="false">B2756/1</f>
        <v>222.386</v>
      </c>
      <c r="H2756" s="34" t="n">
        <f aca="false">IF(F2756=1,G2756,"")</f>
        <v>222.386</v>
      </c>
    </row>
    <row r="2757" customFormat="false" ht="15" hidden="false" customHeight="false" outlineLevel="0" collapsed="false">
      <c r="A2757" s="31" t="n">
        <v>42850.7916666667</v>
      </c>
      <c r="B2757" s="32" t="n">
        <v>210.242</v>
      </c>
      <c r="D2757" s="33" t="n">
        <f aca="false">WEEKDAY(A2757,2)</f>
        <v>2</v>
      </c>
      <c r="E2757" s="33" t="n">
        <f aca="false">HOUR(A2757)+MINUTE(A2757)/60</f>
        <v>19</v>
      </c>
      <c r="F2757" s="33" t="n">
        <f aca="false">IF(OR(D2757&gt;5,E2757&lt;8,E2757&gt;=18,COUNTIF($K$2:$K$10,INT(A2757))&gt;0),1,0)</f>
        <v>1</v>
      </c>
      <c r="G2757" s="34" t="n">
        <f aca="false">B2757/1</f>
        <v>210.242</v>
      </c>
      <c r="H2757" s="34" t="n">
        <f aca="false">IF(F2757=1,G2757,"")</f>
        <v>210.242</v>
      </c>
    </row>
    <row r="2758" customFormat="false" ht="15" hidden="false" customHeight="false" outlineLevel="0" collapsed="false">
      <c r="A2758" s="31" t="n">
        <v>42850.8333333333</v>
      </c>
      <c r="B2758" s="32" t="n">
        <v>205.31</v>
      </c>
      <c r="D2758" s="33" t="n">
        <f aca="false">WEEKDAY(A2758,2)</f>
        <v>2</v>
      </c>
      <c r="E2758" s="33" t="n">
        <f aca="false">HOUR(A2758)+MINUTE(A2758)/60</f>
        <v>20</v>
      </c>
      <c r="F2758" s="33" t="n">
        <f aca="false">IF(OR(D2758&gt;5,E2758&lt;8,E2758&gt;=18,COUNTIF($K$2:$K$10,INT(A2758))&gt;0),1,0)</f>
        <v>1</v>
      </c>
      <c r="G2758" s="34" t="n">
        <f aca="false">B2758/1</f>
        <v>205.31</v>
      </c>
      <c r="H2758" s="34" t="n">
        <f aca="false">IF(F2758=1,G2758,"")</f>
        <v>205.31</v>
      </c>
    </row>
    <row r="2759" customFormat="false" ht="15" hidden="false" customHeight="false" outlineLevel="0" collapsed="false">
      <c r="A2759" s="31" t="n">
        <v>42850.875</v>
      </c>
      <c r="B2759" s="32" t="n">
        <v>200.308</v>
      </c>
      <c r="D2759" s="33" t="n">
        <f aca="false">WEEKDAY(A2759,2)</f>
        <v>2</v>
      </c>
      <c r="E2759" s="33" t="n">
        <f aca="false">HOUR(A2759)+MINUTE(A2759)/60</f>
        <v>21</v>
      </c>
      <c r="F2759" s="33" t="n">
        <f aca="false">IF(OR(D2759&gt;5,E2759&lt;8,E2759&gt;=18,COUNTIF($K$2:$K$10,INT(A2759))&gt;0),1,0)</f>
        <v>1</v>
      </c>
      <c r="G2759" s="34" t="n">
        <f aca="false">B2759/1</f>
        <v>200.308</v>
      </c>
      <c r="H2759" s="34" t="n">
        <f aca="false">IF(F2759=1,G2759,"")</f>
        <v>200.308</v>
      </c>
    </row>
    <row r="2760" customFormat="false" ht="15" hidden="false" customHeight="false" outlineLevel="0" collapsed="false">
      <c r="A2760" s="31" t="n">
        <v>42850.9166666667</v>
      </c>
      <c r="B2760" s="32" t="n">
        <v>141.743</v>
      </c>
      <c r="D2760" s="33" t="n">
        <f aca="false">WEEKDAY(A2760,2)</f>
        <v>2</v>
      </c>
      <c r="E2760" s="33" t="n">
        <f aca="false">HOUR(A2760)+MINUTE(A2760)/60</f>
        <v>22</v>
      </c>
      <c r="F2760" s="33" t="n">
        <f aca="false">IF(OR(D2760&gt;5,E2760&lt;8,E2760&gt;=18,COUNTIF($K$2:$K$10,INT(A2760))&gt;0),1,0)</f>
        <v>1</v>
      </c>
      <c r="G2760" s="34" t="n">
        <f aca="false">B2760/1</f>
        <v>141.743</v>
      </c>
      <c r="H2760" s="34" t="n">
        <f aca="false">IF(F2760=1,G2760,"")</f>
        <v>141.743</v>
      </c>
    </row>
    <row r="2761" customFormat="false" ht="15" hidden="false" customHeight="false" outlineLevel="0" collapsed="false">
      <c r="A2761" s="31" t="n">
        <v>42850.9583333333</v>
      </c>
      <c r="B2761" s="32" t="n">
        <v>73.511</v>
      </c>
      <c r="D2761" s="33" t="n">
        <f aca="false">WEEKDAY(A2761,2)</f>
        <v>2</v>
      </c>
      <c r="E2761" s="33" t="n">
        <f aca="false">HOUR(A2761)+MINUTE(A2761)/60</f>
        <v>23</v>
      </c>
      <c r="F2761" s="33" t="n">
        <f aca="false">IF(OR(D2761&gt;5,E2761&lt;8,E2761&gt;=18,COUNTIF($K$2:$K$10,INT(A2761))&gt;0),1,0)</f>
        <v>1</v>
      </c>
      <c r="G2761" s="34" t="n">
        <f aca="false">B2761/1</f>
        <v>73.511</v>
      </c>
      <c r="H2761" s="34" t="n">
        <f aca="false">IF(F2761=1,G2761,"")</f>
        <v>73.511</v>
      </c>
    </row>
    <row r="2762" customFormat="false" ht="15" hidden="false" customHeight="false" outlineLevel="0" collapsed="false">
      <c r="A2762" s="31" t="n">
        <v>42851</v>
      </c>
      <c r="B2762" s="32" t="n">
        <v>66.838</v>
      </c>
      <c r="D2762" s="33" t="n">
        <f aca="false">WEEKDAY(A2762,2)</f>
        <v>3</v>
      </c>
      <c r="E2762" s="33" t="n">
        <f aca="false">HOUR(A2762)+MINUTE(A2762)/60</f>
        <v>0</v>
      </c>
      <c r="F2762" s="33" t="n">
        <f aca="false">IF(OR(D2762&gt;5,E2762&lt;8,E2762&gt;=18,COUNTIF($K$2:$K$10,INT(A2762))&gt;0),1,0)</f>
        <v>1</v>
      </c>
      <c r="G2762" s="34" t="n">
        <f aca="false">B2762/1</f>
        <v>66.838</v>
      </c>
      <c r="H2762" s="34" t="n">
        <f aca="false">IF(F2762=1,G2762,"")</f>
        <v>66.838</v>
      </c>
    </row>
    <row r="2763" customFormat="false" ht="15" hidden="false" customHeight="false" outlineLevel="0" collapsed="false">
      <c r="A2763" s="31" t="n">
        <v>42851.0416666667</v>
      </c>
      <c r="B2763" s="32" t="n">
        <v>58.22</v>
      </c>
      <c r="D2763" s="33" t="n">
        <f aca="false">WEEKDAY(A2763,2)</f>
        <v>3</v>
      </c>
      <c r="E2763" s="33" t="n">
        <f aca="false">HOUR(A2763)+MINUTE(A2763)/60</f>
        <v>1</v>
      </c>
      <c r="F2763" s="33" t="n">
        <f aca="false">IF(OR(D2763&gt;5,E2763&lt;8,E2763&gt;=18,COUNTIF($K$2:$K$10,INT(A2763))&gt;0),1,0)</f>
        <v>1</v>
      </c>
      <c r="G2763" s="34" t="n">
        <f aca="false">B2763/1</f>
        <v>58.22</v>
      </c>
      <c r="H2763" s="34" t="n">
        <f aca="false">IF(F2763=1,G2763,"")</f>
        <v>58.22</v>
      </c>
    </row>
    <row r="2764" customFormat="false" ht="15" hidden="false" customHeight="false" outlineLevel="0" collapsed="false">
      <c r="A2764" s="31" t="n">
        <v>42851.0833333333</v>
      </c>
      <c r="B2764" s="32" t="n">
        <v>58.678</v>
      </c>
      <c r="D2764" s="33" t="n">
        <f aca="false">WEEKDAY(A2764,2)</f>
        <v>3</v>
      </c>
      <c r="E2764" s="33" t="n">
        <f aca="false">HOUR(A2764)+MINUTE(A2764)/60</f>
        <v>2</v>
      </c>
      <c r="F2764" s="33" t="n">
        <f aca="false">IF(OR(D2764&gt;5,E2764&lt;8,E2764&gt;=18,COUNTIF($K$2:$K$10,INT(A2764))&gt;0),1,0)</f>
        <v>1</v>
      </c>
      <c r="G2764" s="34" t="n">
        <f aca="false">B2764/1</f>
        <v>58.678</v>
      </c>
      <c r="H2764" s="34" t="n">
        <f aca="false">IF(F2764=1,G2764,"")</f>
        <v>58.678</v>
      </c>
    </row>
    <row r="2765" customFormat="false" ht="15" hidden="false" customHeight="false" outlineLevel="0" collapsed="false">
      <c r="A2765" s="31" t="n">
        <v>42851.125</v>
      </c>
      <c r="B2765" s="32" t="n">
        <v>59.751</v>
      </c>
      <c r="D2765" s="33" t="n">
        <f aca="false">WEEKDAY(A2765,2)</f>
        <v>3</v>
      </c>
      <c r="E2765" s="33" t="n">
        <f aca="false">HOUR(A2765)+MINUTE(A2765)/60</f>
        <v>3</v>
      </c>
      <c r="F2765" s="33" t="n">
        <f aca="false">IF(OR(D2765&gt;5,E2765&lt;8,E2765&gt;=18,COUNTIF($K$2:$K$10,INT(A2765))&gt;0),1,0)</f>
        <v>1</v>
      </c>
      <c r="G2765" s="34" t="n">
        <f aca="false">B2765/1</f>
        <v>59.751</v>
      </c>
      <c r="H2765" s="34" t="n">
        <f aca="false">IF(F2765=1,G2765,"")</f>
        <v>59.751</v>
      </c>
    </row>
    <row r="2766" customFormat="false" ht="15" hidden="false" customHeight="false" outlineLevel="0" collapsed="false">
      <c r="A2766" s="31" t="n">
        <v>42851.1666666667</v>
      </c>
      <c r="B2766" s="32" t="n">
        <v>58.782</v>
      </c>
      <c r="D2766" s="33" t="n">
        <f aca="false">WEEKDAY(A2766,2)</f>
        <v>3</v>
      </c>
      <c r="E2766" s="33" t="n">
        <f aca="false">HOUR(A2766)+MINUTE(A2766)/60</f>
        <v>4</v>
      </c>
      <c r="F2766" s="33" t="n">
        <f aca="false">IF(OR(D2766&gt;5,E2766&lt;8,E2766&gt;=18,COUNTIF($K$2:$K$10,INT(A2766))&gt;0),1,0)</f>
        <v>1</v>
      </c>
      <c r="G2766" s="34" t="n">
        <f aca="false">B2766/1</f>
        <v>58.782</v>
      </c>
      <c r="H2766" s="34" t="n">
        <f aca="false">IF(F2766=1,G2766,"")</f>
        <v>58.782</v>
      </c>
    </row>
    <row r="2767" customFormat="false" ht="15" hidden="false" customHeight="false" outlineLevel="0" collapsed="false">
      <c r="A2767" s="31" t="n">
        <v>42851.2083333333</v>
      </c>
      <c r="B2767" s="32" t="n">
        <v>59.51</v>
      </c>
      <c r="D2767" s="33" t="n">
        <f aca="false">WEEKDAY(A2767,2)</f>
        <v>3</v>
      </c>
      <c r="E2767" s="33" t="n">
        <f aca="false">HOUR(A2767)+MINUTE(A2767)/60</f>
        <v>5</v>
      </c>
      <c r="F2767" s="33" t="n">
        <f aca="false">IF(OR(D2767&gt;5,E2767&lt;8,E2767&gt;=18,COUNTIF($K$2:$K$10,INT(A2767))&gt;0),1,0)</f>
        <v>1</v>
      </c>
      <c r="G2767" s="34" t="n">
        <f aca="false">B2767/1</f>
        <v>59.51</v>
      </c>
      <c r="H2767" s="34" t="n">
        <f aca="false">IF(F2767=1,G2767,"")</f>
        <v>59.51</v>
      </c>
    </row>
    <row r="2768" customFormat="false" ht="15" hidden="false" customHeight="false" outlineLevel="0" collapsed="false">
      <c r="A2768" s="31" t="n">
        <v>42851.25</v>
      </c>
      <c r="B2768" s="32" t="n">
        <v>60.03</v>
      </c>
      <c r="D2768" s="33" t="n">
        <f aca="false">WEEKDAY(A2768,2)</f>
        <v>3</v>
      </c>
      <c r="E2768" s="33" t="n">
        <f aca="false">HOUR(A2768)+MINUTE(A2768)/60</f>
        <v>6</v>
      </c>
      <c r="F2768" s="33" t="n">
        <f aca="false">IF(OR(D2768&gt;5,E2768&lt;8,E2768&gt;=18,COUNTIF($K$2:$K$10,INT(A2768))&gt;0),1,0)</f>
        <v>1</v>
      </c>
      <c r="G2768" s="34" t="n">
        <f aca="false">B2768/1</f>
        <v>60.03</v>
      </c>
      <c r="H2768" s="34" t="n">
        <f aca="false">IF(F2768=1,G2768,"")</f>
        <v>60.03</v>
      </c>
    </row>
    <row r="2769" customFormat="false" ht="15" hidden="false" customHeight="false" outlineLevel="0" collapsed="false">
      <c r="A2769" s="31" t="n">
        <v>42851.2916666667</v>
      </c>
      <c r="B2769" s="32" t="n">
        <v>67.76</v>
      </c>
      <c r="D2769" s="33" t="n">
        <f aca="false">WEEKDAY(A2769,2)</f>
        <v>3</v>
      </c>
      <c r="E2769" s="33" t="n">
        <f aca="false">HOUR(A2769)+MINUTE(A2769)/60</f>
        <v>7</v>
      </c>
      <c r="F2769" s="33" t="n">
        <f aca="false">IF(OR(D2769&gt;5,E2769&lt;8,E2769&gt;=18,COUNTIF($K$2:$K$10,INT(A2769))&gt;0),1,0)</f>
        <v>1</v>
      </c>
      <c r="G2769" s="34" t="n">
        <f aca="false">B2769/1</f>
        <v>67.76</v>
      </c>
      <c r="H2769" s="34" t="n">
        <f aca="false">IF(F2769=1,G2769,"")</f>
        <v>67.76</v>
      </c>
    </row>
    <row r="2770" customFormat="false" ht="15" hidden="false" customHeight="false" outlineLevel="0" collapsed="false">
      <c r="A2770" s="31" t="n">
        <v>42851.3333333333</v>
      </c>
      <c r="B2770" s="32" t="n">
        <v>169.822</v>
      </c>
      <c r="D2770" s="33" t="n">
        <f aca="false">WEEKDAY(A2770,2)</f>
        <v>3</v>
      </c>
      <c r="E2770" s="33" t="n">
        <f aca="false">HOUR(A2770)+MINUTE(A2770)/60</f>
        <v>8</v>
      </c>
      <c r="F2770" s="33" t="n">
        <f aca="false">IF(OR(D2770&gt;5,E2770&lt;8,E2770&gt;=18,COUNTIF($K$2:$K$10,INT(A2770))&gt;0),1,0)</f>
        <v>0</v>
      </c>
      <c r="G2770" s="34" t="n">
        <f aca="false">B2770/1</f>
        <v>169.822</v>
      </c>
      <c r="H2770" s="34" t="str">
        <f aca="false">IF(F2770=1,G2770,"")</f>
        <v/>
      </c>
    </row>
    <row r="2771" customFormat="false" ht="15" hidden="false" customHeight="false" outlineLevel="0" collapsed="false">
      <c r="A2771" s="31" t="n">
        <v>42851.375</v>
      </c>
      <c r="B2771" s="32" t="n">
        <v>215.373</v>
      </c>
      <c r="D2771" s="33" t="n">
        <f aca="false">WEEKDAY(A2771,2)</f>
        <v>3</v>
      </c>
      <c r="E2771" s="33" t="n">
        <f aca="false">HOUR(A2771)+MINUTE(A2771)/60</f>
        <v>9</v>
      </c>
      <c r="F2771" s="33" t="n">
        <f aca="false">IF(OR(D2771&gt;5,E2771&lt;8,E2771&gt;=18,COUNTIF($K$2:$K$10,INT(A2771))&gt;0),1,0)</f>
        <v>0</v>
      </c>
      <c r="G2771" s="34" t="n">
        <f aca="false">B2771/1</f>
        <v>215.373</v>
      </c>
      <c r="H2771" s="34" t="str">
        <f aca="false">IF(F2771=1,G2771,"")</f>
        <v/>
      </c>
    </row>
    <row r="2772" customFormat="false" ht="15" hidden="false" customHeight="false" outlineLevel="0" collapsed="false">
      <c r="A2772" s="31" t="n">
        <v>42851.4166666667</v>
      </c>
      <c r="B2772" s="32" t="n">
        <v>233.804</v>
      </c>
      <c r="D2772" s="33" t="n">
        <f aca="false">WEEKDAY(A2772,2)</f>
        <v>3</v>
      </c>
      <c r="E2772" s="33" t="n">
        <f aca="false">HOUR(A2772)+MINUTE(A2772)/60</f>
        <v>10</v>
      </c>
      <c r="F2772" s="33" t="n">
        <f aca="false">IF(OR(D2772&gt;5,E2772&lt;8,E2772&gt;=18,COUNTIF($K$2:$K$10,INT(A2772))&gt;0),1,0)</f>
        <v>0</v>
      </c>
      <c r="G2772" s="34" t="n">
        <f aca="false">B2772/1</f>
        <v>233.804</v>
      </c>
      <c r="H2772" s="34" t="str">
        <f aca="false">IF(F2772=1,G2772,"")</f>
        <v/>
      </c>
    </row>
    <row r="2773" customFormat="false" ht="15" hidden="false" customHeight="false" outlineLevel="0" collapsed="false">
      <c r="A2773" s="31" t="n">
        <v>42851.4583333333</v>
      </c>
      <c r="B2773" s="32" t="n">
        <v>246.532</v>
      </c>
      <c r="D2773" s="33" t="n">
        <f aca="false">WEEKDAY(A2773,2)</f>
        <v>3</v>
      </c>
      <c r="E2773" s="33" t="n">
        <f aca="false">HOUR(A2773)+MINUTE(A2773)/60</f>
        <v>11</v>
      </c>
      <c r="F2773" s="33" t="n">
        <f aca="false">IF(OR(D2773&gt;5,E2773&lt;8,E2773&gt;=18,COUNTIF($K$2:$K$10,INT(A2773))&gt;0),1,0)</f>
        <v>0</v>
      </c>
      <c r="G2773" s="34" t="n">
        <f aca="false">B2773/1</f>
        <v>246.532</v>
      </c>
      <c r="H2773" s="34" t="str">
        <f aca="false">IF(F2773=1,G2773,"")</f>
        <v/>
      </c>
    </row>
    <row r="2774" customFormat="false" ht="15" hidden="false" customHeight="false" outlineLevel="0" collapsed="false">
      <c r="A2774" s="31" t="n">
        <v>42851.5</v>
      </c>
      <c r="B2774" s="32" t="n">
        <v>260.632</v>
      </c>
      <c r="D2774" s="33" t="n">
        <f aca="false">WEEKDAY(A2774,2)</f>
        <v>3</v>
      </c>
      <c r="E2774" s="33" t="n">
        <f aca="false">HOUR(A2774)+MINUTE(A2774)/60</f>
        <v>12</v>
      </c>
      <c r="F2774" s="33" t="n">
        <f aca="false">IF(OR(D2774&gt;5,E2774&lt;8,E2774&gt;=18,COUNTIF($K$2:$K$10,INT(A2774))&gt;0),1,0)</f>
        <v>0</v>
      </c>
      <c r="G2774" s="34" t="n">
        <f aca="false">B2774/1</f>
        <v>260.632</v>
      </c>
      <c r="H2774" s="34" t="str">
        <f aca="false">IF(F2774=1,G2774,"")</f>
        <v/>
      </c>
    </row>
    <row r="2775" customFormat="false" ht="15" hidden="false" customHeight="false" outlineLevel="0" collapsed="false">
      <c r="A2775" s="31" t="n">
        <v>42851.5416666667</v>
      </c>
      <c r="B2775" s="32" t="n">
        <v>258.154</v>
      </c>
      <c r="D2775" s="33" t="n">
        <f aca="false">WEEKDAY(A2775,2)</f>
        <v>3</v>
      </c>
      <c r="E2775" s="33" t="n">
        <f aca="false">HOUR(A2775)+MINUTE(A2775)/60</f>
        <v>13</v>
      </c>
      <c r="F2775" s="33" t="n">
        <f aca="false">IF(OR(D2775&gt;5,E2775&lt;8,E2775&gt;=18,COUNTIF($K$2:$K$10,INT(A2775))&gt;0),1,0)</f>
        <v>0</v>
      </c>
      <c r="G2775" s="34" t="n">
        <f aca="false">B2775/1</f>
        <v>258.154</v>
      </c>
      <c r="H2775" s="34" t="str">
        <f aca="false">IF(F2775=1,G2775,"")</f>
        <v/>
      </c>
    </row>
    <row r="2776" customFormat="false" ht="15" hidden="false" customHeight="false" outlineLevel="0" collapsed="false">
      <c r="A2776" s="31" t="n">
        <v>42851.5833333333</v>
      </c>
      <c r="B2776" s="32" t="n">
        <v>256.422</v>
      </c>
      <c r="D2776" s="33" t="n">
        <f aca="false">WEEKDAY(A2776,2)</f>
        <v>3</v>
      </c>
      <c r="E2776" s="33" t="n">
        <f aca="false">HOUR(A2776)+MINUTE(A2776)/60</f>
        <v>14</v>
      </c>
      <c r="F2776" s="33" t="n">
        <f aca="false">IF(OR(D2776&gt;5,E2776&lt;8,E2776&gt;=18,COUNTIF($K$2:$K$10,INT(A2776))&gt;0),1,0)</f>
        <v>0</v>
      </c>
      <c r="G2776" s="34" t="n">
        <f aca="false">B2776/1</f>
        <v>256.422</v>
      </c>
      <c r="H2776" s="34" t="str">
        <f aca="false">IF(F2776=1,G2776,"")</f>
        <v/>
      </c>
    </row>
    <row r="2777" customFormat="false" ht="15" hidden="false" customHeight="false" outlineLevel="0" collapsed="false">
      <c r="A2777" s="31" t="n">
        <v>42851.625</v>
      </c>
      <c r="B2777" s="32" t="n">
        <v>256.22</v>
      </c>
      <c r="D2777" s="33" t="n">
        <f aca="false">WEEKDAY(A2777,2)</f>
        <v>3</v>
      </c>
      <c r="E2777" s="33" t="n">
        <f aca="false">HOUR(A2777)+MINUTE(A2777)/60</f>
        <v>15</v>
      </c>
      <c r="F2777" s="33" t="n">
        <f aca="false">IF(OR(D2777&gt;5,E2777&lt;8,E2777&gt;=18,COUNTIF($K$2:$K$10,INT(A2777))&gt;0),1,0)</f>
        <v>0</v>
      </c>
      <c r="G2777" s="34" t="n">
        <f aca="false">B2777/1</f>
        <v>256.22</v>
      </c>
      <c r="H2777" s="34" t="str">
        <f aca="false">IF(F2777=1,G2777,"")</f>
        <v/>
      </c>
    </row>
    <row r="2778" customFormat="false" ht="15" hidden="false" customHeight="false" outlineLevel="0" collapsed="false">
      <c r="A2778" s="31" t="n">
        <v>42851.6666666667</v>
      </c>
      <c r="B2778" s="32" t="n">
        <v>253.904</v>
      </c>
      <c r="D2778" s="33" t="n">
        <f aca="false">WEEKDAY(A2778,2)</f>
        <v>3</v>
      </c>
      <c r="E2778" s="33" t="n">
        <f aca="false">HOUR(A2778)+MINUTE(A2778)/60</f>
        <v>16</v>
      </c>
      <c r="F2778" s="33" t="n">
        <f aca="false">IF(OR(D2778&gt;5,E2778&lt;8,E2778&gt;=18,COUNTIF($K$2:$K$10,INT(A2778))&gt;0),1,0)</f>
        <v>0</v>
      </c>
      <c r="G2778" s="34" t="n">
        <f aca="false">B2778/1</f>
        <v>253.904</v>
      </c>
      <c r="H2778" s="34" t="str">
        <f aca="false">IF(F2778=1,G2778,"")</f>
        <v/>
      </c>
    </row>
    <row r="2779" customFormat="false" ht="15" hidden="false" customHeight="false" outlineLevel="0" collapsed="false">
      <c r="A2779" s="31" t="n">
        <v>42851.7083333333</v>
      </c>
      <c r="B2779" s="32" t="n">
        <v>237.823</v>
      </c>
      <c r="D2779" s="33" t="n">
        <f aca="false">WEEKDAY(A2779,2)</f>
        <v>3</v>
      </c>
      <c r="E2779" s="33" t="n">
        <f aca="false">HOUR(A2779)+MINUTE(A2779)/60</f>
        <v>17</v>
      </c>
      <c r="F2779" s="33" t="n">
        <f aca="false">IF(OR(D2779&gt;5,E2779&lt;8,E2779&gt;=18,COUNTIF($K$2:$K$10,INT(A2779))&gt;0),1,0)</f>
        <v>0</v>
      </c>
      <c r="G2779" s="34" t="n">
        <f aca="false">B2779/1</f>
        <v>237.823</v>
      </c>
      <c r="H2779" s="34" t="str">
        <f aca="false">IF(F2779=1,G2779,"")</f>
        <v/>
      </c>
    </row>
    <row r="2780" customFormat="false" ht="15" hidden="false" customHeight="false" outlineLevel="0" collapsed="false">
      <c r="A2780" s="31" t="n">
        <v>42851.75</v>
      </c>
      <c r="B2780" s="32" t="n">
        <v>215.649</v>
      </c>
      <c r="D2780" s="33" t="n">
        <f aca="false">WEEKDAY(A2780,2)</f>
        <v>3</v>
      </c>
      <c r="E2780" s="33" t="n">
        <f aca="false">HOUR(A2780)+MINUTE(A2780)/60</f>
        <v>18</v>
      </c>
      <c r="F2780" s="33" t="n">
        <f aca="false">IF(OR(D2780&gt;5,E2780&lt;8,E2780&gt;=18,COUNTIF($K$2:$K$10,INT(A2780))&gt;0),1,0)</f>
        <v>1</v>
      </c>
      <c r="G2780" s="34" t="n">
        <f aca="false">B2780/1</f>
        <v>215.649</v>
      </c>
      <c r="H2780" s="34" t="n">
        <f aca="false">IF(F2780=1,G2780,"")</f>
        <v>215.649</v>
      </c>
    </row>
    <row r="2781" customFormat="false" ht="15" hidden="false" customHeight="false" outlineLevel="0" collapsed="false">
      <c r="A2781" s="31" t="n">
        <v>42851.7916666667</v>
      </c>
      <c r="B2781" s="32" t="n">
        <v>203.759</v>
      </c>
      <c r="D2781" s="33" t="n">
        <f aca="false">WEEKDAY(A2781,2)</f>
        <v>3</v>
      </c>
      <c r="E2781" s="33" t="n">
        <f aca="false">HOUR(A2781)+MINUTE(A2781)/60</f>
        <v>19</v>
      </c>
      <c r="F2781" s="33" t="n">
        <f aca="false">IF(OR(D2781&gt;5,E2781&lt;8,E2781&gt;=18,COUNTIF($K$2:$K$10,INT(A2781))&gt;0),1,0)</f>
        <v>1</v>
      </c>
      <c r="G2781" s="34" t="n">
        <f aca="false">B2781/1</f>
        <v>203.759</v>
      </c>
      <c r="H2781" s="34" t="n">
        <f aca="false">IF(F2781=1,G2781,"")</f>
        <v>203.759</v>
      </c>
    </row>
    <row r="2782" customFormat="false" ht="15" hidden="false" customHeight="false" outlineLevel="0" collapsed="false">
      <c r="A2782" s="31" t="n">
        <v>42851.8333333333</v>
      </c>
      <c r="B2782" s="32" t="n">
        <v>198.153</v>
      </c>
      <c r="D2782" s="33" t="n">
        <f aca="false">WEEKDAY(A2782,2)</f>
        <v>3</v>
      </c>
      <c r="E2782" s="33" t="n">
        <f aca="false">HOUR(A2782)+MINUTE(A2782)/60</f>
        <v>20</v>
      </c>
      <c r="F2782" s="33" t="n">
        <f aca="false">IF(OR(D2782&gt;5,E2782&lt;8,E2782&gt;=18,COUNTIF($K$2:$K$10,INT(A2782))&gt;0),1,0)</f>
        <v>1</v>
      </c>
      <c r="G2782" s="34" t="n">
        <f aca="false">B2782/1</f>
        <v>198.153</v>
      </c>
      <c r="H2782" s="34" t="n">
        <f aca="false">IF(F2782=1,G2782,"")</f>
        <v>198.153</v>
      </c>
    </row>
    <row r="2783" customFormat="false" ht="15" hidden="false" customHeight="false" outlineLevel="0" collapsed="false">
      <c r="A2783" s="31" t="n">
        <v>42851.875</v>
      </c>
      <c r="B2783" s="32" t="n">
        <v>189.485</v>
      </c>
      <c r="D2783" s="33" t="n">
        <f aca="false">WEEKDAY(A2783,2)</f>
        <v>3</v>
      </c>
      <c r="E2783" s="33" t="n">
        <f aca="false">HOUR(A2783)+MINUTE(A2783)/60</f>
        <v>21</v>
      </c>
      <c r="F2783" s="33" t="n">
        <f aca="false">IF(OR(D2783&gt;5,E2783&lt;8,E2783&gt;=18,COUNTIF($K$2:$K$10,INT(A2783))&gt;0),1,0)</f>
        <v>1</v>
      </c>
      <c r="G2783" s="34" t="n">
        <f aca="false">B2783/1</f>
        <v>189.485</v>
      </c>
      <c r="H2783" s="34" t="n">
        <f aca="false">IF(F2783=1,G2783,"")</f>
        <v>189.485</v>
      </c>
    </row>
    <row r="2784" customFormat="false" ht="15" hidden="false" customHeight="false" outlineLevel="0" collapsed="false">
      <c r="A2784" s="31" t="n">
        <v>42851.9166666667</v>
      </c>
      <c r="B2784" s="32" t="n">
        <v>133.038</v>
      </c>
      <c r="D2784" s="33" t="n">
        <f aca="false">WEEKDAY(A2784,2)</f>
        <v>3</v>
      </c>
      <c r="E2784" s="33" t="n">
        <f aca="false">HOUR(A2784)+MINUTE(A2784)/60</f>
        <v>22</v>
      </c>
      <c r="F2784" s="33" t="n">
        <f aca="false">IF(OR(D2784&gt;5,E2784&lt;8,E2784&gt;=18,COUNTIF($K$2:$K$10,INT(A2784))&gt;0),1,0)</f>
        <v>1</v>
      </c>
      <c r="G2784" s="34" t="n">
        <f aca="false">B2784/1</f>
        <v>133.038</v>
      </c>
      <c r="H2784" s="34" t="n">
        <f aca="false">IF(F2784=1,G2784,"")</f>
        <v>133.038</v>
      </c>
    </row>
    <row r="2785" customFormat="false" ht="15" hidden="false" customHeight="false" outlineLevel="0" collapsed="false">
      <c r="A2785" s="31" t="n">
        <v>42851.9583333333</v>
      </c>
      <c r="B2785" s="32" t="n">
        <v>70.024</v>
      </c>
      <c r="D2785" s="33" t="n">
        <f aca="false">WEEKDAY(A2785,2)</f>
        <v>3</v>
      </c>
      <c r="E2785" s="33" t="n">
        <f aca="false">HOUR(A2785)+MINUTE(A2785)/60</f>
        <v>23</v>
      </c>
      <c r="F2785" s="33" t="n">
        <f aca="false">IF(OR(D2785&gt;5,E2785&lt;8,E2785&gt;=18,COUNTIF($K$2:$K$10,INT(A2785))&gt;0),1,0)</f>
        <v>1</v>
      </c>
      <c r="G2785" s="34" t="n">
        <f aca="false">B2785/1</f>
        <v>70.024</v>
      </c>
      <c r="H2785" s="34" t="n">
        <f aca="false">IF(F2785=1,G2785,"")</f>
        <v>70.024</v>
      </c>
    </row>
    <row r="2786" customFormat="false" ht="15" hidden="false" customHeight="false" outlineLevel="0" collapsed="false">
      <c r="A2786" s="31" t="n">
        <v>42852</v>
      </c>
      <c r="B2786" s="32" t="n">
        <v>61.746</v>
      </c>
      <c r="D2786" s="33" t="n">
        <f aca="false">WEEKDAY(A2786,2)</f>
        <v>4</v>
      </c>
      <c r="E2786" s="33" t="n">
        <f aca="false">HOUR(A2786)+MINUTE(A2786)/60</f>
        <v>0</v>
      </c>
      <c r="F2786" s="33" t="n">
        <f aca="false">IF(OR(D2786&gt;5,E2786&lt;8,E2786&gt;=18,COUNTIF($K$2:$K$10,INT(A2786))&gt;0),1,0)</f>
        <v>1</v>
      </c>
      <c r="G2786" s="34" t="n">
        <f aca="false">B2786/1</f>
        <v>61.746</v>
      </c>
      <c r="H2786" s="34" t="n">
        <f aca="false">IF(F2786=1,G2786,"")</f>
        <v>61.746</v>
      </c>
    </row>
    <row r="2787" customFormat="false" ht="15" hidden="false" customHeight="false" outlineLevel="0" collapsed="false">
      <c r="A2787" s="31" t="n">
        <v>42852.0416666667</v>
      </c>
      <c r="B2787" s="32" t="n">
        <v>57.754</v>
      </c>
      <c r="D2787" s="33" t="n">
        <f aca="false">WEEKDAY(A2787,2)</f>
        <v>4</v>
      </c>
      <c r="E2787" s="33" t="n">
        <f aca="false">HOUR(A2787)+MINUTE(A2787)/60</f>
        <v>1</v>
      </c>
      <c r="F2787" s="33" t="n">
        <f aca="false">IF(OR(D2787&gt;5,E2787&lt;8,E2787&gt;=18,COUNTIF($K$2:$K$10,INT(A2787))&gt;0),1,0)</f>
        <v>1</v>
      </c>
      <c r="G2787" s="34" t="n">
        <f aca="false">B2787/1</f>
        <v>57.754</v>
      </c>
      <c r="H2787" s="34" t="n">
        <f aca="false">IF(F2787=1,G2787,"")</f>
        <v>57.754</v>
      </c>
    </row>
    <row r="2788" customFormat="false" ht="15" hidden="false" customHeight="false" outlineLevel="0" collapsed="false">
      <c r="A2788" s="31" t="n">
        <v>42852.0833333333</v>
      </c>
      <c r="B2788" s="32" t="n">
        <v>60.534</v>
      </c>
      <c r="D2788" s="33" t="n">
        <f aca="false">WEEKDAY(A2788,2)</f>
        <v>4</v>
      </c>
      <c r="E2788" s="33" t="n">
        <f aca="false">HOUR(A2788)+MINUTE(A2788)/60</f>
        <v>2</v>
      </c>
      <c r="F2788" s="33" t="n">
        <f aca="false">IF(OR(D2788&gt;5,E2788&lt;8,E2788&gt;=18,COUNTIF($K$2:$K$10,INT(A2788))&gt;0),1,0)</f>
        <v>1</v>
      </c>
      <c r="G2788" s="34" t="n">
        <f aca="false">B2788/1</f>
        <v>60.534</v>
      </c>
      <c r="H2788" s="34" t="n">
        <f aca="false">IF(F2788=1,G2788,"")</f>
        <v>60.534</v>
      </c>
    </row>
    <row r="2789" customFormat="false" ht="15" hidden="false" customHeight="false" outlineLevel="0" collapsed="false">
      <c r="A2789" s="31" t="n">
        <v>42852.125</v>
      </c>
      <c r="B2789" s="32" t="n">
        <v>59.376</v>
      </c>
      <c r="D2789" s="33" t="n">
        <f aca="false">WEEKDAY(A2789,2)</f>
        <v>4</v>
      </c>
      <c r="E2789" s="33" t="n">
        <f aca="false">HOUR(A2789)+MINUTE(A2789)/60</f>
        <v>3</v>
      </c>
      <c r="F2789" s="33" t="n">
        <f aca="false">IF(OR(D2789&gt;5,E2789&lt;8,E2789&gt;=18,COUNTIF($K$2:$K$10,INT(A2789))&gt;0),1,0)</f>
        <v>1</v>
      </c>
      <c r="G2789" s="34" t="n">
        <f aca="false">B2789/1</f>
        <v>59.376</v>
      </c>
      <c r="H2789" s="34" t="n">
        <f aca="false">IF(F2789=1,G2789,"")</f>
        <v>59.376</v>
      </c>
    </row>
    <row r="2790" customFormat="false" ht="15" hidden="false" customHeight="false" outlineLevel="0" collapsed="false">
      <c r="A2790" s="31" t="n">
        <v>42852.1666666667</v>
      </c>
      <c r="B2790" s="32" t="n">
        <v>56.736</v>
      </c>
      <c r="D2790" s="33" t="n">
        <f aca="false">WEEKDAY(A2790,2)</f>
        <v>4</v>
      </c>
      <c r="E2790" s="33" t="n">
        <f aca="false">HOUR(A2790)+MINUTE(A2790)/60</f>
        <v>4</v>
      </c>
      <c r="F2790" s="33" t="n">
        <f aca="false">IF(OR(D2790&gt;5,E2790&lt;8,E2790&gt;=18,COUNTIF($K$2:$K$10,INT(A2790))&gt;0),1,0)</f>
        <v>1</v>
      </c>
      <c r="G2790" s="34" t="n">
        <f aca="false">B2790/1</f>
        <v>56.736</v>
      </c>
      <c r="H2790" s="34" t="n">
        <f aca="false">IF(F2790=1,G2790,"")</f>
        <v>56.736</v>
      </c>
    </row>
    <row r="2791" customFormat="false" ht="15" hidden="false" customHeight="false" outlineLevel="0" collapsed="false">
      <c r="A2791" s="31" t="n">
        <v>42852.2083333333</v>
      </c>
      <c r="B2791" s="32" t="n">
        <v>56.433</v>
      </c>
      <c r="D2791" s="33" t="n">
        <f aca="false">WEEKDAY(A2791,2)</f>
        <v>4</v>
      </c>
      <c r="E2791" s="33" t="n">
        <f aca="false">HOUR(A2791)+MINUTE(A2791)/60</f>
        <v>5</v>
      </c>
      <c r="F2791" s="33" t="n">
        <f aca="false">IF(OR(D2791&gt;5,E2791&lt;8,E2791&gt;=18,COUNTIF($K$2:$K$10,INT(A2791))&gt;0),1,0)</f>
        <v>1</v>
      </c>
      <c r="G2791" s="34" t="n">
        <f aca="false">B2791/1</f>
        <v>56.433</v>
      </c>
      <c r="H2791" s="34" t="n">
        <f aca="false">IF(F2791=1,G2791,"")</f>
        <v>56.433</v>
      </c>
    </row>
    <row r="2792" customFormat="false" ht="15" hidden="false" customHeight="false" outlineLevel="0" collapsed="false">
      <c r="A2792" s="31" t="n">
        <v>42852.25</v>
      </c>
      <c r="B2792" s="32" t="n">
        <v>57.844</v>
      </c>
      <c r="D2792" s="33" t="n">
        <f aca="false">WEEKDAY(A2792,2)</f>
        <v>4</v>
      </c>
      <c r="E2792" s="33" t="n">
        <f aca="false">HOUR(A2792)+MINUTE(A2792)/60</f>
        <v>6</v>
      </c>
      <c r="F2792" s="33" t="n">
        <f aca="false">IF(OR(D2792&gt;5,E2792&lt;8,E2792&gt;=18,COUNTIF($K$2:$K$10,INT(A2792))&gt;0),1,0)</f>
        <v>1</v>
      </c>
      <c r="G2792" s="34" t="n">
        <f aca="false">B2792/1</f>
        <v>57.844</v>
      </c>
      <c r="H2792" s="34" t="n">
        <f aca="false">IF(F2792=1,G2792,"")</f>
        <v>57.844</v>
      </c>
    </row>
    <row r="2793" customFormat="false" ht="15" hidden="false" customHeight="false" outlineLevel="0" collapsed="false">
      <c r="A2793" s="31" t="n">
        <v>42852.2916666667</v>
      </c>
      <c r="B2793" s="32" t="n">
        <v>63.738</v>
      </c>
      <c r="D2793" s="33" t="n">
        <f aca="false">WEEKDAY(A2793,2)</f>
        <v>4</v>
      </c>
      <c r="E2793" s="33" t="n">
        <f aca="false">HOUR(A2793)+MINUTE(A2793)/60</f>
        <v>7</v>
      </c>
      <c r="F2793" s="33" t="n">
        <f aca="false">IF(OR(D2793&gt;5,E2793&lt;8,E2793&gt;=18,COUNTIF($K$2:$K$10,INT(A2793))&gt;0),1,0)</f>
        <v>1</v>
      </c>
      <c r="G2793" s="34" t="n">
        <f aca="false">B2793/1</f>
        <v>63.738</v>
      </c>
      <c r="H2793" s="34" t="n">
        <f aca="false">IF(F2793=1,G2793,"")</f>
        <v>63.738</v>
      </c>
    </row>
    <row r="2794" customFormat="false" ht="15" hidden="false" customHeight="false" outlineLevel="0" collapsed="false">
      <c r="A2794" s="31" t="n">
        <v>42852.3333333333</v>
      </c>
      <c r="B2794" s="32" t="n">
        <v>171.002</v>
      </c>
      <c r="D2794" s="33" t="n">
        <f aca="false">WEEKDAY(A2794,2)</f>
        <v>4</v>
      </c>
      <c r="E2794" s="33" t="n">
        <f aca="false">HOUR(A2794)+MINUTE(A2794)/60</f>
        <v>8</v>
      </c>
      <c r="F2794" s="33" t="n">
        <f aca="false">IF(OR(D2794&gt;5,E2794&lt;8,E2794&gt;=18,COUNTIF($K$2:$K$10,INT(A2794))&gt;0),1,0)</f>
        <v>0</v>
      </c>
      <c r="G2794" s="34" t="n">
        <f aca="false">B2794/1</f>
        <v>171.002</v>
      </c>
      <c r="H2794" s="34" t="str">
        <f aca="false">IF(F2794=1,G2794,"")</f>
        <v/>
      </c>
    </row>
    <row r="2795" customFormat="false" ht="15" hidden="false" customHeight="false" outlineLevel="0" collapsed="false">
      <c r="A2795" s="31" t="n">
        <v>42852.375</v>
      </c>
      <c r="B2795" s="32" t="n">
        <v>218.621</v>
      </c>
      <c r="D2795" s="33" t="n">
        <f aca="false">WEEKDAY(A2795,2)</f>
        <v>4</v>
      </c>
      <c r="E2795" s="33" t="n">
        <f aca="false">HOUR(A2795)+MINUTE(A2795)/60</f>
        <v>9</v>
      </c>
      <c r="F2795" s="33" t="n">
        <f aca="false">IF(OR(D2795&gt;5,E2795&lt;8,E2795&gt;=18,COUNTIF($K$2:$K$10,INT(A2795))&gt;0),1,0)</f>
        <v>0</v>
      </c>
      <c r="G2795" s="34" t="n">
        <f aca="false">B2795/1</f>
        <v>218.621</v>
      </c>
      <c r="H2795" s="34" t="str">
        <f aca="false">IF(F2795=1,G2795,"")</f>
        <v/>
      </c>
    </row>
    <row r="2796" customFormat="false" ht="15" hidden="false" customHeight="false" outlineLevel="0" collapsed="false">
      <c r="A2796" s="31" t="n">
        <v>42852.4166666667</v>
      </c>
      <c r="B2796" s="32" t="n">
        <v>247.615</v>
      </c>
      <c r="D2796" s="33" t="n">
        <f aca="false">WEEKDAY(A2796,2)</f>
        <v>4</v>
      </c>
      <c r="E2796" s="33" t="n">
        <f aca="false">HOUR(A2796)+MINUTE(A2796)/60</f>
        <v>10</v>
      </c>
      <c r="F2796" s="33" t="n">
        <f aca="false">IF(OR(D2796&gt;5,E2796&lt;8,E2796&gt;=18,COUNTIF($K$2:$K$10,INT(A2796))&gt;0),1,0)</f>
        <v>0</v>
      </c>
      <c r="G2796" s="34" t="n">
        <f aca="false">B2796/1</f>
        <v>247.615</v>
      </c>
      <c r="H2796" s="34" t="str">
        <f aca="false">IF(F2796=1,G2796,"")</f>
        <v/>
      </c>
    </row>
    <row r="2797" customFormat="false" ht="15" hidden="false" customHeight="false" outlineLevel="0" collapsed="false">
      <c r="A2797" s="31" t="n">
        <v>42852.4583333333</v>
      </c>
      <c r="B2797" s="32" t="n">
        <v>253.085</v>
      </c>
      <c r="D2797" s="33" t="n">
        <f aca="false">WEEKDAY(A2797,2)</f>
        <v>4</v>
      </c>
      <c r="E2797" s="33" t="n">
        <f aca="false">HOUR(A2797)+MINUTE(A2797)/60</f>
        <v>11</v>
      </c>
      <c r="F2797" s="33" t="n">
        <f aca="false">IF(OR(D2797&gt;5,E2797&lt;8,E2797&gt;=18,COUNTIF($K$2:$K$10,INT(A2797))&gt;0),1,0)</f>
        <v>0</v>
      </c>
      <c r="G2797" s="34" t="n">
        <f aca="false">B2797/1</f>
        <v>253.085</v>
      </c>
      <c r="H2797" s="34" t="str">
        <f aca="false">IF(F2797=1,G2797,"")</f>
        <v/>
      </c>
    </row>
    <row r="2798" customFormat="false" ht="15" hidden="false" customHeight="false" outlineLevel="0" collapsed="false">
      <c r="A2798" s="31" t="n">
        <v>42852.5</v>
      </c>
      <c r="B2798" s="32" t="n">
        <v>257.874</v>
      </c>
      <c r="D2798" s="33" t="n">
        <f aca="false">WEEKDAY(A2798,2)</f>
        <v>4</v>
      </c>
      <c r="E2798" s="33" t="n">
        <f aca="false">HOUR(A2798)+MINUTE(A2798)/60</f>
        <v>12</v>
      </c>
      <c r="F2798" s="33" t="n">
        <f aca="false">IF(OR(D2798&gt;5,E2798&lt;8,E2798&gt;=18,COUNTIF($K$2:$K$10,INT(A2798))&gt;0),1,0)</f>
        <v>0</v>
      </c>
      <c r="G2798" s="34" t="n">
        <f aca="false">B2798/1</f>
        <v>257.874</v>
      </c>
      <c r="H2798" s="34" t="str">
        <f aca="false">IF(F2798=1,G2798,"")</f>
        <v/>
      </c>
    </row>
    <row r="2799" customFormat="false" ht="15" hidden="false" customHeight="false" outlineLevel="0" collapsed="false">
      <c r="A2799" s="31" t="n">
        <v>42852.5416666667</v>
      </c>
      <c r="B2799" s="32" t="n">
        <v>258.113</v>
      </c>
      <c r="D2799" s="33" t="n">
        <f aca="false">WEEKDAY(A2799,2)</f>
        <v>4</v>
      </c>
      <c r="E2799" s="33" t="n">
        <f aca="false">HOUR(A2799)+MINUTE(A2799)/60</f>
        <v>13</v>
      </c>
      <c r="F2799" s="33" t="n">
        <f aca="false">IF(OR(D2799&gt;5,E2799&lt;8,E2799&gt;=18,COUNTIF($K$2:$K$10,INT(A2799))&gt;0),1,0)</f>
        <v>0</v>
      </c>
      <c r="G2799" s="34" t="n">
        <f aca="false">B2799/1</f>
        <v>258.113</v>
      </c>
      <c r="H2799" s="34" t="str">
        <f aca="false">IF(F2799=1,G2799,"")</f>
        <v/>
      </c>
    </row>
    <row r="2800" customFormat="false" ht="15" hidden="false" customHeight="false" outlineLevel="0" collapsed="false">
      <c r="A2800" s="31" t="n">
        <v>42852.5833333333</v>
      </c>
      <c r="B2800" s="32" t="n">
        <v>263.285</v>
      </c>
      <c r="D2800" s="33" t="n">
        <f aca="false">WEEKDAY(A2800,2)</f>
        <v>4</v>
      </c>
      <c r="E2800" s="33" t="n">
        <f aca="false">HOUR(A2800)+MINUTE(A2800)/60</f>
        <v>14</v>
      </c>
      <c r="F2800" s="33" t="n">
        <f aca="false">IF(OR(D2800&gt;5,E2800&lt;8,E2800&gt;=18,COUNTIF($K$2:$K$10,INT(A2800))&gt;0),1,0)</f>
        <v>0</v>
      </c>
      <c r="G2800" s="34" t="n">
        <f aca="false">B2800/1</f>
        <v>263.285</v>
      </c>
      <c r="H2800" s="34" t="str">
        <f aca="false">IF(F2800=1,G2800,"")</f>
        <v/>
      </c>
    </row>
    <row r="2801" customFormat="false" ht="15" hidden="false" customHeight="false" outlineLevel="0" collapsed="false">
      <c r="A2801" s="31" t="n">
        <v>42852.625</v>
      </c>
      <c r="B2801" s="32" t="n">
        <v>253.369</v>
      </c>
      <c r="D2801" s="33" t="n">
        <f aca="false">WEEKDAY(A2801,2)</f>
        <v>4</v>
      </c>
      <c r="E2801" s="33" t="n">
        <f aca="false">HOUR(A2801)+MINUTE(A2801)/60</f>
        <v>15</v>
      </c>
      <c r="F2801" s="33" t="n">
        <f aca="false">IF(OR(D2801&gt;5,E2801&lt;8,E2801&gt;=18,COUNTIF($K$2:$K$10,INT(A2801))&gt;0),1,0)</f>
        <v>0</v>
      </c>
      <c r="G2801" s="34" t="n">
        <f aca="false">B2801/1</f>
        <v>253.369</v>
      </c>
      <c r="H2801" s="34" t="str">
        <f aca="false">IF(F2801=1,G2801,"")</f>
        <v/>
      </c>
    </row>
    <row r="2802" customFormat="false" ht="15" hidden="false" customHeight="false" outlineLevel="0" collapsed="false">
      <c r="A2802" s="31" t="n">
        <v>42852.6666666667</v>
      </c>
      <c r="B2802" s="32" t="n">
        <v>246.87</v>
      </c>
      <c r="D2802" s="33" t="n">
        <f aca="false">WEEKDAY(A2802,2)</f>
        <v>4</v>
      </c>
      <c r="E2802" s="33" t="n">
        <f aca="false">HOUR(A2802)+MINUTE(A2802)/60</f>
        <v>16</v>
      </c>
      <c r="F2802" s="33" t="n">
        <f aca="false">IF(OR(D2802&gt;5,E2802&lt;8,E2802&gt;=18,COUNTIF($K$2:$K$10,INT(A2802))&gt;0),1,0)</f>
        <v>0</v>
      </c>
      <c r="G2802" s="34" t="n">
        <f aca="false">B2802/1</f>
        <v>246.87</v>
      </c>
      <c r="H2802" s="34" t="str">
        <f aca="false">IF(F2802=1,G2802,"")</f>
        <v/>
      </c>
    </row>
    <row r="2803" customFormat="false" ht="15" hidden="false" customHeight="false" outlineLevel="0" collapsed="false">
      <c r="A2803" s="31" t="n">
        <v>42852.7083333333</v>
      </c>
      <c r="B2803" s="32" t="n">
        <v>236.457</v>
      </c>
      <c r="D2803" s="33" t="n">
        <f aca="false">WEEKDAY(A2803,2)</f>
        <v>4</v>
      </c>
      <c r="E2803" s="33" t="n">
        <f aca="false">HOUR(A2803)+MINUTE(A2803)/60</f>
        <v>17</v>
      </c>
      <c r="F2803" s="33" t="n">
        <f aca="false">IF(OR(D2803&gt;5,E2803&lt;8,E2803&gt;=18,COUNTIF($K$2:$K$10,INT(A2803))&gt;0),1,0)</f>
        <v>0</v>
      </c>
      <c r="G2803" s="34" t="n">
        <f aca="false">B2803/1</f>
        <v>236.457</v>
      </c>
      <c r="H2803" s="34" t="str">
        <f aca="false">IF(F2803=1,G2803,"")</f>
        <v/>
      </c>
    </row>
    <row r="2804" customFormat="false" ht="15" hidden="false" customHeight="false" outlineLevel="0" collapsed="false">
      <c r="A2804" s="31" t="n">
        <v>42852.75</v>
      </c>
      <c r="B2804" s="32" t="n">
        <v>221.175</v>
      </c>
      <c r="D2804" s="33" t="n">
        <f aca="false">WEEKDAY(A2804,2)</f>
        <v>4</v>
      </c>
      <c r="E2804" s="33" t="n">
        <f aca="false">HOUR(A2804)+MINUTE(A2804)/60</f>
        <v>18</v>
      </c>
      <c r="F2804" s="33" t="n">
        <f aca="false">IF(OR(D2804&gt;5,E2804&lt;8,E2804&gt;=18,COUNTIF($K$2:$K$10,INT(A2804))&gt;0),1,0)</f>
        <v>1</v>
      </c>
      <c r="G2804" s="34" t="n">
        <f aca="false">B2804/1</f>
        <v>221.175</v>
      </c>
      <c r="H2804" s="34" t="n">
        <f aca="false">IF(F2804=1,G2804,"")</f>
        <v>221.175</v>
      </c>
    </row>
    <row r="2805" customFormat="false" ht="15" hidden="false" customHeight="false" outlineLevel="0" collapsed="false">
      <c r="A2805" s="31" t="n">
        <v>42852.7916666667</v>
      </c>
      <c r="B2805" s="32" t="n">
        <v>217.108</v>
      </c>
      <c r="D2805" s="33" t="n">
        <f aca="false">WEEKDAY(A2805,2)</f>
        <v>4</v>
      </c>
      <c r="E2805" s="33" t="n">
        <f aca="false">HOUR(A2805)+MINUTE(A2805)/60</f>
        <v>19</v>
      </c>
      <c r="F2805" s="33" t="n">
        <f aca="false">IF(OR(D2805&gt;5,E2805&lt;8,E2805&gt;=18,COUNTIF($K$2:$K$10,INT(A2805))&gt;0),1,0)</f>
        <v>1</v>
      </c>
      <c r="G2805" s="34" t="n">
        <f aca="false">B2805/1</f>
        <v>217.108</v>
      </c>
      <c r="H2805" s="34" t="n">
        <f aca="false">IF(F2805=1,G2805,"")</f>
        <v>217.108</v>
      </c>
    </row>
    <row r="2806" customFormat="false" ht="15" hidden="false" customHeight="false" outlineLevel="0" collapsed="false">
      <c r="A2806" s="31" t="n">
        <v>42852.8333333333</v>
      </c>
      <c r="B2806" s="32" t="n">
        <v>208.834</v>
      </c>
      <c r="D2806" s="33" t="n">
        <f aca="false">WEEKDAY(A2806,2)</f>
        <v>4</v>
      </c>
      <c r="E2806" s="33" t="n">
        <f aca="false">HOUR(A2806)+MINUTE(A2806)/60</f>
        <v>20</v>
      </c>
      <c r="F2806" s="33" t="n">
        <f aca="false">IF(OR(D2806&gt;5,E2806&lt;8,E2806&gt;=18,COUNTIF($K$2:$K$10,INT(A2806))&gt;0),1,0)</f>
        <v>1</v>
      </c>
      <c r="G2806" s="34" t="n">
        <f aca="false">B2806/1</f>
        <v>208.834</v>
      </c>
      <c r="H2806" s="34" t="n">
        <f aca="false">IF(F2806=1,G2806,"")</f>
        <v>208.834</v>
      </c>
    </row>
    <row r="2807" customFormat="false" ht="15" hidden="false" customHeight="false" outlineLevel="0" collapsed="false">
      <c r="A2807" s="31" t="n">
        <v>42852.875</v>
      </c>
      <c r="B2807" s="32" t="n">
        <v>198.835</v>
      </c>
      <c r="D2807" s="33" t="n">
        <f aca="false">WEEKDAY(A2807,2)</f>
        <v>4</v>
      </c>
      <c r="E2807" s="33" t="n">
        <f aca="false">HOUR(A2807)+MINUTE(A2807)/60</f>
        <v>21</v>
      </c>
      <c r="F2807" s="33" t="n">
        <f aca="false">IF(OR(D2807&gt;5,E2807&lt;8,E2807&gt;=18,COUNTIF($K$2:$K$10,INT(A2807))&gt;0),1,0)</f>
        <v>1</v>
      </c>
      <c r="G2807" s="34" t="n">
        <f aca="false">B2807/1</f>
        <v>198.835</v>
      </c>
      <c r="H2807" s="34" t="n">
        <f aca="false">IF(F2807=1,G2807,"")</f>
        <v>198.835</v>
      </c>
    </row>
    <row r="2808" customFormat="false" ht="15" hidden="false" customHeight="false" outlineLevel="0" collapsed="false">
      <c r="A2808" s="31" t="n">
        <v>42852.9166666667</v>
      </c>
      <c r="B2808" s="32" t="n">
        <v>136.975</v>
      </c>
      <c r="D2808" s="33" t="n">
        <f aca="false">WEEKDAY(A2808,2)</f>
        <v>4</v>
      </c>
      <c r="E2808" s="33" t="n">
        <f aca="false">HOUR(A2808)+MINUTE(A2808)/60</f>
        <v>22</v>
      </c>
      <c r="F2808" s="33" t="n">
        <f aca="false">IF(OR(D2808&gt;5,E2808&lt;8,E2808&gt;=18,COUNTIF($K$2:$K$10,INT(A2808))&gt;0),1,0)</f>
        <v>1</v>
      </c>
      <c r="G2808" s="34" t="n">
        <f aca="false">B2808/1</f>
        <v>136.975</v>
      </c>
      <c r="H2808" s="34" t="n">
        <f aca="false">IF(F2808=1,G2808,"")</f>
        <v>136.975</v>
      </c>
    </row>
    <row r="2809" customFormat="false" ht="15" hidden="false" customHeight="false" outlineLevel="0" collapsed="false">
      <c r="A2809" s="31" t="n">
        <v>42852.9583333333</v>
      </c>
      <c r="B2809" s="32" t="n">
        <v>71.035</v>
      </c>
      <c r="D2809" s="33" t="n">
        <f aca="false">WEEKDAY(A2809,2)</f>
        <v>4</v>
      </c>
      <c r="E2809" s="33" t="n">
        <f aca="false">HOUR(A2809)+MINUTE(A2809)/60</f>
        <v>23</v>
      </c>
      <c r="F2809" s="33" t="n">
        <f aca="false">IF(OR(D2809&gt;5,E2809&lt;8,E2809&gt;=18,COUNTIF($K$2:$K$10,INT(A2809))&gt;0),1,0)</f>
        <v>1</v>
      </c>
      <c r="G2809" s="34" t="n">
        <f aca="false">B2809/1</f>
        <v>71.035</v>
      </c>
      <c r="H2809" s="34" t="n">
        <f aca="false">IF(F2809=1,G2809,"")</f>
        <v>71.035</v>
      </c>
    </row>
    <row r="2810" customFormat="false" ht="15" hidden="false" customHeight="false" outlineLevel="0" collapsed="false">
      <c r="A2810" s="31" t="n">
        <v>42853</v>
      </c>
      <c r="B2810" s="32" t="n">
        <v>65.654</v>
      </c>
      <c r="D2810" s="33" t="n">
        <f aca="false">WEEKDAY(A2810,2)</f>
        <v>5</v>
      </c>
      <c r="E2810" s="33" t="n">
        <f aca="false">HOUR(A2810)+MINUTE(A2810)/60</f>
        <v>0</v>
      </c>
      <c r="F2810" s="33" t="n">
        <f aca="false">IF(OR(D2810&gt;5,E2810&lt;8,E2810&gt;=18,COUNTIF($K$2:$K$10,INT(A2810))&gt;0),1,0)</f>
        <v>1</v>
      </c>
      <c r="G2810" s="34" t="n">
        <f aca="false">B2810/1</f>
        <v>65.654</v>
      </c>
      <c r="H2810" s="34" t="n">
        <f aca="false">IF(F2810=1,G2810,"")</f>
        <v>65.654</v>
      </c>
    </row>
    <row r="2811" customFormat="false" ht="15" hidden="false" customHeight="false" outlineLevel="0" collapsed="false">
      <c r="A2811" s="31" t="n">
        <v>42853.0416666667</v>
      </c>
      <c r="B2811" s="32" t="n">
        <v>62.105</v>
      </c>
      <c r="D2811" s="33" t="n">
        <f aca="false">WEEKDAY(A2811,2)</f>
        <v>5</v>
      </c>
      <c r="E2811" s="33" t="n">
        <f aca="false">HOUR(A2811)+MINUTE(A2811)/60</f>
        <v>1</v>
      </c>
      <c r="F2811" s="33" t="n">
        <f aca="false">IF(OR(D2811&gt;5,E2811&lt;8,E2811&gt;=18,COUNTIF($K$2:$K$10,INT(A2811))&gt;0),1,0)</f>
        <v>1</v>
      </c>
      <c r="G2811" s="34" t="n">
        <f aca="false">B2811/1</f>
        <v>62.105</v>
      </c>
      <c r="H2811" s="34" t="n">
        <f aca="false">IF(F2811=1,G2811,"")</f>
        <v>62.105</v>
      </c>
    </row>
    <row r="2812" customFormat="false" ht="15" hidden="false" customHeight="false" outlineLevel="0" collapsed="false">
      <c r="A2812" s="31" t="n">
        <v>42853.0833333333</v>
      </c>
      <c r="B2812" s="32" t="n">
        <v>59.049</v>
      </c>
      <c r="D2812" s="33" t="n">
        <f aca="false">WEEKDAY(A2812,2)</f>
        <v>5</v>
      </c>
      <c r="E2812" s="33" t="n">
        <f aca="false">HOUR(A2812)+MINUTE(A2812)/60</f>
        <v>2</v>
      </c>
      <c r="F2812" s="33" t="n">
        <f aca="false">IF(OR(D2812&gt;5,E2812&lt;8,E2812&gt;=18,COUNTIF($K$2:$K$10,INT(A2812))&gt;0),1,0)</f>
        <v>1</v>
      </c>
      <c r="G2812" s="34" t="n">
        <f aca="false">B2812/1</f>
        <v>59.049</v>
      </c>
      <c r="H2812" s="34" t="n">
        <f aca="false">IF(F2812=1,G2812,"")</f>
        <v>59.049</v>
      </c>
    </row>
    <row r="2813" customFormat="false" ht="15" hidden="false" customHeight="false" outlineLevel="0" collapsed="false">
      <c r="A2813" s="31" t="n">
        <v>42853.125</v>
      </c>
      <c r="B2813" s="32" t="n">
        <v>58.897</v>
      </c>
      <c r="D2813" s="33" t="n">
        <f aca="false">WEEKDAY(A2813,2)</f>
        <v>5</v>
      </c>
      <c r="E2813" s="33" t="n">
        <f aca="false">HOUR(A2813)+MINUTE(A2813)/60</f>
        <v>3</v>
      </c>
      <c r="F2813" s="33" t="n">
        <f aca="false">IF(OR(D2813&gt;5,E2813&lt;8,E2813&gt;=18,COUNTIF($K$2:$K$10,INT(A2813))&gt;0),1,0)</f>
        <v>1</v>
      </c>
      <c r="G2813" s="34" t="n">
        <f aca="false">B2813/1</f>
        <v>58.897</v>
      </c>
      <c r="H2813" s="34" t="n">
        <f aca="false">IF(F2813=1,G2813,"")</f>
        <v>58.897</v>
      </c>
    </row>
    <row r="2814" customFormat="false" ht="15" hidden="false" customHeight="false" outlineLevel="0" collapsed="false">
      <c r="A2814" s="31" t="n">
        <v>42853.1666666667</v>
      </c>
      <c r="B2814" s="32" t="n">
        <v>58.71</v>
      </c>
      <c r="D2814" s="33" t="n">
        <f aca="false">WEEKDAY(A2814,2)</f>
        <v>5</v>
      </c>
      <c r="E2814" s="33" t="n">
        <f aca="false">HOUR(A2814)+MINUTE(A2814)/60</f>
        <v>4</v>
      </c>
      <c r="F2814" s="33" t="n">
        <f aca="false">IF(OR(D2814&gt;5,E2814&lt;8,E2814&gt;=18,COUNTIF($K$2:$K$10,INT(A2814))&gt;0),1,0)</f>
        <v>1</v>
      </c>
      <c r="G2814" s="34" t="n">
        <f aca="false">B2814/1</f>
        <v>58.71</v>
      </c>
      <c r="H2814" s="34" t="n">
        <f aca="false">IF(F2814=1,G2814,"")</f>
        <v>58.71</v>
      </c>
    </row>
    <row r="2815" customFormat="false" ht="15" hidden="false" customHeight="false" outlineLevel="0" collapsed="false">
      <c r="A2815" s="31" t="n">
        <v>42853.2083333333</v>
      </c>
      <c r="B2815" s="32" t="n">
        <v>58.948</v>
      </c>
      <c r="D2815" s="33" t="n">
        <f aca="false">WEEKDAY(A2815,2)</f>
        <v>5</v>
      </c>
      <c r="E2815" s="33" t="n">
        <f aca="false">HOUR(A2815)+MINUTE(A2815)/60</f>
        <v>5</v>
      </c>
      <c r="F2815" s="33" t="n">
        <f aca="false">IF(OR(D2815&gt;5,E2815&lt;8,E2815&gt;=18,COUNTIF($K$2:$K$10,INT(A2815))&gt;0),1,0)</f>
        <v>1</v>
      </c>
      <c r="G2815" s="34" t="n">
        <f aca="false">B2815/1</f>
        <v>58.948</v>
      </c>
      <c r="H2815" s="34" t="n">
        <f aca="false">IF(F2815=1,G2815,"")</f>
        <v>58.948</v>
      </c>
    </row>
    <row r="2816" customFormat="false" ht="15" hidden="false" customHeight="false" outlineLevel="0" collapsed="false">
      <c r="A2816" s="31" t="n">
        <v>42853.25</v>
      </c>
      <c r="B2816" s="32" t="n">
        <v>59.527</v>
      </c>
      <c r="D2816" s="33" t="n">
        <f aca="false">WEEKDAY(A2816,2)</f>
        <v>5</v>
      </c>
      <c r="E2816" s="33" t="n">
        <f aca="false">HOUR(A2816)+MINUTE(A2816)/60</f>
        <v>6</v>
      </c>
      <c r="F2816" s="33" t="n">
        <f aca="false">IF(OR(D2816&gt;5,E2816&lt;8,E2816&gt;=18,COUNTIF($K$2:$K$10,INT(A2816))&gt;0),1,0)</f>
        <v>1</v>
      </c>
      <c r="G2816" s="34" t="n">
        <f aca="false">B2816/1</f>
        <v>59.527</v>
      </c>
      <c r="H2816" s="34" t="n">
        <f aca="false">IF(F2816=1,G2816,"")</f>
        <v>59.527</v>
      </c>
    </row>
    <row r="2817" customFormat="false" ht="15" hidden="false" customHeight="false" outlineLevel="0" collapsed="false">
      <c r="A2817" s="31" t="n">
        <v>42853.2916666667</v>
      </c>
      <c r="B2817" s="32" t="n">
        <v>67.227</v>
      </c>
      <c r="D2817" s="33" t="n">
        <f aca="false">WEEKDAY(A2817,2)</f>
        <v>5</v>
      </c>
      <c r="E2817" s="33" t="n">
        <f aca="false">HOUR(A2817)+MINUTE(A2817)/60</f>
        <v>7</v>
      </c>
      <c r="F2817" s="33" t="n">
        <f aca="false">IF(OR(D2817&gt;5,E2817&lt;8,E2817&gt;=18,COUNTIF($K$2:$K$10,INT(A2817))&gt;0),1,0)</f>
        <v>1</v>
      </c>
      <c r="G2817" s="34" t="n">
        <f aca="false">B2817/1</f>
        <v>67.227</v>
      </c>
      <c r="H2817" s="34" t="n">
        <f aca="false">IF(F2817=1,G2817,"")</f>
        <v>67.227</v>
      </c>
    </row>
    <row r="2818" customFormat="false" ht="15" hidden="false" customHeight="false" outlineLevel="0" collapsed="false">
      <c r="A2818" s="31" t="n">
        <v>42853.3333333333</v>
      </c>
      <c r="B2818" s="32" t="n">
        <v>168.377</v>
      </c>
      <c r="D2818" s="33" t="n">
        <f aca="false">WEEKDAY(A2818,2)</f>
        <v>5</v>
      </c>
      <c r="E2818" s="33" t="n">
        <f aca="false">HOUR(A2818)+MINUTE(A2818)/60</f>
        <v>8</v>
      </c>
      <c r="F2818" s="33" t="n">
        <f aca="false">IF(OR(D2818&gt;5,E2818&lt;8,E2818&gt;=18,COUNTIF($K$2:$K$10,INT(A2818))&gt;0),1,0)</f>
        <v>0</v>
      </c>
      <c r="G2818" s="34" t="n">
        <f aca="false">B2818/1</f>
        <v>168.377</v>
      </c>
      <c r="H2818" s="34" t="str">
        <f aca="false">IF(F2818=1,G2818,"")</f>
        <v/>
      </c>
    </row>
    <row r="2819" customFormat="false" ht="15" hidden="false" customHeight="false" outlineLevel="0" collapsed="false">
      <c r="A2819" s="31" t="n">
        <v>42853.375</v>
      </c>
      <c r="B2819" s="32" t="n">
        <v>200.695</v>
      </c>
      <c r="D2819" s="33" t="n">
        <f aca="false">WEEKDAY(A2819,2)</f>
        <v>5</v>
      </c>
      <c r="E2819" s="33" t="n">
        <f aca="false">HOUR(A2819)+MINUTE(A2819)/60</f>
        <v>9</v>
      </c>
      <c r="F2819" s="33" t="n">
        <f aca="false">IF(OR(D2819&gt;5,E2819&lt;8,E2819&gt;=18,COUNTIF($K$2:$K$10,INT(A2819))&gt;0),1,0)</f>
        <v>0</v>
      </c>
      <c r="G2819" s="34" t="n">
        <f aca="false">B2819/1</f>
        <v>200.695</v>
      </c>
      <c r="H2819" s="34" t="str">
        <f aca="false">IF(F2819=1,G2819,"")</f>
        <v/>
      </c>
    </row>
    <row r="2820" customFormat="false" ht="15" hidden="false" customHeight="false" outlineLevel="0" collapsed="false">
      <c r="A2820" s="31" t="n">
        <v>42853.4166666667</v>
      </c>
      <c r="B2820" s="32" t="n">
        <v>226.194</v>
      </c>
      <c r="D2820" s="33" t="n">
        <f aca="false">WEEKDAY(A2820,2)</f>
        <v>5</v>
      </c>
      <c r="E2820" s="33" t="n">
        <f aca="false">HOUR(A2820)+MINUTE(A2820)/60</f>
        <v>10</v>
      </c>
      <c r="F2820" s="33" t="n">
        <f aca="false">IF(OR(D2820&gt;5,E2820&lt;8,E2820&gt;=18,COUNTIF($K$2:$K$10,INT(A2820))&gt;0),1,0)</f>
        <v>0</v>
      </c>
      <c r="G2820" s="34" t="n">
        <f aca="false">B2820/1</f>
        <v>226.194</v>
      </c>
      <c r="H2820" s="34" t="str">
        <f aca="false">IF(F2820=1,G2820,"")</f>
        <v/>
      </c>
    </row>
    <row r="2821" customFormat="false" ht="15" hidden="false" customHeight="false" outlineLevel="0" collapsed="false">
      <c r="A2821" s="31" t="n">
        <v>42853.4583333333</v>
      </c>
      <c r="B2821" s="32" t="n">
        <v>242.717</v>
      </c>
      <c r="D2821" s="33" t="n">
        <f aca="false">WEEKDAY(A2821,2)</f>
        <v>5</v>
      </c>
      <c r="E2821" s="33" t="n">
        <f aca="false">HOUR(A2821)+MINUTE(A2821)/60</f>
        <v>11</v>
      </c>
      <c r="F2821" s="33" t="n">
        <f aca="false">IF(OR(D2821&gt;5,E2821&lt;8,E2821&gt;=18,COUNTIF($K$2:$K$10,INT(A2821))&gt;0),1,0)</f>
        <v>0</v>
      </c>
      <c r="G2821" s="34" t="n">
        <f aca="false">B2821/1</f>
        <v>242.717</v>
      </c>
      <c r="H2821" s="34" t="str">
        <f aca="false">IF(F2821=1,G2821,"")</f>
        <v/>
      </c>
    </row>
    <row r="2822" customFormat="false" ht="15" hidden="false" customHeight="false" outlineLevel="0" collapsed="false">
      <c r="A2822" s="31" t="n">
        <v>42853.5</v>
      </c>
      <c r="B2822" s="32" t="n">
        <v>241.242</v>
      </c>
      <c r="D2822" s="33" t="n">
        <f aca="false">WEEKDAY(A2822,2)</f>
        <v>5</v>
      </c>
      <c r="E2822" s="33" t="n">
        <f aca="false">HOUR(A2822)+MINUTE(A2822)/60</f>
        <v>12</v>
      </c>
      <c r="F2822" s="33" t="n">
        <f aca="false">IF(OR(D2822&gt;5,E2822&lt;8,E2822&gt;=18,COUNTIF($K$2:$K$10,INT(A2822))&gt;0),1,0)</f>
        <v>0</v>
      </c>
      <c r="G2822" s="34" t="n">
        <f aca="false">B2822/1</f>
        <v>241.242</v>
      </c>
      <c r="H2822" s="34" t="str">
        <f aca="false">IF(F2822=1,G2822,"")</f>
        <v/>
      </c>
    </row>
    <row r="2823" customFormat="false" ht="15" hidden="false" customHeight="false" outlineLevel="0" collapsed="false">
      <c r="A2823" s="31" t="n">
        <v>42853.5416666667</v>
      </c>
      <c r="B2823" s="32" t="n">
        <v>240.832</v>
      </c>
      <c r="D2823" s="33" t="n">
        <f aca="false">WEEKDAY(A2823,2)</f>
        <v>5</v>
      </c>
      <c r="E2823" s="33" t="n">
        <f aca="false">HOUR(A2823)+MINUTE(A2823)/60</f>
        <v>13</v>
      </c>
      <c r="F2823" s="33" t="n">
        <f aca="false">IF(OR(D2823&gt;5,E2823&lt;8,E2823&gt;=18,COUNTIF($K$2:$K$10,INT(A2823))&gt;0),1,0)</f>
        <v>0</v>
      </c>
      <c r="G2823" s="34" t="n">
        <f aca="false">B2823/1</f>
        <v>240.832</v>
      </c>
      <c r="H2823" s="34" t="str">
        <f aca="false">IF(F2823=1,G2823,"")</f>
        <v/>
      </c>
    </row>
    <row r="2824" customFormat="false" ht="15" hidden="false" customHeight="false" outlineLevel="0" collapsed="false">
      <c r="A2824" s="31" t="n">
        <v>42853.5833333333</v>
      </c>
      <c r="B2824" s="32" t="n">
        <v>231.908</v>
      </c>
      <c r="D2824" s="33" t="n">
        <f aca="false">WEEKDAY(A2824,2)</f>
        <v>5</v>
      </c>
      <c r="E2824" s="33" t="n">
        <f aca="false">HOUR(A2824)+MINUTE(A2824)/60</f>
        <v>14</v>
      </c>
      <c r="F2824" s="33" t="n">
        <f aca="false">IF(OR(D2824&gt;5,E2824&lt;8,E2824&gt;=18,COUNTIF($K$2:$K$10,INT(A2824))&gt;0),1,0)</f>
        <v>0</v>
      </c>
      <c r="G2824" s="34" t="n">
        <f aca="false">B2824/1</f>
        <v>231.908</v>
      </c>
      <c r="H2824" s="34" t="str">
        <f aca="false">IF(F2824=1,G2824,"")</f>
        <v/>
      </c>
    </row>
    <row r="2825" customFormat="false" ht="15" hidden="false" customHeight="false" outlineLevel="0" collapsed="false">
      <c r="A2825" s="31" t="n">
        <v>42853.625</v>
      </c>
      <c r="B2825" s="32" t="n">
        <v>229.36</v>
      </c>
      <c r="D2825" s="33" t="n">
        <f aca="false">WEEKDAY(A2825,2)</f>
        <v>5</v>
      </c>
      <c r="E2825" s="33" t="n">
        <f aca="false">HOUR(A2825)+MINUTE(A2825)/60</f>
        <v>15</v>
      </c>
      <c r="F2825" s="33" t="n">
        <f aca="false">IF(OR(D2825&gt;5,E2825&lt;8,E2825&gt;=18,COUNTIF($K$2:$K$10,INT(A2825))&gt;0),1,0)</f>
        <v>0</v>
      </c>
      <c r="G2825" s="34" t="n">
        <f aca="false">B2825/1</f>
        <v>229.36</v>
      </c>
      <c r="H2825" s="34" t="str">
        <f aca="false">IF(F2825=1,G2825,"")</f>
        <v/>
      </c>
    </row>
    <row r="2826" customFormat="false" ht="15" hidden="false" customHeight="false" outlineLevel="0" collapsed="false">
      <c r="A2826" s="31" t="n">
        <v>42853.6666666667</v>
      </c>
      <c r="B2826" s="32" t="n">
        <v>229.888</v>
      </c>
      <c r="D2826" s="33" t="n">
        <f aca="false">WEEKDAY(A2826,2)</f>
        <v>5</v>
      </c>
      <c r="E2826" s="33" t="n">
        <f aca="false">HOUR(A2826)+MINUTE(A2826)/60</f>
        <v>16</v>
      </c>
      <c r="F2826" s="33" t="n">
        <f aca="false">IF(OR(D2826&gt;5,E2826&lt;8,E2826&gt;=18,COUNTIF($K$2:$K$10,INT(A2826))&gt;0),1,0)</f>
        <v>0</v>
      </c>
      <c r="G2826" s="34" t="n">
        <f aca="false">B2826/1</f>
        <v>229.888</v>
      </c>
      <c r="H2826" s="34" t="str">
        <f aca="false">IF(F2826=1,G2826,"")</f>
        <v/>
      </c>
    </row>
    <row r="2827" customFormat="false" ht="15" hidden="false" customHeight="false" outlineLevel="0" collapsed="false">
      <c r="A2827" s="31" t="n">
        <v>42853.7083333333</v>
      </c>
      <c r="B2827" s="32" t="n">
        <v>215.331</v>
      </c>
      <c r="D2827" s="33" t="n">
        <f aca="false">WEEKDAY(A2827,2)</f>
        <v>5</v>
      </c>
      <c r="E2827" s="33" t="n">
        <f aca="false">HOUR(A2827)+MINUTE(A2827)/60</f>
        <v>17</v>
      </c>
      <c r="F2827" s="33" t="n">
        <f aca="false">IF(OR(D2827&gt;5,E2827&lt;8,E2827&gt;=18,COUNTIF($K$2:$K$10,INT(A2827))&gt;0),1,0)</f>
        <v>0</v>
      </c>
      <c r="G2827" s="34" t="n">
        <f aca="false">B2827/1</f>
        <v>215.331</v>
      </c>
      <c r="H2827" s="34" t="str">
        <f aca="false">IF(F2827=1,G2827,"")</f>
        <v/>
      </c>
    </row>
    <row r="2828" customFormat="false" ht="15" hidden="false" customHeight="false" outlineLevel="0" collapsed="false">
      <c r="A2828" s="31" t="n">
        <v>42853.75</v>
      </c>
      <c r="B2828" s="32" t="n">
        <v>195.441</v>
      </c>
      <c r="D2828" s="33" t="n">
        <f aca="false">WEEKDAY(A2828,2)</f>
        <v>5</v>
      </c>
      <c r="E2828" s="33" t="n">
        <f aca="false">HOUR(A2828)+MINUTE(A2828)/60</f>
        <v>18</v>
      </c>
      <c r="F2828" s="33" t="n">
        <f aca="false">IF(OR(D2828&gt;5,E2828&lt;8,E2828&gt;=18,COUNTIF($K$2:$K$10,INT(A2828))&gt;0),1,0)</f>
        <v>1</v>
      </c>
      <c r="G2828" s="34" t="n">
        <f aca="false">B2828/1</f>
        <v>195.441</v>
      </c>
      <c r="H2828" s="34" t="n">
        <f aca="false">IF(F2828=1,G2828,"")</f>
        <v>195.441</v>
      </c>
    </row>
    <row r="2829" customFormat="false" ht="15" hidden="false" customHeight="false" outlineLevel="0" collapsed="false">
      <c r="A2829" s="31" t="n">
        <v>42853.7916666667</v>
      </c>
      <c r="B2829" s="32" t="n">
        <v>187.637</v>
      </c>
      <c r="D2829" s="33" t="n">
        <f aca="false">WEEKDAY(A2829,2)</f>
        <v>5</v>
      </c>
      <c r="E2829" s="33" t="n">
        <f aca="false">HOUR(A2829)+MINUTE(A2829)/60</f>
        <v>19</v>
      </c>
      <c r="F2829" s="33" t="n">
        <f aca="false">IF(OR(D2829&gt;5,E2829&lt;8,E2829&gt;=18,COUNTIF($K$2:$K$10,INT(A2829))&gt;0),1,0)</f>
        <v>1</v>
      </c>
      <c r="G2829" s="34" t="n">
        <f aca="false">B2829/1</f>
        <v>187.637</v>
      </c>
      <c r="H2829" s="34" t="n">
        <f aca="false">IF(F2829=1,G2829,"")</f>
        <v>187.637</v>
      </c>
    </row>
    <row r="2830" customFormat="false" ht="15" hidden="false" customHeight="false" outlineLevel="0" collapsed="false">
      <c r="A2830" s="31" t="n">
        <v>42853.8333333333</v>
      </c>
      <c r="B2830" s="32" t="n">
        <v>188.636</v>
      </c>
      <c r="D2830" s="33" t="n">
        <f aca="false">WEEKDAY(A2830,2)</f>
        <v>5</v>
      </c>
      <c r="E2830" s="33" t="n">
        <f aca="false">HOUR(A2830)+MINUTE(A2830)/60</f>
        <v>20</v>
      </c>
      <c r="F2830" s="33" t="n">
        <f aca="false">IF(OR(D2830&gt;5,E2830&lt;8,E2830&gt;=18,COUNTIF($K$2:$K$10,INT(A2830))&gt;0),1,0)</f>
        <v>1</v>
      </c>
      <c r="G2830" s="34" t="n">
        <f aca="false">B2830/1</f>
        <v>188.636</v>
      </c>
      <c r="H2830" s="34" t="n">
        <f aca="false">IF(F2830=1,G2830,"")</f>
        <v>188.636</v>
      </c>
    </row>
    <row r="2831" customFormat="false" ht="15" hidden="false" customHeight="false" outlineLevel="0" collapsed="false">
      <c r="A2831" s="31" t="n">
        <v>42853.875</v>
      </c>
      <c r="B2831" s="32" t="n">
        <v>184.566</v>
      </c>
      <c r="D2831" s="33" t="n">
        <f aca="false">WEEKDAY(A2831,2)</f>
        <v>5</v>
      </c>
      <c r="E2831" s="33" t="n">
        <f aca="false">HOUR(A2831)+MINUTE(A2831)/60</f>
        <v>21</v>
      </c>
      <c r="F2831" s="33" t="n">
        <f aca="false">IF(OR(D2831&gt;5,E2831&lt;8,E2831&gt;=18,COUNTIF($K$2:$K$10,INT(A2831))&gt;0),1,0)</f>
        <v>1</v>
      </c>
      <c r="G2831" s="34" t="n">
        <f aca="false">B2831/1</f>
        <v>184.566</v>
      </c>
      <c r="H2831" s="34" t="n">
        <f aca="false">IF(F2831=1,G2831,"")</f>
        <v>184.566</v>
      </c>
    </row>
    <row r="2832" customFormat="false" ht="15" hidden="false" customHeight="false" outlineLevel="0" collapsed="false">
      <c r="A2832" s="31" t="n">
        <v>42853.9166666667</v>
      </c>
      <c r="B2832" s="32" t="n">
        <v>132.304</v>
      </c>
      <c r="D2832" s="33" t="n">
        <f aca="false">WEEKDAY(A2832,2)</f>
        <v>5</v>
      </c>
      <c r="E2832" s="33" t="n">
        <f aca="false">HOUR(A2832)+MINUTE(A2832)/60</f>
        <v>22</v>
      </c>
      <c r="F2832" s="33" t="n">
        <f aca="false">IF(OR(D2832&gt;5,E2832&lt;8,E2832&gt;=18,COUNTIF($K$2:$K$10,INT(A2832))&gt;0),1,0)</f>
        <v>1</v>
      </c>
      <c r="G2832" s="34" t="n">
        <f aca="false">B2832/1</f>
        <v>132.304</v>
      </c>
      <c r="H2832" s="34" t="n">
        <f aca="false">IF(F2832=1,G2832,"")</f>
        <v>132.304</v>
      </c>
    </row>
    <row r="2833" customFormat="false" ht="15" hidden="false" customHeight="false" outlineLevel="0" collapsed="false">
      <c r="A2833" s="31" t="n">
        <v>42853.9583333333</v>
      </c>
      <c r="B2833" s="32" t="n">
        <v>67.252</v>
      </c>
      <c r="D2833" s="33" t="n">
        <f aca="false">WEEKDAY(A2833,2)</f>
        <v>5</v>
      </c>
      <c r="E2833" s="33" t="n">
        <f aca="false">HOUR(A2833)+MINUTE(A2833)/60</f>
        <v>23</v>
      </c>
      <c r="F2833" s="33" t="n">
        <f aca="false">IF(OR(D2833&gt;5,E2833&lt;8,E2833&gt;=18,COUNTIF($K$2:$K$10,INT(A2833))&gt;0),1,0)</f>
        <v>1</v>
      </c>
      <c r="G2833" s="34" t="n">
        <f aca="false">B2833/1</f>
        <v>67.252</v>
      </c>
      <c r="H2833" s="34" t="n">
        <f aca="false">IF(F2833=1,G2833,"")</f>
        <v>67.252</v>
      </c>
    </row>
    <row r="2834" customFormat="false" ht="15" hidden="false" customHeight="false" outlineLevel="0" collapsed="false">
      <c r="A2834" s="31" t="n">
        <v>42854</v>
      </c>
      <c r="B2834" s="32" t="n">
        <v>62.175</v>
      </c>
      <c r="D2834" s="33" t="n">
        <f aca="false">WEEKDAY(A2834,2)</f>
        <v>6</v>
      </c>
      <c r="E2834" s="33" t="n">
        <f aca="false">HOUR(A2834)+MINUTE(A2834)/60</f>
        <v>0</v>
      </c>
      <c r="F2834" s="33" t="n">
        <f aca="false">IF(OR(D2834&gt;5,E2834&lt;8,E2834&gt;=18,COUNTIF($K$2:$K$10,INT(A2834))&gt;0),1,0)</f>
        <v>1</v>
      </c>
      <c r="G2834" s="34" t="n">
        <f aca="false">B2834/1</f>
        <v>62.175</v>
      </c>
      <c r="H2834" s="34" t="n">
        <f aca="false">IF(F2834=1,G2834,"")</f>
        <v>62.175</v>
      </c>
    </row>
    <row r="2835" customFormat="false" ht="15" hidden="false" customHeight="false" outlineLevel="0" collapsed="false">
      <c r="A2835" s="31" t="n">
        <v>42854.0416666667</v>
      </c>
      <c r="B2835" s="32" t="n">
        <v>59.293</v>
      </c>
      <c r="D2835" s="33" t="n">
        <f aca="false">WEEKDAY(A2835,2)</f>
        <v>6</v>
      </c>
      <c r="E2835" s="33" t="n">
        <f aca="false">HOUR(A2835)+MINUTE(A2835)/60</f>
        <v>1</v>
      </c>
      <c r="F2835" s="33" t="n">
        <f aca="false">IF(OR(D2835&gt;5,E2835&lt;8,E2835&gt;=18,COUNTIF($K$2:$K$10,INT(A2835))&gt;0),1,0)</f>
        <v>1</v>
      </c>
      <c r="G2835" s="34" t="n">
        <f aca="false">B2835/1</f>
        <v>59.293</v>
      </c>
      <c r="H2835" s="34" t="n">
        <f aca="false">IF(F2835=1,G2835,"")</f>
        <v>59.293</v>
      </c>
    </row>
    <row r="2836" customFormat="false" ht="15" hidden="false" customHeight="false" outlineLevel="0" collapsed="false">
      <c r="A2836" s="31" t="n">
        <v>42854.0833333333</v>
      </c>
      <c r="B2836" s="32" t="n">
        <v>59.348</v>
      </c>
      <c r="D2836" s="33" t="n">
        <f aca="false">WEEKDAY(A2836,2)</f>
        <v>6</v>
      </c>
      <c r="E2836" s="33" t="n">
        <f aca="false">HOUR(A2836)+MINUTE(A2836)/60</f>
        <v>2</v>
      </c>
      <c r="F2836" s="33" t="n">
        <f aca="false">IF(OR(D2836&gt;5,E2836&lt;8,E2836&gt;=18,COUNTIF($K$2:$K$10,INT(A2836))&gt;0),1,0)</f>
        <v>1</v>
      </c>
      <c r="G2836" s="34" t="n">
        <f aca="false">B2836/1</f>
        <v>59.348</v>
      </c>
      <c r="H2836" s="34" t="n">
        <f aca="false">IF(F2836=1,G2836,"")</f>
        <v>59.348</v>
      </c>
    </row>
    <row r="2837" customFormat="false" ht="15" hidden="false" customHeight="false" outlineLevel="0" collapsed="false">
      <c r="A2837" s="31" t="n">
        <v>42854.125</v>
      </c>
      <c r="B2837" s="32" t="n">
        <v>59.859</v>
      </c>
      <c r="D2837" s="33" t="n">
        <f aca="false">WEEKDAY(A2837,2)</f>
        <v>6</v>
      </c>
      <c r="E2837" s="33" t="n">
        <f aca="false">HOUR(A2837)+MINUTE(A2837)/60</f>
        <v>3</v>
      </c>
      <c r="F2837" s="33" t="n">
        <f aca="false">IF(OR(D2837&gt;5,E2837&lt;8,E2837&gt;=18,COUNTIF($K$2:$K$10,INT(A2837))&gt;0),1,0)</f>
        <v>1</v>
      </c>
      <c r="G2837" s="34" t="n">
        <f aca="false">B2837/1</f>
        <v>59.859</v>
      </c>
      <c r="H2837" s="34" t="n">
        <f aca="false">IF(F2837=1,G2837,"")</f>
        <v>59.859</v>
      </c>
    </row>
    <row r="2838" customFormat="false" ht="15" hidden="false" customHeight="false" outlineLevel="0" collapsed="false">
      <c r="A2838" s="31" t="n">
        <v>42854.1666666667</v>
      </c>
      <c r="B2838" s="32" t="n">
        <v>58.712</v>
      </c>
      <c r="D2838" s="33" t="n">
        <f aca="false">WEEKDAY(A2838,2)</f>
        <v>6</v>
      </c>
      <c r="E2838" s="33" t="n">
        <f aca="false">HOUR(A2838)+MINUTE(A2838)/60</f>
        <v>4</v>
      </c>
      <c r="F2838" s="33" t="n">
        <f aca="false">IF(OR(D2838&gt;5,E2838&lt;8,E2838&gt;=18,COUNTIF($K$2:$K$10,INT(A2838))&gt;0),1,0)</f>
        <v>1</v>
      </c>
      <c r="G2838" s="34" t="n">
        <f aca="false">B2838/1</f>
        <v>58.712</v>
      </c>
      <c r="H2838" s="34" t="n">
        <f aca="false">IF(F2838=1,G2838,"")</f>
        <v>58.712</v>
      </c>
    </row>
    <row r="2839" customFormat="false" ht="15" hidden="false" customHeight="false" outlineLevel="0" collapsed="false">
      <c r="A2839" s="31" t="n">
        <v>42854.2083333333</v>
      </c>
      <c r="B2839" s="32" t="n">
        <v>57.387</v>
      </c>
      <c r="D2839" s="33" t="n">
        <f aca="false">WEEKDAY(A2839,2)</f>
        <v>6</v>
      </c>
      <c r="E2839" s="33" t="n">
        <f aca="false">HOUR(A2839)+MINUTE(A2839)/60</f>
        <v>5</v>
      </c>
      <c r="F2839" s="33" t="n">
        <f aca="false">IF(OR(D2839&gt;5,E2839&lt;8,E2839&gt;=18,COUNTIF($K$2:$K$10,INT(A2839))&gt;0),1,0)</f>
        <v>1</v>
      </c>
      <c r="G2839" s="34" t="n">
        <f aca="false">B2839/1</f>
        <v>57.387</v>
      </c>
      <c r="H2839" s="34" t="n">
        <f aca="false">IF(F2839=1,G2839,"")</f>
        <v>57.387</v>
      </c>
    </row>
    <row r="2840" customFormat="false" ht="15" hidden="false" customHeight="false" outlineLevel="0" collapsed="false">
      <c r="A2840" s="31" t="n">
        <v>42854.25</v>
      </c>
      <c r="B2840" s="32" t="n">
        <v>58.617</v>
      </c>
      <c r="D2840" s="33" t="n">
        <f aca="false">WEEKDAY(A2840,2)</f>
        <v>6</v>
      </c>
      <c r="E2840" s="33" t="n">
        <f aca="false">HOUR(A2840)+MINUTE(A2840)/60</f>
        <v>6</v>
      </c>
      <c r="F2840" s="33" t="n">
        <f aca="false">IF(OR(D2840&gt;5,E2840&lt;8,E2840&gt;=18,COUNTIF($K$2:$K$10,INT(A2840))&gt;0),1,0)</f>
        <v>1</v>
      </c>
      <c r="G2840" s="34" t="n">
        <f aca="false">B2840/1</f>
        <v>58.617</v>
      </c>
      <c r="H2840" s="34" t="n">
        <f aca="false">IF(F2840=1,G2840,"")</f>
        <v>58.617</v>
      </c>
    </row>
    <row r="2841" customFormat="false" ht="15" hidden="false" customHeight="false" outlineLevel="0" collapsed="false">
      <c r="A2841" s="31" t="n">
        <v>42854.2916666667</v>
      </c>
      <c r="B2841" s="32" t="n">
        <v>59.109</v>
      </c>
      <c r="D2841" s="33" t="n">
        <f aca="false">WEEKDAY(A2841,2)</f>
        <v>6</v>
      </c>
      <c r="E2841" s="33" t="n">
        <f aca="false">HOUR(A2841)+MINUTE(A2841)/60</f>
        <v>7</v>
      </c>
      <c r="F2841" s="33" t="n">
        <f aca="false">IF(OR(D2841&gt;5,E2841&lt;8,E2841&gt;=18,COUNTIF($K$2:$K$10,INT(A2841))&gt;0),1,0)</f>
        <v>1</v>
      </c>
      <c r="G2841" s="34" t="n">
        <f aca="false">B2841/1</f>
        <v>59.109</v>
      </c>
      <c r="H2841" s="34" t="n">
        <f aca="false">IF(F2841=1,G2841,"")</f>
        <v>59.109</v>
      </c>
    </row>
    <row r="2842" customFormat="false" ht="15" hidden="false" customHeight="false" outlineLevel="0" collapsed="false">
      <c r="A2842" s="31" t="n">
        <v>42854.3333333333</v>
      </c>
      <c r="B2842" s="32" t="n">
        <v>121.741</v>
      </c>
      <c r="D2842" s="33" t="n">
        <f aca="false">WEEKDAY(A2842,2)</f>
        <v>6</v>
      </c>
      <c r="E2842" s="33" t="n">
        <f aca="false">HOUR(A2842)+MINUTE(A2842)/60</f>
        <v>8</v>
      </c>
      <c r="F2842" s="33" t="n">
        <f aca="false">IF(OR(D2842&gt;5,E2842&lt;8,E2842&gt;=18,COUNTIF($K$2:$K$10,INT(A2842))&gt;0),1,0)</f>
        <v>1</v>
      </c>
      <c r="G2842" s="34" t="n">
        <f aca="false">B2842/1</f>
        <v>121.741</v>
      </c>
      <c r="H2842" s="34" t="n">
        <f aca="false">IF(F2842=1,G2842,"")</f>
        <v>121.741</v>
      </c>
    </row>
    <row r="2843" customFormat="false" ht="15" hidden="false" customHeight="false" outlineLevel="0" collapsed="false">
      <c r="A2843" s="31" t="n">
        <v>42854.375</v>
      </c>
      <c r="B2843" s="32" t="n">
        <v>161.947</v>
      </c>
      <c r="D2843" s="33" t="n">
        <f aca="false">WEEKDAY(A2843,2)</f>
        <v>6</v>
      </c>
      <c r="E2843" s="33" t="n">
        <f aca="false">HOUR(A2843)+MINUTE(A2843)/60</f>
        <v>9</v>
      </c>
      <c r="F2843" s="33" t="n">
        <f aca="false">IF(OR(D2843&gt;5,E2843&lt;8,E2843&gt;=18,COUNTIF($K$2:$K$10,INT(A2843))&gt;0),1,0)</f>
        <v>1</v>
      </c>
      <c r="G2843" s="34" t="n">
        <f aca="false">B2843/1</f>
        <v>161.947</v>
      </c>
      <c r="H2843" s="34" t="n">
        <f aca="false">IF(F2843=1,G2843,"")</f>
        <v>161.947</v>
      </c>
    </row>
    <row r="2844" customFormat="false" ht="15" hidden="false" customHeight="false" outlineLevel="0" collapsed="false">
      <c r="A2844" s="31" t="n">
        <v>42854.4166666667</v>
      </c>
      <c r="B2844" s="32" t="n">
        <v>167.397</v>
      </c>
      <c r="D2844" s="33" t="n">
        <f aca="false">WEEKDAY(A2844,2)</f>
        <v>6</v>
      </c>
      <c r="E2844" s="33" t="n">
        <f aca="false">HOUR(A2844)+MINUTE(A2844)/60</f>
        <v>10</v>
      </c>
      <c r="F2844" s="33" t="n">
        <f aca="false">IF(OR(D2844&gt;5,E2844&lt;8,E2844&gt;=18,COUNTIF($K$2:$K$10,INT(A2844))&gt;0),1,0)</f>
        <v>1</v>
      </c>
      <c r="G2844" s="34" t="n">
        <f aca="false">B2844/1</f>
        <v>167.397</v>
      </c>
      <c r="H2844" s="34" t="n">
        <f aca="false">IF(F2844=1,G2844,"")</f>
        <v>167.397</v>
      </c>
    </row>
    <row r="2845" customFormat="false" ht="15" hidden="false" customHeight="false" outlineLevel="0" collapsed="false">
      <c r="A2845" s="31" t="n">
        <v>42854.4583333333</v>
      </c>
      <c r="B2845" s="32" t="n">
        <v>174.954</v>
      </c>
      <c r="D2845" s="33" t="n">
        <f aca="false">WEEKDAY(A2845,2)</f>
        <v>6</v>
      </c>
      <c r="E2845" s="33" t="n">
        <f aca="false">HOUR(A2845)+MINUTE(A2845)/60</f>
        <v>11</v>
      </c>
      <c r="F2845" s="33" t="n">
        <f aca="false">IF(OR(D2845&gt;5,E2845&lt;8,E2845&gt;=18,COUNTIF($K$2:$K$10,INT(A2845))&gt;0),1,0)</f>
        <v>1</v>
      </c>
      <c r="G2845" s="34" t="n">
        <f aca="false">B2845/1</f>
        <v>174.954</v>
      </c>
      <c r="H2845" s="34" t="n">
        <f aca="false">IF(F2845=1,G2845,"")</f>
        <v>174.954</v>
      </c>
    </row>
    <row r="2846" customFormat="false" ht="15" hidden="false" customHeight="false" outlineLevel="0" collapsed="false">
      <c r="A2846" s="31" t="n">
        <v>42854.5</v>
      </c>
      <c r="B2846" s="32" t="n">
        <v>178.582</v>
      </c>
      <c r="D2846" s="33" t="n">
        <f aca="false">WEEKDAY(A2846,2)</f>
        <v>6</v>
      </c>
      <c r="E2846" s="33" t="n">
        <f aca="false">HOUR(A2846)+MINUTE(A2846)/60</f>
        <v>12</v>
      </c>
      <c r="F2846" s="33" t="n">
        <f aca="false">IF(OR(D2846&gt;5,E2846&lt;8,E2846&gt;=18,COUNTIF($K$2:$K$10,INT(A2846))&gt;0),1,0)</f>
        <v>1</v>
      </c>
      <c r="G2846" s="34" t="n">
        <f aca="false">B2846/1</f>
        <v>178.582</v>
      </c>
      <c r="H2846" s="34" t="n">
        <f aca="false">IF(F2846=1,G2846,"")</f>
        <v>178.582</v>
      </c>
    </row>
    <row r="2847" customFormat="false" ht="15" hidden="false" customHeight="false" outlineLevel="0" collapsed="false">
      <c r="A2847" s="31" t="n">
        <v>42854.5416666667</v>
      </c>
      <c r="B2847" s="32" t="n">
        <v>183.576</v>
      </c>
      <c r="D2847" s="33" t="n">
        <f aca="false">WEEKDAY(A2847,2)</f>
        <v>6</v>
      </c>
      <c r="E2847" s="33" t="n">
        <f aca="false">HOUR(A2847)+MINUTE(A2847)/60</f>
        <v>13</v>
      </c>
      <c r="F2847" s="33" t="n">
        <f aca="false">IF(OR(D2847&gt;5,E2847&lt;8,E2847&gt;=18,COUNTIF($K$2:$K$10,INT(A2847))&gt;0),1,0)</f>
        <v>1</v>
      </c>
      <c r="G2847" s="34" t="n">
        <f aca="false">B2847/1</f>
        <v>183.576</v>
      </c>
      <c r="H2847" s="34" t="n">
        <f aca="false">IF(F2847=1,G2847,"")</f>
        <v>183.576</v>
      </c>
    </row>
    <row r="2848" customFormat="false" ht="15" hidden="false" customHeight="false" outlineLevel="0" collapsed="false">
      <c r="A2848" s="31" t="n">
        <v>42854.5833333333</v>
      </c>
      <c r="B2848" s="32" t="n">
        <v>186.219</v>
      </c>
      <c r="D2848" s="33" t="n">
        <f aca="false">WEEKDAY(A2848,2)</f>
        <v>6</v>
      </c>
      <c r="E2848" s="33" t="n">
        <f aca="false">HOUR(A2848)+MINUTE(A2848)/60</f>
        <v>14</v>
      </c>
      <c r="F2848" s="33" t="n">
        <f aca="false">IF(OR(D2848&gt;5,E2848&lt;8,E2848&gt;=18,COUNTIF($K$2:$K$10,INT(A2848))&gt;0),1,0)</f>
        <v>1</v>
      </c>
      <c r="G2848" s="34" t="n">
        <f aca="false">B2848/1</f>
        <v>186.219</v>
      </c>
      <c r="H2848" s="34" t="n">
        <f aca="false">IF(F2848=1,G2848,"")</f>
        <v>186.219</v>
      </c>
    </row>
    <row r="2849" customFormat="false" ht="15" hidden="false" customHeight="false" outlineLevel="0" collapsed="false">
      <c r="A2849" s="31" t="n">
        <v>42854.625</v>
      </c>
      <c r="B2849" s="32" t="n">
        <v>190.241</v>
      </c>
      <c r="D2849" s="33" t="n">
        <f aca="false">WEEKDAY(A2849,2)</f>
        <v>6</v>
      </c>
      <c r="E2849" s="33" t="n">
        <f aca="false">HOUR(A2849)+MINUTE(A2849)/60</f>
        <v>15</v>
      </c>
      <c r="F2849" s="33" t="n">
        <f aca="false">IF(OR(D2849&gt;5,E2849&lt;8,E2849&gt;=18,COUNTIF($K$2:$K$10,INT(A2849))&gt;0),1,0)</f>
        <v>1</v>
      </c>
      <c r="G2849" s="34" t="n">
        <f aca="false">B2849/1</f>
        <v>190.241</v>
      </c>
      <c r="H2849" s="34" t="n">
        <f aca="false">IF(F2849=1,G2849,"")</f>
        <v>190.241</v>
      </c>
    </row>
    <row r="2850" customFormat="false" ht="15" hidden="false" customHeight="false" outlineLevel="0" collapsed="false">
      <c r="A2850" s="31" t="n">
        <v>42854.6666666667</v>
      </c>
      <c r="B2850" s="32" t="n">
        <v>191.476</v>
      </c>
      <c r="D2850" s="33" t="n">
        <f aca="false">WEEKDAY(A2850,2)</f>
        <v>6</v>
      </c>
      <c r="E2850" s="33" t="n">
        <f aca="false">HOUR(A2850)+MINUTE(A2850)/60</f>
        <v>16</v>
      </c>
      <c r="F2850" s="33" t="n">
        <f aca="false">IF(OR(D2850&gt;5,E2850&lt;8,E2850&gt;=18,COUNTIF($K$2:$K$10,INT(A2850))&gt;0),1,0)</f>
        <v>1</v>
      </c>
      <c r="G2850" s="34" t="n">
        <f aca="false">B2850/1</f>
        <v>191.476</v>
      </c>
      <c r="H2850" s="34" t="n">
        <f aca="false">IF(F2850=1,G2850,"")</f>
        <v>191.476</v>
      </c>
    </row>
    <row r="2851" customFormat="false" ht="15" hidden="false" customHeight="false" outlineLevel="0" collapsed="false">
      <c r="A2851" s="31" t="n">
        <v>42854.7083333333</v>
      </c>
      <c r="B2851" s="32" t="n">
        <v>181.865</v>
      </c>
      <c r="D2851" s="33" t="n">
        <f aca="false">WEEKDAY(A2851,2)</f>
        <v>6</v>
      </c>
      <c r="E2851" s="33" t="n">
        <f aca="false">HOUR(A2851)+MINUTE(A2851)/60</f>
        <v>17</v>
      </c>
      <c r="F2851" s="33" t="n">
        <f aca="false">IF(OR(D2851&gt;5,E2851&lt;8,E2851&gt;=18,COUNTIF($K$2:$K$10,INT(A2851))&gt;0),1,0)</f>
        <v>1</v>
      </c>
      <c r="G2851" s="34" t="n">
        <f aca="false">B2851/1</f>
        <v>181.865</v>
      </c>
      <c r="H2851" s="34" t="n">
        <f aca="false">IF(F2851=1,G2851,"")</f>
        <v>181.865</v>
      </c>
    </row>
    <row r="2852" customFormat="false" ht="15" hidden="false" customHeight="false" outlineLevel="0" collapsed="false">
      <c r="A2852" s="31" t="n">
        <v>42854.75</v>
      </c>
      <c r="B2852" s="32" t="n">
        <v>89.014</v>
      </c>
      <c r="D2852" s="33" t="n">
        <f aca="false">WEEKDAY(A2852,2)</f>
        <v>6</v>
      </c>
      <c r="E2852" s="33" t="n">
        <f aca="false">HOUR(A2852)+MINUTE(A2852)/60</f>
        <v>18</v>
      </c>
      <c r="F2852" s="33" t="n">
        <f aca="false">IF(OR(D2852&gt;5,E2852&lt;8,E2852&gt;=18,COUNTIF($K$2:$K$10,INT(A2852))&gt;0),1,0)</f>
        <v>1</v>
      </c>
      <c r="G2852" s="34" t="n">
        <f aca="false">B2852/1</f>
        <v>89.014</v>
      </c>
      <c r="H2852" s="34" t="n">
        <f aca="false">IF(F2852=1,G2852,"")</f>
        <v>89.014</v>
      </c>
    </row>
    <row r="2853" customFormat="false" ht="15" hidden="false" customHeight="false" outlineLevel="0" collapsed="false">
      <c r="A2853" s="31" t="n">
        <v>42854.7916666667</v>
      </c>
      <c r="B2853" s="32" t="n">
        <v>69.918</v>
      </c>
      <c r="D2853" s="33" t="n">
        <f aca="false">WEEKDAY(A2853,2)</f>
        <v>6</v>
      </c>
      <c r="E2853" s="33" t="n">
        <f aca="false">HOUR(A2853)+MINUTE(A2853)/60</f>
        <v>19</v>
      </c>
      <c r="F2853" s="33" t="n">
        <f aca="false">IF(OR(D2853&gt;5,E2853&lt;8,E2853&gt;=18,COUNTIF($K$2:$K$10,INT(A2853))&gt;0),1,0)</f>
        <v>1</v>
      </c>
      <c r="G2853" s="34" t="n">
        <f aca="false">B2853/1</f>
        <v>69.918</v>
      </c>
      <c r="H2853" s="34" t="n">
        <f aca="false">IF(F2853=1,G2853,"")</f>
        <v>69.918</v>
      </c>
    </row>
    <row r="2854" customFormat="false" ht="15" hidden="false" customHeight="false" outlineLevel="0" collapsed="false">
      <c r="A2854" s="31" t="n">
        <v>42854.8333333333</v>
      </c>
      <c r="B2854" s="32" t="n">
        <v>69.223</v>
      </c>
      <c r="D2854" s="33" t="n">
        <f aca="false">WEEKDAY(A2854,2)</f>
        <v>6</v>
      </c>
      <c r="E2854" s="33" t="n">
        <f aca="false">HOUR(A2854)+MINUTE(A2854)/60</f>
        <v>20</v>
      </c>
      <c r="F2854" s="33" t="n">
        <f aca="false">IF(OR(D2854&gt;5,E2854&lt;8,E2854&gt;=18,COUNTIF($K$2:$K$10,INT(A2854))&gt;0),1,0)</f>
        <v>1</v>
      </c>
      <c r="G2854" s="34" t="n">
        <f aca="false">B2854/1</f>
        <v>69.223</v>
      </c>
      <c r="H2854" s="34" t="n">
        <f aca="false">IF(F2854=1,G2854,"")</f>
        <v>69.223</v>
      </c>
    </row>
    <row r="2855" customFormat="false" ht="15" hidden="false" customHeight="false" outlineLevel="0" collapsed="false">
      <c r="A2855" s="31" t="n">
        <v>42854.875</v>
      </c>
      <c r="B2855" s="32" t="n">
        <v>75.66</v>
      </c>
      <c r="D2855" s="33" t="n">
        <f aca="false">WEEKDAY(A2855,2)</f>
        <v>6</v>
      </c>
      <c r="E2855" s="33" t="n">
        <f aca="false">HOUR(A2855)+MINUTE(A2855)/60</f>
        <v>21</v>
      </c>
      <c r="F2855" s="33" t="n">
        <f aca="false">IF(OR(D2855&gt;5,E2855&lt;8,E2855&gt;=18,COUNTIF($K$2:$K$10,INT(A2855))&gt;0),1,0)</f>
        <v>1</v>
      </c>
      <c r="G2855" s="34" t="n">
        <f aca="false">B2855/1</f>
        <v>75.66</v>
      </c>
      <c r="H2855" s="34" t="n">
        <f aca="false">IF(F2855=1,G2855,"")</f>
        <v>75.66</v>
      </c>
    </row>
    <row r="2856" customFormat="false" ht="15" hidden="false" customHeight="false" outlineLevel="0" collapsed="false">
      <c r="A2856" s="31" t="n">
        <v>42854.9166666667</v>
      </c>
      <c r="B2856" s="32" t="n">
        <v>72.443</v>
      </c>
      <c r="D2856" s="33" t="n">
        <f aca="false">WEEKDAY(A2856,2)</f>
        <v>6</v>
      </c>
      <c r="E2856" s="33" t="n">
        <f aca="false">HOUR(A2856)+MINUTE(A2856)/60</f>
        <v>22</v>
      </c>
      <c r="F2856" s="33" t="n">
        <f aca="false">IF(OR(D2856&gt;5,E2856&lt;8,E2856&gt;=18,COUNTIF($K$2:$K$10,INT(A2856))&gt;0),1,0)</f>
        <v>1</v>
      </c>
      <c r="G2856" s="34" t="n">
        <f aca="false">B2856/1</f>
        <v>72.443</v>
      </c>
      <c r="H2856" s="34" t="n">
        <f aca="false">IF(F2856=1,G2856,"")</f>
        <v>72.443</v>
      </c>
    </row>
    <row r="2857" customFormat="false" ht="15" hidden="false" customHeight="false" outlineLevel="0" collapsed="false">
      <c r="A2857" s="31" t="n">
        <v>42854.9583333333</v>
      </c>
      <c r="B2857" s="32" t="n">
        <v>66.884</v>
      </c>
      <c r="D2857" s="33" t="n">
        <f aca="false">WEEKDAY(A2857,2)</f>
        <v>6</v>
      </c>
      <c r="E2857" s="33" t="n">
        <f aca="false">HOUR(A2857)+MINUTE(A2857)/60</f>
        <v>23</v>
      </c>
      <c r="F2857" s="33" t="n">
        <f aca="false">IF(OR(D2857&gt;5,E2857&lt;8,E2857&gt;=18,COUNTIF($K$2:$K$10,INT(A2857))&gt;0),1,0)</f>
        <v>1</v>
      </c>
      <c r="G2857" s="34" t="n">
        <f aca="false">B2857/1</f>
        <v>66.884</v>
      </c>
      <c r="H2857" s="34" t="n">
        <f aca="false">IF(F2857=1,G2857,"")</f>
        <v>66.884</v>
      </c>
    </row>
    <row r="2858" customFormat="false" ht="15" hidden="false" customHeight="false" outlineLevel="0" collapsed="false">
      <c r="A2858" s="31" t="n">
        <v>42855</v>
      </c>
      <c r="B2858" s="32" t="n">
        <v>63.252</v>
      </c>
      <c r="D2858" s="33" t="n">
        <f aca="false">WEEKDAY(A2858,2)</f>
        <v>7</v>
      </c>
      <c r="E2858" s="33" t="n">
        <f aca="false">HOUR(A2858)+MINUTE(A2858)/60</f>
        <v>0</v>
      </c>
      <c r="F2858" s="33" t="n">
        <f aca="false">IF(OR(D2858&gt;5,E2858&lt;8,E2858&gt;=18,COUNTIF($K$2:$K$10,INT(A2858))&gt;0),1,0)</f>
        <v>1</v>
      </c>
      <c r="G2858" s="34" t="n">
        <f aca="false">B2858/1</f>
        <v>63.252</v>
      </c>
      <c r="H2858" s="34" t="n">
        <f aca="false">IF(F2858=1,G2858,"")</f>
        <v>63.252</v>
      </c>
    </row>
    <row r="2859" customFormat="false" ht="15" hidden="false" customHeight="false" outlineLevel="0" collapsed="false">
      <c r="A2859" s="31" t="n">
        <v>42855.0416666667</v>
      </c>
      <c r="B2859" s="32" t="n">
        <v>61.124</v>
      </c>
      <c r="D2859" s="33" t="n">
        <f aca="false">WEEKDAY(A2859,2)</f>
        <v>7</v>
      </c>
      <c r="E2859" s="33" t="n">
        <f aca="false">HOUR(A2859)+MINUTE(A2859)/60</f>
        <v>1</v>
      </c>
      <c r="F2859" s="33" t="n">
        <f aca="false">IF(OR(D2859&gt;5,E2859&lt;8,E2859&gt;=18,COUNTIF($K$2:$K$10,INT(A2859))&gt;0),1,0)</f>
        <v>1</v>
      </c>
      <c r="G2859" s="34" t="n">
        <f aca="false">B2859/1</f>
        <v>61.124</v>
      </c>
      <c r="H2859" s="34" t="n">
        <f aca="false">IF(F2859=1,G2859,"")</f>
        <v>61.124</v>
      </c>
    </row>
    <row r="2860" customFormat="false" ht="15" hidden="false" customHeight="false" outlineLevel="0" collapsed="false">
      <c r="A2860" s="31" t="n">
        <v>42855.0833333333</v>
      </c>
      <c r="B2860" s="32" t="n">
        <v>57.361</v>
      </c>
      <c r="D2860" s="33" t="n">
        <f aca="false">WEEKDAY(A2860,2)</f>
        <v>7</v>
      </c>
      <c r="E2860" s="33" t="n">
        <f aca="false">HOUR(A2860)+MINUTE(A2860)/60</f>
        <v>2</v>
      </c>
      <c r="F2860" s="33" t="n">
        <f aca="false">IF(OR(D2860&gt;5,E2860&lt;8,E2860&gt;=18,COUNTIF($K$2:$K$10,INT(A2860))&gt;0),1,0)</f>
        <v>1</v>
      </c>
      <c r="G2860" s="34" t="n">
        <f aca="false">B2860/1</f>
        <v>57.361</v>
      </c>
      <c r="H2860" s="34" t="n">
        <f aca="false">IF(F2860=1,G2860,"")</f>
        <v>57.361</v>
      </c>
    </row>
    <row r="2861" customFormat="false" ht="15" hidden="false" customHeight="false" outlineLevel="0" collapsed="false">
      <c r="A2861" s="31" t="n">
        <v>42855.125</v>
      </c>
      <c r="B2861" s="32" t="n">
        <v>56.162</v>
      </c>
      <c r="D2861" s="33" t="n">
        <f aca="false">WEEKDAY(A2861,2)</f>
        <v>7</v>
      </c>
      <c r="E2861" s="33" t="n">
        <f aca="false">HOUR(A2861)+MINUTE(A2861)/60</f>
        <v>3</v>
      </c>
      <c r="F2861" s="33" t="n">
        <f aca="false">IF(OR(D2861&gt;5,E2861&lt;8,E2861&gt;=18,COUNTIF($K$2:$K$10,INT(A2861))&gt;0),1,0)</f>
        <v>1</v>
      </c>
      <c r="G2861" s="34" t="n">
        <f aca="false">B2861/1</f>
        <v>56.162</v>
      </c>
      <c r="H2861" s="34" t="n">
        <f aca="false">IF(F2861=1,G2861,"")</f>
        <v>56.162</v>
      </c>
    </row>
    <row r="2862" customFormat="false" ht="15" hidden="false" customHeight="false" outlineLevel="0" collapsed="false">
      <c r="A2862" s="31" t="n">
        <v>42855.1666666667</v>
      </c>
      <c r="B2862" s="32" t="n">
        <v>57.427</v>
      </c>
      <c r="D2862" s="33" t="n">
        <f aca="false">WEEKDAY(A2862,2)</f>
        <v>7</v>
      </c>
      <c r="E2862" s="33" t="n">
        <f aca="false">HOUR(A2862)+MINUTE(A2862)/60</f>
        <v>4</v>
      </c>
      <c r="F2862" s="33" t="n">
        <f aca="false">IF(OR(D2862&gt;5,E2862&lt;8,E2862&gt;=18,COUNTIF($K$2:$K$10,INT(A2862))&gt;0),1,0)</f>
        <v>1</v>
      </c>
      <c r="G2862" s="34" t="n">
        <f aca="false">B2862/1</f>
        <v>57.427</v>
      </c>
      <c r="H2862" s="34" t="n">
        <f aca="false">IF(F2862=1,G2862,"")</f>
        <v>57.427</v>
      </c>
    </row>
    <row r="2863" customFormat="false" ht="15" hidden="false" customHeight="false" outlineLevel="0" collapsed="false">
      <c r="A2863" s="31" t="n">
        <v>42855.2083333333</v>
      </c>
      <c r="B2863" s="32" t="n">
        <v>56.747</v>
      </c>
      <c r="D2863" s="33" t="n">
        <f aca="false">WEEKDAY(A2863,2)</f>
        <v>7</v>
      </c>
      <c r="E2863" s="33" t="n">
        <f aca="false">HOUR(A2863)+MINUTE(A2863)/60</f>
        <v>5</v>
      </c>
      <c r="F2863" s="33" t="n">
        <f aca="false">IF(OR(D2863&gt;5,E2863&lt;8,E2863&gt;=18,COUNTIF($K$2:$K$10,INT(A2863))&gt;0),1,0)</f>
        <v>1</v>
      </c>
      <c r="G2863" s="34" t="n">
        <f aca="false">B2863/1</f>
        <v>56.747</v>
      </c>
      <c r="H2863" s="34" t="n">
        <f aca="false">IF(F2863=1,G2863,"")</f>
        <v>56.747</v>
      </c>
    </row>
    <row r="2864" customFormat="false" ht="15" hidden="false" customHeight="false" outlineLevel="0" collapsed="false">
      <c r="A2864" s="31" t="n">
        <v>42855.25</v>
      </c>
      <c r="B2864" s="32" t="n">
        <v>57.407</v>
      </c>
      <c r="D2864" s="33" t="n">
        <f aca="false">WEEKDAY(A2864,2)</f>
        <v>7</v>
      </c>
      <c r="E2864" s="33" t="n">
        <f aca="false">HOUR(A2864)+MINUTE(A2864)/60</f>
        <v>6</v>
      </c>
      <c r="F2864" s="33" t="n">
        <f aca="false">IF(OR(D2864&gt;5,E2864&lt;8,E2864&gt;=18,COUNTIF($K$2:$K$10,INT(A2864))&gt;0),1,0)</f>
        <v>1</v>
      </c>
      <c r="G2864" s="34" t="n">
        <f aca="false">B2864/1</f>
        <v>57.407</v>
      </c>
      <c r="H2864" s="34" t="n">
        <f aca="false">IF(F2864=1,G2864,"")</f>
        <v>57.407</v>
      </c>
    </row>
    <row r="2865" customFormat="false" ht="15" hidden="false" customHeight="false" outlineLevel="0" collapsed="false">
      <c r="A2865" s="31" t="n">
        <v>42855.2916666667</v>
      </c>
      <c r="B2865" s="32" t="n">
        <v>60.616</v>
      </c>
      <c r="D2865" s="33" t="n">
        <f aca="false">WEEKDAY(A2865,2)</f>
        <v>7</v>
      </c>
      <c r="E2865" s="33" t="n">
        <f aca="false">HOUR(A2865)+MINUTE(A2865)/60</f>
        <v>7</v>
      </c>
      <c r="F2865" s="33" t="n">
        <f aca="false">IF(OR(D2865&gt;5,E2865&lt;8,E2865&gt;=18,COUNTIF($K$2:$K$10,INT(A2865))&gt;0),1,0)</f>
        <v>1</v>
      </c>
      <c r="G2865" s="34" t="n">
        <f aca="false">B2865/1</f>
        <v>60.616</v>
      </c>
      <c r="H2865" s="34" t="n">
        <f aca="false">IF(F2865=1,G2865,"")</f>
        <v>60.616</v>
      </c>
    </row>
    <row r="2866" customFormat="false" ht="15" hidden="false" customHeight="false" outlineLevel="0" collapsed="false">
      <c r="A2866" s="31" t="n">
        <v>42855.3333333333</v>
      </c>
      <c r="B2866" s="32" t="n">
        <v>58.266</v>
      </c>
      <c r="D2866" s="33" t="n">
        <f aca="false">WEEKDAY(A2866,2)</f>
        <v>7</v>
      </c>
      <c r="E2866" s="33" t="n">
        <f aca="false">HOUR(A2866)+MINUTE(A2866)/60</f>
        <v>8</v>
      </c>
      <c r="F2866" s="33" t="n">
        <f aca="false">IF(OR(D2866&gt;5,E2866&lt;8,E2866&gt;=18,COUNTIF($K$2:$K$10,INT(A2866))&gt;0),1,0)</f>
        <v>1</v>
      </c>
      <c r="G2866" s="34" t="n">
        <f aca="false">B2866/1</f>
        <v>58.266</v>
      </c>
      <c r="H2866" s="34" t="n">
        <f aca="false">IF(F2866=1,G2866,"")</f>
        <v>58.266</v>
      </c>
    </row>
    <row r="2867" customFormat="false" ht="15" hidden="false" customHeight="false" outlineLevel="0" collapsed="false">
      <c r="A2867" s="31" t="n">
        <v>42855.375</v>
      </c>
      <c r="B2867" s="32" t="n">
        <v>57.549</v>
      </c>
      <c r="D2867" s="33" t="n">
        <f aca="false">WEEKDAY(A2867,2)</f>
        <v>7</v>
      </c>
      <c r="E2867" s="33" t="n">
        <f aca="false">HOUR(A2867)+MINUTE(A2867)/60</f>
        <v>9</v>
      </c>
      <c r="F2867" s="33" t="n">
        <f aca="false">IF(OR(D2867&gt;5,E2867&lt;8,E2867&gt;=18,COUNTIF($K$2:$K$10,INT(A2867))&gt;0),1,0)</f>
        <v>1</v>
      </c>
      <c r="G2867" s="34" t="n">
        <f aca="false">B2867/1</f>
        <v>57.549</v>
      </c>
      <c r="H2867" s="34" t="n">
        <f aca="false">IF(F2867=1,G2867,"")</f>
        <v>57.549</v>
      </c>
    </row>
    <row r="2868" customFormat="false" ht="15" hidden="false" customHeight="false" outlineLevel="0" collapsed="false">
      <c r="A2868" s="31" t="n">
        <v>42855.4166666667</v>
      </c>
      <c r="B2868" s="32" t="n">
        <v>61.365</v>
      </c>
      <c r="D2868" s="33" t="n">
        <f aca="false">WEEKDAY(A2868,2)</f>
        <v>7</v>
      </c>
      <c r="E2868" s="33" t="n">
        <f aca="false">HOUR(A2868)+MINUTE(A2868)/60</f>
        <v>10</v>
      </c>
      <c r="F2868" s="33" t="n">
        <f aca="false">IF(OR(D2868&gt;5,E2868&lt;8,E2868&gt;=18,COUNTIF($K$2:$K$10,INT(A2868))&gt;0),1,0)</f>
        <v>1</v>
      </c>
      <c r="G2868" s="34" t="n">
        <f aca="false">B2868/1</f>
        <v>61.365</v>
      </c>
      <c r="H2868" s="34" t="n">
        <f aca="false">IF(F2868=1,G2868,"")</f>
        <v>61.365</v>
      </c>
    </row>
    <row r="2869" customFormat="false" ht="15" hidden="false" customHeight="false" outlineLevel="0" collapsed="false">
      <c r="A2869" s="31" t="n">
        <v>42855.4583333333</v>
      </c>
      <c r="B2869" s="32" t="n">
        <v>67.008</v>
      </c>
      <c r="D2869" s="33" t="n">
        <f aca="false">WEEKDAY(A2869,2)</f>
        <v>7</v>
      </c>
      <c r="E2869" s="33" t="n">
        <f aca="false">HOUR(A2869)+MINUTE(A2869)/60</f>
        <v>11</v>
      </c>
      <c r="F2869" s="33" t="n">
        <f aca="false">IF(OR(D2869&gt;5,E2869&lt;8,E2869&gt;=18,COUNTIF($K$2:$K$10,INT(A2869))&gt;0),1,0)</f>
        <v>1</v>
      </c>
      <c r="G2869" s="34" t="n">
        <f aca="false">B2869/1</f>
        <v>67.008</v>
      </c>
      <c r="H2869" s="34" t="n">
        <f aca="false">IF(F2869=1,G2869,"")</f>
        <v>67.008</v>
      </c>
    </row>
    <row r="2870" customFormat="false" ht="15" hidden="false" customHeight="false" outlineLevel="0" collapsed="false">
      <c r="A2870" s="31" t="n">
        <v>42855.5</v>
      </c>
      <c r="B2870" s="32" t="n">
        <v>73.543</v>
      </c>
      <c r="D2870" s="33" t="n">
        <f aca="false">WEEKDAY(A2870,2)</f>
        <v>7</v>
      </c>
      <c r="E2870" s="33" t="n">
        <f aca="false">HOUR(A2870)+MINUTE(A2870)/60</f>
        <v>12</v>
      </c>
      <c r="F2870" s="33" t="n">
        <f aca="false">IF(OR(D2870&gt;5,E2870&lt;8,E2870&gt;=18,COUNTIF($K$2:$K$10,INT(A2870))&gt;0),1,0)</f>
        <v>1</v>
      </c>
      <c r="G2870" s="34" t="n">
        <f aca="false">B2870/1</f>
        <v>73.543</v>
      </c>
      <c r="H2870" s="34" t="n">
        <f aca="false">IF(F2870=1,G2870,"")</f>
        <v>73.543</v>
      </c>
    </row>
    <row r="2871" customFormat="false" ht="15" hidden="false" customHeight="false" outlineLevel="0" collapsed="false">
      <c r="A2871" s="31" t="n">
        <v>42855.5416666667</v>
      </c>
      <c r="B2871" s="32" t="n">
        <v>120.149</v>
      </c>
      <c r="D2871" s="33" t="n">
        <f aca="false">WEEKDAY(A2871,2)</f>
        <v>7</v>
      </c>
      <c r="E2871" s="33" t="n">
        <f aca="false">HOUR(A2871)+MINUTE(A2871)/60</f>
        <v>13</v>
      </c>
      <c r="F2871" s="33" t="n">
        <f aca="false">IF(OR(D2871&gt;5,E2871&lt;8,E2871&gt;=18,COUNTIF($K$2:$K$10,INT(A2871))&gt;0),1,0)</f>
        <v>1</v>
      </c>
      <c r="G2871" s="34" t="n">
        <f aca="false">B2871/1</f>
        <v>120.149</v>
      </c>
      <c r="H2871" s="34" t="n">
        <f aca="false">IF(F2871=1,G2871,"")</f>
        <v>120.149</v>
      </c>
    </row>
    <row r="2872" customFormat="false" ht="15" hidden="false" customHeight="false" outlineLevel="0" collapsed="false">
      <c r="A2872" s="31" t="n">
        <v>42855.5833333333</v>
      </c>
      <c r="B2872" s="32" t="n">
        <v>150.161</v>
      </c>
      <c r="D2872" s="33" t="n">
        <f aca="false">WEEKDAY(A2872,2)</f>
        <v>7</v>
      </c>
      <c r="E2872" s="33" t="n">
        <f aca="false">HOUR(A2872)+MINUTE(A2872)/60</f>
        <v>14</v>
      </c>
      <c r="F2872" s="33" t="n">
        <f aca="false">IF(OR(D2872&gt;5,E2872&lt;8,E2872&gt;=18,COUNTIF($K$2:$K$10,INT(A2872))&gt;0),1,0)</f>
        <v>1</v>
      </c>
      <c r="G2872" s="34" t="n">
        <f aca="false">B2872/1</f>
        <v>150.161</v>
      </c>
      <c r="H2872" s="34" t="n">
        <f aca="false">IF(F2872=1,G2872,"")</f>
        <v>150.161</v>
      </c>
    </row>
    <row r="2873" customFormat="false" ht="15" hidden="false" customHeight="false" outlineLevel="0" collapsed="false">
      <c r="A2873" s="31" t="n">
        <v>42855.625</v>
      </c>
      <c r="B2873" s="32" t="n">
        <v>149.116</v>
      </c>
      <c r="D2873" s="33" t="n">
        <f aca="false">WEEKDAY(A2873,2)</f>
        <v>7</v>
      </c>
      <c r="E2873" s="33" t="n">
        <f aca="false">HOUR(A2873)+MINUTE(A2873)/60</f>
        <v>15</v>
      </c>
      <c r="F2873" s="33" t="n">
        <f aca="false">IF(OR(D2873&gt;5,E2873&lt;8,E2873&gt;=18,COUNTIF($K$2:$K$10,INT(A2873))&gt;0),1,0)</f>
        <v>1</v>
      </c>
      <c r="G2873" s="34" t="n">
        <f aca="false">B2873/1</f>
        <v>149.116</v>
      </c>
      <c r="H2873" s="34" t="n">
        <f aca="false">IF(F2873=1,G2873,"")</f>
        <v>149.116</v>
      </c>
    </row>
    <row r="2874" customFormat="false" ht="15" hidden="false" customHeight="false" outlineLevel="0" collapsed="false">
      <c r="A2874" s="31" t="n">
        <v>42855.6666666667</v>
      </c>
      <c r="B2874" s="32" t="n">
        <v>153.752</v>
      </c>
      <c r="D2874" s="33" t="n">
        <f aca="false">WEEKDAY(A2874,2)</f>
        <v>7</v>
      </c>
      <c r="E2874" s="33" t="n">
        <f aca="false">HOUR(A2874)+MINUTE(A2874)/60</f>
        <v>16</v>
      </c>
      <c r="F2874" s="33" t="n">
        <f aca="false">IF(OR(D2874&gt;5,E2874&lt;8,E2874&gt;=18,COUNTIF($K$2:$K$10,INT(A2874))&gt;0),1,0)</f>
        <v>1</v>
      </c>
      <c r="G2874" s="34" t="n">
        <f aca="false">B2874/1</f>
        <v>153.752</v>
      </c>
      <c r="H2874" s="34" t="n">
        <f aca="false">IF(F2874=1,G2874,"")</f>
        <v>153.752</v>
      </c>
    </row>
    <row r="2875" customFormat="false" ht="15" hidden="false" customHeight="false" outlineLevel="0" collapsed="false">
      <c r="A2875" s="31" t="n">
        <v>42855.7083333333</v>
      </c>
      <c r="B2875" s="32" t="n">
        <v>151.574</v>
      </c>
      <c r="D2875" s="33" t="n">
        <f aca="false">WEEKDAY(A2875,2)</f>
        <v>7</v>
      </c>
      <c r="E2875" s="33" t="n">
        <f aca="false">HOUR(A2875)+MINUTE(A2875)/60</f>
        <v>17</v>
      </c>
      <c r="F2875" s="33" t="n">
        <f aca="false">IF(OR(D2875&gt;5,E2875&lt;8,E2875&gt;=18,COUNTIF($K$2:$K$10,INT(A2875))&gt;0),1,0)</f>
        <v>1</v>
      </c>
      <c r="G2875" s="34" t="n">
        <f aca="false">B2875/1</f>
        <v>151.574</v>
      </c>
      <c r="H2875" s="34" t="n">
        <f aca="false">IF(F2875=1,G2875,"")</f>
        <v>151.574</v>
      </c>
    </row>
    <row r="2876" customFormat="false" ht="15" hidden="false" customHeight="false" outlineLevel="0" collapsed="false">
      <c r="A2876" s="31" t="n">
        <v>42855.75</v>
      </c>
      <c r="B2876" s="32" t="n">
        <v>81.22</v>
      </c>
      <c r="D2876" s="33" t="n">
        <f aca="false">WEEKDAY(A2876,2)</f>
        <v>7</v>
      </c>
      <c r="E2876" s="33" t="n">
        <f aca="false">HOUR(A2876)+MINUTE(A2876)/60</f>
        <v>18</v>
      </c>
      <c r="F2876" s="33" t="n">
        <f aca="false">IF(OR(D2876&gt;5,E2876&lt;8,E2876&gt;=18,COUNTIF($K$2:$K$10,INT(A2876))&gt;0),1,0)</f>
        <v>1</v>
      </c>
      <c r="G2876" s="34" t="n">
        <f aca="false">B2876/1</f>
        <v>81.22</v>
      </c>
      <c r="H2876" s="34" t="n">
        <f aca="false">IF(F2876=1,G2876,"")</f>
        <v>81.22</v>
      </c>
    </row>
    <row r="2877" customFormat="false" ht="15" hidden="false" customHeight="false" outlineLevel="0" collapsed="false">
      <c r="A2877" s="31" t="n">
        <v>42855.7916666667</v>
      </c>
      <c r="B2877" s="32" t="n">
        <v>75.988</v>
      </c>
      <c r="D2877" s="33" t="n">
        <f aca="false">WEEKDAY(A2877,2)</f>
        <v>7</v>
      </c>
      <c r="E2877" s="33" t="n">
        <f aca="false">HOUR(A2877)+MINUTE(A2877)/60</f>
        <v>19</v>
      </c>
      <c r="F2877" s="33" t="n">
        <f aca="false">IF(OR(D2877&gt;5,E2877&lt;8,E2877&gt;=18,COUNTIF($K$2:$K$10,INT(A2877))&gt;0),1,0)</f>
        <v>1</v>
      </c>
      <c r="G2877" s="34" t="n">
        <f aca="false">B2877/1</f>
        <v>75.988</v>
      </c>
      <c r="H2877" s="34" t="n">
        <f aca="false">IF(F2877=1,G2877,"")</f>
        <v>75.988</v>
      </c>
    </row>
    <row r="2878" customFormat="false" ht="15" hidden="false" customHeight="false" outlineLevel="0" collapsed="false">
      <c r="A2878" s="31" t="n">
        <v>42855.8333333333</v>
      </c>
      <c r="B2878" s="32" t="n">
        <v>67.949</v>
      </c>
      <c r="D2878" s="33" t="n">
        <f aca="false">WEEKDAY(A2878,2)</f>
        <v>7</v>
      </c>
      <c r="E2878" s="33" t="n">
        <f aca="false">HOUR(A2878)+MINUTE(A2878)/60</f>
        <v>20</v>
      </c>
      <c r="F2878" s="33" t="n">
        <f aca="false">IF(OR(D2878&gt;5,E2878&lt;8,E2878&gt;=18,COUNTIF($K$2:$K$10,INT(A2878))&gt;0),1,0)</f>
        <v>1</v>
      </c>
      <c r="G2878" s="34" t="n">
        <f aca="false">B2878/1</f>
        <v>67.949</v>
      </c>
      <c r="H2878" s="34" t="n">
        <f aca="false">IF(F2878=1,G2878,"")</f>
        <v>67.949</v>
      </c>
    </row>
    <row r="2879" customFormat="false" ht="15" hidden="false" customHeight="false" outlineLevel="0" collapsed="false">
      <c r="A2879" s="31" t="n">
        <v>42855.875</v>
      </c>
      <c r="B2879" s="32" t="n">
        <v>74.623</v>
      </c>
      <c r="D2879" s="33" t="n">
        <f aca="false">WEEKDAY(A2879,2)</f>
        <v>7</v>
      </c>
      <c r="E2879" s="33" t="n">
        <f aca="false">HOUR(A2879)+MINUTE(A2879)/60</f>
        <v>21</v>
      </c>
      <c r="F2879" s="33" t="n">
        <f aca="false">IF(OR(D2879&gt;5,E2879&lt;8,E2879&gt;=18,COUNTIF($K$2:$K$10,INT(A2879))&gt;0),1,0)</f>
        <v>1</v>
      </c>
      <c r="G2879" s="34" t="n">
        <f aca="false">B2879/1</f>
        <v>74.623</v>
      </c>
      <c r="H2879" s="34" t="n">
        <f aca="false">IF(F2879=1,G2879,"")</f>
        <v>74.623</v>
      </c>
    </row>
    <row r="2880" customFormat="false" ht="15" hidden="false" customHeight="false" outlineLevel="0" collapsed="false">
      <c r="A2880" s="31" t="n">
        <v>42855.9166666667</v>
      </c>
      <c r="B2880" s="32" t="n">
        <v>74.367</v>
      </c>
      <c r="D2880" s="33" t="n">
        <f aca="false">WEEKDAY(A2880,2)</f>
        <v>7</v>
      </c>
      <c r="E2880" s="33" t="n">
        <f aca="false">HOUR(A2880)+MINUTE(A2880)/60</f>
        <v>22</v>
      </c>
      <c r="F2880" s="33" t="n">
        <f aca="false">IF(OR(D2880&gt;5,E2880&lt;8,E2880&gt;=18,COUNTIF($K$2:$K$10,INT(A2880))&gt;0),1,0)</f>
        <v>1</v>
      </c>
      <c r="G2880" s="34" t="n">
        <f aca="false">B2880/1</f>
        <v>74.367</v>
      </c>
      <c r="H2880" s="34" t="n">
        <f aca="false">IF(F2880=1,G2880,"")</f>
        <v>74.367</v>
      </c>
    </row>
    <row r="2881" customFormat="false" ht="15" hidden="false" customHeight="false" outlineLevel="0" collapsed="false">
      <c r="A2881" s="31" t="n">
        <v>42855.9583333333</v>
      </c>
      <c r="B2881" s="32" t="n">
        <v>67.277</v>
      </c>
      <c r="D2881" s="33" t="n">
        <f aca="false">WEEKDAY(A2881,2)</f>
        <v>7</v>
      </c>
      <c r="E2881" s="33" t="n">
        <f aca="false">HOUR(A2881)+MINUTE(A2881)/60</f>
        <v>23</v>
      </c>
      <c r="F2881" s="33" t="n">
        <f aca="false">IF(OR(D2881&gt;5,E2881&lt;8,E2881&gt;=18,COUNTIF($K$2:$K$10,INT(A2881))&gt;0),1,0)</f>
        <v>1</v>
      </c>
      <c r="G2881" s="34" t="n">
        <f aca="false">B2881/1</f>
        <v>67.277</v>
      </c>
      <c r="H2881" s="34" t="n">
        <f aca="false">IF(F2881=1,G2881,"")</f>
        <v>67.277</v>
      </c>
    </row>
    <row r="2882" customFormat="false" ht="15" hidden="false" customHeight="false" outlineLevel="0" collapsed="false">
      <c r="A2882" s="31" t="n">
        <v>42856</v>
      </c>
      <c r="B2882" s="32" t="n">
        <v>66.997</v>
      </c>
      <c r="D2882" s="33" t="n">
        <f aca="false">WEEKDAY(A2882,2)</f>
        <v>1</v>
      </c>
      <c r="E2882" s="33" t="n">
        <f aca="false">HOUR(A2882)+MINUTE(A2882)/60</f>
        <v>0</v>
      </c>
      <c r="F2882" s="33" t="n">
        <f aca="false">IF(OR(D2882&gt;5,E2882&lt;8,E2882&gt;=18,COUNTIF($K$2:$K$10,INT(A2882))&gt;0),1,0)</f>
        <v>1</v>
      </c>
      <c r="G2882" s="34" t="n">
        <f aca="false">B2882/1</f>
        <v>66.997</v>
      </c>
      <c r="H2882" s="34" t="n">
        <f aca="false">IF(F2882=1,G2882,"")</f>
        <v>66.997</v>
      </c>
    </row>
    <row r="2883" customFormat="false" ht="15" hidden="false" customHeight="false" outlineLevel="0" collapsed="false">
      <c r="A2883" s="31" t="n">
        <v>42856.0416666667</v>
      </c>
      <c r="B2883" s="32" t="n">
        <v>64.688</v>
      </c>
      <c r="D2883" s="33" t="n">
        <f aca="false">WEEKDAY(A2883,2)</f>
        <v>1</v>
      </c>
      <c r="E2883" s="33" t="n">
        <f aca="false">HOUR(A2883)+MINUTE(A2883)/60</f>
        <v>1</v>
      </c>
      <c r="F2883" s="33" t="n">
        <f aca="false">IF(OR(D2883&gt;5,E2883&lt;8,E2883&gt;=18,COUNTIF($K$2:$K$10,INT(A2883))&gt;0),1,0)</f>
        <v>1</v>
      </c>
      <c r="G2883" s="34" t="n">
        <f aca="false">B2883/1</f>
        <v>64.688</v>
      </c>
      <c r="H2883" s="34" t="n">
        <f aca="false">IF(F2883=1,G2883,"")</f>
        <v>64.688</v>
      </c>
    </row>
    <row r="2884" customFormat="false" ht="15" hidden="false" customHeight="false" outlineLevel="0" collapsed="false">
      <c r="A2884" s="31" t="n">
        <v>42856.0833333333</v>
      </c>
      <c r="B2884" s="32" t="n">
        <v>61.316</v>
      </c>
      <c r="D2884" s="33" t="n">
        <f aca="false">WEEKDAY(A2884,2)</f>
        <v>1</v>
      </c>
      <c r="E2884" s="33" t="n">
        <f aca="false">HOUR(A2884)+MINUTE(A2884)/60</f>
        <v>2</v>
      </c>
      <c r="F2884" s="33" t="n">
        <f aca="false">IF(OR(D2884&gt;5,E2884&lt;8,E2884&gt;=18,COUNTIF($K$2:$K$10,INT(A2884))&gt;0),1,0)</f>
        <v>1</v>
      </c>
      <c r="G2884" s="34" t="n">
        <f aca="false">B2884/1</f>
        <v>61.316</v>
      </c>
      <c r="H2884" s="34" t="n">
        <f aca="false">IF(F2884=1,G2884,"")</f>
        <v>61.316</v>
      </c>
    </row>
    <row r="2885" customFormat="false" ht="15" hidden="false" customHeight="false" outlineLevel="0" collapsed="false">
      <c r="A2885" s="31" t="n">
        <v>42856.125</v>
      </c>
      <c r="B2885" s="32" t="n">
        <v>61</v>
      </c>
      <c r="D2885" s="33" t="n">
        <f aca="false">WEEKDAY(A2885,2)</f>
        <v>1</v>
      </c>
      <c r="E2885" s="33" t="n">
        <f aca="false">HOUR(A2885)+MINUTE(A2885)/60</f>
        <v>3</v>
      </c>
      <c r="F2885" s="33" t="n">
        <f aca="false">IF(OR(D2885&gt;5,E2885&lt;8,E2885&gt;=18,COUNTIF($K$2:$K$10,INT(A2885))&gt;0),1,0)</f>
        <v>1</v>
      </c>
      <c r="G2885" s="34" t="n">
        <f aca="false">B2885/1</f>
        <v>61</v>
      </c>
      <c r="H2885" s="34" t="n">
        <f aca="false">IF(F2885=1,G2885,"")</f>
        <v>61</v>
      </c>
    </row>
    <row r="2886" customFormat="false" ht="15" hidden="false" customHeight="false" outlineLevel="0" collapsed="false">
      <c r="A2886" s="31" t="n">
        <v>42856.1666666667</v>
      </c>
      <c r="B2886" s="32" t="n">
        <v>60.545</v>
      </c>
      <c r="D2886" s="33" t="n">
        <f aca="false">WEEKDAY(A2886,2)</f>
        <v>1</v>
      </c>
      <c r="E2886" s="33" t="n">
        <f aca="false">HOUR(A2886)+MINUTE(A2886)/60</f>
        <v>4</v>
      </c>
      <c r="F2886" s="33" t="n">
        <f aca="false">IF(OR(D2886&gt;5,E2886&lt;8,E2886&gt;=18,COUNTIF($K$2:$K$10,INT(A2886))&gt;0),1,0)</f>
        <v>1</v>
      </c>
      <c r="G2886" s="34" t="n">
        <f aca="false">B2886/1</f>
        <v>60.545</v>
      </c>
      <c r="H2886" s="34" t="n">
        <f aca="false">IF(F2886=1,G2886,"")</f>
        <v>60.545</v>
      </c>
    </row>
    <row r="2887" customFormat="false" ht="15" hidden="false" customHeight="false" outlineLevel="0" collapsed="false">
      <c r="A2887" s="31" t="n">
        <v>42856.2083333333</v>
      </c>
      <c r="B2887" s="32" t="n">
        <v>59.93</v>
      </c>
      <c r="D2887" s="33" t="n">
        <f aca="false">WEEKDAY(A2887,2)</f>
        <v>1</v>
      </c>
      <c r="E2887" s="33" t="n">
        <f aca="false">HOUR(A2887)+MINUTE(A2887)/60</f>
        <v>5</v>
      </c>
      <c r="F2887" s="33" t="n">
        <f aca="false">IF(OR(D2887&gt;5,E2887&lt;8,E2887&gt;=18,COUNTIF($K$2:$K$10,INT(A2887))&gt;0),1,0)</f>
        <v>1</v>
      </c>
      <c r="G2887" s="34" t="n">
        <f aca="false">B2887/1</f>
        <v>59.93</v>
      </c>
      <c r="H2887" s="34" t="n">
        <f aca="false">IF(F2887=1,G2887,"")</f>
        <v>59.93</v>
      </c>
    </row>
    <row r="2888" customFormat="false" ht="15" hidden="false" customHeight="false" outlineLevel="0" collapsed="false">
      <c r="A2888" s="31" t="n">
        <v>42856.25</v>
      </c>
      <c r="B2888" s="32" t="n">
        <v>65.777</v>
      </c>
      <c r="D2888" s="33" t="n">
        <f aca="false">WEEKDAY(A2888,2)</f>
        <v>1</v>
      </c>
      <c r="E2888" s="33" t="n">
        <f aca="false">HOUR(A2888)+MINUTE(A2888)/60</f>
        <v>6</v>
      </c>
      <c r="F2888" s="33" t="n">
        <f aca="false">IF(OR(D2888&gt;5,E2888&lt;8,E2888&gt;=18,COUNTIF($K$2:$K$10,INT(A2888))&gt;0),1,0)</f>
        <v>1</v>
      </c>
      <c r="G2888" s="34" t="n">
        <f aca="false">B2888/1</f>
        <v>65.777</v>
      </c>
      <c r="H2888" s="34" t="n">
        <f aca="false">IF(F2888=1,G2888,"")</f>
        <v>65.777</v>
      </c>
    </row>
    <row r="2889" customFormat="false" ht="15" hidden="false" customHeight="false" outlineLevel="0" collapsed="false">
      <c r="A2889" s="31" t="n">
        <v>42856.2916666667</v>
      </c>
      <c r="B2889" s="32" t="n">
        <v>87.558</v>
      </c>
      <c r="D2889" s="33" t="n">
        <f aca="false">WEEKDAY(A2889,2)</f>
        <v>1</v>
      </c>
      <c r="E2889" s="33" t="n">
        <f aca="false">HOUR(A2889)+MINUTE(A2889)/60</f>
        <v>7</v>
      </c>
      <c r="F2889" s="33" t="n">
        <f aca="false">IF(OR(D2889&gt;5,E2889&lt;8,E2889&gt;=18,COUNTIF($K$2:$K$10,INT(A2889))&gt;0),1,0)</f>
        <v>1</v>
      </c>
      <c r="G2889" s="34" t="n">
        <f aca="false">B2889/1</f>
        <v>87.558</v>
      </c>
      <c r="H2889" s="34" t="n">
        <f aca="false">IF(F2889=1,G2889,"")</f>
        <v>87.558</v>
      </c>
    </row>
    <row r="2890" customFormat="false" ht="15" hidden="false" customHeight="false" outlineLevel="0" collapsed="false">
      <c r="A2890" s="31" t="n">
        <v>42856.3333333333</v>
      </c>
      <c r="B2890" s="32" t="n">
        <v>173.96</v>
      </c>
      <c r="D2890" s="33" t="n">
        <f aca="false">WEEKDAY(A2890,2)</f>
        <v>1</v>
      </c>
      <c r="E2890" s="33" t="n">
        <f aca="false">HOUR(A2890)+MINUTE(A2890)/60</f>
        <v>8</v>
      </c>
      <c r="F2890" s="33" t="n">
        <f aca="false">IF(OR(D2890&gt;5,E2890&lt;8,E2890&gt;=18,COUNTIF($K$2:$K$10,INT(A2890))&gt;0),1,0)</f>
        <v>0</v>
      </c>
      <c r="G2890" s="34" t="n">
        <f aca="false">B2890/1</f>
        <v>173.96</v>
      </c>
      <c r="H2890" s="34" t="str">
        <f aca="false">IF(F2890=1,G2890,"")</f>
        <v/>
      </c>
    </row>
    <row r="2891" customFormat="false" ht="15" hidden="false" customHeight="false" outlineLevel="0" collapsed="false">
      <c r="A2891" s="31" t="n">
        <v>42856.375</v>
      </c>
      <c r="B2891" s="32" t="n">
        <v>211.934</v>
      </c>
      <c r="D2891" s="33" t="n">
        <f aca="false">WEEKDAY(A2891,2)</f>
        <v>1</v>
      </c>
      <c r="E2891" s="33" t="n">
        <f aca="false">HOUR(A2891)+MINUTE(A2891)/60</f>
        <v>9</v>
      </c>
      <c r="F2891" s="33" t="n">
        <f aca="false">IF(OR(D2891&gt;5,E2891&lt;8,E2891&gt;=18,COUNTIF($K$2:$K$10,INT(A2891))&gt;0),1,0)</f>
        <v>0</v>
      </c>
      <c r="G2891" s="34" t="n">
        <f aca="false">B2891/1</f>
        <v>211.934</v>
      </c>
      <c r="H2891" s="34" t="str">
        <f aca="false">IF(F2891=1,G2891,"")</f>
        <v/>
      </c>
    </row>
    <row r="2892" customFormat="false" ht="15" hidden="false" customHeight="false" outlineLevel="0" collapsed="false">
      <c r="A2892" s="31" t="n">
        <v>42856.4166666667</v>
      </c>
      <c r="B2892" s="32" t="n">
        <v>231.091</v>
      </c>
      <c r="D2892" s="33" t="n">
        <f aca="false">WEEKDAY(A2892,2)</f>
        <v>1</v>
      </c>
      <c r="E2892" s="33" t="n">
        <f aca="false">HOUR(A2892)+MINUTE(A2892)/60</f>
        <v>10</v>
      </c>
      <c r="F2892" s="33" t="n">
        <f aca="false">IF(OR(D2892&gt;5,E2892&lt;8,E2892&gt;=18,COUNTIF($K$2:$K$10,INT(A2892))&gt;0),1,0)</f>
        <v>0</v>
      </c>
      <c r="G2892" s="34" t="n">
        <f aca="false">B2892/1</f>
        <v>231.091</v>
      </c>
      <c r="H2892" s="34" t="str">
        <f aca="false">IF(F2892=1,G2892,"")</f>
        <v/>
      </c>
    </row>
    <row r="2893" customFormat="false" ht="15" hidden="false" customHeight="false" outlineLevel="0" collapsed="false">
      <c r="A2893" s="31" t="n">
        <v>42856.4583333333</v>
      </c>
      <c r="B2893" s="32" t="n">
        <v>243.526</v>
      </c>
      <c r="D2893" s="33" t="n">
        <f aca="false">WEEKDAY(A2893,2)</f>
        <v>1</v>
      </c>
      <c r="E2893" s="33" t="n">
        <f aca="false">HOUR(A2893)+MINUTE(A2893)/60</f>
        <v>11</v>
      </c>
      <c r="F2893" s="33" t="n">
        <f aca="false">IF(OR(D2893&gt;5,E2893&lt;8,E2893&gt;=18,COUNTIF($K$2:$K$10,INT(A2893))&gt;0),1,0)</f>
        <v>0</v>
      </c>
      <c r="G2893" s="34" t="n">
        <f aca="false">B2893/1</f>
        <v>243.526</v>
      </c>
      <c r="H2893" s="34" t="str">
        <f aca="false">IF(F2893=1,G2893,"")</f>
        <v/>
      </c>
    </row>
    <row r="2894" customFormat="false" ht="15" hidden="false" customHeight="false" outlineLevel="0" collapsed="false">
      <c r="A2894" s="31" t="n">
        <v>42856.5</v>
      </c>
      <c r="B2894" s="32" t="n">
        <v>245.534</v>
      </c>
      <c r="D2894" s="33" t="n">
        <f aca="false">WEEKDAY(A2894,2)</f>
        <v>1</v>
      </c>
      <c r="E2894" s="33" t="n">
        <f aca="false">HOUR(A2894)+MINUTE(A2894)/60</f>
        <v>12</v>
      </c>
      <c r="F2894" s="33" t="n">
        <f aca="false">IF(OR(D2894&gt;5,E2894&lt;8,E2894&gt;=18,COUNTIF($K$2:$K$10,INT(A2894))&gt;0),1,0)</f>
        <v>0</v>
      </c>
      <c r="G2894" s="34" t="n">
        <f aca="false">B2894/1</f>
        <v>245.534</v>
      </c>
      <c r="H2894" s="34" t="str">
        <f aca="false">IF(F2894=1,G2894,"")</f>
        <v/>
      </c>
    </row>
    <row r="2895" customFormat="false" ht="15" hidden="false" customHeight="false" outlineLevel="0" collapsed="false">
      <c r="A2895" s="31" t="n">
        <v>42856.5416666667</v>
      </c>
      <c r="B2895" s="32" t="n">
        <v>259.133</v>
      </c>
      <c r="D2895" s="33" t="n">
        <f aca="false">WEEKDAY(A2895,2)</f>
        <v>1</v>
      </c>
      <c r="E2895" s="33" t="n">
        <f aca="false">HOUR(A2895)+MINUTE(A2895)/60</f>
        <v>13</v>
      </c>
      <c r="F2895" s="33" t="n">
        <f aca="false">IF(OR(D2895&gt;5,E2895&lt;8,E2895&gt;=18,COUNTIF($K$2:$K$10,INT(A2895))&gt;0),1,0)</f>
        <v>0</v>
      </c>
      <c r="G2895" s="34" t="n">
        <f aca="false">B2895/1</f>
        <v>259.133</v>
      </c>
      <c r="H2895" s="34" t="str">
        <f aca="false">IF(F2895=1,G2895,"")</f>
        <v/>
      </c>
    </row>
    <row r="2896" customFormat="false" ht="15" hidden="false" customHeight="false" outlineLevel="0" collapsed="false">
      <c r="A2896" s="31" t="n">
        <v>42856.5833333333</v>
      </c>
      <c r="B2896" s="32" t="n">
        <v>256.117</v>
      </c>
      <c r="D2896" s="33" t="n">
        <f aca="false">WEEKDAY(A2896,2)</f>
        <v>1</v>
      </c>
      <c r="E2896" s="33" t="n">
        <f aca="false">HOUR(A2896)+MINUTE(A2896)/60</f>
        <v>14</v>
      </c>
      <c r="F2896" s="33" t="n">
        <f aca="false">IF(OR(D2896&gt;5,E2896&lt;8,E2896&gt;=18,COUNTIF($K$2:$K$10,INT(A2896))&gt;0),1,0)</f>
        <v>0</v>
      </c>
      <c r="G2896" s="34" t="n">
        <f aca="false">B2896/1</f>
        <v>256.117</v>
      </c>
      <c r="H2896" s="34" t="str">
        <f aca="false">IF(F2896=1,G2896,"")</f>
        <v/>
      </c>
    </row>
    <row r="2897" customFormat="false" ht="15" hidden="false" customHeight="false" outlineLevel="0" collapsed="false">
      <c r="A2897" s="31" t="n">
        <v>42856.625</v>
      </c>
      <c r="B2897" s="32" t="n">
        <v>261.049</v>
      </c>
      <c r="D2897" s="33" t="n">
        <f aca="false">WEEKDAY(A2897,2)</f>
        <v>1</v>
      </c>
      <c r="E2897" s="33" t="n">
        <f aca="false">HOUR(A2897)+MINUTE(A2897)/60</f>
        <v>15</v>
      </c>
      <c r="F2897" s="33" t="n">
        <f aca="false">IF(OR(D2897&gt;5,E2897&lt;8,E2897&gt;=18,COUNTIF($K$2:$K$10,INT(A2897))&gt;0),1,0)</f>
        <v>0</v>
      </c>
      <c r="G2897" s="34" t="n">
        <f aca="false">B2897/1</f>
        <v>261.049</v>
      </c>
      <c r="H2897" s="34" t="str">
        <f aca="false">IF(F2897=1,G2897,"")</f>
        <v/>
      </c>
    </row>
    <row r="2898" customFormat="false" ht="15" hidden="false" customHeight="false" outlineLevel="0" collapsed="false">
      <c r="A2898" s="31" t="n">
        <v>42856.6666666667</v>
      </c>
      <c r="B2898" s="32" t="n">
        <v>254.762</v>
      </c>
      <c r="D2898" s="33" t="n">
        <f aca="false">WEEKDAY(A2898,2)</f>
        <v>1</v>
      </c>
      <c r="E2898" s="33" t="n">
        <f aca="false">HOUR(A2898)+MINUTE(A2898)/60</f>
        <v>16</v>
      </c>
      <c r="F2898" s="33" t="n">
        <f aca="false">IF(OR(D2898&gt;5,E2898&lt;8,E2898&gt;=18,COUNTIF($K$2:$K$10,INT(A2898))&gt;0),1,0)</f>
        <v>0</v>
      </c>
      <c r="G2898" s="34" t="n">
        <f aca="false">B2898/1</f>
        <v>254.762</v>
      </c>
      <c r="H2898" s="34" t="str">
        <f aca="false">IF(F2898=1,G2898,"")</f>
        <v/>
      </c>
    </row>
    <row r="2899" customFormat="false" ht="15" hidden="false" customHeight="false" outlineLevel="0" collapsed="false">
      <c r="A2899" s="31" t="n">
        <v>42856.7083333333</v>
      </c>
      <c r="B2899" s="32" t="n">
        <v>244.467</v>
      </c>
      <c r="D2899" s="33" t="n">
        <f aca="false">WEEKDAY(A2899,2)</f>
        <v>1</v>
      </c>
      <c r="E2899" s="33" t="n">
        <f aca="false">HOUR(A2899)+MINUTE(A2899)/60</f>
        <v>17</v>
      </c>
      <c r="F2899" s="33" t="n">
        <f aca="false">IF(OR(D2899&gt;5,E2899&lt;8,E2899&gt;=18,COUNTIF($K$2:$K$10,INT(A2899))&gt;0),1,0)</f>
        <v>0</v>
      </c>
      <c r="G2899" s="34" t="n">
        <f aca="false">B2899/1</f>
        <v>244.467</v>
      </c>
      <c r="H2899" s="34" t="str">
        <f aca="false">IF(F2899=1,G2899,"")</f>
        <v/>
      </c>
    </row>
    <row r="2900" customFormat="false" ht="15" hidden="false" customHeight="false" outlineLevel="0" collapsed="false">
      <c r="A2900" s="31" t="n">
        <v>42856.75</v>
      </c>
      <c r="B2900" s="32" t="n">
        <v>227.147</v>
      </c>
      <c r="D2900" s="33" t="n">
        <f aca="false">WEEKDAY(A2900,2)</f>
        <v>1</v>
      </c>
      <c r="E2900" s="33" t="n">
        <f aca="false">HOUR(A2900)+MINUTE(A2900)/60</f>
        <v>18</v>
      </c>
      <c r="F2900" s="33" t="n">
        <f aca="false">IF(OR(D2900&gt;5,E2900&lt;8,E2900&gt;=18,COUNTIF($K$2:$K$10,INT(A2900))&gt;0),1,0)</f>
        <v>1</v>
      </c>
      <c r="G2900" s="34" t="n">
        <f aca="false">B2900/1</f>
        <v>227.147</v>
      </c>
      <c r="H2900" s="34" t="n">
        <f aca="false">IF(F2900=1,G2900,"")</f>
        <v>227.147</v>
      </c>
    </row>
    <row r="2901" customFormat="false" ht="15" hidden="false" customHeight="false" outlineLevel="0" collapsed="false">
      <c r="A2901" s="31" t="n">
        <v>42856.7916666667</v>
      </c>
      <c r="B2901" s="32" t="n">
        <v>208.207</v>
      </c>
      <c r="D2901" s="33" t="n">
        <f aca="false">WEEKDAY(A2901,2)</f>
        <v>1</v>
      </c>
      <c r="E2901" s="33" t="n">
        <f aca="false">HOUR(A2901)+MINUTE(A2901)/60</f>
        <v>19</v>
      </c>
      <c r="F2901" s="33" t="n">
        <f aca="false">IF(OR(D2901&gt;5,E2901&lt;8,E2901&gt;=18,COUNTIF($K$2:$K$10,INT(A2901))&gt;0),1,0)</f>
        <v>1</v>
      </c>
      <c r="G2901" s="34" t="n">
        <f aca="false">B2901/1</f>
        <v>208.207</v>
      </c>
      <c r="H2901" s="34" t="n">
        <f aca="false">IF(F2901=1,G2901,"")</f>
        <v>208.207</v>
      </c>
    </row>
    <row r="2902" customFormat="false" ht="15" hidden="false" customHeight="false" outlineLevel="0" collapsed="false">
      <c r="A2902" s="31" t="n">
        <v>42856.8333333333</v>
      </c>
      <c r="B2902" s="32" t="n">
        <v>204.854</v>
      </c>
      <c r="D2902" s="33" t="n">
        <f aca="false">WEEKDAY(A2902,2)</f>
        <v>1</v>
      </c>
      <c r="E2902" s="33" t="n">
        <f aca="false">HOUR(A2902)+MINUTE(A2902)/60</f>
        <v>20</v>
      </c>
      <c r="F2902" s="33" t="n">
        <f aca="false">IF(OR(D2902&gt;5,E2902&lt;8,E2902&gt;=18,COUNTIF($K$2:$K$10,INT(A2902))&gt;0),1,0)</f>
        <v>1</v>
      </c>
      <c r="G2902" s="34" t="n">
        <f aca="false">B2902/1</f>
        <v>204.854</v>
      </c>
      <c r="H2902" s="34" t="n">
        <f aca="false">IF(F2902=1,G2902,"")</f>
        <v>204.854</v>
      </c>
    </row>
    <row r="2903" customFormat="false" ht="15" hidden="false" customHeight="false" outlineLevel="0" collapsed="false">
      <c r="A2903" s="31" t="n">
        <v>42856.875</v>
      </c>
      <c r="B2903" s="32" t="n">
        <v>194.832</v>
      </c>
      <c r="D2903" s="33" t="n">
        <f aca="false">WEEKDAY(A2903,2)</f>
        <v>1</v>
      </c>
      <c r="E2903" s="33" t="n">
        <f aca="false">HOUR(A2903)+MINUTE(A2903)/60</f>
        <v>21</v>
      </c>
      <c r="F2903" s="33" t="n">
        <f aca="false">IF(OR(D2903&gt;5,E2903&lt;8,E2903&gt;=18,COUNTIF($K$2:$K$10,INT(A2903))&gt;0),1,0)</f>
        <v>1</v>
      </c>
      <c r="G2903" s="34" t="n">
        <f aca="false">B2903/1</f>
        <v>194.832</v>
      </c>
      <c r="H2903" s="34" t="n">
        <f aca="false">IF(F2903=1,G2903,"")</f>
        <v>194.832</v>
      </c>
    </row>
    <row r="2904" customFormat="false" ht="15" hidden="false" customHeight="false" outlineLevel="0" collapsed="false">
      <c r="A2904" s="31" t="n">
        <v>42856.9166666667</v>
      </c>
      <c r="B2904" s="32" t="n">
        <v>142.959</v>
      </c>
      <c r="D2904" s="33" t="n">
        <f aca="false">WEEKDAY(A2904,2)</f>
        <v>1</v>
      </c>
      <c r="E2904" s="33" t="n">
        <f aca="false">HOUR(A2904)+MINUTE(A2904)/60</f>
        <v>22</v>
      </c>
      <c r="F2904" s="33" t="n">
        <f aca="false">IF(OR(D2904&gt;5,E2904&lt;8,E2904&gt;=18,COUNTIF($K$2:$K$10,INT(A2904))&gt;0),1,0)</f>
        <v>1</v>
      </c>
      <c r="G2904" s="34" t="n">
        <f aca="false">B2904/1</f>
        <v>142.959</v>
      </c>
      <c r="H2904" s="34" t="n">
        <f aca="false">IF(F2904=1,G2904,"")</f>
        <v>142.959</v>
      </c>
    </row>
    <row r="2905" customFormat="false" ht="15" hidden="false" customHeight="false" outlineLevel="0" collapsed="false">
      <c r="A2905" s="31" t="n">
        <v>42856.9583333333</v>
      </c>
      <c r="B2905" s="32" t="n">
        <v>78.568</v>
      </c>
      <c r="D2905" s="33" t="n">
        <f aca="false">WEEKDAY(A2905,2)</f>
        <v>1</v>
      </c>
      <c r="E2905" s="33" t="n">
        <f aca="false">HOUR(A2905)+MINUTE(A2905)/60</f>
        <v>23</v>
      </c>
      <c r="F2905" s="33" t="n">
        <f aca="false">IF(OR(D2905&gt;5,E2905&lt;8,E2905&gt;=18,COUNTIF($K$2:$K$10,INT(A2905))&gt;0),1,0)</f>
        <v>1</v>
      </c>
      <c r="G2905" s="34" t="n">
        <f aca="false">B2905/1</f>
        <v>78.568</v>
      </c>
      <c r="H2905" s="34" t="n">
        <f aca="false">IF(F2905=1,G2905,"")</f>
        <v>78.568</v>
      </c>
    </row>
    <row r="2906" customFormat="false" ht="15" hidden="false" customHeight="false" outlineLevel="0" collapsed="false">
      <c r="A2906" s="31" t="n">
        <v>42857</v>
      </c>
      <c r="B2906" s="32" t="n">
        <v>72.68</v>
      </c>
      <c r="D2906" s="33" t="n">
        <f aca="false">WEEKDAY(A2906,2)</f>
        <v>2</v>
      </c>
      <c r="E2906" s="33" t="n">
        <f aca="false">HOUR(A2906)+MINUTE(A2906)/60</f>
        <v>0</v>
      </c>
      <c r="F2906" s="33" t="n">
        <f aca="false">IF(OR(D2906&gt;5,E2906&lt;8,E2906&gt;=18,COUNTIF($K$2:$K$10,INT(A2906))&gt;0),1,0)</f>
        <v>1</v>
      </c>
      <c r="G2906" s="34" t="n">
        <f aca="false">B2906/1</f>
        <v>72.68</v>
      </c>
      <c r="H2906" s="34" t="n">
        <f aca="false">IF(F2906=1,G2906,"")</f>
        <v>72.68</v>
      </c>
    </row>
    <row r="2907" customFormat="false" ht="15" hidden="false" customHeight="false" outlineLevel="0" collapsed="false">
      <c r="A2907" s="31" t="n">
        <v>42857.0416666667</v>
      </c>
      <c r="B2907" s="32" t="n">
        <v>64.145</v>
      </c>
      <c r="D2907" s="33" t="n">
        <f aca="false">WEEKDAY(A2907,2)</f>
        <v>2</v>
      </c>
      <c r="E2907" s="33" t="n">
        <f aca="false">HOUR(A2907)+MINUTE(A2907)/60</f>
        <v>1</v>
      </c>
      <c r="F2907" s="33" t="n">
        <f aca="false">IF(OR(D2907&gt;5,E2907&lt;8,E2907&gt;=18,COUNTIF($K$2:$K$10,INT(A2907))&gt;0),1,0)</f>
        <v>1</v>
      </c>
      <c r="G2907" s="34" t="n">
        <f aca="false">B2907/1</f>
        <v>64.145</v>
      </c>
      <c r="H2907" s="34" t="n">
        <f aca="false">IF(F2907=1,G2907,"")</f>
        <v>64.145</v>
      </c>
    </row>
    <row r="2908" customFormat="false" ht="15" hidden="false" customHeight="false" outlineLevel="0" collapsed="false">
      <c r="A2908" s="31" t="n">
        <v>42857.0833333333</v>
      </c>
      <c r="B2908" s="32" t="n">
        <v>66.292</v>
      </c>
      <c r="D2908" s="33" t="n">
        <f aca="false">WEEKDAY(A2908,2)</f>
        <v>2</v>
      </c>
      <c r="E2908" s="33" t="n">
        <f aca="false">HOUR(A2908)+MINUTE(A2908)/60</f>
        <v>2</v>
      </c>
      <c r="F2908" s="33" t="n">
        <f aca="false">IF(OR(D2908&gt;5,E2908&lt;8,E2908&gt;=18,COUNTIF($K$2:$K$10,INT(A2908))&gt;0),1,0)</f>
        <v>1</v>
      </c>
      <c r="G2908" s="34" t="n">
        <f aca="false">B2908/1</f>
        <v>66.292</v>
      </c>
      <c r="H2908" s="34" t="n">
        <f aca="false">IF(F2908=1,G2908,"")</f>
        <v>66.292</v>
      </c>
    </row>
    <row r="2909" customFormat="false" ht="15" hidden="false" customHeight="false" outlineLevel="0" collapsed="false">
      <c r="A2909" s="31" t="n">
        <v>42857.125</v>
      </c>
      <c r="B2909" s="32" t="n">
        <v>63.546</v>
      </c>
      <c r="D2909" s="33" t="n">
        <f aca="false">WEEKDAY(A2909,2)</f>
        <v>2</v>
      </c>
      <c r="E2909" s="33" t="n">
        <f aca="false">HOUR(A2909)+MINUTE(A2909)/60</f>
        <v>3</v>
      </c>
      <c r="F2909" s="33" t="n">
        <f aca="false">IF(OR(D2909&gt;5,E2909&lt;8,E2909&gt;=18,COUNTIF($K$2:$K$10,INT(A2909))&gt;0),1,0)</f>
        <v>1</v>
      </c>
      <c r="G2909" s="34" t="n">
        <f aca="false">B2909/1</f>
        <v>63.546</v>
      </c>
      <c r="H2909" s="34" t="n">
        <f aca="false">IF(F2909=1,G2909,"")</f>
        <v>63.546</v>
      </c>
    </row>
    <row r="2910" customFormat="false" ht="15" hidden="false" customHeight="false" outlineLevel="0" collapsed="false">
      <c r="A2910" s="31" t="n">
        <v>42857.1666666667</v>
      </c>
      <c r="B2910" s="32" t="n">
        <v>66.323</v>
      </c>
      <c r="D2910" s="33" t="n">
        <f aca="false">WEEKDAY(A2910,2)</f>
        <v>2</v>
      </c>
      <c r="E2910" s="33" t="n">
        <f aca="false">HOUR(A2910)+MINUTE(A2910)/60</f>
        <v>4</v>
      </c>
      <c r="F2910" s="33" t="n">
        <f aca="false">IF(OR(D2910&gt;5,E2910&lt;8,E2910&gt;=18,COUNTIF($K$2:$K$10,INT(A2910))&gt;0),1,0)</f>
        <v>1</v>
      </c>
      <c r="G2910" s="34" t="n">
        <f aca="false">B2910/1</f>
        <v>66.323</v>
      </c>
      <c r="H2910" s="34" t="n">
        <f aca="false">IF(F2910=1,G2910,"")</f>
        <v>66.323</v>
      </c>
    </row>
    <row r="2911" customFormat="false" ht="15" hidden="false" customHeight="false" outlineLevel="0" collapsed="false">
      <c r="A2911" s="31" t="n">
        <v>42857.2083333333</v>
      </c>
      <c r="B2911" s="32" t="n">
        <v>65.983</v>
      </c>
      <c r="D2911" s="33" t="n">
        <f aca="false">WEEKDAY(A2911,2)</f>
        <v>2</v>
      </c>
      <c r="E2911" s="33" t="n">
        <f aca="false">HOUR(A2911)+MINUTE(A2911)/60</f>
        <v>5</v>
      </c>
      <c r="F2911" s="33" t="n">
        <f aca="false">IF(OR(D2911&gt;5,E2911&lt;8,E2911&gt;=18,COUNTIF($K$2:$K$10,INT(A2911))&gt;0),1,0)</f>
        <v>1</v>
      </c>
      <c r="G2911" s="34" t="n">
        <f aca="false">B2911/1</f>
        <v>65.983</v>
      </c>
      <c r="H2911" s="34" t="n">
        <f aca="false">IF(F2911=1,G2911,"")</f>
        <v>65.983</v>
      </c>
    </row>
    <row r="2912" customFormat="false" ht="15" hidden="false" customHeight="false" outlineLevel="0" collapsed="false">
      <c r="A2912" s="31" t="n">
        <v>42857.25</v>
      </c>
      <c r="B2912" s="32" t="n">
        <v>64.401</v>
      </c>
      <c r="D2912" s="33" t="n">
        <f aca="false">WEEKDAY(A2912,2)</f>
        <v>2</v>
      </c>
      <c r="E2912" s="33" t="n">
        <f aca="false">HOUR(A2912)+MINUTE(A2912)/60</f>
        <v>6</v>
      </c>
      <c r="F2912" s="33" t="n">
        <f aca="false">IF(OR(D2912&gt;5,E2912&lt;8,E2912&gt;=18,COUNTIF($K$2:$K$10,INT(A2912))&gt;0),1,0)</f>
        <v>1</v>
      </c>
      <c r="G2912" s="34" t="n">
        <f aca="false">B2912/1</f>
        <v>64.401</v>
      </c>
      <c r="H2912" s="34" t="n">
        <f aca="false">IF(F2912=1,G2912,"")</f>
        <v>64.401</v>
      </c>
    </row>
    <row r="2913" customFormat="false" ht="15" hidden="false" customHeight="false" outlineLevel="0" collapsed="false">
      <c r="A2913" s="31" t="n">
        <v>42857.2916666667</v>
      </c>
      <c r="B2913" s="32" t="n">
        <v>74.09</v>
      </c>
      <c r="D2913" s="33" t="n">
        <f aca="false">WEEKDAY(A2913,2)</f>
        <v>2</v>
      </c>
      <c r="E2913" s="33" t="n">
        <f aca="false">HOUR(A2913)+MINUTE(A2913)/60</f>
        <v>7</v>
      </c>
      <c r="F2913" s="33" t="n">
        <f aca="false">IF(OR(D2913&gt;5,E2913&lt;8,E2913&gt;=18,COUNTIF($K$2:$K$10,INT(A2913))&gt;0),1,0)</f>
        <v>1</v>
      </c>
      <c r="G2913" s="34" t="n">
        <f aca="false">B2913/1</f>
        <v>74.09</v>
      </c>
      <c r="H2913" s="34" t="n">
        <f aca="false">IF(F2913=1,G2913,"")</f>
        <v>74.09</v>
      </c>
    </row>
    <row r="2914" customFormat="false" ht="15" hidden="false" customHeight="false" outlineLevel="0" collapsed="false">
      <c r="A2914" s="31" t="n">
        <v>42857.3333333333</v>
      </c>
      <c r="B2914" s="32" t="n">
        <v>182.589</v>
      </c>
      <c r="D2914" s="33" t="n">
        <f aca="false">WEEKDAY(A2914,2)</f>
        <v>2</v>
      </c>
      <c r="E2914" s="33" t="n">
        <f aca="false">HOUR(A2914)+MINUTE(A2914)/60</f>
        <v>8</v>
      </c>
      <c r="F2914" s="33" t="n">
        <f aca="false">IF(OR(D2914&gt;5,E2914&lt;8,E2914&gt;=18,COUNTIF($K$2:$K$10,INT(A2914))&gt;0),1,0)</f>
        <v>0</v>
      </c>
      <c r="G2914" s="34" t="n">
        <f aca="false">B2914/1</f>
        <v>182.589</v>
      </c>
      <c r="H2914" s="34" t="str">
        <f aca="false">IF(F2914=1,G2914,"")</f>
        <v/>
      </c>
    </row>
    <row r="2915" customFormat="false" ht="15" hidden="false" customHeight="false" outlineLevel="0" collapsed="false">
      <c r="A2915" s="31" t="n">
        <v>42857.375</v>
      </c>
      <c r="B2915" s="32" t="n">
        <v>214.428</v>
      </c>
      <c r="D2915" s="33" t="n">
        <f aca="false">WEEKDAY(A2915,2)</f>
        <v>2</v>
      </c>
      <c r="E2915" s="33" t="n">
        <f aca="false">HOUR(A2915)+MINUTE(A2915)/60</f>
        <v>9</v>
      </c>
      <c r="F2915" s="33" t="n">
        <f aca="false">IF(OR(D2915&gt;5,E2915&lt;8,E2915&gt;=18,COUNTIF($K$2:$K$10,INT(A2915))&gt;0),1,0)</f>
        <v>0</v>
      </c>
      <c r="G2915" s="34" t="n">
        <f aca="false">B2915/1</f>
        <v>214.428</v>
      </c>
      <c r="H2915" s="34" t="str">
        <f aca="false">IF(F2915=1,G2915,"")</f>
        <v/>
      </c>
    </row>
    <row r="2916" customFormat="false" ht="15" hidden="false" customHeight="false" outlineLevel="0" collapsed="false">
      <c r="A2916" s="31" t="n">
        <v>42857.4166666667</v>
      </c>
      <c r="B2916" s="32" t="n">
        <v>243.459</v>
      </c>
      <c r="D2916" s="33" t="n">
        <f aca="false">WEEKDAY(A2916,2)</f>
        <v>2</v>
      </c>
      <c r="E2916" s="33" t="n">
        <f aca="false">HOUR(A2916)+MINUTE(A2916)/60</f>
        <v>10</v>
      </c>
      <c r="F2916" s="33" t="n">
        <f aca="false">IF(OR(D2916&gt;5,E2916&lt;8,E2916&gt;=18,COUNTIF($K$2:$K$10,INT(A2916))&gt;0),1,0)</f>
        <v>0</v>
      </c>
      <c r="G2916" s="34" t="n">
        <f aca="false">B2916/1</f>
        <v>243.459</v>
      </c>
      <c r="H2916" s="34" t="str">
        <f aca="false">IF(F2916=1,G2916,"")</f>
        <v/>
      </c>
    </row>
    <row r="2917" customFormat="false" ht="15" hidden="false" customHeight="false" outlineLevel="0" collapsed="false">
      <c r="A2917" s="31" t="n">
        <v>42857.4583333333</v>
      </c>
      <c r="B2917" s="32" t="n">
        <v>249.138</v>
      </c>
      <c r="D2917" s="33" t="n">
        <f aca="false">WEEKDAY(A2917,2)</f>
        <v>2</v>
      </c>
      <c r="E2917" s="33" t="n">
        <f aca="false">HOUR(A2917)+MINUTE(A2917)/60</f>
        <v>11</v>
      </c>
      <c r="F2917" s="33" t="n">
        <f aca="false">IF(OR(D2917&gt;5,E2917&lt;8,E2917&gt;=18,COUNTIF($K$2:$K$10,INT(A2917))&gt;0),1,0)</f>
        <v>0</v>
      </c>
      <c r="G2917" s="34" t="n">
        <f aca="false">B2917/1</f>
        <v>249.138</v>
      </c>
      <c r="H2917" s="34" t="str">
        <f aca="false">IF(F2917=1,G2917,"")</f>
        <v/>
      </c>
    </row>
    <row r="2918" customFormat="false" ht="15" hidden="false" customHeight="false" outlineLevel="0" collapsed="false">
      <c r="A2918" s="31" t="n">
        <v>42857.5</v>
      </c>
      <c r="B2918" s="32" t="n">
        <v>253.507</v>
      </c>
      <c r="D2918" s="33" t="n">
        <f aca="false">WEEKDAY(A2918,2)</f>
        <v>2</v>
      </c>
      <c r="E2918" s="33" t="n">
        <f aca="false">HOUR(A2918)+MINUTE(A2918)/60</f>
        <v>12</v>
      </c>
      <c r="F2918" s="33" t="n">
        <f aca="false">IF(OR(D2918&gt;5,E2918&lt;8,E2918&gt;=18,COUNTIF($K$2:$K$10,INT(A2918))&gt;0),1,0)</f>
        <v>0</v>
      </c>
      <c r="G2918" s="34" t="n">
        <f aca="false">B2918/1</f>
        <v>253.507</v>
      </c>
      <c r="H2918" s="34" t="str">
        <f aca="false">IF(F2918=1,G2918,"")</f>
        <v/>
      </c>
    </row>
    <row r="2919" customFormat="false" ht="15" hidden="false" customHeight="false" outlineLevel="0" collapsed="false">
      <c r="A2919" s="31" t="n">
        <v>42857.5416666667</v>
      </c>
      <c r="B2919" s="32" t="n">
        <v>251.063</v>
      </c>
      <c r="D2919" s="33" t="n">
        <f aca="false">WEEKDAY(A2919,2)</f>
        <v>2</v>
      </c>
      <c r="E2919" s="33" t="n">
        <f aca="false">HOUR(A2919)+MINUTE(A2919)/60</f>
        <v>13</v>
      </c>
      <c r="F2919" s="33" t="n">
        <f aca="false">IF(OR(D2919&gt;5,E2919&lt;8,E2919&gt;=18,COUNTIF($K$2:$K$10,INT(A2919))&gt;0),1,0)</f>
        <v>0</v>
      </c>
      <c r="G2919" s="34" t="n">
        <f aca="false">B2919/1</f>
        <v>251.063</v>
      </c>
      <c r="H2919" s="34" t="str">
        <f aca="false">IF(F2919=1,G2919,"")</f>
        <v/>
      </c>
    </row>
    <row r="2920" customFormat="false" ht="15" hidden="false" customHeight="false" outlineLevel="0" collapsed="false">
      <c r="A2920" s="31" t="n">
        <v>42857.5833333333</v>
      </c>
      <c r="B2920" s="32" t="n">
        <v>256.775</v>
      </c>
      <c r="D2920" s="33" t="n">
        <f aca="false">WEEKDAY(A2920,2)</f>
        <v>2</v>
      </c>
      <c r="E2920" s="33" t="n">
        <f aca="false">HOUR(A2920)+MINUTE(A2920)/60</f>
        <v>14</v>
      </c>
      <c r="F2920" s="33" t="n">
        <f aca="false">IF(OR(D2920&gt;5,E2920&lt;8,E2920&gt;=18,COUNTIF($K$2:$K$10,INT(A2920))&gt;0),1,0)</f>
        <v>0</v>
      </c>
      <c r="G2920" s="34" t="n">
        <f aca="false">B2920/1</f>
        <v>256.775</v>
      </c>
      <c r="H2920" s="34" t="str">
        <f aca="false">IF(F2920=1,G2920,"")</f>
        <v/>
      </c>
    </row>
    <row r="2921" customFormat="false" ht="15" hidden="false" customHeight="false" outlineLevel="0" collapsed="false">
      <c r="A2921" s="31" t="n">
        <v>42857.625</v>
      </c>
      <c r="B2921" s="32" t="n">
        <v>252.121</v>
      </c>
      <c r="D2921" s="33" t="n">
        <f aca="false">WEEKDAY(A2921,2)</f>
        <v>2</v>
      </c>
      <c r="E2921" s="33" t="n">
        <f aca="false">HOUR(A2921)+MINUTE(A2921)/60</f>
        <v>15</v>
      </c>
      <c r="F2921" s="33" t="n">
        <f aca="false">IF(OR(D2921&gt;5,E2921&lt;8,E2921&gt;=18,COUNTIF($K$2:$K$10,INT(A2921))&gt;0),1,0)</f>
        <v>0</v>
      </c>
      <c r="G2921" s="34" t="n">
        <f aca="false">B2921/1</f>
        <v>252.121</v>
      </c>
      <c r="H2921" s="34" t="str">
        <f aca="false">IF(F2921=1,G2921,"")</f>
        <v/>
      </c>
    </row>
    <row r="2922" customFormat="false" ht="15" hidden="false" customHeight="false" outlineLevel="0" collapsed="false">
      <c r="A2922" s="31" t="n">
        <v>42857.6666666667</v>
      </c>
      <c r="B2922" s="32" t="n">
        <v>241.61</v>
      </c>
      <c r="D2922" s="33" t="n">
        <f aca="false">WEEKDAY(A2922,2)</f>
        <v>2</v>
      </c>
      <c r="E2922" s="33" t="n">
        <f aca="false">HOUR(A2922)+MINUTE(A2922)/60</f>
        <v>16</v>
      </c>
      <c r="F2922" s="33" t="n">
        <f aca="false">IF(OR(D2922&gt;5,E2922&lt;8,E2922&gt;=18,COUNTIF($K$2:$K$10,INT(A2922))&gt;0),1,0)</f>
        <v>0</v>
      </c>
      <c r="G2922" s="34" t="n">
        <f aca="false">B2922/1</f>
        <v>241.61</v>
      </c>
      <c r="H2922" s="34" t="str">
        <f aca="false">IF(F2922=1,G2922,"")</f>
        <v/>
      </c>
    </row>
    <row r="2923" customFormat="false" ht="15" hidden="false" customHeight="false" outlineLevel="0" collapsed="false">
      <c r="A2923" s="31" t="n">
        <v>42857.7083333333</v>
      </c>
      <c r="B2923" s="32" t="n">
        <v>237.129</v>
      </c>
      <c r="D2923" s="33" t="n">
        <f aca="false">WEEKDAY(A2923,2)</f>
        <v>2</v>
      </c>
      <c r="E2923" s="33" t="n">
        <f aca="false">HOUR(A2923)+MINUTE(A2923)/60</f>
        <v>17</v>
      </c>
      <c r="F2923" s="33" t="n">
        <f aca="false">IF(OR(D2923&gt;5,E2923&lt;8,E2923&gt;=18,COUNTIF($K$2:$K$10,INT(A2923))&gt;0),1,0)</f>
        <v>0</v>
      </c>
      <c r="G2923" s="34" t="n">
        <f aca="false">B2923/1</f>
        <v>237.129</v>
      </c>
      <c r="H2923" s="34" t="str">
        <f aca="false">IF(F2923=1,G2923,"")</f>
        <v/>
      </c>
    </row>
    <row r="2924" customFormat="false" ht="15" hidden="false" customHeight="false" outlineLevel="0" collapsed="false">
      <c r="A2924" s="31" t="n">
        <v>42857.75</v>
      </c>
      <c r="B2924" s="32" t="n">
        <v>222.01</v>
      </c>
      <c r="D2924" s="33" t="n">
        <f aca="false">WEEKDAY(A2924,2)</f>
        <v>2</v>
      </c>
      <c r="E2924" s="33" t="n">
        <f aca="false">HOUR(A2924)+MINUTE(A2924)/60</f>
        <v>18</v>
      </c>
      <c r="F2924" s="33" t="n">
        <f aca="false">IF(OR(D2924&gt;5,E2924&lt;8,E2924&gt;=18,COUNTIF($K$2:$K$10,INT(A2924))&gt;0),1,0)</f>
        <v>1</v>
      </c>
      <c r="G2924" s="34" t="n">
        <f aca="false">B2924/1</f>
        <v>222.01</v>
      </c>
      <c r="H2924" s="34" t="n">
        <f aca="false">IF(F2924=1,G2924,"")</f>
        <v>222.01</v>
      </c>
    </row>
    <row r="2925" customFormat="false" ht="15" hidden="false" customHeight="false" outlineLevel="0" collapsed="false">
      <c r="A2925" s="31" t="n">
        <v>42857.7916666667</v>
      </c>
      <c r="B2925" s="32" t="n">
        <v>221.542</v>
      </c>
      <c r="D2925" s="33" t="n">
        <f aca="false">WEEKDAY(A2925,2)</f>
        <v>2</v>
      </c>
      <c r="E2925" s="33" t="n">
        <f aca="false">HOUR(A2925)+MINUTE(A2925)/60</f>
        <v>19</v>
      </c>
      <c r="F2925" s="33" t="n">
        <f aca="false">IF(OR(D2925&gt;5,E2925&lt;8,E2925&gt;=18,COUNTIF($K$2:$K$10,INT(A2925))&gt;0),1,0)</f>
        <v>1</v>
      </c>
      <c r="G2925" s="34" t="n">
        <f aca="false">B2925/1</f>
        <v>221.542</v>
      </c>
      <c r="H2925" s="34" t="n">
        <f aca="false">IF(F2925=1,G2925,"")</f>
        <v>221.542</v>
      </c>
    </row>
    <row r="2926" customFormat="false" ht="15" hidden="false" customHeight="false" outlineLevel="0" collapsed="false">
      <c r="A2926" s="31" t="n">
        <v>42857.8333333333</v>
      </c>
      <c r="B2926" s="32" t="n">
        <v>211.215</v>
      </c>
      <c r="D2926" s="33" t="n">
        <f aca="false">WEEKDAY(A2926,2)</f>
        <v>2</v>
      </c>
      <c r="E2926" s="33" t="n">
        <f aca="false">HOUR(A2926)+MINUTE(A2926)/60</f>
        <v>20</v>
      </c>
      <c r="F2926" s="33" t="n">
        <f aca="false">IF(OR(D2926&gt;5,E2926&lt;8,E2926&gt;=18,COUNTIF($K$2:$K$10,INT(A2926))&gt;0),1,0)</f>
        <v>1</v>
      </c>
      <c r="G2926" s="34" t="n">
        <f aca="false">B2926/1</f>
        <v>211.215</v>
      </c>
      <c r="H2926" s="34" t="n">
        <f aca="false">IF(F2926=1,G2926,"")</f>
        <v>211.215</v>
      </c>
    </row>
    <row r="2927" customFormat="false" ht="15" hidden="false" customHeight="false" outlineLevel="0" collapsed="false">
      <c r="A2927" s="31" t="n">
        <v>42857.875</v>
      </c>
      <c r="B2927" s="32" t="n">
        <v>204.858</v>
      </c>
      <c r="D2927" s="33" t="n">
        <f aca="false">WEEKDAY(A2927,2)</f>
        <v>2</v>
      </c>
      <c r="E2927" s="33" t="n">
        <f aca="false">HOUR(A2927)+MINUTE(A2927)/60</f>
        <v>21</v>
      </c>
      <c r="F2927" s="33" t="n">
        <f aca="false">IF(OR(D2927&gt;5,E2927&lt;8,E2927&gt;=18,COUNTIF($K$2:$K$10,INT(A2927))&gt;0),1,0)</f>
        <v>1</v>
      </c>
      <c r="G2927" s="34" t="n">
        <f aca="false">B2927/1</f>
        <v>204.858</v>
      </c>
      <c r="H2927" s="34" t="n">
        <f aca="false">IF(F2927=1,G2927,"")</f>
        <v>204.858</v>
      </c>
    </row>
    <row r="2928" customFormat="false" ht="15" hidden="false" customHeight="false" outlineLevel="0" collapsed="false">
      <c r="A2928" s="31" t="n">
        <v>42857.9166666667</v>
      </c>
      <c r="B2928" s="32" t="n">
        <v>146.187</v>
      </c>
      <c r="D2928" s="33" t="n">
        <f aca="false">WEEKDAY(A2928,2)</f>
        <v>2</v>
      </c>
      <c r="E2928" s="33" t="n">
        <f aca="false">HOUR(A2928)+MINUTE(A2928)/60</f>
        <v>22</v>
      </c>
      <c r="F2928" s="33" t="n">
        <f aca="false">IF(OR(D2928&gt;5,E2928&lt;8,E2928&gt;=18,COUNTIF($K$2:$K$10,INT(A2928))&gt;0),1,0)</f>
        <v>1</v>
      </c>
      <c r="G2928" s="34" t="n">
        <f aca="false">B2928/1</f>
        <v>146.187</v>
      </c>
      <c r="H2928" s="34" t="n">
        <f aca="false">IF(F2928=1,G2928,"")</f>
        <v>146.187</v>
      </c>
    </row>
    <row r="2929" customFormat="false" ht="15" hidden="false" customHeight="false" outlineLevel="0" collapsed="false">
      <c r="A2929" s="31" t="n">
        <v>42857.9583333333</v>
      </c>
      <c r="B2929" s="32" t="n">
        <v>76.039</v>
      </c>
      <c r="D2929" s="33" t="n">
        <f aca="false">WEEKDAY(A2929,2)</f>
        <v>2</v>
      </c>
      <c r="E2929" s="33" t="n">
        <f aca="false">HOUR(A2929)+MINUTE(A2929)/60</f>
        <v>23</v>
      </c>
      <c r="F2929" s="33" t="n">
        <f aca="false">IF(OR(D2929&gt;5,E2929&lt;8,E2929&gt;=18,COUNTIF($K$2:$K$10,INT(A2929))&gt;0),1,0)</f>
        <v>1</v>
      </c>
      <c r="G2929" s="34" t="n">
        <f aca="false">B2929/1</f>
        <v>76.039</v>
      </c>
      <c r="H2929" s="34" t="n">
        <f aca="false">IF(F2929=1,G2929,"")</f>
        <v>76.039</v>
      </c>
    </row>
    <row r="2930" customFormat="false" ht="15" hidden="false" customHeight="false" outlineLevel="0" collapsed="false">
      <c r="A2930" s="31" t="n">
        <v>42858</v>
      </c>
      <c r="B2930" s="32" t="n">
        <v>69.054</v>
      </c>
      <c r="D2930" s="33" t="n">
        <f aca="false">WEEKDAY(A2930,2)</f>
        <v>3</v>
      </c>
      <c r="E2930" s="33" t="n">
        <f aca="false">HOUR(A2930)+MINUTE(A2930)/60</f>
        <v>0</v>
      </c>
      <c r="F2930" s="33" t="n">
        <f aca="false">IF(OR(D2930&gt;5,E2930&lt;8,E2930&gt;=18,COUNTIF($K$2:$K$10,INT(A2930))&gt;0),1,0)</f>
        <v>1</v>
      </c>
      <c r="G2930" s="34" t="n">
        <f aca="false">B2930/1</f>
        <v>69.054</v>
      </c>
      <c r="H2930" s="34" t="n">
        <f aca="false">IF(F2930=1,G2930,"")</f>
        <v>69.054</v>
      </c>
    </row>
    <row r="2931" customFormat="false" ht="15" hidden="false" customHeight="false" outlineLevel="0" collapsed="false">
      <c r="A2931" s="31" t="n">
        <v>42858.0416666667</v>
      </c>
      <c r="B2931" s="32" t="n">
        <v>66.613</v>
      </c>
      <c r="D2931" s="33" t="n">
        <f aca="false">WEEKDAY(A2931,2)</f>
        <v>3</v>
      </c>
      <c r="E2931" s="33" t="n">
        <f aca="false">HOUR(A2931)+MINUTE(A2931)/60</f>
        <v>1</v>
      </c>
      <c r="F2931" s="33" t="n">
        <f aca="false">IF(OR(D2931&gt;5,E2931&lt;8,E2931&gt;=18,COUNTIF($K$2:$K$10,INT(A2931))&gt;0),1,0)</f>
        <v>1</v>
      </c>
      <c r="G2931" s="34" t="n">
        <f aca="false">B2931/1</f>
        <v>66.613</v>
      </c>
      <c r="H2931" s="34" t="n">
        <f aca="false">IF(F2931=1,G2931,"")</f>
        <v>66.613</v>
      </c>
    </row>
    <row r="2932" customFormat="false" ht="15" hidden="false" customHeight="false" outlineLevel="0" collapsed="false">
      <c r="A2932" s="31" t="n">
        <v>42858.0833333333</v>
      </c>
      <c r="B2932" s="32" t="n">
        <v>72.973</v>
      </c>
      <c r="D2932" s="33" t="n">
        <f aca="false">WEEKDAY(A2932,2)</f>
        <v>3</v>
      </c>
      <c r="E2932" s="33" t="n">
        <f aca="false">HOUR(A2932)+MINUTE(A2932)/60</f>
        <v>2</v>
      </c>
      <c r="F2932" s="33" t="n">
        <f aca="false">IF(OR(D2932&gt;5,E2932&lt;8,E2932&gt;=18,COUNTIF($K$2:$K$10,INT(A2932))&gt;0),1,0)</f>
        <v>1</v>
      </c>
      <c r="G2932" s="34" t="n">
        <f aca="false">B2932/1</f>
        <v>72.973</v>
      </c>
      <c r="H2932" s="34" t="n">
        <f aca="false">IF(F2932=1,G2932,"")</f>
        <v>72.973</v>
      </c>
    </row>
    <row r="2933" customFormat="false" ht="15" hidden="false" customHeight="false" outlineLevel="0" collapsed="false">
      <c r="A2933" s="31" t="n">
        <v>42858.125</v>
      </c>
      <c r="B2933" s="32" t="n">
        <v>68.157</v>
      </c>
      <c r="D2933" s="33" t="n">
        <f aca="false">WEEKDAY(A2933,2)</f>
        <v>3</v>
      </c>
      <c r="E2933" s="33" t="n">
        <f aca="false">HOUR(A2933)+MINUTE(A2933)/60</f>
        <v>3</v>
      </c>
      <c r="F2933" s="33" t="n">
        <f aca="false">IF(OR(D2933&gt;5,E2933&lt;8,E2933&gt;=18,COUNTIF($K$2:$K$10,INT(A2933))&gt;0),1,0)</f>
        <v>1</v>
      </c>
      <c r="G2933" s="34" t="n">
        <f aca="false">B2933/1</f>
        <v>68.157</v>
      </c>
      <c r="H2933" s="34" t="n">
        <f aca="false">IF(F2933=1,G2933,"")</f>
        <v>68.157</v>
      </c>
    </row>
    <row r="2934" customFormat="false" ht="15" hidden="false" customHeight="false" outlineLevel="0" collapsed="false">
      <c r="A2934" s="31" t="n">
        <v>42858.1666666667</v>
      </c>
      <c r="B2934" s="32" t="n">
        <v>64.805</v>
      </c>
      <c r="D2934" s="33" t="n">
        <f aca="false">WEEKDAY(A2934,2)</f>
        <v>3</v>
      </c>
      <c r="E2934" s="33" t="n">
        <f aca="false">HOUR(A2934)+MINUTE(A2934)/60</f>
        <v>4</v>
      </c>
      <c r="F2934" s="33" t="n">
        <f aca="false">IF(OR(D2934&gt;5,E2934&lt;8,E2934&gt;=18,COUNTIF($K$2:$K$10,INT(A2934))&gt;0),1,0)</f>
        <v>1</v>
      </c>
      <c r="G2934" s="34" t="n">
        <f aca="false">B2934/1</f>
        <v>64.805</v>
      </c>
      <c r="H2934" s="34" t="n">
        <f aca="false">IF(F2934=1,G2934,"")</f>
        <v>64.805</v>
      </c>
    </row>
    <row r="2935" customFormat="false" ht="15" hidden="false" customHeight="false" outlineLevel="0" collapsed="false">
      <c r="A2935" s="31" t="n">
        <v>42858.2083333333</v>
      </c>
      <c r="B2935" s="32" t="n">
        <v>64.435</v>
      </c>
      <c r="D2935" s="33" t="n">
        <f aca="false">WEEKDAY(A2935,2)</f>
        <v>3</v>
      </c>
      <c r="E2935" s="33" t="n">
        <f aca="false">HOUR(A2935)+MINUTE(A2935)/60</f>
        <v>5</v>
      </c>
      <c r="F2935" s="33" t="n">
        <f aca="false">IF(OR(D2935&gt;5,E2935&lt;8,E2935&gt;=18,COUNTIF($K$2:$K$10,INT(A2935))&gt;0),1,0)</f>
        <v>1</v>
      </c>
      <c r="G2935" s="34" t="n">
        <f aca="false">B2935/1</f>
        <v>64.435</v>
      </c>
      <c r="H2935" s="34" t="n">
        <f aca="false">IF(F2935=1,G2935,"")</f>
        <v>64.435</v>
      </c>
    </row>
    <row r="2936" customFormat="false" ht="15" hidden="false" customHeight="false" outlineLevel="0" collapsed="false">
      <c r="A2936" s="31" t="n">
        <v>42858.25</v>
      </c>
      <c r="B2936" s="32" t="n">
        <v>69.595</v>
      </c>
      <c r="D2936" s="33" t="n">
        <f aca="false">WEEKDAY(A2936,2)</f>
        <v>3</v>
      </c>
      <c r="E2936" s="33" t="n">
        <f aca="false">HOUR(A2936)+MINUTE(A2936)/60</f>
        <v>6</v>
      </c>
      <c r="F2936" s="33" t="n">
        <f aca="false">IF(OR(D2936&gt;5,E2936&lt;8,E2936&gt;=18,COUNTIF($K$2:$K$10,INT(A2936))&gt;0),1,0)</f>
        <v>1</v>
      </c>
      <c r="G2936" s="34" t="n">
        <f aca="false">B2936/1</f>
        <v>69.595</v>
      </c>
      <c r="H2936" s="34" t="n">
        <f aca="false">IF(F2936=1,G2936,"")</f>
        <v>69.595</v>
      </c>
    </row>
    <row r="2937" customFormat="false" ht="15" hidden="false" customHeight="false" outlineLevel="0" collapsed="false">
      <c r="A2937" s="31" t="n">
        <v>42858.2916666667</v>
      </c>
      <c r="B2937" s="32" t="n">
        <v>76.807</v>
      </c>
      <c r="D2937" s="33" t="n">
        <f aca="false">WEEKDAY(A2937,2)</f>
        <v>3</v>
      </c>
      <c r="E2937" s="33" t="n">
        <f aca="false">HOUR(A2937)+MINUTE(A2937)/60</f>
        <v>7</v>
      </c>
      <c r="F2937" s="33" t="n">
        <f aca="false">IF(OR(D2937&gt;5,E2937&lt;8,E2937&gt;=18,COUNTIF($K$2:$K$10,INT(A2937))&gt;0),1,0)</f>
        <v>1</v>
      </c>
      <c r="G2937" s="34" t="n">
        <f aca="false">B2937/1</f>
        <v>76.807</v>
      </c>
      <c r="H2937" s="34" t="n">
        <f aca="false">IF(F2937=1,G2937,"")</f>
        <v>76.807</v>
      </c>
    </row>
    <row r="2938" customFormat="false" ht="15" hidden="false" customHeight="false" outlineLevel="0" collapsed="false">
      <c r="A2938" s="31" t="n">
        <v>42858.3333333333</v>
      </c>
      <c r="B2938" s="32" t="n">
        <v>182.519</v>
      </c>
      <c r="D2938" s="33" t="n">
        <f aca="false">WEEKDAY(A2938,2)</f>
        <v>3</v>
      </c>
      <c r="E2938" s="33" t="n">
        <f aca="false">HOUR(A2938)+MINUTE(A2938)/60</f>
        <v>8</v>
      </c>
      <c r="F2938" s="33" t="n">
        <f aca="false">IF(OR(D2938&gt;5,E2938&lt;8,E2938&gt;=18,COUNTIF($K$2:$K$10,INT(A2938))&gt;0),1,0)</f>
        <v>0</v>
      </c>
      <c r="G2938" s="34" t="n">
        <f aca="false">B2938/1</f>
        <v>182.519</v>
      </c>
      <c r="H2938" s="34" t="str">
        <f aca="false">IF(F2938=1,G2938,"")</f>
        <v/>
      </c>
    </row>
    <row r="2939" customFormat="false" ht="15" hidden="false" customHeight="false" outlineLevel="0" collapsed="false">
      <c r="A2939" s="31" t="n">
        <v>42858.375</v>
      </c>
      <c r="B2939" s="32" t="n">
        <v>221.096</v>
      </c>
      <c r="D2939" s="33" t="n">
        <f aca="false">WEEKDAY(A2939,2)</f>
        <v>3</v>
      </c>
      <c r="E2939" s="33" t="n">
        <f aca="false">HOUR(A2939)+MINUTE(A2939)/60</f>
        <v>9</v>
      </c>
      <c r="F2939" s="33" t="n">
        <f aca="false">IF(OR(D2939&gt;5,E2939&lt;8,E2939&gt;=18,COUNTIF($K$2:$K$10,INT(A2939))&gt;0),1,0)</f>
        <v>0</v>
      </c>
      <c r="G2939" s="34" t="n">
        <f aca="false">B2939/1</f>
        <v>221.096</v>
      </c>
      <c r="H2939" s="34" t="str">
        <f aca="false">IF(F2939=1,G2939,"")</f>
        <v/>
      </c>
    </row>
    <row r="2940" customFormat="false" ht="15" hidden="false" customHeight="false" outlineLevel="0" collapsed="false">
      <c r="A2940" s="31" t="n">
        <v>42858.4166666667</v>
      </c>
      <c r="B2940" s="32" t="n">
        <v>231.144</v>
      </c>
      <c r="D2940" s="33" t="n">
        <f aca="false">WEEKDAY(A2940,2)</f>
        <v>3</v>
      </c>
      <c r="E2940" s="33" t="n">
        <f aca="false">HOUR(A2940)+MINUTE(A2940)/60</f>
        <v>10</v>
      </c>
      <c r="F2940" s="33" t="n">
        <f aca="false">IF(OR(D2940&gt;5,E2940&lt;8,E2940&gt;=18,COUNTIF($K$2:$K$10,INT(A2940))&gt;0),1,0)</f>
        <v>0</v>
      </c>
      <c r="G2940" s="34" t="n">
        <f aca="false">B2940/1</f>
        <v>231.144</v>
      </c>
      <c r="H2940" s="34" t="str">
        <f aca="false">IF(F2940=1,G2940,"")</f>
        <v/>
      </c>
    </row>
    <row r="2941" customFormat="false" ht="15" hidden="false" customHeight="false" outlineLevel="0" collapsed="false">
      <c r="A2941" s="31" t="n">
        <v>42858.4583333333</v>
      </c>
      <c r="B2941" s="32" t="n">
        <v>246.009</v>
      </c>
      <c r="D2941" s="33" t="n">
        <f aca="false">WEEKDAY(A2941,2)</f>
        <v>3</v>
      </c>
      <c r="E2941" s="33" t="n">
        <f aca="false">HOUR(A2941)+MINUTE(A2941)/60</f>
        <v>11</v>
      </c>
      <c r="F2941" s="33" t="n">
        <f aca="false">IF(OR(D2941&gt;5,E2941&lt;8,E2941&gt;=18,COUNTIF($K$2:$K$10,INT(A2941))&gt;0),1,0)</f>
        <v>0</v>
      </c>
      <c r="G2941" s="34" t="n">
        <f aca="false">B2941/1</f>
        <v>246.009</v>
      </c>
      <c r="H2941" s="34" t="str">
        <f aca="false">IF(F2941=1,G2941,"")</f>
        <v/>
      </c>
    </row>
    <row r="2942" customFormat="false" ht="15" hidden="false" customHeight="false" outlineLevel="0" collapsed="false">
      <c r="A2942" s="31" t="n">
        <v>42858.5</v>
      </c>
      <c r="B2942" s="32" t="n">
        <v>246.466</v>
      </c>
      <c r="D2942" s="33" t="n">
        <f aca="false">WEEKDAY(A2942,2)</f>
        <v>3</v>
      </c>
      <c r="E2942" s="33" t="n">
        <f aca="false">HOUR(A2942)+MINUTE(A2942)/60</f>
        <v>12</v>
      </c>
      <c r="F2942" s="33" t="n">
        <f aca="false">IF(OR(D2942&gt;5,E2942&lt;8,E2942&gt;=18,COUNTIF($K$2:$K$10,INT(A2942))&gt;0),1,0)</f>
        <v>0</v>
      </c>
      <c r="G2942" s="34" t="n">
        <f aca="false">B2942/1</f>
        <v>246.466</v>
      </c>
      <c r="H2942" s="34" t="str">
        <f aca="false">IF(F2942=1,G2942,"")</f>
        <v/>
      </c>
    </row>
    <row r="2943" customFormat="false" ht="15" hidden="false" customHeight="false" outlineLevel="0" collapsed="false">
      <c r="A2943" s="31" t="n">
        <v>42858.5416666667</v>
      </c>
      <c r="B2943" s="32" t="n">
        <v>258.505</v>
      </c>
      <c r="D2943" s="33" t="n">
        <f aca="false">WEEKDAY(A2943,2)</f>
        <v>3</v>
      </c>
      <c r="E2943" s="33" t="n">
        <f aca="false">HOUR(A2943)+MINUTE(A2943)/60</f>
        <v>13</v>
      </c>
      <c r="F2943" s="33" t="n">
        <f aca="false">IF(OR(D2943&gt;5,E2943&lt;8,E2943&gt;=18,COUNTIF($K$2:$K$10,INT(A2943))&gt;0),1,0)</f>
        <v>0</v>
      </c>
      <c r="G2943" s="34" t="n">
        <f aca="false">B2943/1</f>
        <v>258.505</v>
      </c>
      <c r="H2943" s="34" t="str">
        <f aca="false">IF(F2943=1,G2943,"")</f>
        <v/>
      </c>
    </row>
    <row r="2944" customFormat="false" ht="15" hidden="false" customHeight="false" outlineLevel="0" collapsed="false">
      <c r="A2944" s="31" t="n">
        <v>42858.5833333333</v>
      </c>
      <c r="B2944" s="32" t="n">
        <v>250.637</v>
      </c>
      <c r="D2944" s="33" t="n">
        <f aca="false">WEEKDAY(A2944,2)</f>
        <v>3</v>
      </c>
      <c r="E2944" s="33" t="n">
        <f aca="false">HOUR(A2944)+MINUTE(A2944)/60</f>
        <v>14</v>
      </c>
      <c r="F2944" s="33" t="n">
        <f aca="false">IF(OR(D2944&gt;5,E2944&lt;8,E2944&gt;=18,COUNTIF($K$2:$K$10,INT(A2944))&gt;0),1,0)</f>
        <v>0</v>
      </c>
      <c r="G2944" s="34" t="n">
        <f aca="false">B2944/1</f>
        <v>250.637</v>
      </c>
      <c r="H2944" s="34" t="str">
        <f aca="false">IF(F2944=1,G2944,"")</f>
        <v/>
      </c>
    </row>
    <row r="2945" customFormat="false" ht="15" hidden="false" customHeight="false" outlineLevel="0" collapsed="false">
      <c r="A2945" s="31" t="n">
        <v>42858.625</v>
      </c>
      <c r="B2945" s="32" t="n">
        <v>259.713</v>
      </c>
      <c r="D2945" s="33" t="n">
        <f aca="false">WEEKDAY(A2945,2)</f>
        <v>3</v>
      </c>
      <c r="E2945" s="33" t="n">
        <f aca="false">HOUR(A2945)+MINUTE(A2945)/60</f>
        <v>15</v>
      </c>
      <c r="F2945" s="33" t="n">
        <f aca="false">IF(OR(D2945&gt;5,E2945&lt;8,E2945&gt;=18,COUNTIF($K$2:$K$10,INT(A2945))&gt;0),1,0)</f>
        <v>0</v>
      </c>
      <c r="G2945" s="34" t="n">
        <f aca="false">B2945/1</f>
        <v>259.713</v>
      </c>
      <c r="H2945" s="34" t="str">
        <f aca="false">IF(F2945=1,G2945,"")</f>
        <v/>
      </c>
    </row>
    <row r="2946" customFormat="false" ht="15" hidden="false" customHeight="false" outlineLevel="0" collapsed="false">
      <c r="A2946" s="31" t="n">
        <v>42858.6666666667</v>
      </c>
      <c r="B2946" s="32" t="n">
        <v>261.05</v>
      </c>
      <c r="D2946" s="33" t="n">
        <f aca="false">WEEKDAY(A2946,2)</f>
        <v>3</v>
      </c>
      <c r="E2946" s="33" t="n">
        <f aca="false">HOUR(A2946)+MINUTE(A2946)/60</f>
        <v>16</v>
      </c>
      <c r="F2946" s="33" t="n">
        <f aca="false">IF(OR(D2946&gt;5,E2946&lt;8,E2946&gt;=18,COUNTIF($K$2:$K$10,INT(A2946))&gt;0),1,0)</f>
        <v>0</v>
      </c>
      <c r="G2946" s="34" t="n">
        <f aca="false">B2946/1</f>
        <v>261.05</v>
      </c>
      <c r="H2946" s="34" t="str">
        <f aca="false">IF(F2946=1,G2946,"")</f>
        <v/>
      </c>
    </row>
    <row r="2947" customFormat="false" ht="15" hidden="false" customHeight="false" outlineLevel="0" collapsed="false">
      <c r="A2947" s="31" t="n">
        <v>42858.7083333333</v>
      </c>
      <c r="B2947" s="32" t="n">
        <v>246.235</v>
      </c>
      <c r="D2947" s="33" t="n">
        <f aca="false">WEEKDAY(A2947,2)</f>
        <v>3</v>
      </c>
      <c r="E2947" s="33" t="n">
        <f aca="false">HOUR(A2947)+MINUTE(A2947)/60</f>
        <v>17</v>
      </c>
      <c r="F2947" s="33" t="n">
        <f aca="false">IF(OR(D2947&gt;5,E2947&lt;8,E2947&gt;=18,COUNTIF($K$2:$K$10,INT(A2947))&gt;0),1,0)</f>
        <v>0</v>
      </c>
      <c r="G2947" s="34" t="n">
        <f aca="false">B2947/1</f>
        <v>246.235</v>
      </c>
      <c r="H2947" s="34" t="str">
        <f aca="false">IF(F2947=1,G2947,"")</f>
        <v/>
      </c>
    </row>
    <row r="2948" customFormat="false" ht="15" hidden="false" customHeight="false" outlineLevel="0" collapsed="false">
      <c r="A2948" s="31" t="n">
        <v>42858.75</v>
      </c>
      <c r="B2948" s="32" t="n">
        <v>218.51</v>
      </c>
      <c r="D2948" s="33" t="n">
        <f aca="false">WEEKDAY(A2948,2)</f>
        <v>3</v>
      </c>
      <c r="E2948" s="33" t="n">
        <f aca="false">HOUR(A2948)+MINUTE(A2948)/60</f>
        <v>18</v>
      </c>
      <c r="F2948" s="33" t="n">
        <f aca="false">IF(OR(D2948&gt;5,E2948&lt;8,E2948&gt;=18,COUNTIF($K$2:$K$10,INT(A2948))&gt;0),1,0)</f>
        <v>1</v>
      </c>
      <c r="G2948" s="34" t="n">
        <f aca="false">B2948/1</f>
        <v>218.51</v>
      </c>
      <c r="H2948" s="34" t="n">
        <f aca="false">IF(F2948=1,G2948,"")</f>
        <v>218.51</v>
      </c>
    </row>
    <row r="2949" customFormat="false" ht="15" hidden="false" customHeight="false" outlineLevel="0" collapsed="false">
      <c r="A2949" s="31" t="n">
        <v>42858.7916666667</v>
      </c>
      <c r="B2949" s="32" t="n">
        <v>213.517</v>
      </c>
      <c r="D2949" s="33" t="n">
        <f aca="false">WEEKDAY(A2949,2)</f>
        <v>3</v>
      </c>
      <c r="E2949" s="33" t="n">
        <f aca="false">HOUR(A2949)+MINUTE(A2949)/60</f>
        <v>19</v>
      </c>
      <c r="F2949" s="33" t="n">
        <f aca="false">IF(OR(D2949&gt;5,E2949&lt;8,E2949&gt;=18,COUNTIF($K$2:$K$10,INT(A2949))&gt;0),1,0)</f>
        <v>1</v>
      </c>
      <c r="G2949" s="34" t="n">
        <f aca="false">B2949/1</f>
        <v>213.517</v>
      </c>
      <c r="H2949" s="34" t="n">
        <f aca="false">IF(F2949=1,G2949,"")</f>
        <v>213.517</v>
      </c>
    </row>
    <row r="2950" customFormat="false" ht="15" hidden="false" customHeight="false" outlineLevel="0" collapsed="false">
      <c r="A2950" s="31" t="n">
        <v>42858.8333333333</v>
      </c>
      <c r="B2950" s="32" t="n">
        <v>206.392</v>
      </c>
      <c r="D2950" s="33" t="n">
        <f aca="false">WEEKDAY(A2950,2)</f>
        <v>3</v>
      </c>
      <c r="E2950" s="33" t="n">
        <f aca="false">HOUR(A2950)+MINUTE(A2950)/60</f>
        <v>20</v>
      </c>
      <c r="F2950" s="33" t="n">
        <f aca="false">IF(OR(D2950&gt;5,E2950&lt;8,E2950&gt;=18,COUNTIF($K$2:$K$10,INT(A2950))&gt;0),1,0)</f>
        <v>1</v>
      </c>
      <c r="G2950" s="34" t="n">
        <f aca="false">B2950/1</f>
        <v>206.392</v>
      </c>
      <c r="H2950" s="34" t="n">
        <f aca="false">IF(F2950=1,G2950,"")</f>
        <v>206.392</v>
      </c>
    </row>
    <row r="2951" customFormat="false" ht="15" hidden="false" customHeight="false" outlineLevel="0" collapsed="false">
      <c r="A2951" s="31" t="n">
        <v>42858.875</v>
      </c>
      <c r="B2951" s="32" t="n">
        <v>201.407</v>
      </c>
      <c r="D2951" s="33" t="n">
        <f aca="false">WEEKDAY(A2951,2)</f>
        <v>3</v>
      </c>
      <c r="E2951" s="33" t="n">
        <f aca="false">HOUR(A2951)+MINUTE(A2951)/60</f>
        <v>21</v>
      </c>
      <c r="F2951" s="33" t="n">
        <f aca="false">IF(OR(D2951&gt;5,E2951&lt;8,E2951&gt;=18,COUNTIF($K$2:$K$10,INT(A2951))&gt;0),1,0)</f>
        <v>1</v>
      </c>
      <c r="G2951" s="34" t="n">
        <f aca="false">B2951/1</f>
        <v>201.407</v>
      </c>
      <c r="H2951" s="34" t="n">
        <f aca="false">IF(F2951=1,G2951,"")</f>
        <v>201.407</v>
      </c>
    </row>
    <row r="2952" customFormat="false" ht="15" hidden="false" customHeight="false" outlineLevel="0" collapsed="false">
      <c r="A2952" s="31" t="n">
        <v>42858.9166666667</v>
      </c>
      <c r="B2952" s="32" t="n">
        <v>141.841</v>
      </c>
      <c r="D2952" s="33" t="n">
        <f aca="false">WEEKDAY(A2952,2)</f>
        <v>3</v>
      </c>
      <c r="E2952" s="33" t="n">
        <f aca="false">HOUR(A2952)+MINUTE(A2952)/60</f>
        <v>22</v>
      </c>
      <c r="F2952" s="33" t="n">
        <f aca="false">IF(OR(D2952&gt;5,E2952&lt;8,E2952&gt;=18,COUNTIF($K$2:$K$10,INT(A2952))&gt;0),1,0)</f>
        <v>1</v>
      </c>
      <c r="G2952" s="34" t="n">
        <f aca="false">B2952/1</f>
        <v>141.841</v>
      </c>
      <c r="H2952" s="34" t="n">
        <f aca="false">IF(F2952=1,G2952,"")</f>
        <v>141.841</v>
      </c>
    </row>
    <row r="2953" customFormat="false" ht="15" hidden="false" customHeight="false" outlineLevel="0" collapsed="false">
      <c r="A2953" s="31" t="n">
        <v>42858.9583333333</v>
      </c>
      <c r="B2953" s="32" t="n">
        <v>69.014</v>
      </c>
      <c r="D2953" s="33" t="n">
        <f aca="false">WEEKDAY(A2953,2)</f>
        <v>3</v>
      </c>
      <c r="E2953" s="33" t="n">
        <f aca="false">HOUR(A2953)+MINUTE(A2953)/60</f>
        <v>23</v>
      </c>
      <c r="F2953" s="33" t="n">
        <f aca="false">IF(OR(D2953&gt;5,E2953&lt;8,E2953&gt;=18,COUNTIF($K$2:$K$10,INT(A2953))&gt;0),1,0)</f>
        <v>1</v>
      </c>
      <c r="G2953" s="34" t="n">
        <f aca="false">B2953/1</f>
        <v>69.014</v>
      </c>
      <c r="H2953" s="34" t="n">
        <f aca="false">IF(F2953=1,G2953,"")</f>
        <v>69.014</v>
      </c>
    </row>
    <row r="2954" customFormat="false" ht="15" hidden="false" customHeight="false" outlineLevel="0" collapsed="false">
      <c r="A2954" s="31" t="n">
        <v>42859</v>
      </c>
      <c r="B2954" s="32" t="n">
        <v>64.39</v>
      </c>
      <c r="D2954" s="33" t="n">
        <f aca="false">WEEKDAY(A2954,2)</f>
        <v>4</v>
      </c>
      <c r="E2954" s="33" t="n">
        <f aca="false">HOUR(A2954)+MINUTE(A2954)/60</f>
        <v>0</v>
      </c>
      <c r="F2954" s="33" t="n">
        <f aca="false">IF(OR(D2954&gt;5,E2954&lt;8,E2954&gt;=18,COUNTIF($K$2:$K$10,INT(A2954))&gt;0),1,0)</f>
        <v>1</v>
      </c>
      <c r="G2954" s="34" t="n">
        <f aca="false">B2954/1</f>
        <v>64.39</v>
      </c>
      <c r="H2954" s="34" t="n">
        <f aca="false">IF(F2954=1,G2954,"")</f>
        <v>64.39</v>
      </c>
    </row>
    <row r="2955" customFormat="false" ht="15" hidden="false" customHeight="false" outlineLevel="0" collapsed="false">
      <c r="A2955" s="31" t="n">
        <v>42859.0416666667</v>
      </c>
      <c r="B2955" s="32" t="n">
        <v>64.548</v>
      </c>
      <c r="D2955" s="33" t="n">
        <f aca="false">WEEKDAY(A2955,2)</f>
        <v>4</v>
      </c>
      <c r="E2955" s="33" t="n">
        <f aca="false">HOUR(A2955)+MINUTE(A2955)/60</f>
        <v>1</v>
      </c>
      <c r="F2955" s="33" t="n">
        <f aca="false">IF(OR(D2955&gt;5,E2955&lt;8,E2955&gt;=18,COUNTIF($K$2:$K$10,INT(A2955))&gt;0),1,0)</f>
        <v>1</v>
      </c>
      <c r="G2955" s="34" t="n">
        <f aca="false">B2955/1</f>
        <v>64.548</v>
      </c>
      <c r="H2955" s="34" t="n">
        <f aca="false">IF(F2955=1,G2955,"")</f>
        <v>64.548</v>
      </c>
    </row>
    <row r="2956" customFormat="false" ht="15" hidden="false" customHeight="false" outlineLevel="0" collapsed="false">
      <c r="A2956" s="31" t="n">
        <v>42859.0833333333</v>
      </c>
      <c r="B2956" s="32" t="n">
        <v>62.693</v>
      </c>
      <c r="D2956" s="33" t="n">
        <f aca="false">WEEKDAY(A2956,2)</f>
        <v>4</v>
      </c>
      <c r="E2956" s="33" t="n">
        <f aca="false">HOUR(A2956)+MINUTE(A2956)/60</f>
        <v>2</v>
      </c>
      <c r="F2956" s="33" t="n">
        <f aca="false">IF(OR(D2956&gt;5,E2956&lt;8,E2956&gt;=18,COUNTIF($K$2:$K$10,INT(A2956))&gt;0),1,0)</f>
        <v>1</v>
      </c>
      <c r="G2956" s="34" t="n">
        <f aca="false">B2956/1</f>
        <v>62.693</v>
      </c>
      <c r="H2956" s="34" t="n">
        <f aca="false">IF(F2956=1,G2956,"")</f>
        <v>62.693</v>
      </c>
    </row>
    <row r="2957" customFormat="false" ht="15" hidden="false" customHeight="false" outlineLevel="0" collapsed="false">
      <c r="A2957" s="31" t="n">
        <v>42859.125</v>
      </c>
      <c r="B2957" s="32" t="n">
        <v>61.231</v>
      </c>
      <c r="D2957" s="33" t="n">
        <f aca="false">WEEKDAY(A2957,2)</f>
        <v>4</v>
      </c>
      <c r="E2957" s="33" t="n">
        <f aca="false">HOUR(A2957)+MINUTE(A2957)/60</f>
        <v>3</v>
      </c>
      <c r="F2957" s="33" t="n">
        <f aca="false">IF(OR(D2957&gt;5,E2957&lt;8,E2957&gt;=18,COUNTIF($K$2:$K$10,INT(A2957))&gt;0),1,0)</f>
        <v>1</v>
      </c>
      <c r="G2957" s="34" t="n">
        <f aca="false">B2957/1</f>
        <v>61.231</v>
      </c>
      <c r="H2957" s="34" t="n">
        <f aca="false">IF(F2957=1,G2957,"")</f>
        <v>61.231</v>
      </c>
    </row>
    <row r="2958" customFormat="false" ht="15" hidden="false" customHeight="false" outlineLevel="0" collapsed="false">
      <c r="A2958" s="31" t="n">
        <v>42859.1666666667</v>
      </c>
      <c r="B2958" s="32" t="n">
        <v>65.574</v>
      </c>
      <c r="D2958" s="33" t="n">
        <f aca="false">WEEKDAY(A2958,2)</f>
        <v>4</v>
      </c>
      <c r="E2958" s="33" t="n">
        <f aca="false">HOUR(A2958)+MINUTE(A2958)/60</f>
        <v>4</v>
      </c>
      <c r="F2958" s="33" t="n">
        <f aca="false">IF(OR(D2958&gt;5,E2958&lt;8,E2958&gt;=18,COUNTIF($K$2:$K$10,INT(A2958))&gt;0),1,0)</f>
        <v>1</v>
      </c>
      <c r="G2958" s="34" t="n">
        <f aca="false">B2958/1</f>
        <v>65.574</v>
      </c>
      <c r="H2958" s="34" t="n">
        <f aca="false">IF(F2958=1,G2958,"")</f>
        <v>65.574</v>
      </c>
    </row>
    <row r="2959" customFormat="false" ht="15" hidden="false" customHeight="false" outlineLevel="0" collapsed="false">
      <c r="A2959" s="31" t="n">
        <v>42859.2083333333</v>
      </c>
      <c r="B2959" s="32" t="n">
        <v>60.863</v>
      </c>
      <c r="D2959" s="33" t="n">
        <f aca="false">WEEKDAY(A2959,2)</f>
        <v>4</v>
      </c>
      <c r="E2959" s="33" t="n">
        <f aca="false">HOUR(A2959)+MINUTE(A2959)/60</f>
        <v>5</v>
      </c>
      <c r="F2959" s="33" t="n">
        <f aca="false">IF(OR(D2959&gt;5,E2959&lt;8,E2959&gt;=18,COUNTIF($K$2:$K$10,INT(A2959))&gt;0),1,0)</f>
        <v>1</v>
      </c>
      <c r="G2959" s="34" t="n">
        <f aca="false">B2959/1</f>
        <v>60.863</v>
      </c>
      <c r="H2959" s="34" t="n">
        <f aca="false">IF(F2959=1,G2959,"")</f>
        <v>60.863</v>
      </c>
    </row>
    <row r="2960" customFormat="false" ht="15" hidden="false" customHeight="false" outlineLevel="0" collapsed="false">
      <c r="A2960" s="31" t="n">
        <v>42859.25</v>
      </c>
      <c r="B2960" s="32" t="n">
        <v>57.004</v>
      </c>
      <c r="D2960" s="33" t="n">
        <f aca="false">WEEKDAY(A2960,2)</f>
        <v>4</v>
      </c>
      <c r="E2960" s="33" t="n">
        <f aca="false">HOUR(A2960)+MINUTE(A2960)/60</f>
        <v>6</v>
      </c>
      <c r="F2960" s="33" t="n">
        <f aca="false">IF(OR(D2960&gt;5,E2960&lt;8,E2960&gt;=18,COUNTIF($K$2:$K$10,INT(A2960))&gt;0),1,0)</f>
        <v>1</v>
      </c>
      <c r="G2960" s="34" t="n">
        <f aca="false">B2960/1</f>
        <v>57.004</v>
      </c>
      <c r="H2960" s="34" t="n">
        <f aca="false">IF(F2960=1,G2960,"")</f>
        <v>57.004</v>
      </c>
    </row>
    <row r="2961" customFormat="false" ht="15" hidden="false" customHeight="false" outlineLevel="0" collapsed="false">
      <c r="A2961" s="31" t="n">
        <v>42859.2916666667</v>
      </c>
      <c r="B2961" s="32" t="n">
        <v>63.012</v>
      </c>
      <c r="D2961" s="33" t="n">
        <f aca="false">WEEKDAY(A2961,2)</f>
        <v>4</v>
      </c>
      <c r="E2961" s="33" t="n">
        <f aca="false">HOUR(A2961)+MINUTE(A2961)/60</f>
        <v>7</v>
      </c>
      <c r="F2961" s="33" t="n">
        <f aca="false">IF(OR(D2961&gt;5,E2961&lt;8,E2961&gt;=18,COUNTIF($K$2:$K$10,INT(A2961))&gt;0),1,0)</f>
        <v>1</v>
      </c>
      <c r="G2961" s="34" t="n">
        <f aca="false">B2961/1</f>
        <v>63.012</v>
      </c>
      <c r="H2961" s="34" t="n">
        <f aca="false">IF(F2961=1,G2961,"")</f>
        <v>63.012</v>
      </c>
    </row>
    <row r="2962" customFormat="false" ht="15" hidden="false" customHeight="false" outlineLevel="0" collapsed="false">
      <c r="A2962" s="31" t="n">
        <v>42859.3333333333</v>
      </c>
      <c r="B2962" s="32" t="n">
        <v>174.87</v>
      </c>
      <c r="D2962" s="33" t="n">
        <f aca="false">WEEKDAY(A2962,2)</f>
        <v>4</v>
      </c>
      <c r="E2962" s="33" t="n">
        <f aca="false">HOUR(A2962)+MINUTE(A2962)/60</f>
        <v>8</v>
      </c>
      <c r="F2962" s="33" t="n">
        <f aca="false">IF(OR(D2962&gt;5,E2962&lt;8,E2962&gt;=18,COUNTIF($K$2:$K$10,INT(A2962))&gt;0),1,0)</f>
        <v>0</v>
      </c>
      <c r="G2962" s="34" t="n">
        <f aca="false">B2962/1</f>
        <v>174.87</v>
      </c>
      <c r="H2962" s="34" t="str">
        <f aca="false">IF(F2962=1,G2962,"")</f>
        <v/>
      </c>
    </row>
    <row r="2963" customFormat="false" ht="15" hidden="false" customHeight="false" outlineLevel="0" collapsed="false">
      <c r="A2963" s="31" t="n">
        <v>42859.375</v>
      </c>
      <c r="B2963" s="32" t="n">
        <v>212.391</v>
      </c>
      <c r="D2963" s="33" t="n">
        <f aca="false">WEEKDAY(A2963,2)</f>
        <v>4</v>
      </c>
      <c r="E2963" s="33" t="n">
        <f aca="false">HOUR(A2963)+MINUTE(A2963)/60</f>
        <v>9</v>
      </c>
      <c r="F2963" s="33" t="n">
        <f aca="false">IF(OR(D2963&gt;5,E2963&lt;8,E2963&gt;=18,COUNTIF($K$2:$K$10,INT(A2963))&gt;0),1,0)</f>
        <v>0</v>
      </c>
      <c r="G2963" s="34" t="n">
        <f aca="false">B2963/1</f>
        <v>212.391</v>
      </c>
      <c r="H2963" s="34" t="str">
        <f aca="false">IF(F2963=1,G2963,"")</f>
        <v/>
      </c>
    </row>
    <row r="2964" customFormat="false" ht="15" hidden="false" customHeight="false" outlineLevel="0" collapsed="false">
      <c r="A2964" s="31" t="n">
        <v>42859.4166666667</v>
      </c>
      <c r="B2964" s="32" t="n">
        <v>223.799</v>
      </c>
      <c r="D2964" s="33" t="n">
        <f aca="false">WEEKDAY(A2964,2)</f>
        <v>4</v>
      </c>
      <c r="E2964" s="33" t="n">
        <f aca="false">HOUR(A2964)+MINUTE(A2964)/60</f>
        <v>10</v>
      </c>
      <c r="F2964" s="33" t="n">
        <f aca="false">IF(OR(D2964&gt;5,E2964&lt;8,E2964&gt;=18,COUNTIF($K$2:$K$10,INT(A2964))&gt;0),1,0)</f>
        <v>0</v>
      </c>
      <c r="G2964" s="34" t="n">
        <f aca="false">B2964/1</f>
        <v>223.799</v>
      </c>
      <c r="H2964" s="34" t="str">
        <f aca="false">IF(F2964=1,G2964,"")</f>
        <v/>
      </c>
    </row>
    <row r="2965" customFormat="false" ht="15" hidden="false" customHeight="false" outlineLevel="0" collapsed="false">
      <c r="A2965" s="31" t="n">
        <v>42859.4583333333</v>
      </c>
      <c r="B2965" s="32" t="n">
        <v>234.137</v>
      </c>
      <c r="D2965" s="33" t="n">
        <f aca="false">WEEKDAY(A2965,2)</f>
        <v>4</v>
      </c>
      <c r="E2965" s="33" t="n">
        <f aca="false">HOUR(A2965)+MINUTE(A2965)/60</f>
        <v>11</v>
      </c>
      <c r="F2965" s="33" t="n">
        <f aca="false">IF(OR(D2965&gt;5,E2965&lt;8,E2965&gt;=18,COUNTIF($K$2:$K$10,INT(A2965))&gt;0),1,0)</f>
        <v>0</v>
      </c>
      <c r="G2965" s="34" t="n">
        <f aca="false">B2965/1</f>
        <v>234.137</v>
      </c>
      <c r="H2965" s="34" t="str">
        <f aca="false">IF(F2965=1,G2965,"")</f>
        <v/>
      </c>
    </row>
    <row r="2966" customFormat="false" ht="15" hidden="false" customHeight="false" outlineLevel="0" collapsed="false">
      <c r="A2966" s="31" t="n">
        <v>42859.5</v>
      </c>
      <c r="B2966" s="32" t="n">
        <v>252.714</v>
      </c>
      <c r="D2966" s="33" t="n">
        <f aca="false">WEEKDAY(A2966,2)</f>
        <v>4</v>
      </c>
      <c r="E2966" s="33" t="n">
        <f aca="false">HOUR(A2966)+MINUTE(A2966)/60</f>
        <v>12</v>
      </c>
      <c r="F2966" s="33" t="n">
        <f aca="false">IF(OR(D2966&gt;5,E2966&lt;8,E2966&gt;=18,COUNTIF($K$2:$K$10,INT(A2966))&gt;0),1,0)</f>
        <v>0</v>
      </c>
      <c r="G2966" s="34" t="n">
        <f aca="false">B2966/1</f>
        <v>252.714</v>
      </c>
      <c r="H2966" s="34" t="str">
        <f aca="false">IF(F2966=1,G2966,"")</f>
        <v/>
      </c>
    </row>
    <row r="2967" customFormat="false" ht="15" hidden="false" customHeight="false" outlineLevel="0" collapsed="false">
      <c r="A2967" s="31" t="n">
        <v>42859.5416666667</v>
      </c>
      <c r="B2967" s="32" t="n">
        <v>245.034</v>
      </c>
      <c r="D2967" s="33" t="n">
        <f aca="false">WEEKDAY(A2967,2)</f>
        <v>4</v>
      </c>
      <c r="E2967" s="33" t="n">
        <f aca="false">HOUR(A2967)+MINUTE(A2967)/60</f>
        <v>13</v>
      </c>
      <c r="F2967" s="33" t="n">
        <f aca="false">IF(OR(D2967&gt;5,E2967&lt;8,E2967&gt;=18,COUNTIF($K$2:$K$10,INT(A2967))&gt;0),1,0)</f>
        <v>0</v>
      </c>
      <c r="G2967" s="34" t="n">
        <f aca="false">B2967/1</f>
        <v>245.034</v>
      </c>
      <c r="H2967" s="34" t="str">
        <f aca="false">IF(F2967=1,G2967,"")</f>
        <v/>
      </c>
    </row>
    <row r="2968" customFormat="false" ht="15" hidden="false" customHeight="false" outlineLevel="0" collapsed="false">
      <c r="A2968" s="31" t="n">
        <v>42859.5833333333</v>
      </c>
      <c r="B2968" s="32" t="n">
        <v>244.125</v>
      </c>
      <c r="D2968" s="33" t="n">
        <f aca="false">WEEKDAY(A2968,2)</f>
        <v>4</v>
      </c>
      <c r="E2968" s="33" t="n">
        <f aca="false">HOUR(A2968)+MINUTE(A2968)/60</f>
        <v>14</v>
      </c>
      <c r="F2968" s="33" t="n">
        <f aca="false">IF(OR(D2968&gt;5,E2968&lt;8,E2968&gt;=18,COUNTIF($K$2:$K$10,INT(A2968))&gt;0),1,0)</f>
        <v>0</v>
      </c>
      <c r="G2968" s="34" t="n">
        <f aca="false">B2968/1</f>
        <v>244.125</v>
      </c>
      <c r="H2968" s="34" t="str">
        <f aca="false">IF(F2968=1,G2968,"")</f>
        <v/>
      </c>
    </row>
    <row r="2969" customFormat="false" ht="15" hidden="false" customHeight="false" outlineLevel="0" collapsed="false">
      <c r="A2969" s="31" t="n">
        <v>42859.625</v>
      </c>
      <c r="B2969" s="32" t="n">
        <v>251.613</v>
      </c>
      <c r="D2969" s="33" t="n">
        <f aca="false">WEEKDAY(A2969,2)</f>
        <v>4</v>
      </c>
      <c r="E2969" s="33" t="n">
        <f aca="false">HOUR(A2969)+MINUTE(A2969)/60</f>
        <v>15</v>
      </c>
      <c r="F2969" s="33" t="n">
        <f aca="false">IF(OR(D2969&gt;5,E2969&lt;8,E2969&gt;=18,COUNTIF($K$2:$K$10,INT(A2969))&gt;0),1,0)</f>
        <v>0</v>
      </c>
      <c r="G2969" s="34" t="n">
        <f aca="false">B2969/1</f>
        <v>251.613</v>
      </c>
      <c r="H2969" s="34" t="str">
        <f aca="false">IF(F2969=1,G2969,"")</f>
        <v/>
      </c>
    </row>
    <row r="2970" customFormat="false" ht="15" hidden="false" customHeight="false" outlineLevel="0" collapsed="false">
      <c r="A2970" s="31" t="n">
        <v>42859.6666666667</v>
      </c>
      <c r="B2970" s="32" t="n">
        <v>243.246</v>
      </c>
      <c r="D2970" s="33" t="n">
        <f aca="false">WEEKDAY(A2970,2)</f>
        <v>4</v>
      </c>
      <c r="E2970" s="33" t="n">
        <f aca="false">HOUR(A2970)+MINUTE(A2970)/60</f>
        <v>16</v>
      </c>
      <c r="F2970" s="33" t="n">
        <f aca="false">IF(OR(D2970&gt;5,E2970&lt;8,E2970&gt;=18,COUNTIF($K$2:$K$10,INT(A2970))&gt;0),1,0)</f>
        <v>0</v>
      </c>
      <c r="G2970" s="34" t="n">
        <f aca="false">B2970/1</f>
        <v>243.246</v>
      </c>
      <c r="H2970" s="34" t="str">
        <f aca="false">IF(F2970=1,G2970,"")</f>
        <v/>
      </c>
    </row>
    <row r="2971" customFormat="false" ht="15" hidden="false" customHeight="false" outlineLevel="0" collapsed="false">
      <c r="A2971" s="31" t="n">
        <v>42859.7083333333</v>
      </c>
      <c r="B2971" s="32" t="n">
        <v>233.991</v>
      </c>
      <c r="D2971" s="33" t="n">
        <f aca="false">WEEKDAY(A2971,2)</f>
        <v>4</v>
      </c>
      <c r="E2971" s="33" t="n">
        <f aca="false">HOUR(A2971)+MINUTE(A2971)/60</f>
        <v>17</v>
      </c>
      <c r="F2971" s="33" t="n">
        <f aca="false">IF(OR(D2971&gt;5,E2971&lt;8,E2971&gt;=18,COUNTIF($K$2:$K$10,INT(A2971))&gt;0),1,0)</f>
        <v>0</v>
      </c>
      <c r="G2971" s="34" t="n">
        <f aca="false">B2971/1</f>
        <v>233.991</v>
      </c>
      <c r="H2971" s="34" t="str">
        <f aca="false">IF(F2971=1,G2971,"")</f>
        <v/>
      </c>
    </row>
    <row r="2972" customFormat="false" ht="15" hidden="false" customHeight="false" outlineLevel="0" collapsed="false">
      <c r="A2972" s="31" t="n">
        <v>42859.75</v>
      </c>
      <c r="B2972" s="32" t="n">
        <v>209.203</v>
      </c>
      <c r="D2972" s="33" t="n">
        <f aca="false">WEEKDAY(A2972,2)</f>
        <v>4</v>
      </c>
      <c r="E2972" s="33" t="n">
        <f aca="false">HOUR(A2972)+MINUTE(A2972)/60</f>
        <v>18</v>
      </c>
      <c r="F2972" s="33" t="n">
        <f aca="false">IF(OR(D2972&gt;5,E2972&lt;8,E2972&gt;=18,COUNTIF($K$2:$K$10,INT(A2972))&gt;0),1,0)</f>
        <v>1</v>
      </c>
      <c r="G2972" s="34" t="n">
        <f aca="false">B2972/1</f>
        <v>209.203</v>
      </c>
      <c r="H2972" s="34" t="n">
        <f aca="false">IF(F2972=1,G2972,"")</f>
        <v>209.203</v>
      </c>
    </row>
    <row r="2973" customFormat="false" ht="15" hidden="false" customHeight="false" outlineLevel="0" collapsed="false">
      <c r="A2973" s="31" t="n">
        <v>42859.7916666667</v>
      </c>
      <c r="B2973" s="32" t="n">
        <v>210.629</v>
      </c>
      <c r="D2973" s="33" t="n">
        <f aca="false">WEEKDAY(A2973,2)</f>
        <v>4</v>
      </c>
      <c r="E2973" s="33" t="n">
        <f aca="false">HOUR(A2973)+MINUTE(A2973)/60</f>
        <v>19</v>
      </c>
      <c r="F2973" s="33" t="n">
        <f aca="false">IF(OR(D2973&gt;5,E2973&lt;8,E2973&gt;=18,COUNTIF($K$2:$K$10,INT(A2973))&gt;0),1,0)</f>
        <v>1</v>
      </c>
      <c r="G2973" s="34" t="n">
        <f aca="false">B2973/1</f>
        <v>210.629</v>
      </c>
      <c r="H2973" s="34" t="n">
        <f aca="false">IF(F2973=1,G2973,"")</f>
        <v>210.629</v>
      </c>
    </row>
    <row r="2974" customFormat="false" ht="15" hidden="false" customHeight="false" outlineLevel="0" collapsed="false">
      <c r="A2974" s="31" t="n">
        <v>42859.8333333333</v>
      </c>
      <c r="B2974" s="32" t="n">
        <v>198.811</v>
      </c>
      <c r="D2974" s="33" t="n">
        <f aca="false">WEEKDAY(A2974,2)</f>
        <v>4</v>
      </c>
      <c r="E2974" s="33" t="n">
        <f aca="false">HOUR(A2974)+MINUTE(A2974)/60</f>
        <v>20</v>
      </c>
      <c r="F2974" s="33" t="n">
        <f aca="false">IF(OR(D2974&gt;5,E2974&lt;8,E2974&gt;=18,COUNTIF($K$2:$K$10,INT(A2974))&gt;0),1,0)</f>
        <v>1</v>
      </c>
      <c r="G2974" s="34" t="n">
        <f aca="false">B2974/1</f>
        <v>198.811</v>
      </c>
      <c r="H2974" s="34" t="n">
        <f aca="false">IF(F2974=1,G2974,"")</f>
        <v>198.811</v>
      </c>
    </row>
    <row r="2975" customFormat="false" ht="15" hidden="false" customHeight="false" outlineLevel="0" collapsed="false">
      <c r="A2975" s="31" t="n">
        <v>42859.875</v>
      </c>
      <c r="B2975" s="32" t="n">
        <v>197.22</v>
      </c>
      <c r="D2975" s="33" t="n">
        <f aca="false">WEEKDAY(A2975,2)</f>
        <v>4</v>
      </c>
      <c r="E2975" s="33" t="n">
        <f aca="false">HOUR(A2975)+MINUTE(A2975)/60</f>
        <v>21</v>
      </c>
      <c r="F2975" s="33" t="n">
        <f aca="false">IF(OR(D2975&gt;5,E2975&lt;8,E2975&gt;=18,COUNTIF($K$2:$K$10,INT(A2975))&gt;0),1,0)</f>
        <v>1</v>
      </c>
      <c r="G2975" s="34" t="n">
        <f aca="false">B2975/1</f>
        <v>197.22</v>
      </c>
      <c r="H2975" s="34" t="n">
        <f aca="false">IF(F2975=1,G2975,"")</f>
        <v>197.22</v>
      </c>
    </row>
    <row r="2976" customFormat="false" ht="15" hidden="false" customHeight="false" outlineLevel="0" collapsed="false">
      <c r="A2976" s="31" t="n">
        <v>42859.9166666667</v>
      </c>
      <c r="B2976" s="32" t="n">
        <v>133.951</v>
      </c>
      <c r="D2976" s="33" t="n">
        <f aca="false">WEEKDAY(A2976,2)</f>
        <v>4</v>
      </c>
      <c r="E2976" s="33" t="n">
        <f aca="false">HOUR(A2976)+MINUTE(A2976)/60</f>
        <v>22</v>
      </c>
      <c r="F2976" s="33" t="n">
        <f aca="false">IF(OR(D2976&gt;5,E2976&lt;8,E2976&gt;=18,COUNTIF($K$2:$K$10,INT(A2976))&gt;0),1,0)</f>
        <v>1</v>
      </c>
      <c r="G2976" s="34" t="n">
        <f aca="false">B2976/1</f>
        <v>133.951</v>
      </c>
      <c r="H2976" s="34" t="n">
        <f aca="false">IF(F2976=1,G2976,"")</f>
        <v>133.951</v>
      </c>
    </row>
    <row r="2977" customFormat="false" ht="15" hidden="false" customHeight="false" outlineLevel="0" collapsed="false">
      <c r="A2977" s="31" t="n">
        <v>42859.9583333333</v>
      </c>
      <c r="B2977" s="32" t="n">
        <v>63.684</v>
      </c>
      <c r="D2977" s="33" t="n">
        <f aca="false">WEEKDAY(A2977,2)</f>
        <v>4</v>
      </c>
      <c r="E2977" s="33" t="n">
        <f aca="false">HOUR(A2977)+MINUTE(A2977)/60</f>
        <v>23</v>
      </c>
      <c r="F2977" s="33" t="n">
        <f aca="false">IF(OR(D2977&gt;5,E2977&lt;8,E2977&gt;=18,COUNTIF($K$2:$K$10,INT(A2977))&gt;0),1,0)</f>
        <v>1</v>
      </c>
      <c r="G2977" s="34" t="n">
        <f aca="false">B2977/1</f>
        <v>63.684</v>
      </c>
      <c r="H2977" s="34" t="n">
        <f aca="false">IF(F2977=1,G2977,"")</f>
        <v>63.684</v>
      </c>
    </row>
    <row r="2978" customFormat="false" ht="15" hidden="false" customHeight="false" outlineLevel="0" collapsed="false">
      <c r="A2978" s="31" t="n">
        <v>42860</v>
      </c>
      <c r="B2978" s="32" t="n">
        <v>60.328</v>
      </c>
      <c r="D2978" s="33" t="n">
        <f aca="false">WEEKDAY(A2978,2)</f>
        <v>5</v>
      </c>
      <c r="E2978" s="33" t="n">
        <f aca="false">HOUR(A2978)+MINUTE(A2978)/60</f>
        <v>0</v>
      </c>
      <c r="F2978" s="33" t="n">
        <f aca="false">IF(OR(D2978&gt;5,E2978&lt;8,E2978&gt;=18,COUNTIF($K$2:$K$10,INT(A2978))&gt;0),1,0)</f>
        <v>1</v>
      </c>
      <c r="G2978" s="34" t="n">
        <f aca="false">B2978/1</f>
        <v>60.328</v>
      </c>
      <c r="H2978" s="34" t="n">
        <f aca="false">IF(F2978=1,G2978,"")</f>
        <v>60.328</v>
      </c>
    </row>
    <row r="2979" customFormat="false" ht="15" hidden="false" customHeight="false" outlineLevel="0" collapsed="false">
      <c r="A2979" s="31" t="n">
        <v>42860.0416666667</v>
      </c>
      <c r="B2979" s="32" t="n">
        <v>57.743</v>
      </c>
      <c r="D2979" s="33" t="n">
        <f aca="false">WEEKDAY(A2979,2)</f>
        <v>5</v>
      </c>
      <c r="E2979" s="33" t="n">
        <f aca="false">HOUR(A2979)+MINUTE(A2979)/60</f>
        <v>1</v>
      </c>
      <c r="F2979" s="33" t="n">
        <f aca="false">IF(OR(D2979&gt;5,E2979&lt;8,E2979&gt;=18,COUNTIF($K$2:$K$10,INT(A2979))&gt;0),1,0)</f>
        <v>1</v>
      </c>
      <c r="G2979" s="34" t="n">
        <f aca="false">B2979/1</f>
        <v>57.743</v>
      </c>
      <c r="H2979" s="34" t="n">
        <f aca="false">IF(F2979=1,G2979,"")</f>
        <v>57.743</v>
      </c>
    </row>
    <row r="2980" customFormat="false" ht="15" hidden="false" customHeight="false" outlineLevel="0" collapsed="false">
      <c r="A2980" s="31" t="n">
        <v>42860.0833333333</v>
      </c>
      <c r="B2980" s="32" t="n">
        <v>65.9</v>
      </c>
      <c r="D2980" s="33" t="n">
        <f aca="false">WEEKDAY(A2980,2)</f>
        <v>5</v>
      </c>
      <c r="E2980" s="33" t="n">
        <f aca="false">HOUR(A2980)+MINUTE(A2980)/60</f>
        <v>2</v>
      </c>
      <c r="F2980" s="33" t="n">
        <f aca="false">IF(OR(D2980&gt;5,E2980&lt;8,E2980&gt;=18,COUNTIF($K$2:$K$10,INT(A2980))&gt;0),1,0)</f>
        <v>1</v>
      </c>
      <c r="G2980" s="34" t="n">
        <f aca="false">B2980/1</f>
        <v>65.9</v>
      </c>
      <c r="H2980" s="34" t="n">
        <f aca="false">IF(F2980=1,G2980,"")</f>
        <v>65.9</v>
      </c>
    </row>
    <row r="2981" customFormat="false" ht="15" hidden="false" customHeight="false" outlineLevel="0" collapsed="false">
      <c r="A2981" s="31" t="n">
        <v>42860.125</v>
      </c>
      <c r="B2981" s="32" t="n">
        <v>55.665</v>
      </c>
      <c r="D2981" s="33" t="n">
        <f aca="false">WEEKDAY(A2981,2)</f>
        <v>5</v>
      </c>
      <c r="E2981" s="33" t="n">
        <f aca="false">HOUR(A2981)+MINUTE(A2981)/60</f>
        <v>3</v>
      </c>
      <c r="F2981" s="33" t="n">
        <f aca="false">IF(OR(D2981&gt;5,E2981&lt;8,E2981&gt;=18,COUNTIF($K$2:$K$10,INT(A2981))&gt;0),1,0)</f>
        <v>1</v>
      </c>
      <c r="G2981" s="34" t="n">
        <f aca="false">B2981/1</f>
        <v>55.665</v>
      </c>
      <c r="H2981" s="34" t="n">
        <f aca="false">IF(F2981=1,G2981,"")</f>
        <v>55.665</v>
      </c>
    </row>
    <row r="2982" customFormat="false" ht="15" hidden="false" customHeight="false" outlineLevel="0" collapsed="false">
      <c r="A2982" s="31" t="n">
        <v>42860.1666666667</v>
      </c>
      <c r="B2982" s="32" t="n">
        <v>56.304</v>
      </c>
      <c r="D2982" s="33" t="n">
        <f aca="false">WEEKDAY(A2982,2)</f>
        <v>5</v>
      </c>
      <c r="E2982" s="33" t="n">
        <f aca="false">HOUR(A2982)+MINUTE(A2982)/60</f>
        <v>4</v>
      </c>
      <c r="F2982" s="33" t="n">
        <f aca="false">IF(OR(D2982&gt;5,E2982&lt;8,E2982&gt;=18,COUNTIF($K$2:$K$10,INT(A2982))&gt;0),1,0)</f>
        <v>1</v>
      </c>
      <c r="G2982" s="34" t="n">
        <f aca="false">B2982/1</f>
        <v>56.304</v>
      </c>
      <c r="H2982" s="34" t="n">
        <f aca="false">IF(F2982=1,G2982,"")</f>
        <v>56.304</v>
      </c>
    </row>
    <row r="2983" customFormat="false" ht="15" hidden="false" customHeight="false" outlineLevel="0" collapsed="false">
      <c r="A2983" s="31" t="n">
        <v>42860.2083333333</v>
      </c>
      <c r="B2983" s="32" t="n">
        <v>56.472</v>
      </c>
      <c r="D2983" s="33" t="n">
        <f aca="false">WEEKDAY(A2983,2)</f>
        <v>5</v>
      </c>
      <c r="E2983" s="33" t="n">
        <f aca="false">HOUR(A2983)+MINUTE(A2983)/60</f>
        <v>5</v>
      </c>
      <c r="F2983" s="33" t="n">
        <f aca="false">IF(OR(D2983&gt;5,E2983&lt;8,E2983&gt;=18,COUNTIF($K$2:$K$10,INT(A2983))&gt;0),1,0)</f>
        <v>1</v>
      </c>
      <c r="G2983" s="34" t="n">
        <f aca="false">B2983/1</f>
        <v>56.472</v>
      </c>
      <c r="H2983" s="34" t="n">
        <f aca="false">IF(F2983=1,G2983,"")</f>
        <v>56.472</v>
      </c>
    </row>
    <row r="2984" customFormat="false" ht="15" hidden="false" customHeight="false" outlineLevel="0" collapsed="false">
      <c r="A2984" s="31" t="n">
        <v>42860.25</v>
      </c>
      <c r="B2984" s="32" t="n">
        <v>57.79</v>
      </c>
      <c r="D2984" s="33" t="n">
        <f aca="false">WEEKDAY(A2984,2)</f>
        <v>5</v>
      </c>
      <c r="E2984" s="33" t="n">
        <f aca="false">HOUR(A2984)+MINUTE(A2984)/60</f>
        <v>6</v>
      </c>
      <c r="F2984" s="33" t="n">
        <f aca="false">IF(OR(D2984&gt;5,E2984&lt;8,E2984&gt;=18,COUNTIF($K$2:$K$10,INT(A2984))&gt;0),1,0)</f>
        <v>1</v>
      </c>
      <c r="G2984" s="34" t="n">
        <f aca="false">B2984/1</f>
        <v>57.79</v>
      </c>
      <c r="H2984" s="34" t="n">
        <f aca="false">IF(F2984=1,G2984,"")</f>
        <v>57.79</v>
      </c>
    </row>
    <row r="2985" customFormat="false" ht="15" hidden="false" customHeight="false" outlineLevel="0" collapsed="false">
      <c r="A2985" s="31" t="n">
        <v>42860.2916666667</v>
      </c>
      <c r="B2985" s="32" t="n">
        <v>64.454</v>
      </c>
      <c r="D2985" s="33" t="n">
        <f aca="false">WEEKDAY(A2985,2)</f>
        <v>5</v>
      </c>
      <c r="E2985" s="33" t="n">
        <f aca="false">HOUR(A2985)+MINUTE(A2985)/60</f>
        <v>7</v>
      </c>
      <c r="F2985" s="33" t="n">
        <f aca="false">IF(OR(D2985&gt;5,E2985&lt;8,E2985&gt;=18,COUNTIF($K$2:$K$10,INT(A2985))&gt;0),1,0)</f>
        <v>1</v>
      </c>
      <c r="G2985" s="34" t="n">
        <f aca="false">B2985/1</f>
        <v>64.454</v>
      </c>
      <c r="H2985" s="34" t="n">
        <f aca="false">IF(F2985=1,G2985,"")</f>
        <v>64.454</v>
      </c>
    </row>
    <row r="2986" customFormat="false" ht="15" hidden="false" customHeight="false" outlineLevel="0" collapsed="false">
      <c r="A2986" s="31" t="n">
        <v>42860.3333333333</v>
      </c>
      <c r="B2986" s="32" t="n">
        <v>174.152</v>
      </c>
      <c r="D2986" s="33" t="n">
        <f aca="false">WEEKDAY(A2986,2)</f>
        <v>5</v>
      </c>
      <c r="E2986" s="33" t="n">
        <f aca="false">HOUR(A2986)+MINUTE(A2986)/60</f>
        <v>8</v>
      </c>
      <c r="F2986" s="33" t="n">
        <f aca="false">IF(OR(D2986&gt;5,E2986&lt;8,E2986&gt;=18,COUNTIF($K$2:$K$10,INT(A2986))&gt;0),1,0)</f>
        <v>0</v>
      </c>
      <c r="G2986" s="34" t="n">
        <f aca="false">B2986/1</f>
        <v>174.152</v>
      </c>
      <c r="H2986" s="34" t="str">
        <f aca="false">IF(F2986=1,G2986,"")</f>
        <v/>
      </c>
    </row>
    <row r="2987" customFormat="false" ht="15" hidden="false" customHeight="false" outlineLevel="0" collapsed="false">
      <c r="A2987" s="31" t="n">
        <v>42860.375</v>
      </c>
      <c r="B2987" s="32" t="n">
        <v>196.366</v>
      </c>
      <c r="D2987" s="33" t="n">
        <f aca="false">WEEKDAY(A2987,2)</f>
        <v>5</v>
      </c>
      <c r="E2987" s="33" t="n">
        <f aca="false">HOUR(A2987)+MINUTE(A2987)/60</f>
        <v>9</v>
      </c>
      <c r="F2987" s="33" t="n">
        <f aca="false">IF(OR(D2987&gt;5,E2987&lt;8,E2987&gt;=18,COUNTIF($K$2:$K$10,INT(A2987))&gt;0),1,0)</f>
        <v>0</v>
      </c>
      <c r="G2987" s="34" t="n">
        <f aca="false">B2987/1</f>
        <v>196.366</v>
      </c>
      <c r="H2987" s="34" t="str">
        <f aca="false">IF(F2987=1,G2987,"")</f>
        <v/>
      </c>
    </row>
    <row r="2988" customFormat="false" ht="15" hidden="false" customHeight="false" outlineLevel="0" collapsed="false">
      <c r="A2988" s="31" t="n">
        <v>42860.4166666667</v>
      </c>
      <c r="B2988" s="32" t="n">
        <v>219.534</v>
      </c>
      <c r="D2988" s="33" t="n">
        <f aca="false">WEEKDAY(A2988,2)</f>
        <v>5</v>
      </c>
      <c r="E2988" s="33" t="n">
        <f aca="false">HOUR(A2988)+MINUTE(A2988)/60</f>
        <v>10</v>
      </c>
      <c r="F2988" s="33" t="n">
        <f aca="false">IF(OR(D2988&gt;5,E2988&lt;8,E2988&gt;=18,COUNTIF($K$2:$K$10,INT(A2988))&gt;0),1,0)</f>
        <v>0</v>
      </c>
      <c r="G2988" s="34" t="n">
        <f aca="false">B2988/1</f>
        <v>219.534</v>
      </c>
      <c r="H2988" s="34" t="str">
        <f aca="false">IF(F2988=1,G2988,"")</f>
        <v/>
      </c>
    </row>
    <row r="2989" customFormat="false" ht="15" hidden="false" customHeight="false" outlineLevel="0" collapsed="false">
      <c r="A2989" s="31" t="n">
        <v>42860.4583333333</v>
      </c>
      <c r="B2989" s="32" t="n">
        <v>237.686</v>
      </c>
      <c r="D2989" s="33" t="n">
        <f aca="false">WEEKDAY(A2989,2)</f>
        <v>5</v>
      </c>
      <c r="E2989" s="33" t="n">
        <f aca="false">HOUR(A2989)+MINUTE(A2989)/60</f>
        <v>11</v>
      </c>
      <c r="F2989" s="33" t="n">
        <f aca="false">IF(OR(D2989&gt;5,E2989&lt;8,E2989&gt;=18,COUNTIF($K$2:$K$10,INT(A2989))&gt;0),1,0)</f>
        <v>0</v>
      </c>
      <c r="G2989" s="34" t="n">
        <f aca="false">B2989/1</f>
        <v>237.686</v>
      </c>
      <c r="H2989" s="34" t="str">
        <f aca="false">IF(F2989=1,G2989,"")</f>
        <v/>
      </c>
    </row>
    <row r="2990" customFormat="false" ht="15" hidden="false" customHeight="false" outlineLevel="0" collapsed="false">
      <c r="A2990" s="31" t="n">
        <v>42860.5</v>
      </c>
      <c r="B2990" s="32" t="n">
        <v>238.536</v>
      </c>
      <c r="D2990" s="33" t="n">
        <f aca="false">WEEKDAY(A2990,2)</f>
        <v>5</v>
      </c>
      <c r="E2990" s="33" t="n">
        <f aca="false">HOUR(A2990)+MINUTE(A2990)/60</f>
        <v>12</v>
      </c>
      <c r="F2990" s="33" t="n">
        <f aca="false">IF(OR(D2990&gt;5,E2990&lt;8,E2990&gt;=18,COUNTIF($K$2:$K$10,INT(A2990))&gt;0),1,0)</f>
        <v>0</v>
      </c>
      <c r="G2990" s="34" t="n">
        <f aca="false">B2990/1</f>
        <v>238.536</v>
      </c>
      <c r="H2990" s="34" t="str">
        <f aca="false">IF(F2990=1,G2990,"")</f>
        <v/>
      </c>
    </row>
    <row r="2991" customFormat="false" ht="15" hidden="false" customHeight="false" outlineLevel="0" collapsed="false">
      <c r="A2991" s="31" t="n">
        <v>42860.5416666667</v>
      </c>
      <c r="B2991" s="32" t="n">
        <v>232.662</v>
      </c>
      <c r="D2991" s="33" t="n">
        <f aca="false">WEEKDAY(A2991,2)</f>
        <v>5</v>
      </c>
      <c r="E2991" s="33" t="n">
        <f aca="false">HOUR(A2991)+MINUTE(A2991)/60</f>
        <v>13</v>
      </c>
      <c r="F2991" s="33" t="n">
        <f aca="false">IF(OR(D2991&gt;5,E2991&lt;8,E2991&gt;=18,COUNTIF($K$2:$K$10,INT(A2991))&gt;0),1,0)</f>
        <v>0</v>
      </c>
      <c r="G2991" s="34" t="n">
        <f aca="false">B2991/1</f>
        <v>232.662</v>
      </c>
      <c r="H2991" s="34" t="str">
        <f aca="false">IF(F2991=1,G2991,"")</f>
        <v/>
      </c>
    </row>
    <row r="2992" customFormat="false" ht="15" hidden="false" customHeight="false" outlineLevel="0" collapsed="false">
      <c r="A2992" s="31" t="n">
        <v>42860.5833333333</v>
      </c>
      <c r="B2992" s="32" t="n">
        <v>229.82</v>
      </c>
      <c r="D2992" s="33" t="n">
        <f aca="false">WEEKDAY(A2992,2)</f>
        <v>5</v>
      </c>
      <c r="E2992" s="33" t="n">
        <f aca="false">HOUR(A2992)+MINUTE(A2992)/60</f>
        <v>14</v>
      </c>
      <c r="F2992" s="33" t="n">
        <f aca="false">IF(OR(D2992&gt;5,E2992&lt;8,E2992&gt;=18,COUNTIF($K$2:$K$10,INT(A2992))&gt;0),1,0)</f>
        <v>0</v>
      </c>
      <c r="G2992" s="34" t="n">
        <f aca="false">B2992/1</f>
        <v>229.82</v>
      </c>
      <c r="H2992" s="34" t="str">
        <f aca="false">IF(F2992=1,G2992,"")</f>
        <v/>
      </c>
    </row>
    <row r="2993" customFormat="false" ht="15" hidden="false" customHeight="false" outlineLevel="0" collapsed="false">
      <c r="A2993" s="31" t="n">
        <v>42860.625</v>
      </c>
      <c r="B2993" s="32" t="n">
        <v>227.292</v>
      </c>
      <c r="D2993" s="33" t="n">
        <f aca="false">WEEKDAY(A2993,2)</f>
        <v>5</v>
      </c>
      <c r="E2993" s="33" t="n">
        <f aca="false">HOUR(A2993)+MINUTE(A2993)/60</f>
        <v>15</v>
      </c>
      <c r="F2993" s="33" t="n">
        <f aca="false">IF(OR(D2993&gt;5,E2993&lt;8,E2993&gt;=18,COUNTIF($K$2:$K$10,INT(A2993))&gt;0),1,0)</f>
        <v>0</v>
      </c>
      <c r="G2993" s="34" t="n">
        <f aca="false">B2993/1</f>
        <v>227.292</v>
      </c>
      <c r="H2993" s="34" t="str">
        <f aca="false">IF(F2993=1,G2993,"")</f>
        <v/>
      </c>
    </row>
    <row r="2994" customFormat="false" ht="15" hidden="false" customHeight="false" outlineLevel="0" collapsed="false">
      <c r="A2994" s="31" t="n">
        <v>42860.6666666667</v>
      </c>
      <c r="B2994" s="32" t="n">
        <v>227.306</v>
      </c>
      <c r="D2994" s="33" t="n">
        <f aca="false">WEEKDAY(A2994,2)</f>
        <v>5</v>
      </c>
      <c r="E2994" s="33" t="n">
        <f aca="false">HOUR(A2994)+MINUTE(A2994)/60</f>
        <v>16</v>
      </c>
      <c r="F2994" s="33" t="n">
        <f aca="false">IF(OR(D2994&gt;5,E2994&lt;8,E2994&gt;=18,COUNTIF($K$2:$K$10,INT(A2994))&gt;0),1,0)</f>
        <v>0</v>
      </c>
      <c r="G2994" s="34" t="n">
        <f aca="false">B2994/1</f>
        <v>227.306</v>
      </c>
      <c r="H2994" s="34" t="str">
        <f aca="false">IF(F2994=1,G2994,"")</f>
        <v/>
      </c>
    </row>
    <row r="2995" customFormat="false" ht="15" hidden="false" customHeight="false" outlineLevel="0" collapsed="false">
      <c r="A2995" s="31" t="n">
        <v>42860.7083333333</v>
      </c>
      <c r="B2995" s="32" t="n">
        <v>213.023</v>
      </c>
      <c r="D2995" s="33" t="n">
        <f aca="false">WEEKDAY(A2995,2)</f>
        <v>5</v>
      </c>
      <c r="E2995" s="33" t="n">
        <f aca="false">HOUR(A2995)+MINUTE(A2995)/60</f>
        <v>17</v>
      </c>
      <c r="F2995" s="33" t="n">
        <f aca="false">IF(OR(D2995&gt;5,E2995&lt;8,E2995&gt;=18,COUNTIF($K$2:$K$10,INT(A2995))&gt;0),1,0)</f>
        <v>0</v>
      </c>
      <c r="G2995" s="34" t="n">
        <f aca="false">B2995/1</f>
        <v>213.023</v>
      </c>
      <c r="H2995" s="34" t="str">
        <f aca="false">IF(F2995=1,G2995,"")</f>
        <v/>
      </c>
    </row>
    <row r="2996" customFormat="false" ht="15" hidden="false" customHeight="false" outlineLevel="0" collapsed="false">
      <c r="A2996" s="31" t="n">
        <v>42860.75</v>
      </c>
      <c r="B2996" s="32" t="n">
        <v>196.589</v>
      </c>
      <c r="D2996" s="33" t="n">
        <f aca="false">WEEKDAY(A2996,2)</f>
        <v>5</v>
      </c>
      <c r="E2996" s="33" t="n">
        <f aca="false">HOUR(A2996)+MINUTE(A2996)/60</f>
        <v>18</v>
      </c>
      <c r="F2996" s="33" t="n">
        <f aca="false">IF(OR(D2996&gt;5,E2996&lt;8,E2996&gt;=18,COUNTIF($K$2:$K$10,INT(A2996))&gt;0),1,0)</f>
        <v>1</v>
      </c>
      <c r="G2996" s="34" t="n">
        <f aca="false">B2996/1</f>
        <v>196.589</v>
      </c>
      <c r="H2996" s="34" t="n">
        <f aca="false">IF(F2996=1,G2996,"")</f>
        <v>196.589</v>
      </c>
    </row>
    <row r="2997" customFormat="false" ht="15" hidden="false" customHeight="false" outlineLevel="0" collapsed="false">
      <c r="A2997" s="31" t="n">
        <v>42860.7916666667</v>
      </c>
      <c r="B2997" s="32" t="n">
        <v>188.584</v>
      </c>
      <c r="D2997" s="33" t="n">
        <f aca="false">WEEKDAY(A2997,2)</f>
        <v>5</v>
      </c>
      <c r="E2997" s="33" t="n">
        <f aca="false">HOUR(A2997)+MINUTE(A2997)/60</f>
        <v>19</v>
      </c>
      <c r="F2997" s="33" t="n">
        <f aca="false">IF(OR(D2997&gt;5,E2997&lt;8,E2997&gt;=18,COUNTIF($K$2:$K$10,INT(A2997))&gt;0),1,0)</f>
        <v>1</v>
      </c>
      <c r="G2997" s="34" t="n">
        <f aca="false">B2997/1</f>
        <v>188.584</v>
      </c>
      <c r="H2997" s="34" t="n">
        <f aca="false">IF(F2997=1,G2997,"")</f>
        <v>188.584</v>
      </c>
    </row>
    <row r="2998" customFormat="false" ht="15" hidden="false" customHeight="false" outlineLevel="0" collapsed="false">
      <c r="A2998" s="31" t="n">
        <v>42860.8333333333</v>
      </c>
      <c r="B2998" s="32" t="n">
        <v>185.107</v>
      </c>
      <c r="D2998" s="33" t="n">
        <f aca="false">WEEKDAY(A2998,2)</f>
        <v>5</v>
      </c>
      <c r="E2998" s="33" t="n">
        <f aca="false">HOUR(A2998)+MINUTE(A2998)/60</f>
        <v>20</v>
      </c>
      <c r="F2998" s="33" t="n">
        <f aca="false">IF(OR(D2998&gt;5,E2998&lt;8,E2998&gt;=18,COUNTIF($K$2:$K$10,INT(A2998))&gt;0),1,0)</f>
        <v>1</v>
      </c>
      <c r="G2998" s="34" t="n">
        <f aca="false">B2998/1</f>
        <v>185.107</v>
      </c>
      <c r="H2998" s="34" t="n">
        <f aca="false">IF(F2998=1,G2998,"")</f>
        <v>185.107</v>
      </c>
    </row>
    <row r="2999" customFormat="false" ht="15" hidden="false" customHeight="false" outlineLevel="0" collapsed="false">
      <c r="A2999" s="31" t="n">
        <v>42860.875</v>
      </c>
      <c r="B2999" s="32" t="n">
        <v>180.458</v>
      </c>
      <c r="D2999" s="33" t="n">
        <f aca="false">WEEKDAY(A2999,2)</f>
        <v>5</v>
      </c>
      <c r="E2999" s="33" t="n">
        <f aca="false">HOUR(A2999)+MINUTE(A2999)/60</f>
        <v>21</v>
      </c>
      <c r="F2999" s="33" t="n">
        <f aca="false">IF(OR(D2999&gt;5,E2999&lt;8,E2999&gt;=18,COUNTIF($K$2:$K$10,INT(A2999))&gt;0),1,0)</f>
        <v>1</v>
      </c>
      <c r="G2999" s="34" t="n">
        <f aca="false">B2999/1</f>
        <v>180.458</v>
      </c>
      <c r="H2999" s="34" t="n">
        <f aca="false">IF(F2999=1,G2999,"")</f>
        <v>180.458</v>
      </c>
    </row>
    <row r="3000" customFormat="false" ht="15" hidden="false" customHeight="false" outlineLevel="0" collapsed="false">
      <c r="A3000" s="31" t="n">
        <v>42860.9166666667</v>
      </c>
      <c r="B3000" s="32" t="n">
        <v>124.317</v>
      </c>
      <c r="D3000" s="33" t="n">
        <f aca="false">WEEKDAY(A3000,2)</f>
        <v>5</v>
      </c>
      <c r="E3000" s="33" t="n">
        <f aca="false">HOUR(A3000)+MINUTE(A3000)/60</f>
        <v>22</v>
      </c>
      <c r="F3000" s="33" t="n">
        <f aca="false">IF(OR(D3000&gt;5,E3000&lt;8,E3000&gt;=18,COUNTIF($K$2:$K$10,INT(A3000))&gt;0),1,0)</f>
        <v>1</v>
      </c>
      <c r="G3000" s="34" t="n">
        <f aca="false">B3000/1</f>
        <v>124.317</v>
      </c>
      <c r="H3000" s="34" t="n">
        <f aca="false">IF(F3000=1,G3000,"")</f>
        <v>124.317</v>
      </c>
    </row>
    <row r="3001" customFormat="false" ht="15" hidden="false" customHeight="false" outlineLevel="0" collapsed="false">
      <c r="A3001" s="31" t="n">
        <v>42860.9583333333</v>
      </c>
      <c r="B3001" s="32" t="n">
        <v>58.639</v>
      </c>
      <c r="D3001" s="33" t="n">
        <f aca="false">WEEKDAY(A3001,2)</f>
        <v>5</v>
      </c>
      <c r="E3001" s="33" t="n">
        <f aca="false">HOUR(A3001)+MINUTE(A3001)/60</f>
        <v>23</v>
      </c>
      <c r="F3001" s="33" t="n">
        <f aca="false">IF(OR(D3001&gt;5,E3001&lt;8,E3001&gt;=18,COUNTIF($K$2:$K$10,INT(A3001))&gt;0),1,0)</f>
        <v>1</v>
      </c>
      <c r="G3001" s="34" t="n">
        <f aca="false">B3001/1</f>
        <v>58.639</v>
      </c>
      <c r="H3001" s="34" t="n">
        <f aca="false">IF(F3001=1,G3001,"")</f>
        <v>58.639</v>
      </c>
    </row>
    <row r="3002" customFormat="false" ht="15" hidden="false" customHeight="false" outlineLevel="0" collapsed="false">
      <c r="A3002" s="31" t="n">
        <v>42861</v>
      </c>
      <c r="B3002" s="32" t="n">
        <v>59.528</v>
      </c>
      <c r="D3002" s="33" t="n">
        <f aca="false">WEEKDAY(A3002,2)</f>
        <v>6</v>
      </c>
      <c r="E3002" s="33" t="n">
        <f aca="false">HOUR(A3002)+MINUTE(A3002)/60</f>
        <v>0</v>
      </c>
      <c r="F3002" s="33" t="n">
        <f aca="false">IF(OR(D3002&gt;5,E3002&lt;8,E3002&gt;=18,COUNTIF($K$2:$K$10,INT(A3002))&gt;0),1,0)</f>
        <v>1</v>
      </c>
      <c r="G3002" s="34" t="n">
        <f aca="false">B3002/1</f>
        <v>59.528</v>
      </c>
      <c r="H3002" s="34" t="n">
        <f aca="false">IF(F3002=1,G3002,"")</f>
        <v>59.528</v>
      </c>
    </row>
    <row r="3003" customFormat="false" ht="15" hidden="false" customHeight="false" outlineLevel="0" collapsed="false">
      <c r="A3003" s="31" t="n">
        <v>42861.0416666667</v>
      </c>
      <c r="B3003" s="32" t="n">
        <v>58.427</v>
      </c>
      <c r="D3003" s="33" t="n">
        <f aca="false">WEEKDAY(A3003,2)</f>
        <v>6</v>
      </c>
      <c r="E3003" s="33" t="n">
        <f aca="false">HOUR(A3003)+MINUTE(A3003)/60</f>
        <v>1</v>
      </c>
      <c r="F3003" s="33" t="n">
        <f aca="false">IF(OR(D3003&gt;5,E3003&lt;8,E3003&gt;=18,COUNTIF($K$2:$K$10,INT(A3003))&gt;0),1,0)</f>
        <v>1</v>
      </c>
      <c r="G3003" s="34" t="n">
        <f aca="false">B3003/1</f>
        <v>58.427</v>
      </c>
      <c r="H3003" s="34" t="n">
        <f aca="false">IF(F3003=1,G3003,"")</f>
        <v>58.427</v>
      </c>
    </row>
    <row r="3004" customFormat="false" ht="15" hidden="false" customHeight="false" outlineLevel="0" collapsed="false">
      <c r="A3004" s="31" t="n">
        <v>42861.0833333333</v>
      </c>
      <c r="B3004" s="32" t="n">
        <v>55.65</v>
      </c>
      <c r="D3004" s="33" t="n">
        <f aca="false">WEEKDAY(A3004,2)</f>
        <v>6</v>
      </c>
      <c r="E3004" s="33" t="n">
        <f aca="false">HOUR(A3004)+MINUTE(A3004)/60</f>
        <v>2</v>
      </c>
      <c r="F3004" s="33" t="n">
        <f aca="false">IF(OR(D3004&gt;5,E3004&lt;8,E3004&gt;=18,COUNTIF($K$2:$K$10,INT(A3004))&gt;0),1,0)</f>
        <v>1</v>
      </c>
      <c r="G3004" s="34" t="n">
        <f aca="false">B3004/1</f>
        <v>55.65</v>
      </c>
      <c r="H3004" s="34" t="n">
        <f aca="false">IF(F3004=1,G3004,"")</f>
        <v>55.65</v>
      </c>
    </row>
    <row r="3005" customFormat="false" ht="15" hidden="false" customHeight="false" outlineLevel="0" collapsed="false">
      <c r="A3005" s="31" t="n">
        <v>42861.125</v>
      </c>
      <c r="B3005" s="32" t="n">
        <v>60.027</v>
      </c>
      <c r="D3005" s="33" t="n">
        <f aca="false">WEEKDAY(A3005,2)</f>
        <v>6</v>
      </c>
      <c r="E3005" s="33" t="n">
        <f aca="false">HOUR(A3005)+MINUTE(A3005)/60</f>
        <v>3</v>
      </c>
      <c r="F3005" s="33" t="n">
        <f aca="false">IF(OR(D3005&gt;5,E3005&lt;8,E3005&gt;=18,COUNTIF($K$2:$K$10,INT(A3005))&gt;0),1,0)</f>
        <v>1</v>
      </c>
      <c r="G3005" s="34" t="n">
        <f aca="false">B3005/1</f>
        <v>60.027</v>
      </c>
      <c r="H3005" s="34" t="n">
        <f aca="false">IF(F3005=1,G3005,"")</f>
        <v>60.027</v>
      </c>
    </row>
    <row r="3006" customFormat="false" ht="15" hidden="false" customHeight="false" outlineLevel="0" collapsed="false">
      <c r="A3006" s="31" t="n">
        <v>42861.1666666667</v>
      </c>
      <c r="B3006" s="32" t="n">
        <v>59.11</v>
      </c>
      <c r="D3006" s="33" t="n">
        <f aca="false">WEEKDAY(A3006,2)</f>
        <v>6</v>
      </c>
      <c r="E3006" s="33" t="n">
        <f aca="false">HOUR(A3006)+MINUTE(A3006)/60</f>
        <v>4</v>
      </c>
      <c r="F3006" s="33" t="n">
        <f aca="false">IF(OR(D3006&gt;5,E3006&lt;8,E3006&gt;=18,COUNTIF($K$2:$K$10,INT(A3006))&gt;0),1,0)</f>
        <v>1</v>
      </c>
      <c r="G3006" s="34" t="n">
        <f aca="false">B3006/1</f>
        <v>59.11</v>
      </c>
      <c r="H3006" s="34" t="n">
        <f aca="false">IF(F3006=1,G3006,"")</f>
        <v>59.11</v>
      </c>
    </row>
    <row r="3007" customFormat="false" ht="15" hidden="false" customHeight="false" outlineLevel="0" collapsed="false">
      <c r="A3007" s="31" t="n">
        <v>42861.2083333333</v>
      </c>
      <c r="B3007" s="32" t="n">
        <v>56.864</v>
      </c>
      <c r="D3007" s="33" t="n">
        <f aca="false">WEEKDAY(A3007,2)</f>
        <v>6</v>
      </c>
      <c r="E3007" s="33" t="n">
        <f aca="false">HOUR(A3007)+MINUTE(A3007)/60</f>
        <v>5</v>
      </c>
      <c r="F3007" s="33" t="n">
        <f aca="false">IF(OR(D3007&gt;5,E3007&lt;8,E3007&gt;=18,COUNTIF($K$2:$K$10,INT(A3007))&gt;0),1,0)</f>
        <v>1</v>
      </c>
      <c r="G3007" s="34" t="n">
        <f aca="false">B3007/1</f>
        <v>56.864</v>
      </c>
      <c r="H3007" s="34" t="n">
        <f aca="false">IF(F3007=1,G3007,"")</f>
        <v>56.864</v>
      </c>
    </row>
    <row r="3008" customFormat="false" ht="15" hidden="false" customHeight="false" outlineLevel="0" collapsed="false">
      <c r="A3008" s="31" t="n">
        <v>42861.25</v>
      </c>
      <c r="B3008" s="32" t="n">
        <v>59.649</v>
      </c>
      <c r="D3008" s="33" t="n">
        <f aca="false">WEEKDAY(A3008,2)</f>
        <v>6</v>
      </c>
      <c r="E3008" s="33" t="n">
        <f aca="false">HOUR(A3008)+MINUTE(A3008)/60</f>
        <v>6</v>
      </c>
      <c r="F3008" s="33" t="n">
        <f aca="false">IF(OR(D3008&gt;5,E3008&lt;8,E3008&gt;=18,COUNTIF($K$2:$K$10,INT(A3008))&gt;0),1,0)</f>
        <v>1</v>
      </c>
      <c r="G3008" s="34" t="n">
        <f aca="false">B3008/1</f>
        <v>59.649</v>
      </c>
      <c r="H3008" s="34" t="n">
        <f aca="false">IF(F3008=1,G3008,"")</f>
        <v>59.649</v>
      </c>
    </row>
    <row r="3009" customFormat="false" ht="15" hidden="false" customHeight="false" outlineLevel="0" collapsed="false">
      <c r="A3009" s="31" t="n">
        <v>42861.2916666667</v>
      </c>
      <c r="B3009" s="32" t="n">
        <v>60.074</v>
      </c>
      <c r="D3009" s="33" t="n">
        <f aca="false">WEEKDAY(A3009,2)</f>
        <v>6</v>
      </c>
      <c r="E3009" s="33" t="n">
        <f aca="false">HOUR(A3009)+MINUTE(A3009)/60</f>
        <v>7</v>
      </c>
      <c r="F3009" s="33" t="n">
        <f aca="false">IF(OR(D3009&gt;5,E3009&lt;8,E3009&gt;=18,COUNTIF($K$2:$K$10,INT(A3009))&gt;0),1,0)</f>
        <v>1</v>
      </c>
      <c r="G3009" s="34" t="n">
        <f aca="false">B3009/1</f>
        <v>60.074</v>
      </c>
      <c r="H3009" s="34" t="n">
        <f aca="false">IF(F3009=1,G3009,"")</f>
        <v>60.074</v>
      </c>
    </row>
    <row r="3010" customFormat="false" ht="15" hidden="false" customHeight="false" outlineLevel="0" collapsed="false">
      <c r="A3010" s="31" t="n">
        <v>42861.3333333333</v>
      </c>
      <c r="B3010" s="32" t="n">
        <v>124.669</v>
      </c>
      <c r="D3010" s="33" t="n">
        <f aca="false">WEEKDAY(A3010,2)</f>
        <v>6</v>
      </c>
      <c r="E3010" s="33" t="n">
        <f aca="false">HOUR(A3010)+MINUTE(A3010)/60</f>
        <v>8</v>
      </c>
      <c r="F3010" s="33" t="n">
        <f aca="false">IF(OR(D3010&gt;5,E3010&lt;8,E3010&gt;=18,COUNTIF($K$2:$K$10,INT(A3010))&gt;0),1,0)</f>
        <v>1</v>
      </c>
      <c r="G3010" s="34" t="n">
        <f aca="false">B3010/1</f>
        <v>124.669</v>
      </c>
      <c r="H3010" s="34" t="n">
        <f aca="false">IF(F3010=1,G3010,"")</f>
        <v>124.669</v>
      </c>
    </row>
    <row r="3011" customFormat="false" ht="15" hidden="false" customHeight="false" outlineLevel="0" collapsed="false">
      <c r="A3011" s="31" t="n">
        <v>42861.375</v>
      </c>
      <c r="B3011" s="32" t="n">
        <v>167.993</v>
      </c>
      <c r="D3011" s="33" t="n">
        <f aca="false">WEEKDAY(A3011,2)</f>
        <v>6</v>
      </c>
      <c r="E3011" s="33" t="n">
        <f aca="false">HOUR(A3011)+MINUTE(A3011)/60</f>
        <v>9</v>
      </c>
      <c r="F3011" s="33" t="n">
        <f aca="false">IF(OR(D3011&gt;5,E3011&lt;8,E3011&gt;=18,COUNTIF($K$2:$K$10,INT(A3011))&gt;0),1,0)</f>
        <v>1</v>
      </c>
      <c r="G3011" s="34" t="n">
        <f aca="false">B3011/1</f>
        <v>167.993</v>
      </c>
      <c r="H3011" s="34" t="n">
        <f aca="false">IF(F3011=1,G3011,"")</f>
        <v>167.993</v>
      </c>
    </row>
    <row r="3012" customFormat="false" ht="15" hidden="false" customHeight="false" outlineLevel="0" collapsed="false">
      <c r="A3012" s="31" t="n">
        <v>42861.4166666667</v>
      </c>
      <c r="B3012" s="32" t="n">
        <v>173.031</v>
      </c>
      <c r="D3012" s="33" t="n">
        <f aca="false">WEEKDAY(A3012,2)</f>
        <v>6</v>
      </c>
      <c r="E3012" s="33" t="n">
        <f aca="false">HOUR(A3012)+MINUTE(A3012)/60</f>
        <v>10</v>
      </c>
      <c r="F3012" s="33" t="n">
        <f aca="false">IF(OR(D3012&gt;5,E3012&lt;8,E3012&gt;=18,COUNTIF($K$2:$K$10,INT(A3012))&gt;0),1,0)</f>
        <v>1</v>
      </c>
      <c r="G3012" s="34" t="n">
        <f aca="false">B3012/1</f>
        <v>173.031</v>
      </c>
      <c r="H3012" s="34" t="n">
        <f aca="false">IF(F3012=1,G3012,"")</f>
        <v>173.031</v>
      </c>
    </row>
    <row r="3013" customFormat="false" ht="15" hidden="false" customHeight="false" outlineLevel="0" collapsed="false">
      <c r="A3013" s="31" t="n">
        <v>42861.4583333333</v>
      </c>
      <c r="B3013" s="32" t="n">
        <v>173.892</v>
      </c>
      <c r="D3013" s="33" t="n">
        <f aca="false">WEEKDAY(A3013,2)</f>
        <v>6</v>
      </c>
      <c r="E3013" s="33" t="n">
        <f aca="false">HOUR(A3013)+MINUTE(A3013)/60</f>
        <v>11</v>
      </c>
      <c r="F3013" s="33" t="n">
        <f aca="false">IF(OR(D3013&gt;5,E3013&lt;8,E3013&gt;=18,COUNTIF($K$2:$K$10,INT(A3013))&gt;0),1,0)</f>
        <v>1</v>
      </c>
      <c r="G3013" s="34" t="n">
        <f aca="false">B3013/1</f>
        <v>173.892</v>
      </c>
      <c r="H3013" s="34" t="n">
        <f aca="false">IF(F3013=1,G3013,"")</f>
        <v>173.892</v>
      </c>
    </row>
    <row r="3014" customFormat="false" ht="15" hidden="false" customHeight="false" outlineLevel="0" collapsed="false">
      <c r="A3014" s="31" t="n">
        <v>42861.5</v>
      </c>
      <c r="B3014" s="32" t="n">
        <v>174.102</v>
      </c>
      <c r="D3014" s="33" t="n">
        <f aca="false">WEEKDAY(A3014,2)</f>
        <v>6</v>
      </c>
      <c r="E3014" s="33" t="n">
        <f aca="false">HOUR(A3014)+MINUTE(A3014)/60</f>
        <v>12</v>
      </c>
      <c r="F3014" s="33" t="n">
        <f aca="false">IF(OR(D3014&gt;5,E3014&lt;8,E3014&gt;=18,COUNTIF($K$2:$K$10,INT(A3014))&gt;0),1,0)</f>
        <v>1</v>
      </c>
      <c r="G3014" s="34" t="n">
        <f aca="false">B3014/1</f>
        <v>174.102</v>
      </c>
      <c r="H3014" s="34" t="n">
        <f aca="false">IF(F3014=1,G3014,"")</f>
        <v>174.102</v>
      </c>
    </row>
    <row r="3015" customFormat="false" ht="15" hidden="false" customHeight="false" outlineLevel="0" collapsed="false">
      <c r="A3015" s="31" t="n">
        <v>42861.5416666667</v>
      </c>
      <c r="B3015" s="32" t="n">
        <v>177.607</v>
      </c>
      <c r="D3015" s="33" t="n">
        <f aca="false">WEEKDAY(A3015,2)</f>
        <v>6</v>
      </c>
      <c r="E3015" s="33" t="n">
        <f aca="false">HOUR(A3015)+MINUTE(A3015)/60</f>
        <v>13</v>
      </c>
      <c r="F3015" s="33" t="n">
        <f aca="false">IF(OR(D3015&gt;5,E3015&lt;8,E3015&gt;=18,COUNTIF($K$2:$K$10,INT(A3015))&gt;0),1,0)</f>
        <v>1</v>
      </c>
      <c r="G3015" s="34" t="n">
        <f aca="false">B3015/1</f>
        <v>177.607</v>
      </c>
      <c r="H3015" s="34" t="n">
        <f aca="false">IF(F3015=1,G3015,"")</f>
        <v>177.607</v>
      </c>
    </row>
    <row r="3016" customFormat="false" ht="15" hidden="false" customHeight="false" outlineLevel="0" collapsed="false">
      <c r="A3016" s="31" t="n">
        <v>42861.5833333333</v>
      </c>
      <c r="B3016" s="32" t="n">
        <v>180.969</v>
      </c>
      <c r="D3016" s="33" t="n">
        <f aca="false">WEEKDAY(A3016,2)</f>
        <v>6</v>
      </c>
      <c r="E3016" s="33" t="n">
        <f aca="false">HOUR(A3016)+MINUTE(A3016)/60</f>
        <v>14</v>
      </c>
      <c r="F3016" s="33" t="n">
        <f aca="false">IF(OR(D3016&gt;5,E3016&lt;8,E3016&gt;=18,COUNTIF($K$2:$K$10,INT(A3016))&gt;0),1,0)</f>
        <v>1</v>
      </c>
      <c r="G3016" s="34" t="n">
        <f aca="false">B3016/1</f>
        <v>180.969</v>
      </c>
      <c r="H3016" s="34" t="n">
        <f aca="false">IF(F3016=1,G3016,"")</f>
        <v>180.969</v>
      </c>
    </row>
    <row r="3017" customFormat="false" ht="15" hidden="false" customHeight="false" outlineLevel="0" collapsed="false">
      <c r="A3017" s="31" t="n">
        <v>42861.625</v>
      </c>
      <c r="B3017" s="32" t="n">
        <v>181.7</v>
      </c>
      <c r="D3017" s="33" t="n">
        <f aca="false">WEEKDAY(A3017,2)</f>
        <v>6</v>
      </c>
      <c r="E3017" s="33" t="n">
        <f aca="false">HOUR(A3017)+MINUTE(A3017)/60</f>
        <v>15</v>
      </c>
      <c r="F3017" s="33" t="n">
        <f aca="false">IF(OR(D3017&gt;5,E3017&lt;8,E3017&gt;=18,COUNTIF($K$2:$K$10,INT(A3017))&gt;0),1,0)</f>
        <v>1</v>
      </c>
      <c r="G3017" s="34" t="n">
        <f aca="false">B3017/1</f>
        <v>181.7</v>
      </c>
      <c r="H3017" s="34" t="n">
        <f aca="false">IF(F3017=1,G3017,"")</f>
        <v>181.7</v>
      </c>
    </row>
    <row r="3018" customFormat="false" ht="15" hidden="false" customHeight="false" outlineLevel="0" collapsed="false">
      <c r="A3018" s="31" t="n">
        <v>42861.6666666667</v>
      </c>
      <c r="B3018" s="32" t="n">
        <v>183.082</v>
      </c>
      <c r="D3018" s="33" t="n">
        <f aca="false">WEEKDAY(A3018,2)</f>
        <v>6</v>
      </c>
      <c r="E3018" s="33" t="n">
        <f aca="false">HOUR(A3018)+MINUTE(A3018)/60</f>
        <v>16</v>
      </c>
      <c r="F3018" s="33" t="n">
        <f aca="false">IF(OR(D3018&gt;5,E3018&lt;8,E3018&gt;=18,COUNTIF($K$2:$K$10,INT(A3018))&gt;0),1,0)</f>
        <v>1</v>
      </c>
      <c r="G3018" s="34" t="n">
        <f aca="false">B3018/1</f>
        <v>183.082</v>
      </c>
      <c r="H3018" s="34" t="n">
        <f aca="false">IF(F3018=1,G3018,"")</f>
        <v>183.082</v>
      </c>
    </row>
    <row r="3019" customFormat="false" ht="15" hidden="false" customHeight="false" outlineLevel="0" collapsed="false">
      <c r="A3019" s="31" t="n">
        <v>42861.7083333333</v>
      </c>
      <c r="B3019" s="32" t="n">
        <v>175.338</v>
      </c>
      <c r="D3019" s="33" t="n">
        <f aca="false">WEEKDAY(A3019,2)</f>
        <v>6</v>
      </c>
      <c r="E3019" s="33" t="n">
        <f aca="false">HOUR(A3019)+MINUTE(A3019)/60</f>
        <v>17</v>
      </c>
      <c r="F3019" s="33" t="n">
        <f aca="false">IF(OR(D3019&gt;5,E3019&lt;8,E3019&gt;=18,COUNTIF($K$2:$K$10,INT(A3019))&gt;0),1,0)</f>
        <v>1</v>
      </c>
      <c r="G3019" s="34" t="n">
        <f aca="false">B3019/1</f>
        <v>175.338</v>
      </c>
      <c r="H3019" s="34" t="n">
        <f aca="false">IF(F3019=1,G3019,"")</f>
        <v>175.338</v>
      </c>
    </row>
    <row r="3020" customFormat="false" ht="15" hidden="false" customHeight="false" outlineLevel="0" collapsed="false">
      <c r="A3020" s="31" t="n">
        <v>42861.75</v>
      </c>
      <c r="B3020" s="32" t="n">
        <v>76.345</v>
      </c>
      <c r="D3020" s="33" t="n">
        <f aca="false">WEEKDAY(A3020,2)</f>
        <v>6</v>
      </c>
      <c r="E3020" s="33" t="n">
        <f aca="false">HOUR(A3020)+MINUTE(A3020)/60</f>
        <v>18</v>
      </c>
      <c r="F3020" s="33" t="n">
        <f aca="false">IF(OR(D3020&gt;5,E3020&lt;8,E3020&gt;=18,COUNTIF($K$2:$K$10,INT(A3020))&gt;0),1,0)</f>
        <v>1</v>
      </c>
      <c r="G3020" s="34" t="n">
        <f aca="false">B3020/1</f>
        <v>76.345</v>
      </c>
      <c r="H3020" s="34" t="n">
        <f aca="false">IF(F3020=1,G3020,"")</f>
        <v>76.345</v>
      </c>
    </row>
    <row r="3021" customFormat="false" ht="15" hidden="false" customHeight="false" outlineLevel="0" collapsed="false">
      <c r="A3021" s="31" t="n">
        <v>42861.7916666667</v>
      </c>
      <c r="B3021" s="32" t="n">
        <v>57.829</v>
      </c>
      <c r="D3021" s="33" t="n">
        <f aca="false">WEEKDAY(A3021,2)</f>
        <v>6</v>
      </c>
      <c r="E3021" s="33" t="n">
        <f aca="false">HOUR(A3021)+MINUTE(A3021)/60</f>
        <v>19</v>
      </c>
      <c r="F3021" s="33" t="n">
        <f aca="false">IF(OR(D3021&gt;5,E3021&lt;8,E3021&gt;=18,COUNTIF($K$2:$K$10,INT(A3021))&gt;0),1,0)</f>
        <v>1</v>
      </c>
      <c r="G3021" s="34" t="n">
        <f aca="false">B3021/1</f>
        <v>57.829</v>
      </c>
      <c r="H3021" s="34" t="n">
        <f aca="false">IF(F3021=1,G3021,"")</f>
        <v>57.829</v>
      </c>
    </row>
    <row r="3022" customFormat="false" ht="15" hidden="false" customHeight="false" outlineLevel="0" collapsed="false">
      <c r="A3022" s="31" t="n">
        <v>42861.8333333333</v>
      </c>
      <c r="B3022" s="32" t="n">
        <v>55.775</v>
      </c>
      <c r="D3022" s="33" t="n">
        <f aca="false">WEEKDAY(A3022,2)</f>
        <v>6</v>
      </c>
      <c r="E3022" s="33" t="n">
        <f aca="false">HOUR(A3022)+MINUTE(A3022)/60</f>
        <v>20</v>
      </c>
      <c r="F3022" s="33" t="n">
        <f aca="false">IF(OR(D3022&gt;5,E3022&lt;8,E3022&gt;=18,COUNTIF($K$2:$K$10,INT(A3022))&gt;0),1,0)</f>
        <v>1</v>
      </c>
      <c r="G3022" s="34" t="n">
        <f aca="false">B3022/1</f>
        <v>55.775</v>
      </c>
      <c r="H3022" s="34" t="n">
        <f aca="false">IF(F3022=1,G3022,"")</f>
        <v>55.775</v>
      </c>
    </row>
    <row r="3023" customFormat="false" ht="15" hidden="false" customHeight="false" outlineLevel="0" collapsed="false">
      <c r="A3023" s="31" t="n">
        <v>42861.875</v>
      </c>
      <c r="B3023" s="32" t="n">
        <v>55.851</v>
      </c>
      <c r="D3023" s="33" t="n">
        <f aca="false">WEEKDAY(A3023,2)</f>
        <v>6</v>
      </c>
      <c r="E3023" s="33" t="n">
        <f aca="false">HOUR(A3023)+MINUTE(A3023)/60</f>
        <v>21</v>
      </c>
      <c r="F3023" s="33" t="n">
        <f aca="false">IF(OR(D3023&gt;5,E3023&lt;8,E3023&gt;=18,COUNTIF($K$2:$K$10,INT(A3023))&gt;0),1,0)</f>
        <v>1</v>
      </c>
      <c r="G3023" s="34" t="n">
        <f aca="false">B3023/1</f>
        <v>55.851</v>
      </c>
      <c r="H3023" s="34" t="n">
        <f aca="false">IF(F3023=1,G3023,"")</f>
        <v>55.851</v>
      </c>
    </row>
    <row r="3024" customFormat="false" ht="15" hidden="false" customHeight="false" outlineLevel="0" collapsed="false">
      <c r="A3024" s="31" t="n">
        <v>42861.9166666667</v>
      </c>
      <c r="B3024" s="32" t="n">
        <v>58.159</v>
      </c>
      <c r="D3024" s="33" t="n">
        <f aca="false">WEEKDAY(A3024,2)</f>
        <v>6</v>
      </c>
      <c r="E3024" s="33" t="n">
        <f aca="false">HOUR(A3024)+MINUTE(A3024)/60</f>
        <v>22</v>
      </c>
      <c r="F3024" s="33" t="n">
        <f aca="false">IF(OR(D3024&gt;5,E3024&lt;8,E3024&gt;=18,COUNTIF($K$2:$K$10,INT(A3024))&gt;0),1,0)</f>
        <v>1</v>
      </c>
      <c r="G3024" s="34" t="n">
        <f aca="false">B3024/1</f>
        <v>58.159</v>
      </c>
      <c r="H3024" s="34" t="n">
        <f aca="false">IF(F3024=1,G3024,"")</f>
        <v>58.159</v>
      </c>
    </row>
    <row r="3025" customFormat="false" ht="15" hidden="false" customHeight="false" outlineLevel="0" collapsed="false">
      <c r="A3025" s="31" t="n">
        <v>42861.9583333333</v>
      </c>
      <c r="B3025" s="32" t="n">
        <v>55.722</v>
      </c>
      <c r="D3025" s="33" t="n">
        <f aca="false">WEEKDAY(A3025,2)</f>
        <v>6</v>
      </c>
      <c r="E3025" s="33" t="n">
        <f aca="false">HOUR(A3025)+MINUTE(A3025)/60</f>
        <v>23</v>
      </c>
      <c r="F3025" s="33" t="n">
        <f aca="false">IF(OR(D3025&gt;5,E3025&lt;8,E3025&gt;=18,COUNTIF($K$2:$K$10,INT(A3025))&gt;0),1,0)</f>
        <v>1</v>
      </c>
      <c r="G3025" s="34" t="n">
        <f aca="false">B3025/1</f>
        <v>55.722</v>
      </c>
      <c r="H3025" s="34" t="n">
        <f aca="false">IF(F3025=1,G3025,"")</f>
        <v>55.722</v>
      </c>
    </row>
    <row r="3026" customFormat="false" ht="15" hidden="false" customHeight="false" outlineLevel="0" collapsed="false">
      <c r="A3026" s="31" t="n">
        <v>42862</v>
      </c>
      <c r="B3026" s="32" t="n">
        <v>56.662</v>
      </c>
      <c r="D3026" s="33" t="n">
        <f aca="false">WEEKDAY(A3026,2)</f>
        <v>7</v>
      </c>
      <c r="E3026" s="33" t="n">
        <f aca="false">HOUR(A3026)+MINUTE(A3026)/60</f>
        <v>0</v>
      </c>
      <c r="F3026" s="33" t="n">
        <f aca="false">IF(OR(D3026&gt;5,E3026&lt;8,E3026&gt;=18,COUNTIF($K$2:$K$10,INT(A3026))&gt;0),1,0)</f>
        <v>1</v>
      </c>
      <c r="G3026" s="34" t="n">
        <f aca="false">B3026/1</f>
        <v>56.662</v>
      </c>
      <c r="H3026" s="34" t="n">
        <f aca="false">IF(F3026=1,G3026,"")</f>
        <v>56.662</v>
      </c>
    </row>
    <row r="3027" customFormat="false" ht="15" hidden="false" customHeight="false" outlineLevel="0" collapsed="false">
      <c r="A3027" s="31" t="n">
        <v>42862.0416666667</v>
      </c>
      <c r="B3027" s="32" t="n">
        <v>53.358</v>
      </c>
      <c r="D3027" s="33" t="n">
        <f aca="false">WEEKDAY(A3027,2)</f>
        <v>7</v>
      </c>
      <c r="E3027" s="33" t="n">
        <f aca="false">HOUR(A3027)+MINUTE(A3027)/60</f>
        <v>1</v>
      </c>
      <c r="F3027" s="33" t="n">
        <f aca="false">IF(OR(D3027&gt;5,E3027&lt;8,E3027&gt;=18,COUNTIF($K$2:$K$10,INT(A3027))&gt;0),1,0)</f>
        <v>1</v>
      </c>
      <c r="G3027" s="34" t="n">
        <f aca="false">B3027/1</f>
        <v>53.358</v>
      </c>
      <c r="H3027" s="34" t="n">
        <f aca="false">IF(F3027=1,G3027,"")</f>
        <v>53.358</v>
      </c>
    </row>
    <row r="3028" customFormat="false" ht="15" hidden="false" customHeight="false" outlineLevel="0" collapsed="false">
      <c r="A3028" s="31" t="n">
        <v>42862.0833333333</v>
      </c>
      <c r="B3028" s="32" t="n">
        <v>53.516</v>
      </c>
      <c r="D3028" s="33" t="n">
        <f aca="false">WEEKDAY(A3028,2)</f>
        <v>7</v>
      </c>
      <c r="E3028" s="33" t="n">
        <f aca="false">HOUR(A3028)+MINUTE(A3028)/60</f>
        <v>2</v>
      </c>
      <c r="F3028" s="33" t="n">
        <f aca="false">IF(OR(D3028&gt;5,E3028&lt;8,E3028&gt;=18,COUNTIF($K$2:$K$10,INT(A3028))&gt;0),1,0)</f>
        <v>1</v>
      </c>
      <c r="G3028" s="34" t="n">
        <f aca="false">B3028/1</f>
        <v>53.516</v>
      </c>
      <c r="H3028" s="34" t="n">
        <f aca="false">IF(F3028=1,G3028,"")</f>
        <v>53.516</v>
      </c>
    </row>
    <row r="3029" customFormat="false" ht="15" hidden="false" customHeight="false" outlineLevel="0" collapsed="false">
      <c r="A3029" s="31" t="n">
        <v>42862.125</v>
      </c>
      <c r="B3029" s="32" t="n">
        <v>54.01</v>
      </c>
      <c r="D3029" s="33" t="n">
        <f aca="false">WEEKDAY(A3029,2)</f>
        <v>7</v>
      </c>
      <c r="E3029" s="33" t="n">
        <f aca="false">HOUR(A3029)+MINUTE(A3029)/60</f>
        <v>3</v>
      </c>
      <c r="F3029" s="33" t="n">
        <f aca="false">IF(OR(D3029&gt;5,E3029&lt;8,E3029&gt;=18,COUNTIF($K$2:$K$10,INT(A3029))&gt;0),1,0)</f>
        <v>1</v>
      </c>
      <c r="G3029" s="34" t="n">
        <f aca="false">B3029/1</f>
        <v>54.01</v>
      </c>
      <c r="H3029" s="34" t="n">
        <f aca="false">IF(F3029=1,G3029,"")</f>
        <v>54.01</v>
      </c>
    </row>
    <row r="3030" customFormat="false" ht="15" hidden="false" customHeight="false" outlineLevel="0" collapsed="false">
      <c r="A3030" s="31" t="n">
        <v>42862.1666666667</v>
      </c>
      <c r="B3030" s="32" t="n">
        <v>57.63</v>
      </c>
      <c r="D3030" s="33" t="n">
        <f aca="false">WEEKDAY(A3030,2)</f>
        <v>7</v>
      </c>
      <c r="E3030" s="33" t="n">
        <f aca="false">HOUR(A3030)+MINUTE(A3030)/60</f>
        <v>4</v>
      </c>
      <c r="F3030" s="33" t="n">
        <f aca="false">IF(OR(D3030&gt;5,E3030&lt;8,E3030&gt;=18,COUNTIF($K$2:$K$10,INT(A3030))&gt;0),1,0)</f>
        <v>1</v>
      </c>
      <c r="G3030" s="34" t="n">
        <f aca="false">B3030/1</f>
        <v>57.63</v>
      </c>
      <c r="H3030" s="34" t="n">
        <f aca="false">IF(F3030=1,G3030,"")</f>
        <v>57.63</v>
      </c>
    </row>
    <row r="3031" customFormat="false" ht="15" hidden="false" customHeight="false" outlineLevel="0" collapsed="false">
      <c r="A3031" s="31" t="n">
        <v>42862.2083333333</v>
      </c>
      <c r="B3031" s="32" t="n">
        <v>56.947</v>
      </c>
      <c r="D3031" s="33" t="n">
        <f aca="false">WEEKDAY(A3031,2)</f>
        <v>7</v>
      </c>
      <c r="E3031" s="33" t="n">
        <f aca="false">HOUR(A3031)+MINUTE(A3031)/60</f>
        <v>5</v>
      </c>
      <c r="F3031" s="33" t="n">
        <f aca="false">IF(OR(D3031&gt;5,E3031&lt;8,E3031&gt;=18,COUNTIF($K$2:$K$10,INT(A3031))&gt;0),1,0)</f>
        <v>1</v>
      </c>
      <c r="G3031" s="34" t="n">
        <f aca="false">B3031/1</f>
        <v>56.947</v>
      </c>
      <c r="H3031" s="34" t="n">
        <f aca="false">IF(F3031=1,G3031,"")</f>
        <v>56.947</v>
      </c>
    </row>
    <row r="3032" customFormat="false" ht="15" hidden="false" customHeight="false" outlineLevel="0" collapsed="false">
      <c r="A3032" s="31" t="n">
        <v>42862.25</v>
      </c>
      <c r="B3032" s="32" t="n">
        <v>53.88</v>
      </c>
      <c r="D3032" s="33" t="n">
        <f aca="false">WEEKDAY(A3032,2)</f>
        <v>7</v>
      </c>
      <c r="E3032" s="33" t="n">
        <f aca="false">HOUR(A3032)+MINUTE(A3032)/60</f>
        <v>6</v>
      </c>
      <c r="F3032" s="33" t="n">
        <f aca="false">IF(OR(D3032&gt;5,E3032&lt;8,E3032&gt;=18,COUNTIF($K$2:$K$10,INT(A3032))&gt;0),1,0)</f>
        <v>1</v>
      </c>
      <c r="G3032" s="34" t="n">
        <f aca="false">B3032/1</f>
        <v>53.88</v>
      </c>
      <c r="H3032" s="34" t="n">
        <f aca="false">IF(F3032=1,G3032,"")</f>
        <v>53.88</v>
      </c>
    </row>
    <row r="3033" customFormat="false" ht="15" hidden="false" customHeight="false" outlineLevel="0" collapsed="false">
      <c r="A3033" s="31" t="n">
        <v>42862.2916666667</v>
      </c>
      <c r="B3033" s="32" t="n">
        <v>58.902</v>
      </c>
      <c r="D3033" s="33" t="n">
        <f aca="false">WEEKDAY(A3033,2)</f>
        <v>7</v>
      </c>
      <c r="E3033" s="33" t="n">
        <f aca="false">HOUR(A3033)+MINUTE(A3033)/60</f>
        <v>7</v>
      </c>
      <c r="F3033" s="33" t="n">
        <f aca="false">IF(OR(D3033&gt;5,E3033&lt;8,E3033&gt;=18,COUNTIF($K$2:$K$10,INT(A3033))&gt;0),1,0)</f>
        <v>1</v>
      </c>
      <c r="G3033" s="34" t="n">
        <f aca="false">B3033/1</f>
        <v>58.902</v>
      </c>
      <c r="H3033" s="34" t="n">
        <f aca="false">IF(F3033=1,G3033,"")</f>
        <v>58.902</v>
      </c>
    </row>
    <row r="3034" customFormat="false" ht="15" hidden="false" customHeight="false" outlineLevel="0" collapsed="false">
      <c r="A3034" s="31" t="n">
        <v>42862.3333333333</v>
      </c>
      <c r="B3034" s="32" t="n">
        <v>55.106</v>
      </c>
      <c r="D3034" s="33" t="n">
        <f aca="false">WEEKDAY(A3034,2)</f>
        <v>7</v>
      </c>
      <c r="E3034" s="33" t="n">
        <f aca="false">HOUR(A3034)+MINUTE(A3034)/60</f>
        <v>8</v>
      </c>
      <c r="F3034" s="33" t="n">
        <f aca="false">IF(OR(D3034&gt;5,E3034&lt;8,E3034&gt;=18,COUNTIF($K$2:$K$10,INT(A3034))&gt;0),1,0)</f>
        <v>1</v>
      </c>
      <c r="G3034" s="34" t="n">
        <f aca="false">B3034/1</f>
        <v>55.106</v>
      </c>
      <c r="H3034" s="34" t="n">
        <f aca="false">IF(F3034=1,G3034,"")</f>
        <v>55.106</v>
      </c>
    </row>
    <row r="3035" customFormat="false" ht="15" hidden="false" customHeight="false" outlineLevel="0" collapsed="false">
      <c r="A3035" s="31" t="n">
        <v>42862.375</v>
      </c>
      <c r="B3035" s="32" t="n">
        <v>58.882</v>
      </c>
      <c r="D3035" s="33" t="n">
        <f aca="false">WEEKDAY(A3035,2)</f>
        <v>7</v>
      </c>
      <c r="E3035" s="33" t="n">
        <f aca="false">HOUR(A3035)+MINUTE(A3035)/60</f>
        <v>9</v>
      </c>
      <c r="F3035" s="33" t="n">
        <f aca="false">IF(OR(D3035&gt;5,E3035&lt;8,E3035&gt;=18,COUNTIF($K$2:$K$10,INT(A3035))&gt;0),1,0)</f>
        <v>1</v>
      </c>
      <c r="G3035" s="34" t="n">
        <f aca="false">B3035/1</f>
        <v>58.882</v>
      </c>
      <c r="H3035" s="34" t="n">
        <f aca="false">IF(F3035=1,G3035,"")</f>
        <v>58.882</v>
      </c>
    </row>
    <row r="3036" customFormat="false" ht="15" hidden="false" customHeight="false" outlineLevel="0" collapsed="false">
      <c r="A3036" s="31" t="n">
        <v>42862.4166666667</v>
      </c>
      <c r="B3036" s="32" t="n">
        <v>56.935</v>
      </c>
      <c r="D3036" s="33" t="n">
        <f aca="false">WEEKDAY(A3036,2)</f>
        <v>7</v>
      </c>
      <c r="E3036" s="33" t="n">
        <f aca="false">HOUR(A3036)+MINUTE(A3036)/60</f>
        <v>10</v>
      </c>
      <c r="F3036" s="33" t="n">
        <f aca="false">IF(OR(D3036&gt;5,E3036&lt;8,E3036&gt;=18,COUNTIF($K$2:$K$10,INT(A3036))&gt;0),1,0)</f>
        <v>1</v>
      </c>
      <c r="G3036" s="34" t="n">
        <f aca="false">B3036/1</f>
        <v>56.935</v>
      </c>
      <c r="H3036" s="34" t="n">
        <f aca="false">IF(F3036=1,G3036,"")</f>
        <v>56.935</v>
      </c>
    </row>
    <row r="3037" customFormat="false" ht="15" hidden="false" customHeight="false" outlineLevel="0" collapsed="false">
      <c r="A3037" s="31" t="n">
        <v>42862.4583333333</v>
      </c>
      <c r="B3037" s="32" t="n">
        <v>56.571</v>
      </c>
      <c r="D3037" s="33" t="n">
        <f aca="false">WEEKDAY(A3037,2)</f>
        <v>7</v>
      </c>
      <c r="E3037" s="33" t="n">
        <f aca="false">HOUR(A3037)+MINUTE(A3037)/60</f>
        <v>11</v>
      </c>
      <c r="F3037" s="33" t="n">
        <f aca="false">IF(OR(D3037&gt;5,E3037&lt;8,E3037&gt;=18,COUNTIF($K$2:$K$10,INT(A3037))&gt;0),1,0)</f>
        <v>1</v>
      </c>
      <c r="G3037" s="34" t="n">
        <f aca="false">B3037/1</f>
        <v>56.571</v>
      </c>
      <c r="H3037" s="34" t="n">
        <f aca="false">IF(F3037=1,G3037,"")</f>
        <v>56.571</v>
      </c>
    </row>
    <row r="3038" customFormat="false" ht="15" hidden="false" customHeight="false" outlineLevel="0" collapsed="false">
      <c r="A3038" s="31" t="n">
        <v>42862.5</v>
      </c>
      <c r="B3038" s="32" t="n">
        <v>53.995</v>
      </c>
      <c r="D3038" s="33" t="n">
        <f aca="false">WEEKDAY(A3038,2)</f>
        <v>7</v>
      </c>
      <c r="E3038" s="33" t="n">
        <f aca="false">HOUR(A3038)+MINUTE(A3038)/60</f>
        <v>12</v>
      </c>
      <c r="F3038" s="33" t="n">
        <f aca="false">IF(OR(D3038&gt;5,E3038&lt;8,E3038&gt;=18,COUNTIF($K$2:$K$10,INT(A3038))&gt;0),1,0)</f>
        <v>1</v>
      </c>
      <c r="G3038" s="34" t="n">
        <f aca="false">B3038/1</f>
        <v>53.995</v>
      </c>
      <c r="H3038" s="34" t="n">
        <f aca="false">IF(F3038=1,G3038,"")</f>
        <v>53.995</v>
      </c>
    </row>
    <row r="3039" customFormat="false" ht="15" hidden="false" customHeight="false" outlineLevel="0" collapsed="false">
      <c r="A3039" s="31" t="n">
        <v>42862.5416666667</v>
      </c>
      <c r="B3039" s="32" t="n">
        <v>120.905</v>
      </c>
      <c r="D3039" s="33" t="n">
        <f aca="false">WEEKDAY(A3039,2)</f>
        <v>7</v>
      </c>
      <c r="E3039" s="33" t="n">
        <f aca="false">HOUR(A3039)+MINUTE(A3039)/60</f>
        <v>13</v>
      </c>
      <c r="F3039" s="33" t="n">
        <f aca="false">IF(OR(D3039&gt;5,E3039&lt;8,E3039&gt;=18,COUNTIF($K$2:$K$10,INT(A3039))&gt;0),1,0)</f>
        <v>1</v>
      </c>
      <c r="G3039" s="34" t="n">
        <f aca="false">B3039/1</f>
        <v>120.905</v>
      </c>
      <c r="H3039" s="34" t="n">
        <f aca="false">IF(F3039=1,G3039,"")</f>
        <v>120.905</v>
      </c>
    </row>
    <row r="3040" customFormat="false" ht="15" hidden="false" customHeight="false" outlineLevel="0" collapsed="false">
      <c r="A3040" s="31" t="n">
        <v>42862.5833333333</v>
      </c>
      <c r="B3040" s="32" t="n">
        <v>149.342</v>
      </c>
      <c r="D3040" s="33" t="n">
        <f aca="false">WEEKDAY(A3040,2)</f>
        <v>7</v>
      </c>
      <c r="E3040" s="33" t="n">
        <f aca="false">HOUR(A3040)+MINUTE(A3040)/60</f>
        <v>14</v>
      </c>
      <c r="F3040" s="33" t="n">
        <f aca="false">IF(OR(D3040&gt;5,E3040&lt;8,E3040&gt;=18,COUNTIF($K$2:$K$10,INT(A3040))&gt;0),1,0)</f>
        <v>1</v>
      </c>
      <c r="G3040" s="34" t="n">
        <f aca="false">B3040/1</f>
        <v>149.342</v>
      </c>
      <c r="H3040" s="34" t="n">
        <f aca="false">IF(F3040=1,G3040,"")</f>
        <v>149.342</v>
      </c>
    </row>
    <row r="3041" customFormat="false" ht="15" hidden="false" customHeight="false" outlineLevel="0" collapsed="false">
      <c r="A3041" s="31" t="n">
        <v>42862.625</v>
      </c>
      <c r="B3041" s="32" t="n">
        <v>148.286</v>
      </c>
      <c r="D3041" s="33" t="n">
        <f aca="false">WEEKDAY(A3041,2)</f>
        <v>7</v>
      </c>
      <c r="E3041" s="33" t="n">
        <f aca="false">HOUR(A3041)+MINUTE(A3041)/60</f>
        <v>15</v>
      </c>
      <c r="F3041" s="33" t="n">
        <f aca="false">IF(OR(D3041&gt;5,E3041&lt;8,E3041&gt;=18,COUNTIF($K$2:$K$10,INT(A3041))&gt;0),1,0)</f>
        <v>1</v>
      </c>
      <c r="G3041" s="34" t="n">
        <f aca="false">B3041/1</f>
        <v>148.286</v>
      </c>
      <c r="H3041" s="34" t="n">
        <f aca="false">IF(F3041=1,G3041,"")</f>
        <v>148.286</v>
      </c>
    </row>
    <row r="3042" customFormat="false" ht="15" hidden="false" customHeight="false" outlineLevel="0" collapsed="false">
      <c r="A3042" s="31" t="n">
        <v>42862.6666666667</v>
      </c>
      <c r="B3042" s="32" t="n">
        <v>143.192</v>
      </c>
      <c r="D3042" s="33" t="n">
        <f aca="false">WEEKDAY(A3042,2)</f>
        <v>7</v>
      </c>
      <c r="E3042" s="33" t="n">
        <f aca="false">HOUR(A3042)+MINUTE(A3042)/60</f>
        <v>16</v>
      </c>
      <c r="F3042" s="33" t="n">
        <f aca="false">IF(OR(D3042&gt;5,E3042&lt;8,E3042&gt;=18,COUNTIF($K$2:$K$10,INT(A3042))&gt;0),1,0)</f>
        <v>1</v>
      </c>
      <c r="G3042" s="34" t="n">
        <f aca="false">B3042/1</f>
        <v>143.192</v>
      </c>
      <c r="H3042" s="34" t="n">
        <f aca="false">IF(F3042=1,G3042,"")</f>
        <v>143.192</v>
      </c>
    </row>
    <row r="3043" customFormat="false" ht="15" hidden="false" customHeight="false" outlineLevel="0" collapsed="false">
      <c r="A3043" s="31" t="n">
        <v>42862.7083333333</v>
      </c>
      <c r="B3043" s="32" t="n">
        <v>153.476</v>
      </c>
      <c r="D3043" s="33" t="n">
        <f aca="false">WEEKDAY(A3043,2)</f>
        <v>7</v>
      </c>
      <c r="E3043" s="33" t="n">
        <f aca="false">HOUR(A3043)+MINUTE(A3043)/60</f>
        <v>17</v>
      </c>
      <c r="F3043" s="33" t="n">
        <f aca="false">IF(OR(D3043&gt;5,E3043&lt;8,E3043&gt;=18,COUNTIF($K$2:$K$10,INT(A3043))&gt;0),1,0)</f>
        <v>1</v>
      </c>
      <c r="G3043" s="34" t="n">
        <f aca="false">B3043/1</f>
        <v>153.476</v>
      </c>
      <c r="H3043" s="34" t="n">
        <f aca="false">IF(F3043=1,G3043,"")</f>
        <v>153.476</v>
      </c>
    </row>
    <row r="3044" customFormat="false" ht="15" hidden="false" customHeight="false" outlineLevel="0" collapsed="false">
      <c r="A3044" s="31" t="n">
        <v>42862.75</v>
      </c>
      <c r="B3044" s="32" t="n">
        <v>72.634</v>
      </c>
      <c r="D3044" s="33" t="n">
        <f aca="false">WEEKDAY(A3044,2)</f>
        <v>7</v>
      </c>
      <c r="E3044" s="33" t="n">
        <f aca="false">HOUR(A3044)+MINUTE(A3044)/60</f>
        <v>18</v>
      </c>
      <c r="F3044" s="33" t="n">
        <f aca="false">IF(OR(D3044&gt;5,E3044&lt;8,E3044&gt;=18,COUNTIF($K$2:$K$10,INT(A3044))&gt;0),1,0)</f>
        <v>1</v>
      </c>
      <c r="G3044" s="34" t="n">
        <f aca="false">B3044/1</f>
        <v>72.634</v>
      </c>
      <c r="H3044" s="34" t="n">
        <f aca="false">IF(F3044=1,G3044,"")</f>
        <v>72.634</v>
      </c>
    </row>
    <row r="3045" customFormat="false" ht="15" hidden="false" customHeight="false" outlineLevel="0" collapsed="false">
      <c r="A3045" s="31" t="n">
        <v>42862.7916666667</v>
      </c>
      <c r="B3045" s="32" t="n">
        <v>64.719</v>
      </c>
      <c r="D3045" s="33" t="n">
        <f aca="false">WEEKDAY(A3045,2)</f>
        <v>7</v>
      </c>
      <c r="E3045" s="33" t="n">
        <f aca="false">HOUR(A3045)+MINUTE(A3045)/60</f>
        <v>19</v>
      </c>
      <c r="F3045" s="33" t="n">
        <f aca="false">IF(OR(D3045&gt;5,E3045&lt;8,E3045&gt;=18,COUNTIF($K$2:$K$10,INT(A3045))&gt;0),1,0)</f>
        <v>1</v>
      </c>
      <c r="G3045" s="34" t="n">
        <f aca="false">B3045/1</f>
        <v>64.719</v>
      </c>
      <c r="H3045" s="34" t="n">
        <f aca="false">IF(F3045=1,G3045,"")</f>
        <v>64.719</v>
      </c>
    </row>
    <row r="3046" customFormat="false" ht="15" hidden="false" customHeight="false" outlineLevel="0" collapsed="false">
      <c r="A3046" s="31" t="n">
        <v>42862.8333333333</v>
      </c>
      <c r="B3046" s="32" t="n">
        <v>63.149</v>
      </c>
      <c r="D3046" s="33" t="n">
        <f aca="false">WEEKDAY(A3046,2)</f>
        <v>7</v>
      </c>
      <c r="E3046" s="33" t="n">
        <f aca="false">HOUR(A3046)+MINUTE(A3046)/60</f>
        <v>20</v>
      </c>
      <c r="F3046" s="33" t="n">
        <f aca="false">IF(OR(D3046&gt;5,E3046&lt;8,E3046&gt;=18,COUNTIF($K$2:$K$10,INT(A3046))&gt;0),1,0)</f>
        <v>1</v>
      </c>
      <c r="G3046" s="34" t="n">
        <f aca="false">B3046/1</f>
        <v>63.149</v>
      </c>
      <c r="H3046" s="34" t="n">
        <f aca="false">IF(F3046=1,G3046,"")</f>
        <v>63.149</v>
      </c>
    </row>
    <row r="3047" customFormat="false" ht="15" hidden="false" customHeight="false" outlineLevel="0" collapsed="false">
      <c r="A3047" s="31" t="n">
        <v>42862.875</v>
      </c>
      <c r="B3047" s="32" t="n">
        <v>63.388</v>
      </c>
      <c r="D3047" s="33" t="n">
        <f aca="false">WEEKDAY(A3047,2)</f>
        <v>7</v>
      </c>
      <c r="E3047" s="33" t="n">
        <f aca="false">HOUR(A3047)+MINUTE(A3047)/60</f>
        <v>21</v>
      </c>
      <c r="F3047" s="33" t="n">
        <f aca="false">IF(OR(D3047&gt;5,E3047&lt;8,E3047&gt;=18,COUNTIF($K$2:$K$10,INT(A3047))&gt;0),1,0)</f>
        <v>1</v>
      </c>
      <c r="G3047" s="34" t="n">
        <f aca="false">B3047/1</f>
        <v>63.388</v>
      </c>
      <c r="H3047" s="34" t="n">
        <f aca="false">IF(F3047=1,G3047,"")</f>
        <v>63.388</v>
      </c>
    </row>
    <row r="3048" customFormat="false" ht="15" hidden="false" customHeight="false" outlineLevel="0" collapsed="false">
      <c r="A3048" s="31" t="n">
        <v>42862.9166666667</v>
      </c>
      <c r="B3048" s="32" t="n">
        <v>63.794</v>
      </c>
      <c r="D3048" s="33" t="n">
        <f aca="false">WEEKDAY(A3048,2)</f>
        <v>7</v>
      </c>
      <c r="E3048" s="33" t="n">
        <f aca="false">HOUR(A3048)+MINUTE(A3048)/60</f>
        <v>22</v>
      </c>
      <c r="F3048" s="33" t="n">
        <f aca="false">IF(OR(D3048&gt;5,E3048&lt;8,E3048&gt;=18,COUNTIF($K$2:$K$10,INT(A3048))&gt;0),1,0)</f>
        <v>1</v>
      </c>
      <c r="G3048" s="34" t="n">
        <f aca="false">B3048/1</f>
        <v>63.794</v>
      </c>
      <c r="H3048" s="34" t="n">
        <f aca="false">IF(F3048=1,G3048,"")</f>
        <v>63.794</v>
      </c>
    </row>
    <row r="3049" customFormat="false" ht="15" hidden="false" customHeight="false" outlineLevel="0" collapsed="false">
      <c r="A3049" s="31" t="n">
        <v>42862.9583333333</v>
      </c>
      <c r="B3049" s="32" t="n">
        <v>58.177</v>
      </c>
      <c r="D3049" s="33" t="n">
        <f aca="false">WEEKDAY(A3049,2)</f>
        <v>7</v>
      </c>
      <c r="E3049" s="33" t="n">
        <f aca="false">HOUR(A3049)+MINUTE(A3049)/60</f>
        <v>23</v>
      </c>
      <c r="F3049" s="33" t="n">
        <f aca="false">IF(OR(D3049&gt;5,E3049&lt;8,E3049&gt;=18,COUNTIF($K$2:$K$10,INT(A3049))&gt;0),1,0)</f>
        <v>1</v>
      </c>
      <c r="G3049" s="34" t="n">
        <f aca="false">B3049/1</f>
        <v>58.177</v>
      </c>
      <c r="H3049" s="34" t="n">
        <f aca="false">IF(F3049=1,G3049,"")</f>
        <v>58.177</v>
      </c>
    </row>
    <row r="3050" customFormat="false" ht="15" hidden="false" customHeight="false" outlineLevel="0" collapsed="false">
      <c r="A3050" s="31" t="n">
        <v>42863</v>
      </c>
      <c r="B3050" s="32" t="n">
        <v>58.251</v>
      </c>
      <c r="D3050" s="33" t="n">
        <f aca="false">WEEKDAY(A3050,2)</f>
        <v>1</v>
      </c>
      <c r="E3050" s="33" t="n">
        <f aca="false">HOUR(A3050)+MINUTE(A3050)/60</f>
        <v>0</v>
      </c>
      <c r="F3050" s="33" t="n">
        <f aca="false">IF(OR(D3050&gt;5,E3050&lt;8,E3050&gt;=18,COUNTIF($K$2:$K$10,INT(A3050))&gt;0),1,0)</f>
        <v>1</v>
      </c>
      <c r="G3050" s="34" t="n">
        <f aca="false">B3050/1</f>
        <v>58.251</v>
      </c>
      <c r="H3050" s="34" t="n">
        <f aca="false">IF(F3050=1,G3050,"")</f>
        <v>58.251</v>
      </c>
    </row>
    <row r="3051" customFormat="false" ht="15" hidden="false" customHeight="false" outlineLevel="0" collapsed="false">
      <c r="A3051" s="31" t="n">
        <v>42863.0416666667</v>
      </c>
      <c r="B3051" s="32" t="n">
        <v>62.417</v>
      </c>
      <c r="D3051" s="33" t="n">
        <f aca="false">WEEKDAY(A3051,2)</f>
        <v>1</v>
      </c>
      <c r="E3051" s="33" t="n">
        <f aca="false">HOUR(A3051)+MINUTE(A3051)/60</f>
        <v>1</v>
      </c>
      <c r="F3051" s="33" t="n">
        <f aca="false">IF(OR(D3051&gt;5,E3051&lt;8,E3051&gt;=18,COUNTIF($K$2:$K$10,INT(A3051))&gt;0),1,0)</f>
        <v>1</v>
      </c>
      <c r="G3051" s="34" t="n">
        <f aca="false">B3051/1</f>
        <v>62.417</v>
      </c>
      <c r="H3051" s="34" t="n">
        <f aca="false">IF(F3051=1,G3051,"")</f>
        <v>62.417</v>
      </c>
    </row>
    <row r="3052" customFormat="false" ht="15" hidden="false" customHeight="false" outlineLevel="0" collapsed="false">
      <c r="A3052" s="31" t="n">
        <v>42863.0833333333</v>
      </c>
      <c r="B3052" s="32" t="n">
        <v>60.522</v>
      </c>
      <c r="D3052" s="33" t="n">
        <f aca="false">WEEKDAY(A3052,2)</f>
        <v>1</v>
      </c>
      <c r="E3052" s="33" t="n">
        <f aca="false">HOUR(A3052)+MINUTE(A3052)/60</f>
        <v>2</v>
      </c>
      <c r="F3052" s="33" t="n">
        <f aca="false">IF(OR(D3052&gt;5,E3052&lt;8,E3052&gt;=18,COUNTIF($K$2:$K$10,INT(A3052))&gt;0),1,0)</f>
        <v>1</v>
      </c>
      <c r="G3052" s="34" t="n">
        <f aca="false">B3052/1</f>
        <v>60.522</v>
      </c>
      <c r="H3052" s="34" t="n">
        <f aca="false">IF(F3052=1,G3052,"")</f>
        <v>60.522</v>
      </c>
    </row>
    <row r="3053" customFormat="false" ht="15" hidden="false" customHeight="false" outlineLevel="0" collapsed="false">
      <c r="A3053" s="31" t="n">
        <v>42863.125</v>
      </c>
      <c r="B3053" s="32" t="n">
        <v>61.016</v>
      </c>
      <c r="D3053" s="33" t="n">
        <f aca="false">WEEKDAY(A3053,2)</f>
        <v>1</v>
      </c>
      <c r="E3053" s="33" t="n">
        <f aca="false">HOUR(A3053)+MINUTE(A3053)/60</f>
        <v>3</v>
      </c>
      <c r="F3053" s="33" t="n">
        <f aca="false">IF(OR(D3053&gt;5,E3053&lt;8,E3053&gt;=18,COUNTIF($K$2:$K$10,INT(A3053))&gt;0),1,0)</f>
        <v>1</v>
      </c>
      <c r="G3053" s="34" t="n">
        <f aca="false">B3053/1</f>
        <v>61.016</v>
      </c>
      <c r="H3053" s="34" t="n">
        <f aca="false">IF(F3053=1,G3053,"")</f>
        <v>61.016</v>
      </c>
    </row>
    <row r="3054" customFormat="false" ht="15" hidden="false" customHeight="false" outlineLevel="0" collapsed="false">
      <c r="A3054" s="31" t="n">
        <v>42863.1666666667</v>
      </c>
      <c r="B3054" s="32" t="n">
        <v>60.51</v>
      </c>
      <c r="D3054" s="33" t="n">
        <f aca="false">WEEKDAY(A3054,2)</f>
        <v>1</v>
      </c>
      <c r="E3054" s="33" t="n">
        <f aca="false">HOUR(A3054)+MINUTE(A3054)/60</f>
        <v>4</v>
      </c>
      <c r="F3054" s="33" t="n">
        <f aca="false">IF(OR(D3054&gt;5,E3054&lt;8,E3054&gt;=18,COUNTIF($K$2:$K$10,INT(A3054))&gt;0),1,0)</f>
        <v>1</v>
      </c>
      <c r="G3054" s="34" t="n">
        <f aca="false">B3054/1</f>
        <v>60.51</v>
      </c>
      <c r="H3054" s="34" t="n">
        <f aca="false">IF(F3054=1,G3054,"")</f>
        <v>60.51</v>
      </c>
    </row>
    <row r="3055" customFormat="false" ht="15" hidden="false" customHeight="false" outlineLevel="0" collapsed="false">
      <c r="A3055" s="31" t="n">
        <v>42863.2083333333</v>
      </c>
      <c r="B3055" s="32" t="n">
        <v>60.692</v>
      </c>
      <c r="D3055" s="33" t="n">
        <f aca="false">WEEKDAY(A3055,2)</f>
        <v>1</v>
      </c>
      <c r="E3055" s="33" t="n">
        <f aca="false">HOUR(A3055)+MINUTE(A3055)/60</f>
        <v>5</v>
      </c>
      <c r="F3055" s="33" t="n">
        <f aca="false">IF(OR(D3055&gt;5,E3055&lt;8,E3055&gt;=18,COUNTIF($K$2:$K$10,INT(A3055))&gt;0),1,0)</f>
        <v>1</v>
      </c>
      <c r="G3055" s="34" t="n">
        <f aca="false">B3055/1</f>
        <v>60.692</v>
      </c>
      <c r="H3055" s="34" t="n">
        <f aca="false">IF(F3055=1,G3055,"")</f>
        <v>60.692</v>
      </c>
    </row>
    <row r="3056" customFormat="false" ht="15" hidden="false" customHeight="false" outlineLevel="0" collapsed="false">
      <c r="A3056" s="31" t="n">
        <v>42863.25</v>
      </c>
      <c r="B3056" s="32" t="n">
        <v>61.659</v>
      </c>
      <c r="D3056" s="33" t="n">
        <f aca="false">WEEKDAY(A3056,2)</f>
        <v>1</v>
      </c>
      <c r="E3056" s="33" t="n">
        <f aca="false">HOUR(A3056)+MINUTE(A3056)/60</f>
        <v>6</v>
      </c>
      <c r="F3056" s="33" t="n">
        <f aca="false">IF(OR(D3056&gt;5,E3056&lt;8,E3056&gt;=18,COUNTIF($K$2:$K$10,INT(A3056))&gt;0),1,0)</f>
        <v>1</v>
      </c>
      <c r="G3056" s="34" t="n">
        <f aca="false">B3056/1</f>
        <v>61.659</v>
      </c>
      <c r="H3056" s="34" t="n">
        <f aca="false">IF(F3056=1,G3056,"")</f>
        <v>61.659</v>
      </c>
    </row>
    <row r="3057" customFormat="false" ht="15" hidden="false" customHeight="false" outlineLevel="0" collapsed="false">
      <c r="A3057" s="31" t="n">
        <v>42863.2916666667</v>
      </c>
      <c r="B3057" s="32" t="n">
        <v>89.846</v>
      </c>
      <c r="D3057" s="33" t="n">
        <f aca="false">WEEKDAY(A3057,2)</f>
        <v>1</v>
      </c>
      <c r="E3057" s="33" t="n">
        <f aca="false">HOUR(A3057)+MINUTE(A3057)/60</f>
        <v>7</v>
      </c>
      <c r="F3057" s="33" t="n">
        <f aca="false">IF(OR(D3057&gt;5,E3057&lt;8,E3057&gt;=18,COUNTIF($K$2:$K$10,INT(A3057))&gt;0),1,0)</f>
        <v>1</v>
      </c>
      <c r="G3057" s="34" t="n">
        <f aca="false">B3057/1</f>
        <v>89.846</v>
      </c>
      <c r="H3057" s="34" t="n">
        <f aca="false">IF(F3057=1,G3057,"")</f>
        <v>89.846</v>
      </c>
    </row>
    <row r="3058" customFormat="false" ht="15" hidden="false" customHeight="false" outlineLevel="0" collapsed="false">
      <c r="A3058" s="31" t="n">
        <v>42863.3333333333</v>
      </c>
      <c r="B3058" s="32" t="n">
        <v>188.083</v>
      </c>
      <c r="D3058" s="33" t="n">
        <f aca="false">WEEKDAY(A3058,2)</f>
        <v>1</v>
      </c>
      <c r="E3058" s="33" t="n">
        <f aca="false">HOUR(A3058)+MINUTE(A3058)/60</f>
        <v>8</v>
      </c>
      <c r="F3058" s="33" t="n">
        <f aca="false">IF(OR(D3058&gt;5,E3058&lt;8,E3058&gt;=18,COUNTIF($K$2:$K$10,INT(A3058))&gt;0),1,0)</f>
        <v>0</v>
      </c>
      <c r="G3058" s="34" t="n">
        <f aca="false">B3058/1</f>
        <v>188.083</v>
      </c>
      <c r="H3058" s="34" t="str">
        <f aca="false">IF(F3058=1,G3058,"")</f>
        <v/>
      </c>
    </row>
    <row r="3059" customFormat="false" ht="15" hidden="false" customHeight="false" outlineLevel="0" collapsed="false">
      <c r="A3059" s="31" t="n">
        <v>42863.375</v>
      </c>
      <c r="B3059" s="32" t="n">
        <v>216.963</v>
      </c>
      <c r="D3059" s="33" t="n">
        <f aca="false">WEEKDAY(A3059,2)</f>
        <v>1</v>
      </c>
      <c r="E3059" s="33" t="n">
        <f aca="false">HOUR(A3059)+MINUTE(A3059)/60</f>
        <v>9</v>
      </c>
      <c r="F3059" s="33" t="n">
        <f aca="false">IF(OR(D3059&gt;5,E3059&lt;8,E3059&gt;=18,COUNTIF($K$2:$K$10,INT(A3059))&gt;0),1,0)</f>
        <v>0</v>
      </c>
      <c r="G3059" s="34" t="n">
        <f aca="false">B3059/1</f>
        <v>216.963</v>
      </c>
      <c r="H3059" s="34" t="str">
        <f aca="false">IF(F3059=1,G3059,"")</f>
        <v/>
      </c>
    </row>
    <row r="3060" customFormat="false" ht="15" hidden="false" customHeight="false" outlineLevel="0" collapsed="false">
      <c r="A3060" s="31" t="n">
        <v>42863.4166666667</v>
      </c>
      <c r="B3060" s="32" t="n">
        <v>229.943</v>
      </c>
      <c r="D3060" s="33" t="n">
        <f aca="false">WEEKDAY(A3060,2)</f>
        <v>1</v>
      </c>
      <c r="E3060" s="33" t="n">
        <f aca="false">HOUR(A3060)+MINUTE(A3060)/60</f>
        <v>10</v>
      </c>
      <c r="F3060" s="33" t="n">
        <f aca="false">IF(OR(D3060&gt;5,E3060&lt;8,E3060&gt;=18,COUNTIF($K$2:$K$10,INT(A3060))&gt;0),1,0)</f>
        <v>0</v>
      </c>
      <c r="G3060" s="34" t="n">
        <f aca="false">B3060/1</f>
        <v>229.943</v>
      </c>
      <c r="H3060" s="34" t="str">
        <f aca="false">IF(F3060=1,G3060,"")</f>
        <v/>
      </c>
    </row>
    <row r="3061" customFormat="false" ht="15" hidden="false" customHeight="false" outlineLevel="0" collapsed="false">
      <c r="A3061" s="31" t="n">
        <v>42863.4583333333</v>
      </c>
      <c r="B3061" s="32" t="n">
        <v>233.878</v>
      </c>
      <c r="D3061" s="33" t="n">
        <f aca="false">WEEKDAY(A3061,2)</f>
        <v>1</v>
      </c>
      <c r="E3061" s="33" t="n">
        <f aca="false">HOUR(A3061)+MINUTE(A3061)/60</f>
        <v>11</v>
      </c>
      <c r="F3061" s="33" t="n">
        <f aca="false">IF(OR(D3061&gt;5,E3061&lt;8,E3061&gt;=18,COUNTIF($K$2:$K$10,INT(A3061))&gt;0),1,0)</f>
        <v>0</v>
      </c>
      <c r="G3061" s="34" t="n">
        <f aca="false">B3061/1</f>
        <v>233.878</v>
      </c>
      <c r="H3061" s="34" t="str">
        <f aca="false">IF(F3061=1,G3061,"")</f>
        <v/>
      </c>
    </row>
    <row r="3062" customFormat="false" ht="15" hidden="false" customHeight="false" outlineLevel="0" collapsed="false">
      <c r="A3062" s="31" t="n">
        <v>42863.5</v>
      </c>
      <c r="B3062" s="32" t="n">
        <v>239.595</v>
      </c>
      <c r="D3062" s="33" t="n">
        <f aca="false">WEEKDAY(A3062,2)</f>
        <v>1</v>
      </c>
      <c r="E3062" s="33" t="n">
        <f aca="false">HOUR(A3062)+MINUTE(A3062)/60</f>
        <v>12</v>
      </c>
      <c r="F3062" s="33" t="n">
        <f aca="false">IF(OR(D3062&gt;5,E3062&lt;8,E3062&gt;=18,COUNTIF($K$2:$K$10,INT(A3062))&gt;0),1,0)</f>
        <v>0</v>
      </c>
      <c r="G3062" s="34" t="n">
        <f aca="false">B3062/1</f>
        <v>239.595</v>
      </c>
      <c r="H3062" s="34" t="str">
        <f aca="false">IF(F3062=1,G3062,"")</f>
        <v/>
      </c>
    </row>
    <row r="3063" customFormat="false" ht="15" hidden="false" customHeight="false" outlineLevel="0" collapsed="false">
      <c r="A3063" s="31" t="n">
        <v>42863.5416666667</v>
      </c>
      <c r="B3063" s="32" t="n">
        <v>239.824</v>
      </c>
      <c r="D3063" s="33" t="n">
        <f aca="false">WEEKDAY(A3063,2)</f>
        <v>1</v>
      </c>
      <c r="E3063" s="33" t="n">
        <f aca="false">HOUR(A3063)+MINUTE(A3063)/60</f>
        <v>13</v>
      </c>
      <c r="F3063" s="33" t="n">
        <f aca="false">IF(OR(D3063&gt;5,E3063&lt;8,E3063&gt;=18,COUNTIF($K$2:$K$10,INT(A3063))&gt;0),1,0)</f>
        <v>0</v>
      </c>
      <c r="G3063" s="34" t="n">
        <f aca="false">B3063/1</f>
        <v>239.824</v>
      </c>
      <c r="H3063" s="34" t="str">
        <f aca="false">IF(F3063=1,G3063,"")</f>
        <v/>
      </c>
    </row>
    <row r="3064" customFormat="false" ht="15" hidden="false" customHeight="false" outlineLevel="0" collapsed="false">
      <c r="A3064" s="31" t="n">
        <v>42863.5833333333</v>
      </c>
      <c r="B3064" s="32" t="n">
        <v>242.274</v>
      </c>
      <c r="D3064" s="33" t="n">
        <f aca="false">WEEKDAY(A3064,2)</f>
        <v>1</v>
      </c>
      <c r="E3064" s="33" t="n">
        <f aca="false">HOUR(A3064)+MINUTE(A3064)/60</f>
        <v>14</v>
      </c>
      <c r="F3064" s="33" t="n">
        <f aca="false">IF(OR(D3064&gt;5,E3064&lt;8,E3064&gt;=18,COUNTIF($K$2:$K$10,INT(A3064))&gt;0),1,0)</f>
        <v>0</v>
      </c>
      <c r="G3064" s="34" t="n">
        <f aca="false">B3064/1</f>
        <v>242.274</v>
      </c>
      <c r="H3064" s="34" t="str">
        <f aca="false">IF(F3064=1,G3064,"")</f>
        <v/>
      </c>
    </row>
    <row r="3065" customFormat="false" ht="15" hidden="false" customHeight="false" outlineLevel="0" collapsed="false">
      <c r="A3065" s="31" t="n">
        <v>42863.625</v>
      </c>
      <c r="B3065" s="32" t="n">
        <v>241.204</v>
      </c>
      <c r="D3065" s="33" t="n">
        <f aca="false">WEEKDAY(A3065,2)</f>
        <v>1</v>
      </c>
      <c r="E3065" s="33" t="n">
        <f aca="false">HOUR(A3065)+MINUTE(A3065)/60</f>
        <v>15</v>
      </c>
      <c r="F3065" s="33" t="n">
        <f aca="false">IF(OR(D3065&gt;5,E3065&lt;8,E3065&gt;=18,COUNTIF($K$2:$K$10,INT(A3065))&gt;0),1,0)</f>
        <v>0</v>
      </c>
      <c r="G3065" s="34" t="n">
        <f aca="false">B3065/1</f>
        <v>241.204</v>
      </c>
      <c r="H3065" s="34" t="str">
        <f aca="false">IF(F3065=1,G3065,"")</f>
        <v/>
      </c>
    </row>
    <row r="3066" customFormat="false" ht="15" hidden="false" customHeight="false" outlineLevel="0" collapsed="false">
      <c r="A3066" s="31" t="n">
        <v>42863.6666666667</v>
      </c>
      <c r="B3066" s="32" t="n">
        <v>236.668</v>
      </c>
      <c r="D3066" s="33" t="n">
        <f aca="false">WEEKDAY(A3066,2)</f>
        <v>1</v>
      </c>
      <c r="E3066" s="33" t="n">
        <f aca="false">HOUR(A3066)+MINUTE(A3066)/60</f>
        <v>16</v>
      </c>
      <c r="F3066" s="33" t="n">
        <f aca="false">IF(OR(D3066&gt;5,E3066&lt;8,E3066&gt;=18,COUNTIF($K$2:$K$10,INT(A3066))&gt;0),1,0)</f>
        <v>0</v>
      </c>
      <c r="G3066" s="34" t="n">
        <f aca="false">B3066/1</f>
        <v>236.668</v>
      </c>
      <c r="H3066" s="34" t="str">
        <f aca="false">IF(F3066=1,G3066,"")</f>
        <v/>
      </c>
    </row>
    <row r="3067" customFormat="false" ht="15" hidden="false" customHeight="false" outlineLevel="0" collapsed="false">
      <c r="A3067" s="31" t="n">
        <v>42863.7083333333</v>
      </c>
      <c r="B3067" s="32" t="n">
        <v>223.271</v>
      </c>
      <c r="D3067" s="33" t="n">
        <f aca="false">WEEKDAY(A3067,2)</f>
        <v>1</v>
      </c>
      <c r="E3067" s="33" t="n">
        <f aca="false">HOUR(A3067)+MINUTE(A3067)/60</f>
        <v>17</v>
      </c>
      <c r="F3067" s="33" t="n">
        <f aca="false">IF(OR(D3067&gt;5,E3067&lt;8,E3067&gt;=18,COUNTIF($K$2:$K$10,INT(A3067))&gt;0),1,0)</f>
        <v>0</v>
      </c>
      <c r="G3067" s="34" t="n">
        <f aca="false">B3067/1</f>
        <v>223.271</v>
      </c>
      <c r="H3067" s="34" t="str">
        <f aca="false">IF(F3067=1,G3067,"")</f>
        <v/>
      </c>
    </row>
    <row r="3068" customFormat="false" ht="15" hidden="false" customHeight="false" outlineLevel="0" collapsed="false">
      <c r="A3068" s="31" t="n">
        <v>42863.75</v>
      </c>
      <c r="B3068" s="32" t="n">
        <v>200.146</v>
      </c>
      <c r="D3068" s="33" t="n">
        <f aca="false">WEEKDAY(A3068,2)</f>
        <v>1</v>
      </c>
      <c r="E3068" s="33" t="n">
        <f aca="false">HOUR(A3068)+MINUTE(A3068)/60</f>
        <v>18</v>
      </c>
      <c r="F3068" s="33" t="n">
        <f aca="false">IF(OR(D3068&gt;5,E3068&lt;8,E3068&gt;=18,COUNTIF($K$2:$K$10,INT(A3068))&gt;0),1,0)</f>
        <v>1</v>
      </c>
      <c r="G3068" s="34" t="n">
        <f aca="false">B3068/1</f>
        <v>200.146</v>
      </c>
      <c r="H3068" s="34" t="n">
        <f aca="false">IF(F3068=1,G3068,"")</f>
        <v>200.146</v>
      </c>
    </row>
    <row r="3069" customFormat="false" ht="15" hidden="false" customHeight="false" outlineLevel="0" collapsed="false">
      <c r="A3069" s="31" t="n">
        <v>42863.7916666667</v>
      </c>
      <c r="B3069" s="32" t="n">
        <v>188.886</v>
      </c>
      <c r="D3069" s="33" t="n">
        <f aca="false">WEEKDAY(A3069,2)</f>
        <v>1</v>
      </c>
      <c r="E3069" s="33" t="n">
        <f aca="false">HOUR(A3069)+MINUTE(A3069)/60</f>
        <v>19</v>
      </c>
      <c r="F3069" s="33" t="n">
        <f aca="false">IF(OR(D3069&gt;5,E3069&lt;8,E3069&gt;=18,COUNTIF($K$2:$K$10,INT(A3069))&gt;0),1,0)</f>
        <v>1</v>
      </c>
      <c r="G3069" s="34" t="n">
        <f aca="false">B3069/1</f>
        <v>188.886</v>
      </c>
      <c r="H3069" s="34" t="n">
        <f aca="false">IF(F3069=1,G3069,"")</f>
        <v>188.886</v>
      </c>
    </row>
    <row r="3070" customFormat="false" ht="15" hidden="false" customHeight="false" outlineLevel="0" collapsed="false">
      <c r="A3070" s="31" t="n">
        <v>42863.8333333333</v>
      </c>
      <c r="B3070" s="32" t="n">
        <v>188.155</v>
      </c>
      <c r="D3070" s="33" t="n">
        <f aca="false">WEEKDAY(A3070,2)</f>
        <v>1</v>
      </c>
      <c r="E3070" s="33" t="n">
        <f aca="false">HOUR(A3070)+MINUTE(A3070)/60</f>
        <v>20</v>
      </c>
      <c r="F3070" s="33" t="n">
        <f aca="false">IF(OR(D3070&gt;5,E3070&lt;8,E3070&gt;=18,COUNTIF($K$2:$K$10,INT(A3070))&gt;0),1,0)</f>
        <v>1</v>
      </c>
      <c r="G3070" s="34" t="n">
        <f aca="false">B3070/1</f>
        <v>188.155</v>
      </c>
      <c r="H3070" s="34" t="n">
        <f aca="false">IF(F3070=1,G3070,"")</f>
        <v>188.155</v>
      </c>
    </row>
    <row r="3071" customFormat="false" ht="15" hidden="false" customHeight="false" outlineLevel="0" collapsed="false">
      <c r="A3071" s="31" t="n">
        <v>42863.875</v>
      </c>
      <c r="B3071" s="32" t="n">
        <v>186.016</v>
      </c>
      <c r="D3071" s="33" t="n">
        <f aca="false">WEEKDAY(A3071,2)</f>
        <v>1</v>
      </c>
      <c r="E3071" s="33" t="n">
        <f aca="false">HOUR(A3071)+MINUTE(A3071)/60</f>
        <v>21</v>
      </c>
      <c r="F3071" s="33" t="n">
        <f aca="false">IF(OR(D3071&gt;5,E3071&lt;8,E3071&gt;=18,COUNTIF($K$2:$K$10,INT(A3071))&gt;0),1,0)</f>
        <v>1</v>
      </c>
      <c r="G3071" s="34" t="n">
        <f aca="false">B3071/1</f>
        <v>186.016</v>
      </c>
      <c r="H3071" s="34" t="n">
        <f aca="false">IF(F3071=1,G3071,"")</f>
        <v>186.016</v>
      </c>
    </row>
    <row r="3072" customFormat="false" ht="15" hidden="false" customHeight="false" outlineLevel="0" collapsed="false">
      <c r="A3072" s="31" t="n">
        <v>42863.9166666667</v>
      </c>
      <c r="B3072" s="32" t="n">
        <v>131.342</v>
      </c>
      <c r="D3072" s="33" t="n">
        <f aca="false">WEEKDAY(A3072,2)</f>
        <v>1</v>
      </c>
      <c r="E3072" s="33" t="n">
        <f aca="false">HOUR(A3072)+MINUTE(A3072)/60</f>
        <v>22</v>
      </c>
      <c r="F3072" s="33" t="n">
        <f aca="false">IF(OR(D3072&gt;5,E3072&lt;8,E3072&gt;=18,COUNTIF($K$2:$K$10,INT(A3072))&gt;0),1,0)</f>
        <v>1</v>
      </c>
      <c r="G3072" s="34" t="n">
        <f aca="false">B3072/1</f>
        <v>131.342</v>
      </c>
      <c r="H3072" s="34" t="n">
        <f aca="false">IF(F3072=1,G3072,"")</f>
        <v>131.342</v>
      </c>
    </row>
    <row r="3073" customFormat="false" ht="15" hidden="false" customHeight="false" outlineLevel="0" collapsed="false">
      <c r="A3073" s="31" t="n">
        <v>42863.9583333333</v>
      </c>
      <c r="B3073" s="32" t="n">
        <v>66.6</v>
      </c>
      <c r="D3073" s="33" t="n">
        <f aca="false">WEEKDAY(A3073,2)</f>
        <v>1</v>
      </c>
      <c r="E3073" s="33" t="n">
        <f aca="false">HOUR(A3073)+MINUTE(A3073)/60</f>
        <v>23</v>
      </c>
      <c r="F3073" s="33" t="n">
        <f aca="false">IF(OR(D3073&gt;5,E3073&lt;8,E3073&gt;=18,COUNTIF($K$2:$K$10,INT(A3073))&gt;0),1,0)</f>
        <v>1</v>
      </c>
      <c r="G3073" s="34" t="n">
        <f aca="false">B3073/1</f>
        <v>66.6</v>
      </c>
      <c r="H3073" s="34" t="n">
        <f aca="false">IF(F3073=1,G3073,"")</f>
        <v>66.6</v>
      </c>
    </row>
    <row r="3074" customFormat="false" ht="15" hidden="false" customHeight="false" outlineLevel="0" collapsed="false">
      <c r="A3074" s="31" t="n">
        <v>42864</v>
      </c>
      <c r="B3074" s="32" t="n">
        <v>63.036</v>
      </c>
      <c r="D3074" s="33" t="n">
        <f aca="false">WEEKDAY(A3074,2)</f>
        <v>2</v>
      </c>
      <c r="E3074" s="33" t="n">
        <f aca="false">HOUR(A3074)+MINUTE(A3074)/60</f>
        <v>0</v>
      </c>
      <c r="F3074" s="33" t="n">
        <f aca="false">IF(OR(D3074&gt;5,E3074&lt;8,E3074&gt;=18,COUNTIF($K$2:$K$10,INT(A3074))&gt;0),1,0)</f>
        <v>1</v>
      </c>
      <c r="G3074" s="34" t="n">
        <f aca="false">B3074/1</f>
        <v>63.036</v>
      </c>
      <c r="H3074" s="34" t="n">
        <f aca="false">IF(F3074=1,G3074,"")</f>
        <v>63.036</v>
      </c>
    </row>
    <row r="3075" customFormat="false" ht="15" hidden="false" customHeight="false" outlineLevel="0" collapsed="false">
      <c r="A3075" s="31" t="n">
        <v>42864.0416666667</v>
      </c>
      <c r="B3075" s="32" t="n">
        <v>62.094</v>
      </c>
      <c r="D3075" s="33" t="n">
        <f aca="false">WEEKDAY(A3075,2)</f>
        <v>2</v>
      </c>
      <c r="E3075" s="33" t="n">
        <f aca="false">HOUR(A3075)+MINUTE(A3075)/60</f>
        <v>1</v>
      </c>
      <c r="F3075" s="33" t="n">
        <f aca="false">IF(OR(D3075&gt;5,E3075&lt;8,E3075&gt;=18,COUNTIF($K$2:$K$10,INT(A3075))&gt;0),1,0)</f>
        <v>1</v>
      </c>
      <c r="G3075" s="34" t="n">
        <f aca="false">B3075/1</f>
        <v>62.094</v>
      </c>
      <c r="H3075" s="34" t="n">
        <f aca="false">IF(F3075=1,G3075,"")</f>
        <v>62.094</v>
      </c>
    </row>
    <row r="3076" customFormat="false" ht="15" hidden="false" customHeight="false" outlineLevel="0" collapsed="false">
      <c r="A3076" s="31" t="n">
        <v>42864.0833333333</v>
      </c>
      <c r="B3076" s="32" t="n">
        <v>56.367</v>
      </c>
      <c r="D3076" s="33" t="n">
        <f aca="false">WEEKDAY(A3076,2)</f>
        <v>2</v>
      </c>
      <c r="E3076" s="33" t="n">
        <f aca="false">HOUR(A3076)+MINUTE(A3076)/60</f>
        <v>2</v>
      </c>
      <c r="F3076" s="33" t="n">
        <f aca="false">IF(OR(D3076&gt;5,E3076&lt;8,E3076&gt;=18,COUNTIF($K$2:$K$10,INT(A3076))&gt;0),1,0)</f>
        <v>1</v>
      </c>
      <c r="G3076" s="34" t="n">
        <f aca="false">B3076/1</f>
        <v>56.367</v>
      </c>
      <c r="H3076" s="34" t="n">
        <f aca="false">IF(F3076=1,G3076,"")</f>
        <v>56.367</v>
      </c>
    </row>
    <row r="3077" customFormat="false" ht="15" hidden="false" customHeight="false" outlineLevel="0" collapsed="false">
      <c r="A3077" s="31" t="n">
        <v>42864.125</v>
      </c>
      <c r="B3077" s="32" t="n">
        <v>56.843</v>
      </c>
      <c r="D3077" s="33" t="n">
        <f aca="false">WEEKDAY(A3077,2)</f>
        <v>2</v>
      </c>
      <c r="E3077" s="33" t="n">
        <f aca="false">HOUR(A3077)+MINUTE(A3077)/60</f>
        <v>3</v>
      </c>
      <c r="F3077" s="33" t="n">
        <f aca="false">IF(OR(D3077&gt;5,E3077&lt;8,E3077&gt;=18,COUNTIF($K$2:$K$10,INT(A3077))&gt;0),1,0)</f>
        <v>1</v>
      </c>
      <c r="G3077" s="34" t="n">
        <f aca="false">B3077/1</f>
        <v>56.843</v>
      </c>
      <c r="H3077" s="34" t="n">
        <f aca="false">IF(F3077=1,G3077,"")</f>
        <v>56.843</v>
      </c>
    </row>
    <row r="3078" customFormat="false" ht="15" hidden="false" customHeight="false" outlineLevel="0" collapsed="false">
      <c r="A3078" s="31" t="n">
        <v>42864.1666666667</v>
      </c>
      <c r="B3078" s="32" t="n">
        <v>57.546</v>
      </c>
      <c r="D3078" s="33" t="n">
        <f aca="false">WEEKDAY(A3078,2)</f>
        <v>2</v>
      </c>
      <c r="E3078" s="33" t="n">
        <f aca="false">HOUR(A3078)+MINUTE(A3078)/60</f>
        <v>4</v>
      </c>
      <c r="F3078" s="33" t="n">
        <f aca="false">IF(OR(D3078&gt;5,E3078&lt;8,E3078&gt;=18,COUNTIF($K$2:$K$10,INT(A3078))&gt;0),1,0)</f>
        <v>1</v>
      </c>
      <c r="G3078" s="34" t="n">
        <f aca="false">B3078/1</f>
        <v>57.546</v>
      </c>
      <c r="H3078" s="34" t="n">
        <f aca="false">IF(F3078=1,G3078,"")</f>
        <v>57.546</v>
      </c>
    </row>
    <row r="3079" customFormat="false" ht="15" hidden="false" customHeight="false" outlineLevel="0" collapsed="false">
      <c r="A3079" s="31" t="n">
        <v>42864.2083333333</v>
      </c>
      <c r="B3079" s="32" t="n">
        <v>55.861</v>
      </c>
      <c r="D3079" s="33" t="n">
        <f aca="false">WEEKDAY(A3079,2)</f>
        <v>2</v>
      </c>
      <c r="E3079" s="33" t="n">
        <f aca="false">HOUR(A3079)+MINUTE(A3079)/60</f>
        <v>5</v>
      </c>
      <c r="F3079" s="33" t="n">
        <f aca="false">IF(OR(D3079&gt;5,E3079&lt;8,E3079&gt;=18,COUNTIF($K$2:$K$10,INT(A3079))&gt;0),1,0)</f>
        <v>1</v>
      </c>
      <c r="G3079" s="34" t="n">
        <f aca="false">B3079/1</f>
        <v>55.861</v>
      </c>
      <c r="H3079" s="34" t="n">
        <f aca="false">IF(F3079=1,G3079,"")</f>
        <v>55.861</v>
      </c>
    </row>
    <row r="3080" customFormat="false" ht="15" hidden="false" customHeight="false" outlineLevel="0" collapsed="false">
      <c r="A3080" s="31" t="n">
        <v>42864.25</v>
      </c>
      <c r="B3080" s="32" t="n">
        <v>57.647</v>
      </c>
      <c r="D3080" s="33" t="n">
        <f aca="false">WEEKDAY(A3080,2)</f>
        <v>2</v>
      </c>
      <c r="E3080" s="33" t="n">
        <f aca="false">HOUR(A3080)+MINUTE(A3080)/60</f>
        <v>6</v>
      </c>
      <c r="F3080" s="33" t="n">
        <f aca="false">IF(OR(D3080&gt;5,E3080&lt;8,E3080&gt;=18,COUNTIF($K$2:$K$10,INT(A3080))&gt;0),1,0)</f>
        <v>1</v>
      </c>
      <c r="G3080" s="34" t="n">
        <f aca="false">B3080/1</f>
        <v>57.647</v>
      </c>
      <c r="H3080" s="34" t="n">
        <f aca="false">IF(F3080=1,G3080,"")</f>
        <v>57.647</v>
      </c>
    </row>
    <row r="3081" customFormat="false" ht="15" hidden="false" customHeight="false" outlineLevel="0" collapsed="false">
      <c r="A3081" s="31" t="n">
        <v>42864.2916666667</v>
      </c>
      <c r="B3081" s="32" t="n">
        <v>67.148</v>
      </c>
      <c r="D3081" s="33" t="n">
        <f aca="false">WEEKDAY(A3081,2)</f>
        <v>2</v>
      </c>
      <c r="E3081" s="33" t="n">
        <f aca="false">HOUR(A3081)+MINUTE(A3081)/60</f>
        <v>7</v>
      </c>
      <c r="F3081" s="33" t="n">
        <f aca="false">IF(OR(D3081&gt;5,E3081&lt;8,E3081&gt;=18,COUNTIF($K$2:$K$10,INT(A3081))&gt;0),1,0)</f>
        <v>1</v>
      </c>
      <c r="G3081" s="34" t="n">
        <f aca="false">B3081/1</f>
        <v>67.148</v>
      </c>
      <c r="H3081" s="34" t="n">
        <f aca="false">IF(F3081=1,G3081,"")</f>
        <v>67.148</v>
      </c>
    </row>
    <row r="3082" customFormat="false" ht="15" hidden="false" customHeight="false" outlineLevel="0" collapsed="false">
      <c r="A3082" s="31" t="n">
        <v>42864.3333333333</v>
      </c>
      <c r="B3082" s="32" t="n">
        <v>172.5</v>
      </c>
      <c r="D3082" s="33" t="n">
        <f aca="false">WEEKDAY(A3082,2)</f>
        <v>2</v>
      </c>
      <c r="E3082" s="33" t="n">
        <f aca="false">HOUR(A3082)+MINUTE(A3082)/60</f>
        <v>8</v>
      </c>
      <c r="F3082" s="33" t="n">
        <f aca="false">IF(OR(D3082&gt;5,E3082&lt;8,E3082&gt;=18,COUNTIF($K$2:$K$10,INT(A3082))&gt;0),1,0)</f>
        <v>0</v>
      </c>
      <c r="G3082" s="34" t="n">
        <f aca="false">B3082/1</f>
        <v>172.5</v>
      </c>
      <c r="H3082" s="34" t="str">
        <f aca="false">IF(F3082=1,G3082,"")</f>
        <v/>
      </c>
    </row>
    <row r="3083" customFormat="false" ht="15" hidden="false" customHeight="false" outlineLevel="0" collapsed="false">
      <c r="A3083" s="31" t="n">
        <v>42864.375</v>
      </c>
      <c r="B3083" s="32" t="n">
        <v>200.332</v>
      </c>
      <c r="D3083" s="33" t="n">
        <f aca="false">WEEKDAY(A3083,2)</f>
        <v>2</v>
      </c>
      <c r="E3083" s="33" t="n">
        <f aca="false">HOUR(A3083)+MINUTE(A3083)/60</f>
        <v>9</v>
      </c>
      <c r="F3083" s="33" t="n">
        <f aca="false">IF(OR(D3083&gt;5,E3083&lt;8,E3083&gt;=18,COUNTIF($K$2:$K$10,INT(A3083))&gt;0),1,0)</f>
        <v>0</v>
      </c>
      <c r="G3083" s="34" t="n">
        <f aca="false">B3083/1</f>
        <v>200.332</v>
      </c>
      <c r="H3083" s="34" t="str">
        <f aca="false">IF(F3083=1,G3083,"")</f>
        <v/>
      </c>
    </row>
    <row r="3084" customFormat="false" ht="15" hidden="false" customHeight="false" outlineLevel="0" collapsed="false">
      <c r="A3084" s="31" t="n">
        <v>42864.4166666667</v>
      </c>
      <c r="B3084" s="32" t="n">
        <v>215.707</v>
      </c>
      <c r="D3084" s="33" t="n">
        <f aca="false">WEEKDAY(A3084,2)</f>
        <v>2</v>
      </c>
      <c r="E3084" s="33" t="n">
        <f aca="false">HOUR(A3084)+MINUTE(A3084)/60</f>
        <v>10</v>
      </c>
      <c r="F3084" s="33" t="n">
        <f aca="false">IF(OR(D3084&gt;5,E3084&lt;8,E3084&gt;=18,COUNTIF($K$2:$K$10,INT(A3084))&gt;0),1,0)</f>
        <v>0</v>
      </c>
      <c r="G3084" s="34" t="n">
        <f aca="false">B3084/1</f>
        <v>215.707</v>
      </c>
      <c r="H3084" s="34" t="str">
        <f aca="false">IF(F3084=1,G3084,"")</f>
        <v/>
      </c>
    </row>
    <row r="3085" customFormat="false" ht="15" hidden="false" customHeight="false" outlineLevel="0" collapsed="false">
      <c r="A3085" s="31" t="n">
        <v>42864.4583333333</v>
      </c>
      <c r="B3085" s="32" t="n">
        <v>228.205</v>
      </c>
      <c r="D3085" s="33" t="n">
        <f aca="false">WEEKDAY(A3085,2)</f>
        <v>2</v>
      </c>
      <c r="E3085" s="33" t="n">
        <f aca="false">HOUR(A3085)+MINUTE(A3085)/60</f>
        <v>11</v>
      </c>
      <c r="F3085" s="33" t="n">
        <f aca="false">IF(OR(D3085&gt;5,E3085&lt;8,E3085&gt;=18,COUNTIF($K$2:$K$10,INT(A3085))&gt;0),1,0)</f>
        <v>0</v>
      </c>
      <c r="G3085" s="34" t="n">
        <f aca="false">B3085/1</f>
        <v>228.205</v>
      </c>
      <c r="H3085" s="34" t="str">
        <f aca="false">IF(F3085=1,G3085,"")</f>
        <v/>
      </c>
    </row>
    <row r="3086" customFormat="false" ht="15" hidden="false" customHeight="false" outlineLevel="0" collapsed="false">
      <c r="A3086" s="31" t="n">
        <v>42864.5</v>
      </c>
      <c r="B3086" s="32" t="n">
        <v>232.045</v>
      </c>
      <c r="D3086" s="33" t="n">
        <f aca="false">WEEKDAY(A3086,2)</f>
        <v>2</v>
      </c>
      <c r="E3086" s="33" t="n">
        <f aca="false">HOUR(A3086)+MINUTE(A3086)/60</f>
        <v>12</v>
      </c>
      <c r="F3086" s="33" t="n">
        <f aca="false">IF(OR(D3086&gt;5,E3086&lt;8,E3086&gt;=18,COUNTIF($K$2:$K$10,INT(A3086))&gt;0),1,0)</f>
        <v>0</v>
      </c>
      <c r="G3086" s="34" t="n">
        <f aca="false">B3086/1</f>
        <v>232.045</v>
      </c>
      <c r="H3086" s="34" t="str">
        <f aca="false">IF(F3086=1,G3086,"")</f>
        <v/>
      </c>
    </row>
    <row r="3087" customFormat="false" ht="15" hidden="false" customHeight="false" outlineLevel="0" collapsed="false">
      <c r="A3087" s="31" t="n">
        <v>42864.5416666667</v>
      </c>
      <c r="B3087" s="32" t="n">
        <v>237.215</v>
      </c>
      <c r="D3087" s="33" t="n">
        <f aca="false">WEEKDAY(A3087,2)</f>
        <v>2</v>
      </c>
      <c r="E3087" s="33" t="n">
        <f aca="false">HOUR(A3087)+MINUTE(A3087)/60</f>
        <v>13</v>
      </c>
      <c r="F3087" s="33" t="n">
        <f aca="false">IF(OR(D3087&gt;5,E3087&lt;8,E3087&gt;=18,COUNTIF($K$2:$K$10,INT(A3087))&gt;0),1,0)</f>
        <v>0</v>
      </c>
      <c r="G3087" s="34" t="n">
        <f aca="false">B3087/1</f>
        <v>237.215</v>
      </c>
      <c r="H3087" s="34" t="str">
        <f aca="false">IF(F3087=1,G3087,"")</f>
        <v/>
      </c>
    </row>
    <row r="3088" customFormat="false" ht="15" hidden="false" customHeight="false" outlineLevel="0" collapsed="false">
      <c r="A3088" s="31" t="n">
        <v>42864.5833333333</v>
      </c>
      <c r="B3088" s="32" t="n">
        <v>236.661</v>
      </c>
      <c r="D3088" s="33" t="n">
        <f aca="false">WEEKDAY(A3088,2)</f>
        <v>2</v>
      </c>
      <c r="E3088" s="33" t="n">
        <f aca="false">HOUR(A3088)+MINUTE(A3088)/60</f>
        <v>14</v>
      </c>
      <c r="F3088" s="33" t="n">
        <f aca="false">IF(OR(D3088&gt;5,E3088&lt;8,E3088&gt;=18,COUNTIF($K$2:$K$10,INT(A3088))&gt;0),1,0)</f>
        <v>0</v>
      </c>
      <c r="G3088" s="34" t="n">
        <f aca="false">B3088/1</f>
        <v>236.661</v>
      </c>
      <c r="H3088" s="34" t="str">
        <f aca="false">IF(F3088=1,G3088,"")</f>
        <v/>
      </c>
    </row>
    <row r="3089" customFormat="false" ht="15" hidden="false" customHeight="false" outlineLevel="0" collapsed="false">
      <c r="A3089" s="31" t="n">
        <v>42864.625</v>
      </c>
      <c r="B3089" s="32" t="n">
        <v>231.267</v>
      </c>
      <c r="D3089" s="33" t="n">
        <f aca="false">WEEKDAY(A3089,2)</f>
        <v>2</v>
      </c>
      <c r="E3089" s="33" t="n">
        <f aca="false">HOUR(A3089)+MINUTE(A3089)/60</f>
        <v>15</v>
      </c>
      <c r="F3089" s="33" t="n">
        <f aca="false">IF(OR(D3089&gt;5,E3089&lt;8,E3089&gt;=18,COUNTIF($K$2:$K$10,INT(A3089))&gt;0),1,0)</f>
        <v>0</v>
      </c>
      <c r="G3089" s="34" t="n">
        <f aca="false">B3089/1</f>
        <v>231.267</v>
      </c>
      <c r="H3089" s="34" t="str">
        <f aca="false">IF(F3089=1,G3089,"")</f>
        <v/>
      </c>
    </row>
    <row r="3090" customFormat="false" ht="15" hidden="false" customHeight="false" outlineLevel="0" collapsed="false">
      <c r="A3090" s="31" t="n">
        <v>42864.6666666667</v>
      </c>
      <c r="B3090" s="32" t="n">
        <v>227.777</v>
      </c>
      <c r="D3090" s="33" t="n">
        <f aca="false">WEEKDAY(A3090,2)</f>
        <v>2</v>
      </c>
      <c r="E3090" s="33" t="n">
        <f aca="false">HOUR(A3090)+MINUTE(A3090)/60</f>
        <v>16</v>
      </c>
      <c r="F3090" s="33" t="n">
        <f aca="false">IF(OR(D3090&gt;5,E3090&lt;8,E3090&gt;=18,COUNTIF($K$2:$K$10,INT(A3090))&gt;0),1,0)</f>
        <v>0</v>
      </c>
      <c r="G3090" s="34" t="n">
        <f aca="false">B3090/1</f>
        <v>227.777</v>
      </c>
      <c r="H3090" s="34" t="str">
        <f aca="false">IF(F3090=1,G3090,"")</f>
        <v/>
      </c>
    </row>
    <row r="3091" customFormat="false" ht="15" hidden="false" customHeight="false" outlineLevel="0" collapsed="false">
      <c r="A3091" s="31" t="n">
        <v>42864.7083333333</v>
      </c>
      <c r="B3091" s="32" t="n">
        <v>221.198</v>
      </c>
      <c r="D3091" s="33" t="n">
        <f aca="false">WEEKDAY(A3091,2)</f>
        <v>2</v>
      </c>
      <c r="E3091" s="33" t="n">
        <f aca="false">HOUR(A3091)+MINUTE(A3091)/60</f>
        <v>17</v>
      </c>
      <c r="F3091" s="33" t="n">
        <f aca="false">IF(OR(D3091&gt;5,E3091&lt;8,E3091&gt;=18,COUNTIF($K$2:$K$10,INT(A3091))&gt;0),1,0)</f>
        <v>0</v>
      </c>
      <c r="G3091" s="34" t="n">
        <f aca="false">B3091/1</f>
        <v>221.198</v>
      </c>
      <c r="H3091" s="34" t="str">
        <f aca="false">IF(F3091=1,G3091,"")</f>
        <v/>
      </c>
    </row>
    <row r="3092" customFormat="false" ht="15" hidden="false" customHeight="false" outlineLevel="0" collapsed="false">
      <c r="A3092" s="31" t="n">
        <v>42864.75</v>
      </c>
      <c r="B3092" s="32" t="n">
        <v>203.891</v>
      </c>
      <c r="D3092" s="33" t="n">
        <f aca="false">WEEKDAY(A3092,2)</f>
        <v>2</v>
      </c>
      <c r="E3092" s="33" t="n">
        <f aca="false">HOUR(A3092)+MINUTE(A3092)/60</f>
        <v>18</v>
      </c>
      <c r="F3092" s="33" t="n">
        <f aca="false">IF(OR(D3092&gt;5,E3092&lt;8,E3092&gt;=18,COUNTIF($K$2:$K$10,INT(A3092))&gt;0),1,0)</f>
        <v>1</v>
      </c>
      <c r="G3092" s="34" t="n">
        <f aca="false">B3092/1</f>
        <v>203.891</v>
      </c>
      <c r="H3092" s="34" t="n">
        <f aca="false">IF(F3092=1,G3092,"")</f>
        <v>203.891</v>
      </c>
    </row>
    <row r="3093" customFormat="false" ht="15" hidden="false" customHeight="false" outlineLevel="0" collapsed="false">
      <c r="A3093" s="31" t="n">
        <v>42864.7916666667</v>
      </c>
      <c r="B3093" s="32" t="n">
        <v>197.599</v>
      </c>
      <c r="D3093" s="33" t="n">
        <f aca="false">WEEKDAY(A3093,2)</f>
        <v>2</v>
      </c>
      <c r="E3093" s="33" t="n">
        <f aca="false">HOUR(A3093)+MINUTE(A3093)/60</f>
        <v>19</v>
      </c>
      <c r="F3093" s="33" t="n">
        <f aca="false">IF(OR(D3093&gt;5,E3093&lt;8,E3093&gt;=18,COUNTIF($K$2:$K$10,INT(A3093))&gt;0),1,0)</f>
        <v>1</v>
      </c>
      <c r="G3093" s="34" t="n">
        <f aca="false">B3093/1</f>
        <v>197.599</v>
      </c>
      <c r="H3093" s="34" t="n">
        <f aca="false">IF(F3093=1,G3093,"")</f>
        <v>197.599</v>
      </c>
    </row>
    <row r="3094" customFormat="false" ht="15" hidden="false" customHeight="false" outlineLevel="0" collapsed="false">
      <c r="A3094" s="31" t="n">
        <v>42864.8333333333</v>
      </c>
      <c r="B3094" s="32" t="n">
        <v>193.354</v>
      </c>
      <c r="D3094" s="33" t="n">
        <f aca="false">WEEKDAY(A3094,2)</f>
        <v>2</v>
      </c>
      <c r="E3094" s="33" t="n">
        <f aca="false">HOUR(A3094)+MINUTE(A3094)/60</f>
        <v>20</v>
      </c>
      <c r="F3094" s="33" t="n">
        <f aca="false">IF(OR(D3094&gt;5,E3094&lt;8,E3094&gt;=18,COUNTIF($K$2:$K$10,INT(A3094))&gt;0),1,0)</f>
        <v>1</v>
      </c>
      <c r="G3094" s="34" t="n">
        <f aca="false">B3094/1</f>
        <v>193.354</v>
      </c>
      <c r="H3094" s="34" t="n">
        <f aca="false">IF(F3094=1,G3094,"")</f>
        <v>193.354</v>
      </c>
    </row>
    <row r="3095" customFormat="false" ht="15" hidden="false" customHeight="false" outlineLevel="0" collapsed="false">
      <c r="A3095" s="31" t="n">
        <v>42864.875</v>
      </c>
      <c r="B3095" s="32" t="n">
        <v>183.24</v>
      </c>
      <c r="D3095" s="33" t="n">
        <f aca="false">WEEKDAY(A3095,2)</f>
        <v>2</v>
      </c>
      <c r="E3095" s="33" t="n">
        <f aca="false">HOUR(A3095)+MINUTE(A3095)/60</f>
        <v>21</v>
      </c>
      <c r="F3095" s="33" t="n">
        <f aca="false">IF(OR(D3095&gt;5,E3095&lt;8,E3095&gt;=18,COUNTIF($K$2:$K$10,INT(A3095))&gt;0),1,0)</f>
        <v>1</v>
      </c>
      <c r="G3095" s="34" t="n">
        <f aca="false">B3095/1</f>
        <v>183.24</v>
      </c>
      <c r="H3095" s="34" t="n">
        <f aca="false">IF(F3095=1,G3095,"")</f>
        <v>183.24</v>
      </c>
    </row>
    <row r="3096" customFormat="false" ht="15" hidden="false" customHeight="false" outlineLevel="0" collapsed="false">
      <c r="A3096" s="31" t="n">
        <v>42864.9166666667</v>
      </c>
      <c r="B3096" s="32" t="n">
        <v>122.551</v>
      </c>
      <c r="D3096" s="33" t="n">
        <f aca="false">WEEKDAY(A3096,2)</f>
        <v>2</v>
      </c>
      <c r="E3096" s="33" t="n">
        <f aca="false">HOUR(A3096)+MINUTE(A3096)/60</f>
        <v>22</v>
      </c>
      <c r="F3096" s="33" t="n">
        <f aca="false">IF(OR(D3096&gt;5,E3096&lt;8,E3096&gt;=18,COUNTIF($K$2:$K$10,INT(A3096))&gt;0),1,0)</f>
        <v>1</v>
      </c>
      <c r="G3096" s="34" t="n">
        <f aca="false">B3096/1</f>
        <v>122.551</v>
      </c>
      <c r="H3096" s="34" t="n">
        <f aca="false">IF(F3096=1,G3096,"")</f>
        <v>122.551</v>
      </c>
    </row>
    <row r="3097" customFormat="false" ht="15" hidden="false" customHeight="false" outlineLevel="0" collapsed="false">
      <c r="A3097" s="31" t="n">
        <v>42864.9583333333</v>
      </c>
      <c r="B3097" s="32" t="n">
        <v>55.973</v>
      </c>
      <c r="D3097" s="33" t="n">
        <f aca="false">WEEKDAY(A3097,2)</f>
        <v>2</v>
      </c>
      <c r="E3097" s="33" t="n">
        <f aca="false">HOUR(A3097)+MINUTE(A3097)/60</f>
        <v>23</v>
      </c>
      <c r="F3097" s="33" t="n">
        <f aca="false">IF(OR(D3097&gt;5,E3097&lt;8,E3097&gt;=18,COUNTIF($K$2:$K$10,INT(A3097))&gt;0),1,0)</f>
        <v>1</v>
      </c>
      <c r="G3097" s="34" t="n">
        <f aca="false">B3097/1</f>
        <v>55.973</v>
      </c>
      <c r="H3097" s="34" t="n">
        <f aca="false">IF(F3097=1,G3097,"")</f>
        <v>55.973</v>
      </c>
    </row>
    <row r="3098" customFormat="false" ht="15" hidden="false" customHeight="false" outlineLevel="0" collapsed="false">
      <c r="A3098" s="31" t="n">
        <v>42865</v>
      </c>
      <c r="B3098" s="32" t="n">
        <v>54.023</v>
      </c>
      <c r="D3098" s="33" t="n">
        <f aca="false">WEEKDAY(A3098,2)</f>
        <v>3</v>
      </c>
      <c r="E3098" s="33" t="n">
        <f aca="false">HOUR(A3098)+MINUTE(A3098)/60</f>
        <v>0</v>
      </c>
      <c r="F3098" s="33" t="n">
        <f aca="false">IF(OR(D3098&gt;5,E3098&lt;8,E3098&gt;=18,COUNTIF($K$2:$K$10,INT(A3098))&gt;0),1,0)</f>
        <v>1</v>
      </c>
      <c r="G3098" s="34" t="n">
        <f aca="false">B3098/1</f>
        <v>54.023</v>
      </c>
      <c r="H3098" s="34" t="n">
        <f aca="false">IF(F3098=1,G3098,"")</f>
        <v>54.023</v>
      </c>
    </row>
    <row r="3099" customFormat="false" ht="15" hidden="false" customHeight="false" outlineLevel="0" collapsed="false">
      <c r="A3099" s="31" t="n">
        <v>42865.0416666667</v>
      </c>
      <c r="B3099" s="32" t="n">
        <v>55.589</v>
      </c>
      <c r="D3099" s="33" t="n">
        <f aca="false">WEEKDAY(A3099,2)</f>
        <v>3</v>
      </c>
      <c r="E3099" s="33" t="n">
        <f aca="false">HOUR(A3099)+MINUTE(A3099)/60</f>
        <v>1</v>
      </c>
      <c r="F3099" s="33" t="n">
        <f aca="false">IF(OR(D3099&gt;5,E3099&lt;8,E3099&gt;=18,COUNTIF($K$2:$K$10,INT(A3099))&gt;0),1,0)</f>
        <v>1</v>
      </c>
      <c r="G3099" s="34" t="n">
        <f aca="false">B3099/1</f>
        <v>55.589</v>
      </c>
      <c r="H3099" s="34" t="n">
        <f aca="false">IF(F3099=1,G3099,"")</f>
        <v>55.589</v>
      </c>
    </row>
    <row r="3100" customFormat="false" ht="15" hidden="false" customHeight="false" outlineLevel="0" collapsed="false">
      <c r="A3100" s="31" t="n">
        <v>42865.0833333333</v>
      </c>
      <c r="B3100" s="32" t="n">
        <v>53.568</v>
      </c>
      <c r="D3100" s="33" t="n">
        <f aca="false">WEEKDAY(A3100,2)</f>
        <v>3</v>
      </c>
      <c r="E3100" s="33" t="n">
        <f aca="false">HOUR(A3100)+MINUTE(A3100)/60</f>
        <v>2</v>
      </c>
      <c r="F3100" s="33" t="n">
        <f aca="false">IF(OR(D3100&gt;5,E3100&lt;8,E3100&gt;=18,COUNTIF($K$2:$K$10,INT(A3100))&gt;0),1,0)</f>
        <v>1</v>
      </c>
      <c r="G3100" s="34" t="n">
        <f aca="false">B3100/1</f>
        <v>53.568</v>
      </c>
      <c r="H3100" s="34" t="n">
        <f aca="false">IF(F3100=1,G3100,"")</f>
        <v>53.568</v>
      </c>
    </row>
    <row r="3101" customFormat="false" ht="15" hidden="false" customHeight="false" outlineLevel="0" collapsed="false">
      <c r="A3101" s="31" t="n">
        <v>42865.125</v>
      </c>
      <c r="B3101" s="32" t="n">
        <v>53.504</v>
      </c>
      <c r="D3101" s="33" t="n">
        <f aca="false">WEEKDAY(A3101,2)</f>
        <v>3</v>
      </c>
      <c r="E3101" s="33" t="n">
        <f aca="false">HOUR(A3101)+MINUTE(A3101)/60</f>
        <v>3</v>
      </c>
      <c r="F3101" s="33" t="n">
        <f aca="false">IF(OR(D3101&gt;5,E3101&lt;8,E3101&gt;=18,COUNTIF($K$2:$K$10,INT(A3101))&gt;0),1,0)</f>
        <v>1</v>
      </c>
      <c r="G3101" s="34" t="n">
        <f aca="false">B3101/1</f>
        <v>53.504</v>
      </c>
      <c r="H3101" s="34" t="n">
        <f aca="false">IF(F3101=1,G3101,"")</f>
        <v>53.504</v>
      </c>
    </row>
    <row r="3102" customFormat="false" ht="15" hidden="false" customHeight="false" outlineLevel="0" collapsed="false">
      <c r="A3102" s="31" t="n">
        <v>42865.1666666667</v>
      </c>
      <c r="B3102" s="32" t="n">
        <v>53.215</v>
      </c>
      <c r="D3102" s="33" t="n">
        <f aca="false">WEEKDAY(A3102,2)</f>
        <v>3</v>
      </c>
      <c r="E3102" s="33" t="n">
        <f aca="false">HOUR(A3102)+MINUTE(A3102)/60</f>
        <v>4</v>
      </c>
      <c r="F3102" s="33" t="n">
        <f aca="false">IF(OR(D3102&gt;5,E3102&lt;8,E3102&gt;=18,COUNTIF($K$2:$K$10,INT(A3102))&gt;0),1,0)</f>
        <v>1</v>
      </c>
      <c r="G3102" s="34" t="n">
        <f aca="false">B3102/1</f>
        <v>53.215</v>
      </c>
      <c r="H3102" s="34" t="n">
        <f aca="false">IF(F3102=1,G3102,"")</f>
        <v>53.215</v>
      </c>
    </row>
    <row r="3103" customFormat="false" ht="15" hidden="false" customHeight="false" outlineLevel="0" collapsed="false">
      <c r="A3103" s="31" t="n">
        <v>42865.2083333333</v>
      </c>
      <c r="B3103" s="32" t="n">
        <v>52.072</v>
      </c>
      <c r="D3103" s="33" t="n">
        <f aca="false">WEEKDAY(A3103,2)</f>
        <v>3</v>
      </c>
      <c r="E3103" s="33" t="n">
        <f aca="false">HOUR(A3103)+MINUTE(A3103)/60</f>
        <v>5</v>
      </c>
      <c r="F3103" s="33" t="n">
        <f aca="false">IF(OR(D3103&gt;5,E3103&lt;8,E3103&gt;=18,COUNTIF($K$2:$K$10,INT(A3103))&gt;0),1,0)</f>
        <v>1</v>
      </c>
      <c r="G3103" s="34" t="n">
        <f aca="false">B3103/1</f>
        <v>52.072</v>
      </c>
      <c r="H3103" s="34" t="n">
        <f aca="false">IF(F3103=1,G3103,"")</f>
        <v>52.072</v>
      </c>
    </row>
    <row r="3104" customFormat="false" ht="15" hidden="false" customHeight="false" outlineLevel="0" collapsed="false">
      <c r="A3104" s="31" t="n">
        <v>42865.25</v>
      </c>
      <c r="B3104" s="32" t="n">
        <v>54.137</v>
      </c>
      <c r="D3104" s="33" t="n">
        <f aca="false">WEEKDAY(A3104,2)</f>
        <v>3</v>
      </c>
      <c r="E3104" s="33" t="n">
        <f aca="false">HOUR(A3104)+MINUTE(A3104)/60</f>
        <v>6</v>
      </c>
      <c r="F3104" s="33" t="n">
        <f aca="false">IF(OR(D3104&gt;5,E3104&lt;8,E3104&gt;=18,COUNTIF($K$2:$K$10,INT(A3104))&gt;0),1,0)</f>
        <v>1</v>
      </c>
      <c r="G3104" s="34" t="n">
        <f aca="false">B3104/1</f>
        <v>54.137</v>
      </c>
      <c r="H3104" s="34" t="n">
        <f aca="false">IF(F3104=1,G3104,"")</f>
        <v>54.137</v>
      </c>
    </row>
    <row r="3105" customFormat="false" ht="15" hidden="false" customHeight="false" outlineLevel="0" collapsed="false">
      <c r="A3105" s="31" t="n">
        <v>42865.2916666667</v>
      </c>
      <c r="B3105" s="32" t="n">
        <v>64.34</v>
      </c>
      <c r="D3105" s="33" t="n">
        <f aca="false">WEEKDAY(A3105,2)</f>
        <v>3</v>
      </c>
      <c r="E3105" s="33" t="n">
        <f aca="false">HOUR(A3105)+MINUTE(A3105)/60</f>
        <v>7</v>
      </c>
      <c r="F3105" s="33" t="n">
        <f aca="false">IF(OR(D3105&gt;5,E3105&lt;8,E3105&gt;=18,COUNTIF($K$2:$K$10,INT(A3105))&gt;0),1,0)</f>
        <v>1</v>
      </c>
      <c r="G3105" s="34" t="n">
        <f aca="false">B3105/1</f>
        <v>64.34</v>
      </c>
      <c r="H3105" s="34" t="n">
        <f aca="false">IF(F3105=1,G3105,"")</f>
        <v>64.34</v>
      </c>
    </row>
    <row r="3106" customFormat="false" ht="15" hidden="false" customHeight="false" outlineLevel="0" collapsed="false">
      <c r="A3106" s="31" t="n">
        <v>42865.3333333333</v>
      </c>
      <c r="B3106" s="32" t="n">
        <v>168.943</v>
      </c>
      <c r="D3106" s="33" t="n">
        <f aca="false">WEEKDAY(A3106,2)</f>
        <v>3</v>
      </c>
      <c r="E3106" s="33" t="n">
        <f aca="false">HOUR(A3106)+MINUTE(A3106)/60</f>
        <v>8</v>
      </c>
      <c r="F3106" s="33" t="n">
        <f aca="false">IF(OR(D3106&gt;5,E3106&lt;8,E3106&gt;=18,COUNTIF($K$2:$K$10,INT(A3106))&gt;0),1,0)</f>
        <v>0</v>
      </c>
      <c r="G3106" s="34" t="n">
        <f aca="false">B3106/1</f>
        <v>168.943</v>
      </c>
      <c r="H3106" s="34" t="str">
        <f aca="false">IF(F3106=1,G3106,"")</f>
        <v/>
      </c>
    </row>
    <row r="3107" customFormat="false" ht="15" hidden="false" customHeight="false" outlineLevel="0" collapsed="false">
      <c r="A3107" s="31" t="n">
        <v>42865.375</v>
      </c>
      <c r="B3107" s="32" t="n">
        <v>202.253</v>
      </c>
      <c r="D3107" s="33" t="n">
        <f aca="false">WEEKDAY(A3107,2)</f>
        <v>3</v>
      </c>
      <c r="E3107" s="33" t="n">
        <f aca="false">HOUR(A3107)+MINUTE(A3107)/60</f>
        <v>9</v>
      </c>
      <c r="F3107" s="33" t="n">
        <f aca="false">IF(OR(D3107&gt;5,E3107&lt;8,E3107&gt;=18,COUNTIF($K$2:$K$10,INT(A3107))&gt;0),1,0)</f>
        <v>0</v>
      </c>
      <c r="G3107" s="34" t="n">
        <f aca="false">B3107/1</f>
        <v>202.253</v>
      </c>
      <c r="H3107" s="34" t="str">
        <f aca="false">IF(F3107=1,G3107,"")</f>
        <v/>
      </c>
    </row>
    <row r="3108" customFormat="false" ht="15" hidden="false" customHeight="false" outlineLevel="0" collapsed="false">
      <c r="A3108" s="31" t="n">
        <v>42865.4166666667</v>
      </c>
      <c r="B3108" s="32" t="n">
        <v>218.965</v>
      </c>
      <c r="D3108" s="33" t="n">
        <f aca="false">WEEKDAY(A3108,2)</f>
        <v>3</v>
      </c>
      <c r="E3108" s="33" t="n">
        <f aca="false">HOUR(A3108)+MINUTE(A3108)/60</f>
        <v>10</v>
      </c>
      <c r="F3108" s="33" t="n">
        <f aca="false">IF(OR(D3108&gt;5,E3108&lt;8,E3108&gt;=18,COUNTIF($K$2:$K$10,INT(A3108))&gt;0),1,0)</f>
        <v>0</v>
      </c>
      <c r="G3108" s="34" t="n">
        <f aca="false">B3108/1</f>
        <v>218.965</v>
      </c>
      <c r="H3108" s="34" t="str">
        <f aca="false">IF(F3108=1,G3108,"")</f>
        <v/>
      </c>
    </row>
    <row r="3109" customFormat="false" ht="15" hidden="false" customHeight="false" outlineLevel="0" collapsed="false">
      <c r="A3109" s="31" t="n">
        <v>42865.4583333333</v>
      </c>
      <c r="B3109" s="32" t="n">
        <v>219.559</v>
      </c>
      <c r="D3109" s="33" t="n">
        <f aca="false">WEEKDAY(A3109,2)</f>
        <v>3</v>
      </c>
      <c r="E3109" s="33" t="n">
        <f aca="false">HOUR(A3109)+MINUTE(A3109)/60</f>
        <v>11</v>
      </c>
      <c r="F3109" s="33" t="n">
        <f aca="false">IF(OR(D3109&gt;5,E3109&lt;8,E3109&gt;=18,COUNTIF($K$2:$K$10,INT(A3109))&gt;0),1,0)</f>
        <v>0</v>
      </c>
      <c r="G3109" s="34" t="n">
        <f aca="false">B3109/1</f>
        <v>219.559</v>
      </c>
      <c r="H3109" s="34" t="str">
        <f aca="false">IF(F3109=1,G3109,"")</f>
        <v/>
      </c>
    </row>
    <row r="3110" customFormat="false" ht="15" hidden="false" customHeight="false" outlineLevel="0" collapsed="false">
      <c r="A3110" s="31" t="n">
        <v>42865.5</v>
      </c>
      <c r="B3110" s="32" t="n">
        <v>222.288</v>
      </c>
      <c r="D3110" s="33" t="n">
        <f aca="false">WEEKDAY(A3110,2)</f>
        <v>3</v>
      </c>
      <c r="E3110" s="33" t="n">
        <f aca="false">HOUR(A3110)+MINUTE(A3110)/60</f>
        <v>12</v>
      </c>
      <c r="F3110" s="33" t="n">
        <f aca="false">IF(OR(D3110&gt;5,E3110&lt;8,E3110&gt;=18,COUNTIF($K$2:$K$10,INT(A3110))&gt;0),1,0)</f>
        <v>0</v>
      </c>
      <c r="G3110" s="34" t="n">
        <f aca="false">B3110/1</f>
        <v>222.288</v>
      </c>
      <c r="H3110" s="34" t="str">
        <f aca="false">IF(F3110=1,G3110,"")</f>
        <v/>
      </c>
    </row>
    <row r="3111" customFormat="false" ht="15" hidden="false" customHeight="false" outlineLevel="0" collapsed="false">
      <c r="A3111" s="31" t="n">
        <v>42865.5416666667</v>
      </c>
      <c r="B3111" s="32" t="n">
        <v>221.884</v>
      </c>
      <c r="D3111" s="33" t="n">
        <f aca="false">WEEKDAY(A3111,2)</f>
        <v>3</v>
      </c>
      <c r="E3111" s="33" t="n">
        <f aca="false">HOUR(A3111)+MINUTE(A3111)/60</f>
        <v>13</v>
      </c>
      <c r="F3111" s="33" t="n">
        <f aca="false">IF(OR(D3111&gt;5,E3111&lt;8,E3111&gt;=18,COUNTIF($K$2:$K$10,INT(A3111))&gt;0),1,0)</f>
        <v>0</v>
      </c>
      <c r="G3111" s="34" t="n">
        <f aca="false">B3111/1</f>
        <v>221.884</v>
      </c>
      <c r="H3111" s="34" t="str">
        <f aca="false">IF(F3111=1,G3111,"")</f>
        <v/>
      </c>
    </row>
    <row r="3112" customFormat="false" ht="15" hidden="false" customHeight="false" outlineLevel="0" collapsed="false">
      <c r="A3112" s="31" t="n">
        <v>42865.5833333333</v>
      </c>
      <c r="B3112" s="32" t="n">
        <v>229.691</v>
      </c>
      <c r="D3112" s="33" t="n">
        <f aca="false">WEEKDAY(A3112,2)</f>
        <v>3</v>
      </c>
      <c r="E3112" s="33" t="n">
        <f aca="false">HOUR(A3112)+MINUTE(A3112)/60</f>
        <v>14</v>
      </c>
      <c r="F3112" s="33" t="n">
        <f aca="false">IF(OR(D3112&gt;5,E3112&lt;8,E3112&gt;=18,COUNTIF($K$2:$K$10,INT(A3112))&gt;0),1,0)</f>
        <v>0</v>
      </c>
      <c r="G3112" s="34" t="n">
        <f aca="false">B3112/1</f>
        <v>229.691</v>
      </c>
      <c r="H3112" s="34" t="str">
        <f aca="false">IF(F3112=1,G3112,"")</f>
        <v/>
      </c>
    </row>
    <row r="3113" customFormat="false" ht="15" hidden="false" customHeight="false" outlineLevel="0" collapsed="false">
      <c r="A3113" s="31" t="n">
        <v>42865.625</v>
      </c>
      <c r="B3113" s="32" t="n">
        <v>234.896</v>
      </c>
      <c r="D3113" s="33" t="n">
        <f aca="false">WEEKDAY(A3113,2)</f>
        <v>3</v>
      </c>
      <c r="E3113" s="33" t="n">
        <f aca="false">HOUR(A3113)+MINUTE(A3113)/60</f>
        <v>15</v>
      </c>
      <c r="F3113" s="33" t="n">
        <f aca="false">IF(OR(D3113&gt;5,E3113&lt;8,E3113&gt;=18,COUNTIF($K$2:$K$10,INT(A3113))&gt;0),1,0)</f>
        <v>0</v>
      </c>
      <c r="G3113" s="34" t="n">
        <f aca="false">B3113/1</f>
        <v>234.896</v>
      </c>
      <c r="H3113" s="34" t="str">
        <f aca="false">IF(F3113=1,G3113,"")</f>
        <v/>
      </c>
    </row>
    <row r="3114" customFormat="false" ht="15" hidden="false" customHeight="false" outlineLevel="0" collapsed="false">
      <c r="A3114" s="31" t="n">
        <v>42865.6666666667</v>
      </c>
      <c r="B3114" s="32" t="n">
        <v>222.216</v>
      </c>
      <c r="D3114" s="33" t="n">
        <f aca="false">WEEKDAY(A3114,2)</f>
        <v>3</v>
      </c>
      <c r="E3114" s="33" t="n">
        <f aca="false">HOUR(A3114)+MINUTE(A3114)/60</f>
        <v>16</v>
      </c>
      <c r="F3114" s="33" t="n">
        <f aca="false">IF(OR(D3114&gt;5,E3114&lt;8,E3114&gt;=18,COUNTIF($K$2:$K$10,INT(A3114))&gt;0),1,0)</f>
        <v>0</v>
      </c>
      <c r="G3114" s="34" t="n">
        <f aca="false">B3114/1</f>
        <v>222.216</v>
      </c>
      <c r="H3114" s="34" t="str">
        <f aca="false">IF(F3114=1,G3114,"")</f>
        <v/>
      </c>
    </row>
    <row r="3115" customFormat="false" ht="15" hidden="false" customHeight="false" outlineLevel="0" collapsed="false">
      <c r="A3115" s="31" t="n">
        <v>42865.7083333333</v>
      </c>
      <c r="B3115" s="32" t="n">
        <v>213.222</v>
      </c>
      <c r="D3115" s="33" t="n">
        <f aca="false">WEEKDAY(A3115,2)</f>
        <v>3</v>
      </c>
      <c r="E3115" s="33" t="n">
        <f aca="false">HOUR(A3115)+MINUTE(A3115)/60</f>
        <v>17</v>
      </c>
      <c r="F3115" s="33" t="n">
        <f aca="false">IF(OR(D3115&gt;5,E3115&lt;8,E3115&gt;=18,COUNTIF($K$2:$K$10,INT(A3115))&gt;0),1,0)</f>
        <v>0</v>
      </c>
      <c r="G3115" s="34" t="n">
        <f aca="false">B3115/1</f>
        <v>213.222</v>
      </c>
      <c r="H3115" s="34" t="str">
        <f aca="false">IF(F3115=1,G3115,"")</f>
        <v/>
      </c>
    </row>
    <row r="3116" customFormat="false" ht="15" hidden="false" customHeight="false" outlineLevel="0" collapsed="false">
      <c r="A3116" s="31" t="n">
        <v>42865.75</v>
      </c>
      <c r="B3116" s="32" t="n">
        <v>201.767</v>
      </c>
      <c r="D3116" s="33" t="n">
        <f aca="false">WEEKDAY(A3116,2)</f>
        <v>3</v>
      </c>
      <c r="E3116" s="33" t="n">
        <f aca="false">HOUR(A3116)+MINUTE(A3116)/60</f>
        <v>18</v>
      </c>
      <c r="F3116" s="33" t="n">
        <f aca="false">IF(OR(D3116&gt;5,E3116&lt;8,E3116&gt;=18,COUNTIF($K$2:$K$10,INT(A3116))&gt;0),1,0)</f>
        <v>1</v>
      </c>
      <c r="G3116" s="34" t="n">
        <f aca="false">B3116/1</f>
        <v>201.767</v>
      </c>
      <c r="H3116" s="34" t="n">
        <f aca="false">IF(F3116=1,G3116,"")</f>
        <v>201.767</v>
      </c>
    </row>
    <row r="3117" customFormat="false" ht="15" hidden="false" customHeight="false" outlineLevel="0" collapsed="false">
      <c r="A3117" s="31" t="n">
        <v>42865.7916666667</v>
      </c>
      <c r="B3117" s="32" t="n">
        <v>192.73</v>
      </c>
      <c r="D3117" s="33" t="n">
        <f aca="false">WEEKDAY(A3117,2)</f>
        <v>3</v>
      </c>
      <c r="E3117" s="33" t="n">
        <f aca="false">HOUR(A3117)+MINUTE(A3117)/60</f>
        <v>19</v>
      </c>
      <c r="F3117" s="33" t="n">
        <f aca="false">IF(OR(D3117&gt;5,E3117&lt;8,E3117&gt;=18,COUNTIF($K$2:$K$10,INT(A3117))&gt;0),1,0)</f>
        <v>1</v>
      </c>
      <c r="G3117" s="34" t="n">
        <f aca="false">B3117/1</f>
        <v>192.73</v>
      </c>
      <c r="H3117" s="34" t="n">
        <f aca="false">IF(F3117=1,G3117,"")</f>
        <v>192.73</v>
      </c>
    </row>
    <row r="3118" customFormat="false" ht="15" hidden="false" customHeight="false" outlineLevel="0" collapsed="false">
      <c r="A3118" s="31" t="n">
        <v>42865.8333333333</v>
      </c>
      <c r="B3118" s="32" t="n">
        <v>189.62</v>
      </c>
      <c r="D3118" s="33" t="n">
        <f aca="false">WEEKDAY(A3118,2)</f>
        <v>3</v>
      </c>
      <c r="E3118" s="33" t="n">
        <f aca="false">HOUR(A3118)+MINUTE(A3118)/60</f>
        <v>20</v>
      </c>
      <c r="F3118" s="33" t="n">
        <f aca="false">IF(OR(D3118&gt;5,E3118&lt;8,E3118&gt;=18,COUNTIF($K$2:$K$10,INT(A3118))&gt;0),1,0)</f>
        <v>1</v>
      </c>
      <c r="G3118" s="34" t="n">
        <f aca="false">B3118/1</f>
        <v>189.62</v>
      </c>
      <c r="H3118" s="34" t="n">
        <f aca="false">IF(F3118=1,G3118,"")</f>
        <v>189.62</v>
      </c>
    </row>
    <row r="3119" customFormat="false" ht="15" hidden="false" customHeight="false" outlineLevel="0" collapsed="false">
      <c r="A3119" s="31" t="n">
        <v>42865.875</v>
      </c>
      <c r="B3119" s="32" t="n">
        <v>180.483</v>
      </c>
      <c r="D3119" s="33" t="n">
        <f aca="false">WEEKDAY(A3119,2)</f>
        <v>3</v>
      </c>
      <c r="E3119" s="33" t="n">
        <f aca="false">HOUR(A3119)+MINUTE(A3119)/60</f>
        <v>21</v>
      </c>
      <c r="F3119" s="33" t="n">
        <f aca="false">IF(OR(D3119&gt;5,E3119&lt;8,E3119&gt;=18,COUNTIF($K$2:$K$10,INT(A3119))&gt;0),1,0)</f>
        <v>1</v>
      </c>
      <c r="G3119" s="34" t="n">
        <f aca="false">B3119/1</f>
        <v>180.483</v>
      </c>
      <c r="H3119" s="34" t="n">
        <f aca="false">IF(F3119=1,G3119,"")</f>
        <v>180.483</v>
      </c>
    </row>
    <row r="3120" customFormat="false" ht="15" hidden="false" customHeight="false" outlineLevel="0" collapsed="false">
      <c r="A3120" s="31" t="n">
        <v>42865.9166666667</v>
      </c>
      <c r="B3120" s="32" t="n">
        <v>125.461</v>
      </c>
      <c r="D3120" s="33" t="n">
        <f aca="false">WEEKDAY(A3120,2)</f>
        <v>3</v>
      </c>
      <c r="E3120" s="33" t="n">
        <f aca="false">HOUR(A3120)+MINUTE(A3120)/60</f>
        <v>22</v>
      </c>
      <c r="F3120" s="33" t="n">
        <f aca="false">IF(OR(D3120&gt;5,E3120&lt;8,E3120&gt;=18,COUNTIF($K$2:$K$10,INT(A3120))&gt;0),1,0)</f>
        <v>1</v>
      </c>
      <c r="G3120" s="34" t="n">
        <f aca="false">B3120/1</f>
        <v>125.461</v>
      </c>
      <c r="H3120" s="34" t="n">
        <f aca="false">IF(F3120=1,G3120,"")</f>
        <v>125.461</v>
      </c>
    </row>
    <row r="3121" customFormat="false" ht="15" hidden="false" customHeight="false" outlineLevel="0" collapsed="false">
      <c r="A3121" s="31" t="n">
        <v>42865.9583333333</v>
      </c>
      <c r="B3121" s="32" t="n">
        <v>56.548</v>
      </c>
      <c r="D3121" s="33" t="n">
        <f aca="false">WEEKDAY(A3121,2)</f>
        <v>3</v>
      </c>
      <c r="E3121" s="33" t="n">
        <f aca="false">HOUR(A3121)+MINUTE(A3121)/60</f>
        <v>23</v>
      </c>
      <c r="F3121" s="33" t="n">
        <f aca="false">IF(OR(D3121&gt;5,E3121&lt;8,E3121&gt;=18,COUNTIF($K$2:$K$10,INT(A3121))&gt;0),1,0)</f>
        <v>1</v>
      </c>
      <c r="G3121" s="34" t="n">
        <f aca="false">B3121/1</f>
        <v>56.548</v>
      </c>
      <c r="H3121" s="34" t="n">
        <f aca="false">IF(F3121=1,G3121,"")</f>
        <v>56.548</v>
      </c>
    </row>
    <row r="3122" customFormat="false" ht="15" hidden="false" customHeight="false" outlineLevel="0" collapsed="false">
      <c r="A3122" s="31" t="n">
        <v>42866</v>
      </c>
      <c r="B3122" s="32" t="n">
        <v>58.136</v>
      </c>
      <c r="D3122" s="33" t="n">
        <f aca="false">WEEKDAY(A3122,2)</f>
        <v>4</v>
      </c>
      <c r="E3122" s="33" t="n">
        <f aca="false">HOUR(A3122)+MINUTE(A3122)/60</f>
        <v>0</v>
      </c>
      <c r="F3122" s="33" t="n">
        <f aca="false">IF(OR(D3122&gt;5,E3122&lt;8,E3122&gt;=18,COUNTIF($K$2:$K$10,INT(A3122))&gt;0),1,0)</f>
        <v>1</v>
      </c>
      <c r="G3122" s="34" t="n">
        <f aca="false">B3122/1</f>
        <v>58.136</v>
      </c>
      <c r="H3122" s="34" t="n">
        <f aca="false">IF(F3122=1,G3122,"")</f>
        <v>58.136</v>
      </c>
    </row>
    <row r="3123" customFormat="false" ht="15" hidden="false" customHeight="false" outlineLevel="0" collapsed="false">
      <c r="A3123" s="31" t="n">
        <v>42866.0416666667</v>
      </c>
      <c r="B3123" s="32" t="n">
        <v>54.022</v>
      </c>
      <c r="D3123" s="33" t="n">
        <f aca="false">WEEKDAY(A3123,2)</f>
        <v>4</v>
      </c>
      <c r="E3123" s="33" t="n">
        <f aca="false">HOUR(A3123)+MINUTE(A3123)/60</f>
        <v>1</v>
      </c>
      <c r="F3123" s="33" t="n">
        <f aca="false">IF(OR(D3123&gt;5,E3123&lt;8,E3123&gt;=18,COUNTIF($K$2:$K$10,INT(A3123))&gt;0),1,0)</f>
        <v>1</v>
      </c>
      <c r="G3123" s="34" t="n">
        <f aca="false">B3123/1</f>
        <v>54.022</v>
      </c>
      <c r="H3123" s="34" t="n">
        <f aca="false">IF(F3123=1,G3123,"")</f>
        <v>54.022</v>
      </c>
    </row>
    <row r="3124" customFormat="false" ht="15" hidden="false" customHeight="false" outlineLevel="0" collapsed="false">
      <c r="A3124" s="31" t="n">
        <v>42866.0833333333</v>
      </c>
      <c r="B3124" s="32" t="n">
        <v>53.958</v>
      </c>
      <c r="D3124" s="33" t="n">
        <f aca="false">WEEKDAY(A3124,2)</f>
        <v>4</v>
      </c>
      <c r="E3124" s="33" t="n">
        <f aca="false">HOUR(A3124)+MINUTE(A3124)/60</f>
        <v>2</v>
      </c>
      <c r="F3124" s="33" t="n">
        <f aca="false">IF(OR(D3124&gt;5,E3124&lt;8,E3124&gt;=18,COUNTIF($K$2:$K$10,INT(A3124))&gt;0),1,0)</f>
        <v>1</v>
      </c>
      <c r="G3124" s="34" t="n">
        <f aca="false">B3124/1</f>
        <v>53.958</v>
      </c>
      <c r="H3124" s="34" t="n">
        <f aca="false">IF(F3124=1,G3124,"")</f>
        <v>53.958</v>
      </c>
    </row>
    <row r="3125" customFormat="false" ht="15" hidden="false" customHeight="false" outlineLevel="0" collapsed="false">
      <c r="A3125" s="31" t="n">
        <v>42866.125</v>
      </c>
      <c r="B3125" s="32" t="n">
        <v>55.812</v>
      </c>
      <c r="D3125" s="33" t="n">
        <f aca="false">WEEKDAY(A3125,2)</f>
        <v>4</v>
      </c>
      <c r="E3125" s="33" t="n">
        <f aca="false">HOUR(A3125)+MINUTE(A3125)/60</f>
        <v>3</v>
      </c>
      <c r="F3125" s="33" t="n">
        <f aca="false">IF(OR(D3125&gt;5,E3125&lt;8,E3125&gt;=18,COUNTIF($K$2:$K$10,INT(A3125))&gt;0),1,0)</f>
        <v>1</v>
      </c>
      <c r="G3125" s="34" t="n">
        <f aca="false">B3125/1</f>
        <v>55.812</v>
      </c>
      <c r="H3125" s="34" t="n">
        <f aca="false">IF(F3125=1,G3125,"")</f>
        <v>55.812</v>
      </c>
    </row>
    <row r="3126" customFormat="false" ht="15" hidden="false" customHeight="false" outlineLevel="0" collapsed="false">
      <c r="A3126" s="31" t="n">
        <v>42866.1666666667</v>
      </c>
      <c r="B3126" s="32" t="n">
        <v>53.987</v>
      </c>
      <c r="D3126" s="33" t="n">
        <f aca="false">WEEKDAY(A3126,2)</f>
        <v>4</v>
      </c>
      <c r="E3126" s="33" t="n">
        <f aca="false">HOUR(A3126)+MINUTE(A3126)/60</f>
        <v>4</v>
      </c>
      <c r="F3126" s="33" t="n">
        <f aca="false">IF(OR(D3126&gt;5,E3126&lt;8,E3126&gt;=18,COUNTIF($K$2:$K$10,INT(A3126))&gt;0),1,0)</f>
        <v>1</v>
      </c>
      <c r="G3126" s="34" t="n">
        <f aca="false">B3126/1</f>
        <v>53.987</v>
      </c>
      <c r="H3126" s="34" t="n">
        <f aca="false">IF(F3126=1,G3126,"")</f>
        <v>53.987</v>
      </c>
    </row>
    <row r="3127" customFormat="false" ht="15" hidden="false" customHeight="false" outlineLevel="0" collapsed="false">
      <c r="A3127" s="31" t="n">
        <v>42866.2083333333</v>
      </c>
      <c r="B3127" s="32" t="n">
        <v>56.051</v>
      </c>
      <c r="D3127" s="33" t="n">
        <f aca="false">WEEKDAY(A3127,2)</f>
        <v>4</v>
      </c>
      <c r="E3127" s="33" t="n">
        <f aca="false">HOUR(A3127)+MINUTE(A3127)/60</f>
        <v>5</v>
      </c>
      <c r="F3127" s="33" t="n">
        <f aca="false">IF(OR(D3127&gt;5,E3127&lt;8,E3127&gt;=18,COUNTIF($K$2:$K$10,INT(A3127))&gt;0),1,0)</f>
        <v>1</v>
      </c>
      <c r="G3127" s="34" t="n">
        <f aca="false">B3127/1</f>
        <v>56.051</v>
      </c>
      <c r="H3127" s="34" t="n">
        <f aca="false">IF(F3127=1,G3127,"")</f>
        <v>56.051</v>
      </c>
    </row>
    <row r="3128" customFormat="false" ht="15" hidden="false" customHeight="false" outlineLevel="0" collapsed="false">
      <c r="A3128" s="31" t="n">
        <v>42866.25</v>
      </c>
      <c r="B3128" s="32" t="n">
        <v>54.794</v>
      </c>
      <c r="D3128" s="33" t="n">
        <f aca="false">WEEKDAY(A3128,2)</f>
        <v>4</v>
      </c>
      <c r="E3128" s="33" t="n">
        <f aca="false">HOUR(A3128)+MINUTE(A3128)/60</f>
        <v>6</v>
      </c>
      <c r="F3128" s="33" t="n">
        <f aca="false">IF(OR(D3128&gt;5,E3128&lt;8,E3128&gt;=18,COUNTIF($K$2:$K$10,INT(A3128))&gt;0),1,0)</f>
        <v>1</v>
      </c>
      <c r="G3128" s="34" t="n">
        <f aca="false">B3128/1</f>
        <v>54.794</v>
      </c>
      <c r="H3128" s="34" t="n">
        <f aca="false">IF(F3128=1,G3128,"")</f>
        <v>54.794</v>
      </c>
    </row>
    <row r="3129" customFormat="false" ht="15" hidden="false" customHeight="false" outlineLevel="0" collapsed="false">
      <c r="A3129" s="31" t="n">
        <v>42866.2916666667</v>
      </c>
      <c r="B3129" s="32" t="n">
        <v>65.379</v>
      </c>
      <c r="D3129" s="33" t="n">
        <f aca="false">WEEKDAY(A3129,2)</f>
        <v>4</v>
      </c>
      <c r="E3129" s="33" t="n">
        <f aca="false">HOUR(A3129)+MINUTE(A3129)/60</f>
        <v>7</v>
      </c>
      <c r="F3129" s="33" t="n">
        <f aca="false">IF(OR(D3129&gt;5,E3129&lt;8,E3129&gt;=18,COUNTIF($K$2:$K$10,INT(A3129))&gt;0),1,0)</f>
        <v>1</v>
      </c>
      <c r="G3129" s="34" t="n">
        <f aca="false">B3129/1</f>
        <v>65.379</v>
      </c>
      <c r="H3129" s="34" t="n">
        <f aca="false">IF(F3129=1,G3129,"")</f>
        <v>65.379</v>
      </c>
    </row>
    <row r="3130" customFormat="false" ht="15" hidden="false" customHeight="false" outlineLevel="0" collapsed="false">
      <c r="A3130" s="31" t="n">
        <v>42866.3333333333</v>
      </c>
      <c r="B3130" s="32" t="n">
        <v>171.043</v>
      </c>
      <c r="D3130" s="33" t="n">
        <f aca="false">WEEKDAY(A3130,2)</f>
        <v>4</v>
      </c>
      <c r="E3130" s="33" t="n">
        <f aca="false">HOUR(A3130)+MINUTE(A3130)/60</f>
        <v>8</v>
      </c>
      <c r="F3130" s="33" t="n">
        <f aca="false">IF(OR(D3130&gt;5,E3130&lt;8,E3130&gt;=18,COUNTIF($K$2:$K$10,INT(A3130))&gt;0),1,0)</f>
        <v>0</v>
      </c>
      <c r="G3130" s="34" t="n">
        <f aca="false">B3130/1</f>
        <v>171.043</v>
      </c>
      <c r="H3130" s="34" t="str">
        <f aca="false">IF(F3130=1,G3130,"")</f>
        <v/>
      </c>
    </row>
    <row r="3131" customFormat="false" ht="15" hidden="false" customHeight="false" outlineLevel="0" collapsed="false">
      <c r="A3131" s="31" t="n">
        <v>42866.375</v>
      </c>
      <c r="B3131" s="32" t="n">
        <v>205.114</v>
      </c>
      <c r="D3131" s="33" t="n">
        <f aca="false">WEEKDAY(A3131,2)</f>
        <v>4</v>
      </c>
      <c r="E3131" s="33" t="n">
        <f aca="false">HOUR(A3131)+MINUTE(A3131)/60</f>
        <v>9</v>
      </c>
      <c r="F3131" s="33" t="n">
        <f aca="false">IF(OR(D3131&gt;5,E3131&lt;8,E3131&gt;=18,COUNTIF($K$2:$K$10,INT(A3131))&gt;0),1,0)</f>
        <v>0</v>
      </c>
      <c r="G3131" s="34" t="n">
        <f aca="false">B3131/1</f>
        <v>205.114</v>
      </c>
      <c r="H3131" s="34" t="str">
        <f aca="false">IF(F3131=1,G3131,"")</f>
        <v/>
      </c>
    </row>
    <row r="3132" customFormat="false" ht="15" hidden="false" customHeight="false" outlineLevel="0" collapsed="false">
      <c r="A3132" s="31" t="n">
        <v>42866.4166666667</v>
      </c>
      <c r="B3132" s="32" t="n">
        <v>210.565</v>
      </c>
      <c r="D3132" s="33" t="n">
        <f aca="false">WEEKDAY(A3132,2)</f>
        <v>4</v>
      </c>
      <c r="E3132" s="33" t="n">
        <f aca="false">HOUR(A3132)+MINUTE(A3132)/60</f>
        <v>10</v>
      </c>
      <c r="F3132" s="33" t="n">
        <f aca="false">IF(OR(D3132&gt;5,E3132&lt;8,E3132&gt;=18,COUNTIF($K$2:$K$10,INT(A3132))&gt;0),1,0)</f>
        <v>0</v>
      </c>
      <c r="G3132" s="34" t="n">
        <f aca="false">B3132/1</f>
        <v>210.565</v>
      </c>
      <c r="H3132" s="34" t="str">
        <f aca="false">IF(F3132=1,G3132,"")</f>
        <v/>
      </c>
    </row>
    <row r="3133" customFormat="false" ht="15" hidden="false" customHeight="false" outlineLevel="0" collapsed="false">
      <c r="A3133" s="31" t="n">
        <v>42866.4583333333</v>
      </c>
      <c r="B3133" s="32" t="n">
        <v>221.57</v>
      </c>
      <c r="D3133" s="33" t="n">
        <f aca="false">WEEKDAY(A3133,2)</f>
        <v>4</v>
      </c>
      <c r="E3133" s="33" t="n">
        <f aca="false">HOUR(A3133)+MINUTE(A3133)/60</f>
        <v>11</v>
      </c>
      <c r="F3133" s="33" t="n">
        <f aca="false">IF(OR(D3133&gt;5,E3133&lt;8,E3133&gt;=18,COUNTIF($K$2:$K$10,INT(A3133))&gt;0),1,0)</f>
        <v>0</v>
      </c>
      <c r="G3133" s="34" t="n">
        <f aca="false">B3133/1</f>
        <v>221.57</v>
      </c>
      <c r="H3133" s="34" t="str">
        <f aca="false">IF(F3133=1,G3133,"")</f>
        <v/>
      </c>
    </row>
    <row r="3134" customFormat="false" ht="15" hidden="false" customHeight="false" outlineLevel="0" collapsed="false">
      <c r="A3134" s="31" t="n">
        <v>42866.5</v>
      </c>
      <c r="B3134" s="32" t="n">
        <v>224.075</v>
      </c>
      <c r="D3134" s="33" t="n">
        <f aca="false">WEEKDAY(A3134,2)</f>
        <v>4</v>
      </c>
      <c r="E3134" s="33" t="n">
        <f aca="false">HOUR(A3134)+MINUTE(A3134)/60</f>
        <v>12</v>
      </c>
      <c r="F3134" s="33" t="n">
        <f aca="false">IF(OR(D3134&gt;5,E3134&lt;8,E3134&gt;=18,COUNTIF($K$2:$K$10,INT(A3134))&gt;0),1,0)</f>
        <v>0</v>
      </c>
      <c r="G3134" s="34" t="n">
        <f aca="false">B3134/1</f>
        <v>224.075</v>
      </c>
      <c r="H3134" s="34" t="str">
        <f aca="false">IF(F3134=1,G3134,"")</f>
        <v/>
      </c>
    </row>
    <row r="3135" customFormat="false" ht="15" hidden="false" customHeight="false" outlineLevel="0" collapsed="false">
      <c r="A3135" s="31" t="n">
        <v>42866.5416666667</v>
      </c>
      <c r="B3135" s="32" t="n">
        <v>216.496</v>
      </c>
      <c r="D3135" s="33" t="n">
        <f aca="false">WEEKDAY(A3135,2)</f>
        <v>4</v>
      </c>
      <c r="E3135" s="33" t="n">
        <f aca="false">HOUR(A3135)+MINUTE(A3135)/60</f>
        <v>13</v>
      </c>
      <c r="F3135" s="33" t="n">
        <f aca="false">IF(OR(D3135&gt;5,E3135&lt;8,E3135&gt;=18,COUNTIF($K$2:$K$10,INT(A3135))&gt;0),1,0)</f>
        <v>0</v>
      </c>
      <c r="G3135" s="34" t="n">
        <f aca="false">B3135/1</f>
        <v>216.496</v>
      </c>
      <c r="H3135" s="34" t="str">
        <f aca="false">IF(F3135=1,G3135,"")</f>
        <v/>
      </c>
    </row>
    <row r="3136" customFormat="false" ht="15" hidden="false" customHeight="false" outlineLevel="0" collapsed="false">
      <c r="A3136" s="31" t="n">
        <v>42866.5833333333</v>
      </c>
      <c r="B3136" s="32" t="n">
        <v>220.808</v>
      </c>
      <c r="D3136" s="33" t="n">
        <f aca="false">WEEKDAY(A3136,2)</f>
        <v>4</v>
      </c>
      <c r="E3136" s="33" t="n">
        <f aca="false">HOUR(A3136)+MINUTE(A3136)/60</f>
        <v>14</v>
      </c>
      <c r="F3136" s="33" t="n">
        <f aca="false">IF(OR(D3136&gt;5,E3136&lt;8,E3136&gt;=18,COUNTIF($K$2:$K$10,INT(A3136))&gt;0),1,0)</f>
        <v>0</v>
      </c>
      <c r="G3136" s="34" t="n">
        <f aca="false">B3136/1</f>
        <v>220.808</v>
      </c>
      <c r="H3136" s="34" t="str">
        <f aca="false">IF(F3136=1,G3136,"")</f>
        <v/>
      </c>
    </row>
    <row r="3137" customFormat="false" ht="15" hidden="false" customHeight="false" outlineLevel="0" collapsed="false">
      <c r="A3137" s="31" t="n">
        <v>42866.625</v>
      </c>
      <c r="B3137" s="32" t="n">
        <v>217.295</v>
      </c>
      <c r="D3137" s="33" t="n">
        <f aca="false">WEEKDAY(A3137,2)</f>
        <v>4</v>
      </c>
      <c r="E3137" s="33" t="n">
        <f aca="false">HOUR(A3137)+MINUTE(A3137)/60</f>
        <v>15</v>
      </c>
      <c r="F3137" s="33" t="n">
        <f aca="false">IF(OR(D3137&gt;5,E3137&lt;8,E3137&gt;=18,COUNTIF($K$2:$K$10,INT(A3137))&gt;0),1,0)</f>
        <v>0</v>
      </c>
      <c r="G3137" s="34" t="n">
        <f aca="false">B3137/1</f>
        <v>217.295</v>
      </c>
      <c r="H3137" s="34" t="str">
        <f aca="false">IF(F3137=1,G3137,"")</f>
        <v/>
      </c>
    </row>
    <row r="3138" customFormat="false" ht="15" hidden="false" customHeight="false" outlineLevel="0" collapsed="false">
      <c r="A3138" s="31" t="n">
        <v>42866.6666666667</v>
      </c>
      <c r="B3138" s="32" t="n">
        <v>209.451</v>
      </c>
      <c r="D3138" s="33" t="n">
        <f aca="false">WEEKDAY(A3138,2)</f>
        <v>4</v>
      </c>
      <c r="E3138" s="33" t="n">
        <f aca="false">HOUR(A3138)+MINUTE(A3138)/60</f>
        <v>16</v>
      </c>
      <c r="F3138" s="33" t="n">
        <f aca="false">IF(OR(D3138&gt;5,E3138&lt;8,E3138&gt;=18,COUNTIF($K$2:$K$10,INT(A3138))&gt;0),1,0)</f>
        <v>0</v>
      </c>
      <c r="G3138" s="34" t="n">
        <f aca="false">B3138/1</f>
        <v>209.451</v>
      </c>
      <c r="H3138" s="34" t="str">
        <f aca="false">IF(F3138=1,G3138,"")</f>
        <v/>
      </c>
    </row>
    <row r="3139" customFormat="false" ht="15" hidden="false" customHeight="false" outlineLevel="0" collapsed="false">
      <c r="A3139" s="31" t="n">
        <v>42866.7083333333</v>
      </c>
      <c r="B3139" s="32" t="n">
        <v>207.346</v>
      </c>
      <c r="D3139" s="33" t="n">
        <f aca="false">WEEKDAY(A3139,2)</f>
        <v>4</v>
      </c>
      <c r="E3139" s="33" t="n">
        <f aca="false">HOUR(A3139)+MINUTE(A3139)/60</f>
        <v>17</v>
      </c>
      <c r="F3139" s="33" t="n">
        <f aca="false">IF(OR(D3139&gt;5,E3139&lt;8,E3139&gt;=18,COUNTIF($K$2:$K$10,INT(A3139))&gt;0),1,0)</f>
        <v>0</v>
      </c>
      <c r="G3139" s="34" t="n">
        <f aca="false">B3139/1</f>
        <v>207.346</v>
      </c>
      <c r="H3139" s="34" t="str">
        <f aca="false">IF(F3139=1,G3139,"")</f>
        <v/>
      </c>
    </row>
    <row r="3140" customFormat="false" ht="15" hidden="false" customHeight="false" outlineLevel="0" collapsed="false">
      <c r="A3140" s="31" t="n">
        <v>42866.75</v>
      </c>
      <c r="B3140" s="32" t="n">
        <v>200.03</v>
      </c>
      <c r="D3140" s="33" t="n">
        <f aca="false">WEEKDAY(A3140,2)</f>
        <v>4</v>
      </c>
      <c r="E3140" s="33" t="n">
        <f aca="false">HOUR(A3140)+MINUTE(A3140)/60</f>
        <v>18</v>
      </c>
      <c r="F3140" s="33" t="n">
        <f aca="false">IF(OR(D3140&gt;5,E3140&lt;8,E3140&gt;=18,COUNTIF($K$2:$K$10,INT(A3140))&gt;0),1,0)</f>
        <v>1</v>
      </c>
      <c r="G3140" s="34" t="n">
        <f aca="false">B3140/1</f>
        <v>200.03</v>
      </c>
      <c r="H3140" s="34" t="n">
        <f aca="false">IF(F3140=1,G3140,"")</f>
        <v>200.03</v>
      </c>
    </row>
    <row r="3141" customFormat="false" ht="15" hidden="false" customHeight="false" outlineLevel="0" collapsed="false">
      <c r="A3141" s="31" t="n">
        <v>42866.7916666667</v>
      </c>
      <c r="B3141" s="32" t="n">
        <v>194.877</v>
      </c>
      <c r="D3141" s="33" t="n">
        <f aca="false">WEEKDAY(A3141,2)</f>
        <v>4</v>
      </c>
      <c r="E3141" s="33" t="n">
        <f aca="false">HOUR(A3141)+MINUTE(A3141)/60</f>
        <v>19</v>
      </c>
      <c r="F3141" s="33" t="n">
        <f aca="false">IF(OR(D3141&gt;5,E3141&lt;8,E3141&gt;=18,COUNTIF($K$2:$K$10,INT(A3141))&gt;0),1,0)</f>
        <v>1</v>
      </c>
      <c r="G3141" s="34" t="n">
        <f aca="false">B3141/1</f>
        <v>194.877</v>
      </c>
      <c r="H3141" s="34" t="n">
        <f aca="false">IF(F3141=1,G3141,"")</f>
        <v>194.877</v>
      </c>
    </row>
    <row r="3142" customFormat="false" ht="15" hidden="false" customHeight="false" outlineLevel="0" collapsed="false">
      <c r="A3142" s="31" t="n">
        <v>42866.8333333333</v>
      </c>
      <c r="B3142" s="32" t="n">
        <v>190.936</v>
      </c>
      <c r="D3142" s="33" t="n">
        <f aca="false">WEEKDAY(A3142,2)</f>
        <v>4</v>
      </c>
      <c r="E3142" s="33" t="n">
        <f aca="false">HOUR(A3142)+MINUTE(A3142)/60</f>
        <v>20</v>
      </c>
      <c r="F3142" s="33" t="n">
        <f aca="false">IF(OR(D3142&gt;5,E3142&lt;8,E3142&gt;=18,COUNTIF($K$2:$K$10,INT(A3142))&gt;0),1,0)</f>
        <v>1</v>
      </c>
      <c r="G3142" s="34" t="n">
        <f aca="false">B3142/1</f>
        <v>190.936</v>
      </c>
      <c r="H3142" s="34" t="n">
        <f aca="false">IF(F3142=1,G3142,"")</f>
        <v>190.936</v>
      </c>
    </row>
    <row r="3143" customFormat="false" ht="15" hidden="false" customHeight="false" outlineLevel="0" collapsed="false">
      <c r="A3143" s="31" t="n">
        <v>42866.875</v>
      </c>
      <c r="B3143" s="32" t="n">
        <v>180.441</v>
      </c>
      <c r="D3143" s="33" t="n">
        <f aca="false">WEEKDAY(A3143,2)</f>
        <v>4</v>
      </c>
      <c r="E3143" s="33" t="n">
        <f aca="false">HOUR(A3143)+MINUTE(A3143)/60</f>
        <v>21</v>
      </c>
      <c r="F3143" s="33" t="n">
        <f aca="false">IF(OR(D3143&gt;5,E3143&lt;8,E3143&gt;=18,COUNTIF($K$2:$K$10,INT(A3143))&gt;0),1,0)</f>
        <v>1</v>
      </c>
      <c r="G3143" s="34" t="n">
        <f aca="false">B3143/1</f>
        <v>180.441</v>
      </c>
      <c r="H3143" s="34" t="n">
        <f aca="false">IF(F3143=1,G3143,"")</f>
        <v>180.441</v>
      </c>
    </row>
    <row r="3144" customFormat="false" ht="15" hidden="false" customHeight="false" outlineLevel="0" collapsed="false">
      <c r="A3144" s="31" t="n">
        <v>42866.9166666667</v>
      </c>
      <c r="B3144" s="32" t="n">
        <v>120.002</v>
      </c>
      <c r="D3144" s="33" t="n">
        <f aca="false">WEEKDAY(A3144,2)</f>
        <v>4</v>
      </c>
      <c r="E3144" s="33" t="n">
        <f aca="false">HOUR(A3144)+MINUTE(A3144)/60</f>
        <v>22</v>
      </c>
      <c r="F3144" s="33" t="n">
        <f aca="false">IF(OR(D3144&gt;5,E3144&lt;8,E3144&gt;=18,COUNTIF($K$2:$K$10,INT(A3144))&gt;0),1,0)</f>
        <v>1</v>
      </c>
      <c r="G3144" s="34" t="n">
        <f aca="false">B3144/1</f>
        <v>120.002</v>
      </c>
      <c r="H3144" s="34" t="n">
        <f aca="false">IF(F3144=1,G3144,"")</f>
        <v>120.002</v>
      </c>
    </row>
    <row r="3145" customFormat="false" ht="15" hidden="false" customHeight="false" outlineLevel="0" collapsed="false">
      <c r="A3145" s="31" t="n">
        <v>42866.9583333333</v>
      </c>
      <c r="B3145" s="32" t="n">
        <v>56.236</v>
      </c>
      <c r="D3145" s="33" t="n">
        <f aca="false">WEEKDAY(A3145,2)</f>
        <v>4</v>
      </c>
      <c r="E3145" s="33" t="n">
        <f aca="false">HOUR(A3145)+MINUTE(A3145)/60</f>
        <v>23</v>
      </c>
      <c r="F3145" s="33" t="n">
        <f aca="false">IF(OR(D3145&gt;5,E3145&lt;8,E3145&gt;=18,COUNTIF($K$2:$K$10,INT(A3145))&gt;0),1,0)</f>
        <v>1</v>
      </c>
      <c r="G3145" s="34" t="n">
        <f aca="false">B3145/1</f>
        <v>56.236</v>
      </c>
      <c r="H3145" s="34" t="n">
        <f aca="false">IF(F3145=1,G3145,"")</f>
        <v>56.236</v>
      </c>
    </row>
    <row r="3146" customFormat="false" ht="15" hidden="false" customHeight="false" outlineLevel="0" collapsed="false">
      <c r="A3146" s="31" t="n">
        <v>42867</v>
      </c>
      <c r="B3146" s="32" t="n">
        <v>56.536</v>
      </c>
      <c r="D3146" s="33" t="n">
        <f aca="false">WEEKDAY(A3146,2)</f>
        <v>5</v>
      </c>
      <c r="E3146" s="33" t="n">
        <f aca="false">HOUR(A3146)+MINUTE(A3146)/60</f>
        <v>0</v>
      </c>
      <c r="F3146" s="33" t="n">
        <f aca="false">IF(OR(D3146&gt;5,E3146&lt;8,E3146&gt;=18,COUNTIF($K$2:$K$10,INT(A3146))&gt;0),1,0)</f>
        <v>1</v>
      </c>
      <c r="G3146" s="34" t="n">
        <f aca="false">B3146/1</f>
        <v>56.536</v>
      </c>
      <c r="H3146" s="34" t="n">
        <f aca="false">IF(F3146=1,G3146,"")</f>
        <v>56.536</v>
      </c>
    </row>
    <row r="3147" customFormat="false" ht="15" hidden="false" customHeight="false" outlineLevel="0" collapsed="false">
      <c r="A3147" s="31" t="n">
        <v>42867.0416666667</v>
      </c>
      <c r="B3147" s="32" t="n">
        <v>56.134</v>
      </c>
      <c r="D3147" s="33" t="n">
        <f aca="false">WEEKDAY(A3147,2)</f>
        <v>5</v>
      </c>
      <c r="E3147" s="33" t="n">
        <f aca="false">HOUR(A3147)+MINUTE(A3147)/60</f>
        <v>1</v>
      </c>
      <c r="F3147" s="33" t="n">
        <f aca="false">IF(OR(D3147&gt;5,E3147&lt;8,E3147&gt;=18,COUNTIF($K$2:$K$10,INT(A3147))&gt;0),1,0)</f>
        <v>1</v>
      </c>
      <c r="G3147" s="34" t="n">
        <f aca="false">B3147/1</f>
        <v>56.134</v>
      </c>
      <c r="H3147" s="34" t="n">
        <f aca="false">IF(F3147=1,G3147,"")</f>
        <v>56.134</v>
      </c>
    </row>
    <row r="3148" customFormat="false" ht="15" hidden="false" customHeight="false" outlineLevel="0" collapsed="false">
      <c r="A3148" s="31" t="n">
        <v>42867.0833333333</v>
      </c>
      <c r="B3148" s="32" t="n">
        <v>54.556</v>
      </c>
      <c r="D3148" s="33" t="n">
        <f aca="false">WEEKDAY(A3148,2)</f>
        <v>5</v>
      </c>
      <c r="E3148" s="33" t="n">
        <f aca="false">HOUR(A3148)+MINUTE(A3148)/60</f>
        <v>2</v>
      </c>
      <c r="F3148" s="33" t="n">
        <f aca="false">IF(OR(D3148&gt;5,E3148&lt;8,E3148&gt;=18,COUNTIF($K$2:$K$10,INT(A3148))&gt;0),1,0)</f>
        <v>1</v>
      </c>
      <c r="G3148" s="34" t="n">
        <f aca="false">B3148/1</f>
        <v>54.556</v>
      </c>
      <c r="H3148" s="34" t="n">
        <f aca="false">IF(F3148=1,G3148,"")</f>
        <v>54.556</v>
      </c>
    </row>
    <row r="3149" customFormat="false" ht="15" hidden="false" customHeight="false" outlineLevel="0" collapsed="false">
      <c r="A3149" s="31" t="n">
        <v>42867.125</v>
      </c>
      <c r="B3149" s="32" t="n">
        <v>55.221</v>
      </c>
      <c r="D3149" s="33" t="n">
        <f aca="false">WEEKDAY(A3149,2)</f>
        <v>5</v>
      </c>
      <c r="E3149" s="33" t="n">
        <f aca="false">HOUR(A3149)+MINUTE(A3149)/60</f>
        <v>3</v>
      </c>
      <c r="F3149" s="33" t="n">
        <f aca="false">IF(OR(D3149&gt;5,E3149&lt;8,E3149&gt;=18,COUNTIF($K$2:$K$10,INT(A3149))&gt;0),1,0)</f>
        <v>1</v>
      </c>
      <c r="G3149" s="34" t="n">
        <f aca="false">B3149/1</f>
        <v>55.221</v>
      </c>
      <c r="H3149" s="34" t="n">
        <f aca="false">IF(F3149=1,G3149,"")</f>
        <v>55.221</v>
      </c>
    </row>
    <row r="3150" customFormat="false" ht="15" hidden="false" customHeight="false" outlineLevel="0" collapsed="false">
      <c r="A3150" s="31" t="n">
        <v>42867.1666666667</v>
      </c>
      <c r="B3150" s="32" t="n">
        <v>54.514</v>
      </c>
      <c r="D3150" s="33" t="n">
        <f aca="false">WEEKDAY(A3150,2)</f>
        <v>5</v>
      </c>
      <c r="E3150" s="33" t="n">
        <f aca="false">HOUR(A3150)+MINUTE(A3150)/60</f>
        <v>4</v>
      </c>
      <c r="F3150" s="33" t="n">
        <f aca="false">IF(OR(D3150&gt;5,E3150&lt;8,E3150&gt;=18,COUNTIF($K$2:$K$10,INT(A3150))&gt;0),1,0)</f>
        <v>1</v>
      </c>
      <c r="G3150" s="34" t="n">
        <f aca="false">B3150/1</f>
        <v>54.514</v>
      </c>
      <c r="H3150" s="34" t="n">
        <f aca="false">IF(F3150=1,G3150,"")</f>
        <v>54.514</v>
      </c>
    </row>
    <row r="3151" customFormat="false" ht="15" hidden="false" customHeight="false" outlineLevel="0" collapsed="false">
      <c r="A3151" s="31" t="n">
        <v>42867.2083333333</v>
      </c>
      <c r="B3151" s="32" t="n">
        <v>56.547</v>
      </c>
      <c r="D3151" s="33" t="n">
        <f aca="false">WEEKDAY(A3151,2)</f>
        <v>5</v>
      </c>
      <c r="E3151" s="33" t="n">
        <f aca="false">HOUR(A3151)+MINUTE(A3151)/60</f>
        <v>5</v>
      </c>
      <c r="F3151" s="33" t="n">
        <f aca="false">IF(OR(D3151&gt;5,E3151&lt;8,E3151&gt;=18,COUNTIF($K$2:$K$10,INT(A3151))&gt;0),1,0)</f>
        <v>1</v>
      </c>
      <c r="G3151" s="34" t="n">
        <f aca="false">B3151/1</f>
        <v>56.547</v>
      </c>
      <c r="H3151" s="34" t="n">
        <f aca="false">IF(F3151=1,G3151,"")</f>
        <v>56.547</v>
      </c>
    </row>
    <row r="3152" customFormat="false" ht="15" hidden="false" customHeight="false" outlineLevel="0" collapsed="false">
      <c r="A3152" s="31" t="n">
        <v>42867.25</v>
      </c>
      <c r="B3152" s="32" t="n">
        <v>57.989</v>
      </c>
      <c r="D3152" s="33" t="n">
        <f aca="false">WEEKDAY(A3152,2)</f>
        <v>5</v>
      </c>
      <c r="E3152" s="33" t="n">
        <f aca="false">HOUR(A3152)+MINUTE(A3152)/60</f>
        <v>6</v>
      </c>
      <c r="F3152" s="33" t="n">
        <f aca="false">IF(OR(D3152&gt;5,E3152&lt;8,E3152&gt;=18,COUNTIF($K$2:$K$10,INT(A3152))&gt;0),1,0)</f>
        <v>1</v>
      </c>
      <c r="G3152" s="34" t="n">
        <f aca="false">B3152/1</f>
        <v>57.989</v>
      </c>
      <c r="H3152" s="34" t="n">
        <f aca="false">IF(F3152=1,G3152,"")</f>
        <v>57.989</v>
      </c>
    </row>
    <row r="3153" customFormat="false" ht="15" hidden="false" customHeight="false" outlineLevel="0" collapsed="false">
      <c r="A3153" s="31" t="n">
        <v>42867.2916666667</v>
      </c>
      <c r="B3153" s="32" t="n">
        <v>63.001</v>
      </c>
      <c r="D3153" s="33" t="n">
        <f aca="false">WEEKDAY(A3153,2)</f>
        <v>5</v>
      </c>
      <c r="E3153" s="33" t="n">
        <f aca="false">HOUR(A3153)+MINUTE(A3153)/60</f>
        <v>7</v>
      </c>
      <c r="F3153" s="33" t="n">
        <f aca="false">IF(OR(D3153&gt;5,E3153&lt;8,E3153&gt;=18,COUNTIF($K$2:$K$10,INT(A3153))&gt;0),1,0)</f>
        <v>1</v>
      </c>
      <c r="G3153" s="34" t="n">
        <f aca="false">B3153/1</f>
        <v>63.001</v>
      </c>
      <c r="H3153" s="34" t="n">
        <f aca="false">IF(F3153=1,G3153,"")</f>
        <v>63.001</v>
      </c>
    </row>
    <row r="3154" customFormat="false" ht="15" hidden="false" customHeight="false" outlineLevel="0" collapsed="false">
      <c r="A3154" s="31" t="n">
        <v>42867.3333333333</v>
      </c>
      <c r="B3154" s="32" t="n">
        <v>165.125</v>
      </c>
      <c r="D3154" s="33" t="n">
        <f aca="false">WEEKDAY(A3154,2)</f>
        <v>5</v>
      </c>
      <c r="E3154" s="33" t="n">
        <f aca="false">HOUR(A3154)+MINUTE(A3154)/60</f>
        <v>8</v>
      </c>
      <c r="F3154" s="33" t="n">
        <f aca="false">IF(OR(D3154&gt;5,E3154&lt;8,E3154&gt;=18,COUNTIF($K$2:$K$10,INT(A3154))&gt;0),1,0)</f>
        <v>0</v>
      </c>
      <c r="G3154" s="34" t="n">
        <f aca="false">B3154/1</f>
        <v>165.125</v>
      </c>
      <c r="H3154" s="34" t="str">
        <f aca="false">IF(F3154=1,G3154,"")</f>
        <v/>
      </c>
    </row>
    <row r="3155" customFormat="false" ht="15" hidden="false" customHeight="false" outlineLevel="0" collapsed="false">
      <c r="A3155" s="31" t="n">
        <v>42867.375</v>
      </c>
      <c r="B3155" s="32" t="n">
        <v>192.571</v>
      </c>
      <c r="D3155" s="33" t="n">
        <f aca="false">WEEKDAY(A3155,2)</f>
        <v>5</v>
      </c>
      <c r="E3155" s="33" t="n">
        <f aca="false">HOUR(A3155)+MINUTE(A3155)/60</f>
        <v>9</v>
      </c>
      <c r="F3155" s="33" t="n">
        <f aca="false">IF(OR(D3155&gt;5,E3155&lt;8,E3155&gt;=18,COUNTIF($K$2:$K$10,INT(A3155))&gt;0),1,0)</f>
        <v>0</v>
      </c>
      <c r="G3155" s="34" t="n">
        <f aca="false">B3155/1</f>
        <v>192.571</v>
      </c>
      <c r="H3155" s="34" t="str">
        <f aca="false">IF(F3155=1,G3155,"")</f>
        <v/>
      </c>
    </row>
    <row r="3156" customFormat="false" ht="15" hidden="false" customHeight="false" outlineLevel="0" collapsed="false">
      <c r="A3156" s="31" t="n">
        <v>42867.4166666667</v>
      </c>
      <c r="B3156" s="32" t="n">
        <v>203.664</v>
      </c>
      <c r="D3156" s="33" t="n">
        <f aca="false">WEEKDAY(A3156,2)</f>
        <v>5</v>
      </c>
      <c r="E3156" s="33" t="n">
        <f aca="false">HOUR(A3156)+MINUTE(A3156)/60</f>
        <v>10</v>
      </c>
      <c r="F3156" s="33" t="n">
        <f aca="false">IF(OR(D3156&gt;5,E3156&lt;8,E3156&gt;=18,COUNTIF($K$2:$K$10,INT(A3156))&gt;0),1,0)</f>
        <v>0</v>
      </c>
      <c r="G3156" s="34" t="n">
        <f aca="false">B3156/1</f>
        <v>203.664</v>
      </c>
      <c r="H3156" s="34" t="str">
        <f aca="false">IF(F3156=1,G3156,"")</f>
        <v/>
      </c>
    </row>
    <row r="3157" customFormat="false" ht="15" hidden="false" customHeight="false" outlineLevel="0" collapsed="false">
      <c r="A3157" s="31" t="n">
        <v>42867.4583333333</v>
      </c>
      <c r="B3157" s="32" t="n">
        <v>213.33</v>
      </c>
      <c r="D3157" s="33" t="n">
        <f aca="false">WEEKDAY(A3157,2)</f>
        <v>5</v>
      </c>
      <c r="E3157" s="33" t="n">
        <f aca="false">HOUR(A3157)+MINUTE(A3157)/60</f>
        <v>11</v>
      </c>
      <c r="F3157" s="33" t="n">
        <f aca="false">IF(OR(D3157&gt;5,E3157&lt;8,E3157&gt;=18,COUNTIF($K$2:$K$10,INT(A3157))&gt;0),1,0)</f>
        <v>0</v>
      </c>
      <c r="G3157" s="34" t="n">
        <f aca="false">B3157/1</f>
        <v>213.33</v>
      </c>
      <c r="H3157" s="34" t="str">
        <f aca="false">IF(F3157=1,G3157,"")</f>
        <v/>
      </c>
    </row>
    <row r="3158" customFormat="false" ht="15" hidden="false" customHeight="false" outlineLevel="0" collapsed="false">
      <c r="A3158" s="31" t="n">
        <v>42867.5</v>
      </c>
      <c r="B3158" s="32" t="n">
        <v>215.91</v>
      </c>
      <c r="D3158" s="33" t="n">
        <f aca="false">WEEKDAY(A3158,2)</f>
        <v>5</v>
      </c>
      <c r="E3158" s="33" t="n">
        <f aca="false">HOUR(A3158)+MINUTE(A3158)/60</f>
        <v>12</v>
      </c>
      <c r="F3158" s="33" t="n">
        <f aca="false">IF(OR(D3158&gt;5,E3158&lt;8,E3158&gt;=18,COUNTIF($K$2:$K$10,INT(A3158))&gt;0),1,0)</f>
        <v>0</v>
      </c>
      <c r="G3158" s="34" t="n">
        <f aca="false">B3158/1</f>
        <v>215.91</v>
      </c>
      <c r="H3158" s="34" t="str">
        <f aca="false">IF(F3158=1,G3158,"")</f>
        <v/>
      </c>
    </row>
    <row r="3159" customFormat="false" ht="15" hidden="false" customHeight="false" outlineLevel="0" collapsed="false">
      <c r="A3159" s="31" t="n">
        <v>42867.5416666667</v>
      </c>
      <c r="B3159" s="32" t="n">
        <v>212.454</v>
      </c>
      <c r="D3159" s="33" t="n">
        <f aca="false">WEEKDAY(A3159,2)</f>
        <v>5</v>
      </c>
      <c r="E3159" s="33" t="n">
        <f aca="false">HOUR(A3159)+MINUTE(A3159)/60</f>
        <v>13</v>
      </c>
      <c r="F3159" s="33" t="n">
        <f aca="false">IF(OR(D3159&gt;5,E3159&lt;8,E3159&gt;=18,COUNTIF($K$2:$K$10,INT(A3159))&gt;0),1,0)</f>
        <v>0</v>
      </c>
      <c r="G3159" s="34" t="n">
        <f aca="false">B3159/1</f>
        <v>212.454</v>
      </c>
      <c r="H3159" s="34" t="str">
        <f aca="false">IF(F3159=1,G3159,"")</f>
        <v/>
      </c>
    </row>
    <row r="3160" customFormat="false" ht="15" hidden="false" customHeight="false" outlineLevel="0" collapsed="false">
      <c r="A3160" s="31" t="n">
        <v>42867.5833333333</v>
      </c>
      <c r="B3160" s="32" t="n">
        <v>211.61</v>
      </c>
      <c r="D3160" s="33" t="n">
        <f aca="false">WEEKDAY(A3160,2)</f>
        <v>5</v>
      </c>
      <c r="E3160" s="33" t="n">
        <f aca="false">HOUR(A3160)+MINUTE(A3160)/60</f>
        <v>14</v>
      </c>
      <c r="F3160" s="33" t="n">
        <f aca="false">IF(OR(D3160&gt;5,E3160&lt;8,E3160&gt;=18,COUNTIF($K$2:$K$10,INT(A3160))&gt;0),1,0)</f>
        <v>0</v>
      </c>
      <c r="G3160" s="34" t="n">
        <f aca="false">B3160/1</f>
        <v>211.61</v>
      </c>
      <c r="H3160" s="34" t="str">
        <f aca="false">IF(F3160=1,G3160,"")</f>
        <v/>
      </c>
    </row>
    <row r="3161" customFormat="false" ht="15" hidden="false" customHeight="false" outlineLevel="0" collapsed="false">
      <c r="A3161" s="31" t="n">
        <v>42867.625</v>
      </c>
      <c r="B3161" s="32" t="n">
        <v>212.725</v>
      </c>
      <c r="D3161" s="33" t="n">
        <f aca="false">WEEKDAY(A3161,2)</f>
        <v>5</v>
      </c>
      <c r="E3161" s="33" t="n">
        <f aca="false">HOUR(A3161)+MINUTE(A3161)/60</f>
        <v>15</v>
      </c>
      <c r="F3161" s="33" t="n">
        <f aca="false">IF(OR(D3161&gt;5,E3161&lt;8,E3161&gt;=18,COUNTIF($K$2:$K$10,INT(A3161))&gt;0),1,0)</f>
        <v>0</v>
      </c>
      <c r="G3161" s="34" t="n">
        <f aca="false">B3161/1</f>
        <v>212.725</v>
      </c>
      <c r="H3161" s="34" t="str">
        <f aca="false">IF(F3161=1,G3161,"")</f>
        <v/>
      </c>
    </row>
    <row r="3162" customFormat="false" ht="15" hidden="false" customHeight="false" outlineLevel="0" collapsed="false">
      <c r="A3162" s="31" t="n">
        <v>42867.6666666667</v>
      </c>
      <c r="B3162" s="32" t="n">
        <v>209.333</v>
      </c>
      <c r="D3162" s="33" t="n">
        <f aca="false">WEEKDAY(A3162,2)</f>
        <v>5</v>
      </c>
      <c r="E3162" s="33" t="n">
        <f aca="false">HOUR(A3162)+MINUTE(A3162)/60</f>
        <v>16</v>
      </c>
      <c r="F3162" s="33" t="n">
        <f aca="false">IF(OR(D3162&gt;5,E3162&lt;8,E3162&gt;=18,COUNTIF($K$2:$K$10,INT(A3162))&gt;0),1,0)</f>
        <v>0</v>
      </c>
      <c r="G3162" s="34" t="n">
        <f aca="false">B3162/1</f>
        <v>209.333</v>
      </c>
      <c r="H3162" s="34" t="str">
        <f aca="false">IF(F3162=1,G3162,"")</f>
        <v/>
      </c>
    </row>
    <row r="3163" customFormat="false" ht="15" hidden="false" customHeight="false" outlineLevel="0" collapsed="false">
      <c r="A3163" s="31" t="n">
        <v>42867.7083333333</v>
      </c>
      <c r="B3163" s="32" t="n">
        <v>200.982</v>
      </c>
      <c r="D3163" s="33" t="n">
        <f aca="false">WEEKDAY(A3163,2)</f>
        <v>5</v>
      </c>
      <c r="E3163" s="33" t="n">
        <f aca="false">HOUR(A3163)+MINUTE(A3163)/60</f>
        <v>17</v>
      </c>
      <c r="F3163" s="33" t="n">
        <f aca="false">IF(OR(D3163&gt;5,E3163&lt;8,E3163&gt;=18,COUNTIF($K$2:$K$10,INT(A3163))&gt;0),1,0)</f>
        <v>0</v>
      </c>
      <c r="G3163" s="34" t="n">
        <f aca="false">B3163/1</f>
        <v>200.982</v>
      </c>
      <c r="H3163" s="34" t="str">
        <f aca="false">IF(F3163=1,G3163,"")</f>
        <v/>
      </c>
    </row>
    <row r="3164" customFormat="false" ht="15" hidden="false" customHeight="false" outlineLevel="0" collapsed="false">
      <c r="A3164" s="31" t="n">
        <v>42867.75</v>
      </c>
      <c r="B3164" s="32" t="n">
        <v>187.657</v>
      </c>
      <c r="D3164" s="33" t="n">
        <f aca="false">WEEKDAY(A3164,2)</f>
        <v>5</v>
      </c>
      <c r="E3164" s="33" t="n">
        <f aca="false">HOUR(A3164)+MINUTE(A3164)/60</f>
        <v>18</v>
      </c>
      <c r="F3164" s="33" t="n">
        <f aca="false">IF(OR(D3164&gt;5,E3164&lt;8,E3164&gt;=18,COUNTIF($K$2:$K$10,INT(A3164))&gt;0),1,0)</f>
        <v>1</v>
      </c>
      <c r="G3164" s="34" t="n">
        <f aca="false">B3164/1</f>
        <v>187.657</v>
      </c>
      <c r="H3164" s="34" t="n">
        <f aca="false">IF(F3164=1,G3164,"")</f>
        <v>187.657</v>
      </c>
    </row>
    <row r="3165" customFormat="false" ht="15" hidden="false" customHeight="false" outlineLevel="0" collapsed="false">
      <c r="A3165" s="31" t="n">
        <v>42867.7916666667</v>
      </c>
      <c r="B3165" s="32" t="n">
        <v>184.54</v>
      </c>
      <c r="D3165" s="33" t="n">
        <f aca="false">WEEKDAY(A3165,2)</f>
        <v>5</v>
      </c>
      <c r="E3165" s="33" t="n">
        <f aca="false">HOUR(A3165)+MINUTE(A3165)/60</f>
        <v>19</v>
      </c>
      <c r="F3165" s="33" t="n">
        <f aca="false">IF(OR(D3165&gt;5,E3165&lt;8,E3165&gt;=18,COUNTIF($K$2:$K$10,INT(A3165))&gt;0),1,0)</f>
        <v>1</v>
      </c>
      <c r="G3165" s="34" t="n">
        <f aca="false">B3165/1</f>
        <v>184.54</v>
      </c>
      <c r="H3165" s="34" t="n">
        <f aca="false">IF(F3165=1,G3165,"")</f>
        <v>184.54</v>
      </c>
    </row>
    <row r="3166" customFormat="false" ht="15" hidden="false" customHeight="false" outlineLevel="0" collapsed="false">
      <c r="A3166" s="31" t="n">
        <v>42867.8333333333</v>
      </c>
      <c r="B3166" s="32" t="n">
        <v>173.07</v>
      </c>
      <c r="D3166" s="33" t="n">
        <f aca="false">WEEKDAY(A3166,2)</f>
        <v>5</v>
      </c>
      <c r="E3166" s="33" t="n">
        <f aca="false">HOUR(A3166)+MINUTE(A3166)/60</f>
        <v>20</v>
      </c>
      <c r="F3166" s="33" t="n">
        <f aca="false">IF(OR(D3166&gt;5,E3166&lt;8,E3166&gt;=18,COUNTIF($K$2:$K$10,INT(A3166))&gt;0),1,0)</f>
        <v>1</v>
      </c>
      <c r="G3166" s="34" t="n">
        <f aca="false">B3166/1</f>
        <v>173.07</v>
      </c>
      <c r="H3166" s="34" t="n">
        <f aca="false">IF(F3166=1,G3166,"")</f>
        <v>173.07</v>
      </c>
    </row>
    <row r="3167" customFormat="false" ht="15" hidden="false" customHeight="false" outlineLevel="0" collapsed="false">
      <c r="A3167" s="31" t="n">
        <v>42867.875</v>
      </c>
      <c r="B3167" s="32" t="n">
        <v>174.799</v>
      </c>
      <c r="D3167" s="33" t="n">
        <f aca="false">WEEKDAY(A3167,2)</f>
        <v>5</v>
      </c>
      <c r="E3167" s="33" t="n">
        <f aca="false">HOUR(A3167)+MINUTE(A3167)/60</f>
        <v>21</v>
      </c>
      <c r="F3167" s="33" t="n">
        <f aca="false">IF(OR(D3167&gt;5,E3167&lt;8,E3167&gt;=18,COUNTIF($K$2:$K$10,INT(A3167))&gt;0),1,0)</f>
        <v>1</v>
      </c>
      <c r="G3167" s="34" t="n">
        <f aca="false">B3167/1</f>
        <v>174.799</v>
      </c>
      <c r="H3167" s="34" t="n">
        <f aca="false">IF(F3167=1,G3167,"")</f>
        <v>174.799</v>
      </c>
    </row>
    <row r="3168" customFormat="false" ht="15" hidden="false" customHeight="false" outlineLevel="0" collapsed="false">
      <c r="A3168" s="31" t="n">
        <v>42867.9166666667</v>
      </c>
      <c r="B3168" s="32" t="n">
        <v>120.547</v>
      </c>
      <c r="D3168" s="33" t="n">
        <f aca="false">WEEKDAY(A3168,2)</f>
        <v>5</v>
      </c>
      <c r="E3168" s="33" t="n">
        <f aca="false">HOUR(A3168)+MINUTE(A3168)/60</f>
        <v>22</v>
      </c>
      <c r="F3168" s="33" t="n">
        <f aca="false">IF(OR(D3168&gt;5,E3168&lt;8,E3168&gt;=18,COUNTIF($K$2:$K$10,INT(A3168))&gt;0),1,0)</f>
        <v>1</v>
      </c>
      <c r="G3168" s="34" t="n">
        <f aca="false">B3168/1</f>
        <v>120.547</v>
      </c>
      <c r="H3168" s="34" t="n">
        <f aca="false">IF(F3168=1,G3168,"")</f>
        <v>120.547</v>
      </c>
    </row>
    <row r="3169" customFormat="false" ht="15" hidden="false" customHeight="false" outlineLevel="0" collapsed="false">
      <c r="A3169" s="31" t="n">
        <v>42867.9583333333</v>
      </c>
      <c r="B3169" s="32" t="n">
        <v>54.445</v>
      </c>
      <c r="D3169" s="33" t="n">
        <f aca="false">WEEKDAY(A3169,2)</f>
        <v>5</v>
      </c>
      <c r="E3169" s="33" t="n">
        <f aca="false">HOUR(A3169)+MINUTE(A3169)/60</f>
        <v>23</v>
      </c>
      <c r="F3169" s="33" t="n">
        <f aca="false">IF(OR(D3169&gt;5,E3169&lt;8,E3169&gt;=18,COUNTIF($K$2:$K$10,INT(A3169))&gt;0),1,0)</f>
        <v>1</v>
      </c>
      <c r="G3169" s="34" t="n">
        <f aca="false">B3169/1</f>
        <v>54.445</v>
      </c>
      <c r="H3169" s="34" t="n">
        <f aca="false">IF(F3169=1,G3169,"")</f>
        <v>54.445</v>
      </c>
    </row>
    <row r="3170" customFormat="false" ht="15" hidden="false" customHeight="false" outlineLevel="0" collapsed="false">
      <c r="A3170" s="31" t="n">
        <v>42868</v>
      </c>
      <c r="B3170" s="32" t="n">
        <v>51.3</v>
      </c>
      <c r="D3170" s="33" t="n">
        <f aca="false">WEEKDAY(A3170,2)</f>
        <v>6</v>
      </c>
      <c r="E3170" s="33" t="n">
        <f aca="false">HOUR(A3170)+MINUTE(A3170)/60</f>
        <v>0</v>
      </c>
      <c r="F3170" s="33" t="n">
        <f aca="false">IF(OR(D3170&gt;5,E3170&lt;8,E3170&gt;=18,COUNTIF($K$2:$K$10,INT(A3170))&gt;0),1,0)</f>
        <v>1</v>
      </c>
      <c r="G3170" s="34" t="n">
        <f aca="false">B3170/1</f>
        <v>51.3</v>
      </c>
      <c r="H3170" s="34" t="n">
        <f aca="false">IF(F3170=1,G3170,"")</f>
        <v>51.3</v>
      </c>
    </row>
    <row r="3171" customFormat="false" ht="15" hidden="false" customHeight="false" outlineLevel="0" collapsed="false">
      <c r="A3171" s="31" t="n">
        <v>42868.0416666667</v>
      </c>
      <c r="B3171" s="32" t="n">
        <v>50.368</v>
      </c>
      <c r="D3171" s="33" t="n">
        <f aca="false">WEEKDAY(A3171,2)</f>
        <v>6</v>
      </c>
      <c r="E3171" s="33" t="n">
        <f aca="false">HOUR(A3171)+MINUTE(A3171)/60</f>
        <v>1</v>
      </c>
      <c r="F3171" s="33" t="n">
        <f aca="false">IF(OR(D3171&gt;5,E3171&lt;8,E3171&gt;=18,COUNTIF($K$2:$K$10,INT(A3171))&gt;0),1,0)</f>
        <v>1</v>
      </c>
      <c r="G3171" s="34" t="n">
        <f aca="false">B3171/1</f>
        <v>50.368</v>
      </c>
      <c r="H3171" s="34" t="n">
        <f aca="false">IF(F3171=1,G3171,"")</f>
        <v>50.368</v>
      </c>
    </row>
    <row r="3172" customFormat="false" ht="15" hidden="false" customHeight="false" outlineLevel="0" collapsed="false">
      <c r="A3172" s="31" t="n">
        <v>42868.0833333333</v>
      </c>
      <c r="B3172" s="32" t="n">
        <v>48.123</v>
      </c>
      <c r="D3172" s="33" t="n">
        <f aca="false">WEEKDAY(A3172,2)</f>
        <v>6</v>
      </c>
      <c r="E3172" s="33" t="n">
        <f aca="false">HOUR(A3172)+MINUTE(A3172)/60</f>
        <v>2</v>
      </c>
      <c r="F3172" s="33" t="n">
        <f aca="false">IF(OR(D3172&gt;5,E3172&lt;8,E3172&gt;=18,COUNTIF($K$2:$K$10,INT(A3172))&gt;0),1,0)</f>
        <v>1</v>
      </c>
      <c r="G3172" s="34" t="n">
        <f aca="false">B3172/1</f>
        <v>48.123</v>
      </c>
      <c r="H3172" s="34" t="n">
        <f aca="false">IF(F3172=1,G3172,"")</f>
        <v>48.123</v>
      </c>
    </row>
    <row r="3173" customFormat="false" ht="15" hidden="false" customHeight="false" outlineLevel="0" collapsed="false">
      <c r="A3173" s="31" t="n">
        <v>42868.125</v>
      </c>
      <c r="B3173" s="32" t="n">
        <v>49.883</v>
      </c>
      <c r="D3173" s="33" t="n">
        <f aca="false">WEEKDAY(A3173,2)</f>
        <v>6</v>
      </c>
      <c r="E3173" s="33" t="n">
        <f aca="false">HOUR(A3173)+MINUTE(A3173)/60</f>
        <v>3</v>
      </c>
      <c r="F3173" s="33" t="n">
        <f aca="false">IF(OR(D3173&gt;5,E3173&lt;8,E3173&gt;=18,COUNTIF($K$2:$K$10,INT(A3173))&gt;0),1,0)</f>
        <v>1</v>
      </c>
      <c r="G3173" s="34" t="n">
        <f aca="false">B3173/1</f>
        <v>49.883</v>
      </c>
      <c r="H3173" s="34" t="n">
        <f aca="false">IF(F3173=1,G3173,"")</f>
        <v>49.883</v>
      </c>
    </row>
    <row r="3174" customFormat="false" ht="15" hidden="false" customHeight="false" outlineLevel="0" collapsed="false">
      <c r="A3174" s="31" t="n">
        <v>42868.1666666667</v>
      </c>
      <c r="B3174" s="32" t="n">
        <v>48.032</v>
      </c>
      <c r="D3174" s="33" t="n">
        <f aca="false">WEEKDAY(A3174,2)</f>
        <v>6</v>
      </c>
      <c r="E3174" s="33" t="n">
        <f aca="false">HOUR(A3174)+MINUTE(A3174)/60</f>
        <v>4</v>
      </c>
      <c r="F3174" s="33" t="n">
        <f aca="false">IF(OR(D3174&gt;5,E3174&lt;8,E3174&gt;=18,COUNTIF($K$2:$K$10,INT(A3174))&gt;0),1,0)</f>
        <v>1</v>
      </c>
      <c r="G3174" s="34" t="n">
        <f aca="false">B3174/1</f>
        <v>48.032</v>
      </c>
      <c r="H3174" s="34" t="n">
        <f aca="false">IF(F3174=1,G3174,"")</f>
        <v>48.032</v>
      </c>
    </row>
    <row r="3175" customFormat="false" ht="15" hidden="false" customHeight="false" outlineLevel="0" collapsed="false">
      <c r="A3175" s="31" t="n">
        <v>42868.2083333333</v>
      </c>
      <c r="B3175" s="32" t="n">
        <v>48.667</v>
      </c>
      <c r="D3175" s="33" t="n">
        <f aca="false">WEEKDAY(A3175,2)</f>
        <v>6</v>
      </c>
      <c r="E3175" s="33" t="n">
        <f aca="false">HOUR(A3175)+MINUTE(A3175)/60</f>
        <v>5</v>
      </c>
      <c r="F3175" s="33" t="n">
        <f aca="false">IF(OR(D3175&gt;5,E3175&lt;8,E3175&gt;=18,COUNTIF($K$2:$K$10,INT(A3175))&gt;0),1,0)</f>
        <v>1</v>
      </c>
      <c r="G3175" s="34" t="n">
        <f aca="false">B3175/1</f>
        <v>48.667</v>
      </c>
      <c r="H3175" s="34" t="n">
        <f aca="false">IF(F3175=1,G3175,"")</f>
        <v>48.667</v>
      </c>
    </row>
    <row r="3176" customFormat="false" ht="15" hidden="false" customHeight="false" outlineLevel="0" collapsed="false">
      <c r="A3176" s="31" t="n">
        <v>42868.25</v>
      </c>
      <c r="B3176" s="32" t="n">
        <v>47.67</v>
      </c>
      <c r="D3176" s="33" t="n">
        <f aca="false">WEEKDAY(A3176,2)</f>
        <v>6</v>
      </c>
      <c r="E3176" s="33" t="n">
        <f aca="false">HOUR(A3176)+MINUTE(A3176)/60</f>
        <v>6</v>
      </c>
      <c r="F3176" s="33" t="n">
        <f aca="false">IF(OR(D3176&gt;5,E3176&lt;8,E3176&gt;=18,COUNTIF($K$2:$K$10,INT(A3176))&gt;0),1,0)</f>
        <v>1</v>
      </c>
      <c r="G3176" s="34" t="n">
        <f aca="false">B3176/1</f>
        <v>47.67</v>
      </c>
      <c r="H3176" s="34" t="n">
        <f aca="false">IF(F3176=1,G3176,"")</f>
        <v>47.67</v>
      </c>
    </row>
    <row r="3177" customFormat="false" ht="15" hidden="false" customHeight="false" outlineLevel="0" collapsed="false">
      <c r="A3177" s="31" t="n">
        <v>42868.2916666667</v>
      </c>
      <c r="B3177" s="32" t="n">
        <v>50.618</v>
      </c>
      <c r="D3177" s="33" t="n">
        <f aca="false">WEEKDAY(A3177,2)</f>
        <v>6</v>
      </c>
      <c r="E3177" s="33" t="n">
        <f aca="false">HOUR(A3177)+MINUTE(A3177)/60</f>
        <v>7</v>
      </c>
      <c r="F3177" s="33" t="n">
        <f aca="false">IF(OR(D3177&gt;5,E3177&lt;8,E3177&gt;=18,COUNTIF($K$2:$K$10,INT(A3177))&gt;0),1,0)</f>
        <v>1</v>
      </c>
      <c r="G3177" s="34" t="n">
        <f aca="false">B3177/1</f>
        <v>50.618</v>
      </c>
      <c r="H3177" s="34" t="n">
        <f aca="false">IF(F3177=1,G3177,"")</f>
        <v>50.618</v>
      </c>
    </row>
    <row r="3178" customFormat="false" ht="15" hidden="false" customHeight="false" outlineLevel="0" collapsed="false">
      <c r="A3178" s="31" t="n">
        <v>42868.3333333333</v>
      </c>
      <c r="B3178" s="32" t="n">
        <v>119.997</v>
      </c>
      <c r="D3178" s="33" t="n">
        <f aca="false">WEEKDAY(A3178,2)</f>
        <v>6</v>
      </c>
      <c r="E3178" s="33" t="n">
        <f aca="false">HOUR(A3178)+MINUTE(A3178)/60</f>
        <v>8</v>
      </c>
      <c r="F3178" s="33" t="n">
        <f aca="false">IF(OR(D3178&gt;5,E3178&lt;8,E3178&gt;=18,COUNTIF($K$2:$K$10,INT(A3178))&gt;0),1,0)</f>
        <v>1</v>
      </c>
      <c r="G3178" s="34" t="n">
        <f aca="false">B3178/1</f>
        <v>119.997</v>
      </c>
      <c r="H3178" s="34" t="n">
        <f aca="false">IF(F3178=1,G3178,"")</f>
        <v>119.997</v>
      </c>
    </row>
    <row r="3179" customFormat="false" ht="15" hidden="false" customHeight="false" outlineLevel="0" collapsed="false">
      <c r="A3179" s="31" t="n">
        <v>42868.375</v>
      </c>
      <c r="B3179" s="32" t="n">
        <v>164.215</v>
      </c>
      <c r="D3179" s="33" t="n">
        <f aca="false">WEEKDAY(A3179,2)</f>
        <v>6</v>
      </c>
      <c r="E3179" s="33" t="n">
        <f aca="false">HOUR(A3179)+MINUTE(A3179)/60</f>
        <v>9</v>
      </c>
      <c r="F3179" s="33" t="n">
        <f aca="false">IF(OR(D3179&gt;5,E3179&lt;8,E3179&gt;=18,COUNTIF($K$2:$K$10,INT(A3179))&gt;0),1,0)</f>
        <v>1</v>
      </c>
      <c r="G3179" s="34" t="n">
        <f aca="false">B3179/1</f>
        <v>164.215</v>
      </c>
      <c r="H3179" s="34" t="n">
        <f aca="false">IF(F3179=1,G3179,"")</f>
        <v>164.215</v>
      </c>
    </row>
    <row r="3180" customFormat="false" ht="15" hidden="false" customHeight="false" outlineLevel="0" collapsed="false">
      <c r="A3180" s="31" t="n">
        <v>42868.4166666667</v>
      </c>
      <c r="B3180" s="32" t="n">
        <v>167.328</v>
      </c>
      <c r="D3180" s="33" t="n">
        <f aca="false">WEEKDAY(A3180,2)</f>
        <v>6</v>
      </c>
      <c r="E3180" s="33" t="n">
        <f aca="false">HOUR(A3180)+MINUTE(A3180)/60</f>
        <v>10</v>
      </c>
      <c r="F3180" s="33" t="n">
        <f aca="false">IF(OR(D3180&gt;5,E3180&lt;8,E3180&gt;=18,COUNTIF($K$2:$K$10,INT(A3180))&gt;0),1,0)</f>
        <v>1</v>
      </c>
      <c r="G3180" s="34" t="n">
        <f aca="false">B3180/1</f>
        <v>167.328</v>
      </c>
      <c r="H3180" s="34" t="n">
        <f aca="false">IF(F3180=1,G3180,"")</f>
        <v>167.328</v>
      </c>
    </row>
    <row r="3181" customFormat="false" ht="15" hidden="false" customHeight="false" outlineLevel="0" collapsed="false">
      <c r="A3181" s="31" t="n">
        <v>42868.4583333333</v>
      </c>
      <c r="B3181" s="32" t="n">
        <v>170.387</v>
      </c>
      <c r="D3181" s="33" t="n">
        <f aca="false">WEEKDAY(A3181,2)</f>
        <v>6</v>
      </c>
      <c r="E3181" s="33" t="n">
        <f aca="false">HOUR(A3181)+MINUTE(A3181)/60</f>
        <v>11</v>
      </c>
      <c r="F3181" s="33" t="n">
        <f aca="false">IF(OR(D3181&gt;5,E3181&lt;8,E3181&gt;=18,COUNTIF($K$2:$K$10,INT(A3181))&gt;0),1,0)</f>
        <v>1</v>
      </c>
      <c r="G3181" s="34" t="n">
        <f aca="false">B3181/1</f>
        <v>170.387</v>
      </c>
      <c r="H3181" s="34" t="n">
        <f aca="false">IF(F3181=1,G3181,"")</f>
        <v>170.387</v>
      </c>
    </row>
    <row r="3182" customFormat="false" ht="15" hidden="false" customHeight="false" outlineLevel="0" collapsed="false">
      <c r="A3182" s="31" t="n">
        <v>42868.5</v>
      </c>
      <c r="B3182" s="32" t="n">
        <v>171.883</v>
      </c>
      <c r="D3182" s="33" t="n">
        <f aca="false">WEEKDAY(A3182,2)</f>
        <v>6</v>
      </c>
      <c r="E3182" s="33" t="n">
        <f aca="false">HOUR(A3182)+MINUTE(A3182)/60</f>
        <v>12</v>
      </c>
      <c r="F3182" s="33" t="n">
        <f aca="false">IF(OR(D3182&gt;5,E3182&lt;8,E3182&gt;=18,COUNTIF($K$2:$K$10,INT(A3182))&gt;0),1,0)</f>
        <v>1</v>
      </c>
      <c r="G3182" s="34" t="n">
        <f aca="false">B3182/1</f>
        <v>171.883</v>
      </c>
      <c r="H3182" s="34" t="n">
        <f aca="false">IF(F3182=1,G3182,"")</f>
        <v>171.883</v>
      </c>
    </row>
    <row r="3183" customFormat="false" ht="15" hidden="false" customHeight="false" outlineLevel="0" collapsed="false">
      <c r="A3183" s="31" t="n">
        <v>42868.5416666667</v>
      </c>
      <c r="B3183" s="32" t="n">
        <v>170.148</v>
      </c>
      <c r="D3183" s="33" t="n">
        <f aca="false">WEEKDAY(A3183,2)</f>
        <v>6</v>
      </c>
      <c r="E3183" s="33" t="n">
        <f aca="false">HOUR(A3183)+MINUTE(A3183)/60</f>
        <v>13</v>
      </c>
      <c r="F3183" s="33" t="n">
        <f aca="false">IF(OR(D3183&gt;5,E3183&lt;8,E3183&gt;=18,COUNTIF($K$2:$K$10,INT(A3183))&gt;0),1,0)</f>
        <v>1</v>
      </c>
      <c r="G3183" s="34" t="n">
        <f aca="false">B3183/1</f>
        <v>170.148</v>
      </c>
      <c r="H3183" s="34" t="n">
        <f aca="false">IF(F3183=1,G3183,"")</f>
        <v>170.148</v>
      </c>
    </row>
    <row r="3184" customFormat="false" ht="15" hidden="false" customHeight="false" outlineLevel="0" collapsed="false">
      <c r="A3184" s="31" t="n">
        <v>42868.5833333333</v>
      </c>
      <c r="B3184" s="32" t="n">
        <v>171.935</v>
      </c>
      <c r="D3184" s="33" t="n">
        <f aca="false">WEEKDAY(A3184,2)</f>
        <v>6</v>
      </c>
      <c r="E3184" s="33" t="n">
        <f aca="false">HOUR(A3184)+MINUTE(A3184)/60</f>
        <v>14</v>
      </c>
      <c r="F3184" s="33" t="n">
        <f aca="false">IF(OR(D3184&gt;5,E3184&lt;8,E3184&gt;=18,COUNTIF($K$2:$K$10,INT(A3184))&gt;0),1,0)</f>
        <v>1</v>
      </c>
      <c r="G3184" s="34" t="n">
        <f aca="false">B3184/1</f>
        <v>171.935</v>
      </c>
      <c r="H3184" s="34" t="n">
        <f aca="false">IF(F3184=1,G3184,"")</f>
        <v>171.935</v>
      </c>
    </row>
    <row r="3185" customFormat="false" ht="15" hidden="false" customHeight="false" outlineLevel="0" collapsed="false">
      <c r="A3185" s="31" t="n">
        <v>42868.625</v>
      </c>
      <c r="B3185" s="32" t="n">
        <v>172.141</v>
      </c>
      <c r="D3185" s="33" t="n">
        <f aca="false">WEEKDAY(A3185,2)</f>
        <v>6</v>
      </c>
      <c r="E3185" s="33" t="n">
        <f aca="false">HOUR(A3185)+MINUTE(A3185)/60</f>
        <v>15</v>
      </c>
      <c r="F3185" s="33" t="n">
        <f aca="false">IF(OR(D3185&gt;5,E3185&lt;8,E3185&gt;=18,COUNTIF($K$2:$K$10,INT(A3185))&gt;0),1,0)</f>
        <v>1</v>
      </c>
      <c r="G3185" s="34" t="n">
        <f aca="false">B3185/1</f>
        <v>172.141</v>
      </c>
      <c r="H3185" s="34" t="n">
        <f aca="false">IF(F3185=1,G3185,"")</f>
        <v>172.141</v>
      </c>
    </row>
    <row r="3186" customFormat="false" ht="15" hidden="false" customHeight="false" outlineLevel="0" collapsed="false">
      <c r="A3186" s="31" t="n">
        <v>42868.6666666667</v>
      </c>
      <c r="B3186" s="32" t="n">
        <v>175.492</v>
      </c>
      <c r="D3186" s="33" t="n">
        <f aca="false">WEEKDAY(A3186,2)</f>
        <v>6</v>
      </c>
      <c r="E3186" s="33" t="n">
        <f aca="false">HOUR(A3186)+MINUTE(A3186)/60</f>
        <v>16</v>
      </c>
      <c r="F3186" s="33" t="n">
        <f aca="false">IF(OR(D3186&gt;5,E3186&lt;8,E3186&gt;=18,COUNTIF($K$2:$K$10,INT(A3186))&gt;0),1,0)</f>
        <v>1</v>
      </c>
      <c r="G3186" s="34" t="n">
        <f aca="false">B3186/1</f>
        <v>175.492</v>
      </c>
      <c r="H3186" s="34" t="n">
        <f aca="false">IF(F3186=1,G3186,"")</f>
        <v>175.492</v>
      </c>
    </row>
    <row r="3187" customFormat="false" ht="15" hidden="false" customHeight="false" outlineLevel="0" collapsed="false">
      <c r="A3187" s="31" t="n">
        <v>42868.7083333333</v>
      </c>
      <c r="B3187" s="32" t="n">
        <v>166.718</v>
      </c>
      <c r="D3187" s="33" t="n">
        <f aca="false">WEEKDAY(A3187,2)</f>
        <v>6</v>
      </c>
      <c r="E3187" s="33" t="n">
        <f aca="false">HOUR(A3187)+MINUTE(A3187)/60</f>
        <v>17</v>
      </c>
      <c r="F3187" s="33" t="n">
        <f aca="false">IF(OR(D3187&gt;5,E3187&lt;8,E3187&gt;=18,COUNTIF($K$2:$K$10,INT(A3187))&gt;0),1,0)</f>
        <v>1</v>
      </c>
      <c r="G3187" s="34" t="n">
        <f aca="false">B3187/1</f>
        <v>166.718</v>
      </c>
      <c r="H3187" s="34" t="n">
        <f aca="false">IF(F3187=1,G3187,"")</f>
        <v>166.718</v>
      </c>
    </row>
    <row r="3188" customFormat="false" ht="15" hidden="false" customHeight="false" outlineLevel="0" collapsed="false">
      <c r="A3188" s="31" t="n">
        <v>42868.75</v>
      </c>
      <c r="B3188" s="32" t="n">
        <v>71.988</v>
      </c>
      <c r="D3188" s="33" t="n">
        <f aca="false">WEEKDAY(A3188,2)</f>
        <v>6</v>
      </c>
      <c r="E3188" s="33" t="n">
        <f aca="false">HOUR(A3188)+MINUTE(A3188)/60</f>
        <v>18</v>
      </c>
      <c r="F3188" s="33" t="n">
        <f aca="false">IF(OR(D3188&gt;5,E3188&lt;8,E3188&gt;=18,COUNTIF($K$2:$K$10,INT(A3188))&gt;0),1,0)</f>
        <v>1</v>
      </c>
      <c r="G3188" s="34" t="n">
        <f aca="false">B3188/1</f>
        <v>71.988</v>
      </c>
      <c r="H3188" s="34" t="n">
        <f aca="false">IF(F3188=1,G3188,"")</f>
        <v>71.988</v>
      </c>
    </row>
    <row r="3189" customFormat="false" ht="15" hidden="false" customHeight="false" outlineLevel="0" collapsed="false">
      <c r="A3189" s="31" t="n">
        <v>42868.7916666667</v>
      </c>
      <c r="B3189" s="32" t="n">
        <v>53.366</v>
      </c>
      <c r="D3189" s="33" t="n">
        <f aca="false">WEEKDAY(A3189,2)</f>
        <v>6</v>
      </c>
      <c r="E3189" s="33" t="n">
        <f aca="false">HOUR(A3189)+MINUTE(A3189)/60</f>
        <v>19</v>
      </c>
      <c r="F3189" s="33" t="n">
        <f aca="false">IF(OR(D3189&gt;5,E3189&lt;8,E3189&gt;=18,COUNTIF($K$2:$K$10,INT(A3189))&gt;0),1,0)</f>
        <v>1</v>
      </c>
      <c r="G3189" s="34" t="n">
        <f aca="false">B3189/1</f>
        <v>53.366</v>
      </c>
      <c r="H3189" s="34" t="n">
        <f aca="false">IF(F3189=1,G3189,"")</f>
        <v>53.366</v>
      </c>
    </row>
    <row r="3190" customFormat="false" ht="15" hidden="false" customHeight="false" outlineLevel="0" collapsed="false">
      <c r="A3190" s="31" t="n">
        <v>42868.8333333333</v>
      </c>
      <c r="B3190" s="32" t="n">
        <v>55.131</v>
      </c>
      <c r="D3190" s="33" t="n">
        <f aca="false">WEEKDAY(A3190,2)</f>
        <v>6</v>
      </c>
      <c r="E3190" s="33" t="n">
        <f aca="false">HOUR(A3190)+MINUTE(A3190)/60</f>
        <v>20</v>
      </c>
      <c r="F3190" s="33" t="n">
        <f aca="false">IF(OR(D3190&gt;5,E3190&lt;8,E3190&gt;=18,COUNTIF($K$2:$K$10,INT(A3190))&gt;0),1,0)</f>
        <v>1</v>
      </c>
      <c r="G3190" s="34" t="n">
        <f aca="false">B3190/1</f>
        <v>55.131</v>
      </c>
      <c r="H3190" s="34" t="n">
        <f aca="false">IF(F3190=1,G3190,"")</f>
        <v>55.131</v>
      </c>
    </row>
    <row r="3191" customFormat="false" ht="15" hidden="false" customHeight="false" outlineLevel="0" collapsed="false">
      <c r="A3191" s="31" t="n">
        <v>42868.875</v>
      </c>
      <c r="B3191" s="32" t="n">
        <v>53.506</v>
      </c>
      <c r="D3191" s="33" t="n">
        <f aca="false">WEEKDAY(A3191,2)</f>
        <v>6</v>
      </c>
      <c r="E3191" s="33" t="n">
        <f aca="false">HOUR(A3191)+MINUTE(A3191)/60</f>
        <v>21</v>
      </c>
      <c r="F3191" s="33" t="n">
        <f aca="false">IF(OR(D3191&gt;5,E3191&lt;8,E3191&gt;=18,COUNTIF($K$2:$K$10,INT(A3191))&gt;0),1,0)</f>
        <v>1</v>
      </c>
      <c r="G3191" s="34" t="n">
        <f aca="false">B3191/1</f>
        <v>53.506</v>
      </c>
      <c r="H3191" s="34" t="n">
        <f aca="false">IF(F3191=1,G3191,"")</f>
        <v>53.506</v>
      </c>
    </row>
    <row r="3192" customFormat="false" ht="15" hidden="false" customHeight="false" outlineLevel="0" collapsed="false">
      <c r="A3192" s="31" t="n">
        <v>42868.9166666667</v>
      </c>
      <c r="B3192" s="32" t="n">
        <v>58.028</v>
      </c>
      <c r="D3192" s="33" t="n">
        <f aca="false">WEEKDAY(A3192,2)</f>
        <v>6</v>
      </c>
      <c r="E3192" s="33" t="n">
        <f aca="false">HOUR(A3192)+MINUTE(A3192)/60</f>
        <v>22</v>
      </c>
      <c r="F3192" s="33" t="n">
        <f aca="false">IF(OR(D3192&gt;5,E3192&lt;8,E3192&gt;=18,COUNTIF($K$2:$K$10,INT(A3192))&gt;0),1,0)</f>
        <v>1</v>
      </c>
      <c r="G3192" s="34" t="n">
        <f aca="false">B3192/1</f>
        <v>58.028</v>
      </c>
      <c r="H3192" s="34" t="n">
        <f aca="false">IF(F3192=1,G3192,"")</f>
        <v>58.028</v>
      </c>
    </row>
    <row r="3193" customFormat="false" ht="15" hidden="false" customHeight="false" outlineLevel="0" collapsed="false">
      <c r="A3193" s="31" t="n">
        <v>42868.9583333333</v>
      </c>
      <c r="B3193" s="32" t="n">
        <v>51.326</v>
      </c>
      <c r="D3193" s="33" t="n">
        <f aca="false">WEEKDAY(A3193,2)</f>
        <v>6</v>
      </c>
      <c r="E3193" s="33" t="n">
        <f aca="false">HOUR(A3193)+MINUTE(A3193)/60</f>
        <v>23</v>
      </c>
      <c r="F3193" s="33" t="n">
        <f aca="false">IF(OR(D3193&gt;5,E3193&lt;8,E3193&gt;=18,COUNTIF($K$2:$K$10,INT(A3193))&gt;0),1,0)</f>
        <v>1</v>
      </c>
      <c r="G3193" s="34" t="n">
        <f aca="false">B3193/1</f>
        <v>51.326</v>
      </c>
      <c r="H3193" s="34" t="n">
        <f aca="false">IF(F3193=1,G3193,"")</f>
        <v>51.326</v>
      </c>
    </row>
    <row r="3194" customFormat="false" ht="15" hidden="false" customHeight="false" outlineLevel="0" collapsed="false">
      <c r="A3194" s="31" t="n">
        <v>42869</v>
      </c>
      <c r="B3194" s="32" t="n">
        <v>52.459</v>
      </c>
      <c r="D3194" s="33" t="n">
        <f aca="false">WEEKDAY(A3194,2)</f>
        <v>7</v>
      </c>
      <c r="E3194" s="33" t="n">
        <f aca="false">HOUR(A3194)+MINUTE(A3194)/60</f>
        <v>0</v>
      </c>
      <c r="F3194" s="33" t="n">
        <f aca="false">IF(OR(D3194&gt;5,E3194&lt;8,E3194&gt;=18,COUNTIF($K$2:$K$10,INT(A3194))&gt;0),1,0)</f>
        <v>1</v>
      </c>
      <c r="G3194" s="34" t="n">
        <f aca="false">B3194/1</f>
        <v>52.459</v>
      </c>
      <c r="H3194" s="34" t="n">
        <f aca="false">IF(F3194=1,G3194,"")</f>
        <v>52.459</v>
      </c>
    </row>
    <row r="3195" customFormat="false" ht="15" hidden="false" customHeight="false" outlineLevel="0" collapsed="false">
      <c r="A3195" s="31" t="n">
        <v>42869.0416666667</v>
      </c>
      <c r="B3195" s="32" t="n">
        <v>48.029</v>
      </c>
      <c r="D3195" s="33" t="n">
        <f aca="false">WEEKDAY(A3195,2)</f>
        <v>7</v>
      </c>
      <c r="E3195" s="33" t="n">
        <f aca="false">HOUR(A3195)+MINUTE(A3195)/60</f>
        <v>1</v>
      </c>
      <c r="F3195" s="33" t="n">
        <f aca="false">IF(OR(D3195&gt;5,E3195&lt;8,E3195&gt;=18,COUNTIF($K$2:$K$10,INT(A3195))&gt;0),1,0)</f>
        <v>1</v>
      </c>
      <c r="G3195" s="34" t="n">
        <f aca="false">B3195/1</f>
        <v>48.029</v>
      </c>
      <c r="H3195" s="34" t="n">
        <f aca="false">IF(F3195=1,G3195,"")</f>
        <v>48.029</v>
      </c>
    </row>
    <row r="3196" customFormat="false" ht="15" hidden="false" customHeight="false" outlineLevel="0" collapsed="false">
      <c r="A3196" s="31" t="n">
        <v>42869.0833333333</v>
      </c>
      <c r="B3196" s="32" t="n">
        <v>49.694</v>
      </c>
      <c r="D3196" s="33" t="n">
        <f aca="false">WEEKDAY(A3196,2)</f>
        <v>7</v>
      </c>
      <c r="E3196" s="33" t="n">
        <f aca="false">HOUR(A3196)+MINUTE(A3196)/60</f>
        <v>2</v>
      </c>
      <c r="F3196" s="33" t="n">
        <f aca="false">IF(OR(D3196&gt;5,E3196&lt;8,E3196&gt;=18,COUNTIF($K$2:$K$10,INT(A3196))&gt;0),1,0)</f>
        <v>1</v>
      </c>
      <c r="G3196" s="34" t="n">
        <f aca="false">B3196/1</f>
        <v>49.694</v>
      </c>
      <c r="H3196" s="34" t="n">
        <f aca="false">IF(F3196=1,G3196,"")</f>
        <v>49.694</v>
      </c>
    </row>
    <row r="3197" customFormat="false" ht="15" hidden="false" customHeight="false" outlineLevel="0" collapsed="false">
      <c r="A3197" s="31" t="n">
        <v>42869.125</v>
      </c>
      <c r="B3197" s="32" t="n">
        <v>49.009</v>
      </c>
      <c r="D3197" s="33" t="n">
        <f aca="false">WEEKDAY(A3197,2)</f>
        <v>7</v>
      </c>
      <c r="E3197" s="33" t="n">
        <f aca="false">HOUR(A3197)+MINUTE(A3197)/60</f>
        <v>3</v>
      </c>
      <c r="F3197" s="33" t="n">
        <f aca="false">IF(OR(D3197&gt;5,E3197&lt;8,E3197&gt;=18,COUNTIF($K$2:$K$10,INT(A3197))&gt;0),1,0)</f>
        <v>1</v>
      </c>
      <c r="G3197" s="34" t="n">
        <f aca="false">B3197/1</f>
        <v>49.009</v>
      </c>
      <c r="H3197" s="34" t="n">
        <f aca="false">IF(F3197=1,G3197,"")</f>
        <v>49.009</v>
      </c>
    </row>
    <row r="3198" customFormat="false" ht="15" hidden="false" customHeight="false" outlineLevel="0" collapsed="false">
      <c r="A3198" s="31" t="n">
        <v>42869.1666666667</v>
      </c>
      <c r="B3198" s="32" t="n">
        <v>49.577</v>
      </c>
      <c r="D3198" s="33" t="n">
        <f aca="false">WEEKDAY(A3198,2)</f>
        <v>7</v>
      </c>
      <c r="E3198" s="33" t="n">
        <f aca="false">HOUR(A3198)+MINUTE(A3198)/60</f>
        <v>4</v>
      </c>
      <c r="F3198" s="33" t="n">
        <f aca="false">IF(OR(D3198&gt;5,E3198&lt;8,E3198&gt;=18,COUNTIF($K$2:$K$10,INT(A3198))&gt;0),1,0)</f>
        <v>1</v>
      </c>
      <c r="G3198" s="34" t="n">
        <f aca="false">B3198/1</f>
        <v>49.577</v>
      </c>
      <c r="H3198" s="34" t="n">
        <f aca="false">IF(F3198=1,G3198,"")</f>
        <v>49.577</v>
      </c>
    </row>
    <row r="3199" customFormat="false" ht="15" hidden="false" customHeight="false" outlineLevel="0" collapsed="false">
      <c r="A3199" s="31" t="n">
        <v>42869.2083333333</v>
      </c>
      <c r="B3199" s="32" t="n">
        <v>49.749</v>
      </c>
      <c r="D3199" s="33" t="n">
        <f aca="false">WEEKDAY(A3199,2)</f>
        <v>7</v>
      </c>
      <c r="E3199" s="33" t="n">
        <f aca="false">HOUR(A3199)+MINUTE(A3199)/60</f>
        <v>5</v>
      </c>
      <c r="F3199" s="33" t="n">
        <f aca="false">IF(OR(D3199&gt;5,E3199&lt;8,E3199&gt;=18,COUNTIF($K$2:$K$10,INT(A3199))&gt;0),1,0)</f>
        <v>1</v>
      </c>
      <c r="G3199" s="34" t="n">
        <f aca="false">B3199/1</f>
        <v>49.749</v>
      </c>
      <c r="H3199" s="34" t="n">
        <f aca="false">IF(F3199=1,G3199,"")</f>
        <v>49.749</v>
      </c>
    </row>
    <row r="3200" customFormat="false" ht="15" hidden="false" customHeight="false" outlineLevel="0" collapsed="false">
      <c r="A3200" s="31" t="n">
        <v>42869.25</v>
      </c>
      <c r="B3200" s="32" t="n">
        <v>49.166</v>
      </c>
      <c r="D3200" s="33" t="n">
        <f aca="false">WEEKDAY(A3200,2)</f>
        <v>7</v>
      </c>
      <c r="E3200" s="33" t="n">
        <f aca="false">HOUR(A3200)+MINUTE(A3200)/60</f>
        <v>6</v>
      </c>
      <c r="F3200" s="33" t="n">
        <f aca="false">IF(OR(D3200&gt;5,E3200&lt;8,E3200&gt;=18,COUNTIF($K$2:$K$10,INT(A3200))&gt;0),1,0)</f>
        <v>1</v>
      </c>
      <c r="G3200" s="34" t="n">
        <f aca="false">B3200/1</f>
        <v>49.166</v>
      </c>
      <c r="H3200" s="34" t="n">
        <f aca="false">IF(F3200=1,G3200,"")</f>
        <v>49.166</v>
      </c>
    </row>
    <row r="3201" customFormat="false" ht="15" hidden="false" customHeight="false" outlineLevel="0" collapsed="false">
      <c r="A3201" s="31" t="n">
        <v>42869.2916666667</v>
      </c>
      <c r="B3201" s="32" t="n">
        <v>47.661</v>
      </c>
      <c r="D3201" s="33" t="n">
        <f aca="false">WEEKDAY(A3201,2)</f>
        <v>7</v>
      </c>
      <c r="E3201" s="33" t="n">
        <f aca="false">HOUR(A3201)+MINUTE(A3201)/60</f>
        <v>7</v>
      </c>
      <c r="F3201" s="33" t="n">
        <f aca="false">IF(OR(D3201&gt;5,E3201&lt;8,E3201&gt;=18,COUNTIF($K$2:$K$10,INT(A3201))&gt;0),1,0)</f>
        <v>1</v>
      </c>
      <c r="G3201" s="34" t="n">
        <f aca="false">B3201/1</f>
        <v>47.661</v>
      </c>
      <c r="H3201" s="34" t="n">
        <f aca="false">IF(F3201=1,G3201,"")</f>
        <v>47.661</v>
      </c>
    </row>
    <row r="3202" customFormat="false" ht="15" hidden="false" customHeight="false" outlineLevel="0" collapsed="false">
      <c r="A3202" s="31" t="n">
        <v>42869.3333333333</v>
      </c>
      <c r="B3202" s="32" t="n">
        <v>47.715</v>
      </c>
      <c r="D3202" s="33" t="n">
        <f aca="false">WEEKDAY(A3202,2)</f>
        <v>7</v>
      </c>
      <c r="E3202" s="33" t="n">
        <f aca="false">HOUR(A3202)+MINUTE(A3202)/60</f>
        <v>8</v>
      </c>
      <c r="F3202" s="33" t="n">
        <f aca="false">IF(OR(D3202&gt;5,E3202&lt;8,E3202&gt;=18,COUNTIF($K$2:$K$10,INT(A3202))&gt;0),1,0)</f>
        <v>1</v>
      </c>
      <c r="G3202" s="34" t="n">
        <f aca="false">B3202/1</f>
        <v>47.715</v>
      </c>
      <c r="H3202" s="34" t="n">
        <f aca="false">IF(F3202=1,G3202,"")</f>
        <v>47.715</v>
      </c>
    </row>
    <row r="3203" customFormat="false" ht="15" hidden="false" customHeight="false" outlineLevel="0" collapsed="false">
      <c r="A3203" s="31" t="n">
        <v>42869.375</v>
      </c>
      <c r="B3203" s="32" t="n">
        <v>46.71</v>
      </c>
      <c r="D3203" s="33" t="n">
        <f aca="false">WEEKDAY(A3203,2)</f>
        <v>7</v>
      </c>
      <c r="E3203" s="33" t="n">
        <f aca="false">HOUR(A3203)+MINUTE(A3203)/60</f>
        <v>9</v>
      </c>
      <c r="F3203" s="33" t="n">
        <f aca="false">IF(OR(D3203&gt;5,E3203&lt;8,E3203&gt;=18,COUNTIF($K$2:$K$10,INT(A3203))&gt;0),1,0)</f>
        <v>1</v>
      </c>
      <c r="G3203" s="34" t="n">
        <f aca="false">B3203/1</f>
        <v>46.71</v>
      </c>
      <c r="H3203" s="34" t="n">
        <f aca="false">IF(F3203=1,G3203,"")</f>
        <v>46.71</v>
      </c>
    </row>
    <row r="3204" customFormat="false" ht="15" hidden="false" customHeight="false" outlineLevel="0" collapsed="false">
      <c r="A3204" s="31" t="n">
        <v>42869.4166666667</v>
      </c>
      <c r="B3204" s="32" t="n">
        <v>45.944</v>
      </c>
      <c r="D3204" s="33" t="n">
        <f aca="false">WEEKDAY(A3204,2)</f>
        <v>7</v>
      </c>
      <c r="E3204" s="33" t="n">
        <f aca="false">HOUR(A3204)+MINUTE(A3204)/60</f>
        <v>10</v>
      </c>
      <c r="F3204" s="33" t="n">
        <f aca="false">IF(OR(D3204&gt;5,E3204&lt;8,E3204&gt;=18,COUNTIF($K$2:$K$10,INT(A3204))&gt;0),1,0)</f>
        <v>1</v>
      </c>
      <c r="G3204" s="34" t="n">
        <f aca="false">B3204/1</f>
        <v>45.944</v>
      </c>
      <c r="H3204" s="34" t="n">
        <f aca="false">IF(F3204=1,G3204,"")</f>
        <v>45.944</v>
      </c>
    </row>
    <row r="3205" customFormat="false" ht="15" hidden="false" customHeight="false" outlineLevel="0" collapsed="false">
      <c r="A3205" s="31" t="n">
        <v>42869.4583333333</v>
      </c>
      <c r="B3205" s="32" t="n">
        <v>49.092</v>
      </c>
      <c r="D3205" s="33" t="n">
        <f aca="false">WEEKDAY(A3205,2)</f>
        <v>7</v>
      </c>
      <c r="E3205" s="33" t="n">
        <f aca="false">HOUR(A3205)+MINUTE(A3205)/60</f>
        <v>11</v>
      </c>
      <c r="F3205" s="33" t="n">
        <f aca="false">IF(OR(D3205&gt;5,E3205&lt;8,E3205&gt;=18,COUNTIF($K$2:$K$10,INT(A3205))&gt;0),1,0)</f>
        <v>1</v>
      </c>
      <c r="G3205" s="34" t="n">
        <f aca="false">B3205/1</f>
        <v>49.092</v>
      </c>
      <c r="H3205" s="34" t="n">
        <f aca="false">IF(F3205=1,G3205,"")</f>
        <v>49.092</v>
      </c>
    </row>
    <row r="3206" customFormat="false" ht="15" hidden="false" customHeight="false" outlineLevel="0" collapsed="false">
      <c r="A3206" s="31" t="n">
        <v>42869.5</v>
      </c>
      <c r="B3206" s="32" t="n">
        <v>49.441</v>
      </c>
      <c r="D3206" s="33" t="n">
        <f aca="false">WEEKDAY(A3206,2)</f>
        <v>7</v>
      </c>
      <c r="E3206" s="33" t="n">
        <f aca="false">HOUR(A3206)+MINUTE(A3206)/60</f>
        <v>12</v>
      </c>
      <c r="F3206" s="33" t="n">
        <f aca="false">IF(OR(D3206&gt;5,E3206&lt;8,E3206&gt;=18,COUNTIF($K$2:$K$10,INT(A3206))&gt;0),1,0)</f>
        <v>1</v>
      </c>
      <c r="G3206" s="34" t="n">
        <f aca="false">B3206/1</f>
        <v>49.441</v>
      </c>
      <c r="H3206" s="34" t="n">
        <f aca="false">IF(F3206=1,G3206,"")</f>
        <v>49.441</v>
      </c>
    </row>
    <row r="3207" customFormat="false" ht="15" hidden="false" customHeight="false" outlineLevel="0" collapsed="false">
      <c r="A3207" s="31" t="n">
        <v>42869.5416666667</v>
      </c>
      <c r="B3207" s="32" t="n">
        <v>112.433</v>
      </c>
      <c r="D3207" s="33" t="n">
        <f aca="false">WEEKDAY(A3207,2)</f>
        <v>7</v>
      </c>
      <c r="E3207" s="33" t="n">
        <f aca="false">HOUR(A3207)+MINUTE(A3207)/60</f>
        <v>13</v>
      </c>
      <c r="F3207" s="33" t="n">
        <f aca="false">IF(OR(D3207&gt;5,E3207&lt;8,E3207&gt;=18,COUNTIF($K$2:$K$10,INT(A3207))&gt;0),1,0)</f>
        <v>1</v>
      </c>
      <c r="G3207" s="34" t="n">
        <f aca="false">B3207/1</f>
        <v>112.433</v>
      </c>
      <c r="H3207" s="34" t="n">
        <f aca="false">IF(F3207=1,G3207,"")</f>
        <v>112.433</v>
      </c>
    </row>
    <row r="3208" customFormat="false" ht="15" hidden="false" customHeight="false" outlineLevel="0" collapsed="false">
      <c r="A3208" s="31" t="n">
        <v>42869.5833333333</v>
      </c>
      <c r="B3208" s="32" t="n">
        <v>139.213</v>
      </c>
      <c r="D3208" s="33" t="n">
        <f aca="false">WEEKDAY(A3208,2)</f>
        <v>7</v>
      </c>
      <c r="E3208" s="33" t="n">
        <f aca="false">HOUR(A3208)+MINUTE(A3208)/60</f>
        <v>14</v>
      </c>
      <c r="F3208" s="33" t="n">
        <f aca="false">IF(OR(D3208&gt;5,E3208&lt;8,E3208&gt;=18,COUNTIF($K$2:$K$10,INT(A3208))&gt;0),1,0)</f>
        <v>1</v>
      </c>
      <c r="G3208" s="34" t="n">
        <f aca="false">B3208/1</f>
        <v>139.213</v>
      </c>
      <c r="H3208" s="34" t="n">
        <f aca="false">IF(F3208=1,G3208,"")</f>
        <v>139.213</v>
      </c>
    </row>
    <row r="3209" customFormat="false" ht="15" hidden="false" customHeight="false" outlineLevel="0" collapsed="false">
      <c r="A3209" s="31" t="n">
        <v>42869.625</v>
      </c>
      <c r="B3209" s="32" t="n">
        <v>140.173</v>
      </c>
      <c r="D3209" s="33" t="n">
        <f aca="false">WEEKDAY(A3209,2)</f>
        <v>7</v>
      </c>
      <c r="E3209" s="33" t="n">
        <f aca="false">HOUR(A3209)+MINUTE(A3209)/60</f>
        <v>15</v>
      </c>
      <c r="F3209" s="33" t="n">
        <f aca="false">IF(OR(D3209&gt;5,E3209&lt;8,E3209&gt;=18,COUNTIF($K$2:$K$10,INT(A3209))&gt;0),1,0)</f>
        <v>1</v>
      </c>
      <c r="G3209" s="34" t="n">
        <f aca="false">B3209/1</f>
        <v>140.173</v>
      </c>
      <c r="H3209" s="34" t="n">
        <f aca="false">IF(F3209=1,G3209,"")</f>
        <v>140.173</v>
      </c>
    </row>
    <row r="3210" customFormat="false" ht="15" hidden="false" customHeight="false" outlineLevel="0" collapsed="false">
      <c r="A3210" s="31" t="n">
        <v>42869.6666666667</v>
      </c>
      <c r="B3210" s="32" t="n">
        <v>140.139</v>
      </c>
      <c r="D3210" s="33" t="n">
        <f aca="false">WEEKDAY(A3210,2)</f>
        <v>7</v>
      </c>
      <c r="E3210" s="33" t="n">
        <f aca="false">HOUR(A3210)+MINUTE(A3210)/60</f>
        <v>16</v>
      </c>
      <c r="F3210" s="33" t="n">
        <f aca="false">IF(OR(D3210&gt;5,E3210&lt;8,E3210&gt;=18,COUNTIF($K$2:$K$10,INT(A3210))&gt;0),1,0)</f>
        <v>1</v>
      </c>
      <c r="G3210" s="34" t="n">
        <f aca="false">B3210/1</f>
        <v>140.139</v>
      </c>
      <c r="H3210" s="34" t="n">
        <f aca="false">IF(F3210=1,G3210,"")</f>
        <v>140.139</v>
      </c>
    </row>
    <row r="3211" customFormat="false" ht="15" hidden="false" customHeight="false" outlineLevel="0" collapsed="false">
      <c r="A3211" s="31" t="n">
        <v>42869.7083333333</v>
      </c>
      <c r="B3211" s="32" t="n">
        <v>141.673</v>
      </c>
      <c r="D3211" s="33" t="n">
        <f aca="false">WEEKDAY(A3211,2)</f>
        <v>7</v>
      </c>
      <c r="E3211" s="33" t="n">
        <f aca="false">HOUR(A3211)+MINUTE(A3211)/60</f>
        <v>17</v>
      </c>
      <c r="F3211" s="33" t="n">
        <f aca="false">IF(OR(D3211&gt;5,E3211&lt;8,E3211&gt;=18,COUNTIF($K$2:$K$10,INT(A3211))&gt;0),1,0)</f>
        <v>1</v>
      </c>
      <c r="G3211" s="34" t="n">
        <f aca="false">B3211/1</f>
        <v>141.673</v>
      </c>
      <c r="H3211" s="34" t="n">
        <f aca="false">IF(F3211=1,G3211,"")</f>
        <v>141.673</v>
      </c>
    </row>
    <row r="3212" customFormat="false" ht="15" hidden="false" customHeight="false" outlineLevel="0" collapsed="false">
      <c r="A3212" s="31" t="n">
        <v>42869.75</v>
      </c>
      <c r="B3212" s="32" t="n">
        <v>56.288</v>
      </c>
      <c r="D3212" s="33" t="n">
        <f aca="false">WEEKDAY(A3212,2)</f>
        <v>7</v>
      </c>
      <c r="E3212" s="33" t="n">
        <f aca="false">HOUR(A3212)+MINUTE(A3212)/60</f>
        <v>18</v>
      </c>
      <c r="F3212" s="33" t="n">
        <f aca="false">IF(OR(D3212&gt;5,E3212&lt;8,E3212&gt;=18,COUNTIF($K$2:$K$10,INT(A3212))&gt;0),1,0)</f>
        <v>1</v>
      </c>
      <c r="G3212" s="34" t="n">
        <f aca="false">B3212/1</f>
        <v>56.288</v>
      </c>
      <c r="H3212" s="34" t="n">
        <f aca="false">IF(F3212=1,G3212,"")</f>
        <v>56.288</v>
      </c>
    </row>
    <row r="3213" customFormat="false" ht="15" hidden="false" customHeight="false" outlineLevel="0" collapsed="false">
      <c r="A3213" s="31" t="n">
        <v>42869.7916666667</v>
      </c>
      <c r="B3213" s="32" t="n">
        <v>48.11</v>
      </c>
      <c r="D3213" s="33" t="n">
        <f aca="false">WEEKDAY(A3213,2)</f>
        <v>7</v>
      </c>
      <c r="E3213" s="33" t="n">
        <f aca="false">HOUR(A3213)+MINUTE(A3213)/60</f>
        <v>19</v>
      </c>
      <c r="F3213" s="33" t="n">
        <f aca="false">IF(OR(D3213&gt;5,E3213&lt;8,E3213&gt;=18,COUNTIF($K$2:$K$10,INT(A3213))&gt;0),1,0)</f>
        <v>1</v>
      </c>
      <c r="G3213" s="34" t="n">
        <f aca="false">B3213/1</f>
        <v>48.11</v>
      </c>
      <c r="H3213" s="34" t="n">
        <f aca="false">IF(F3213=1,G3213,"")</f>
        <v>48.11</v>
      </c>
    </row>
    <row r="3214" customFormat="false" ht="15" hidden="false" customHeight="false" outlineLevel="0" collapsed="false">
      <c r="A3214" s="31" t="n">
        <v>42869.8333333333</v>
      </c>
      <c r="B3214" s="32" t="n">
        <v>48.24</v>
      </c>
      <c r="D3214" s="33" t="n">
        <f aca="false">WEEKDAY(A3214,2)</f>
        <v>7</v>
      </c>
      <c r="E3214" s="33" t="n">
        <f aca="false">HOUR(A3214)+MINUTE(A3214)/60</f>
        <v>20</v>
      </c>
      <c r="F3214" s="33" t="n">
        <f aca="false">IF(OR(D3214&gt;5,E3214&lt;8,E3214&gt;=18,COUNTIF($K$2:$K$10,INT(A3214))&gt;0),1,0)</f>
        <v>1</v>
      </c>
      <c r="G3214" s="34" t="n">
        <f aca="false">B3214/1</f>
        <v>48.24</v>
      </c>
      <c r="H3214" s="34" t="n">
        <f aca="false">IF(F3214=1,G3214,"")</f>
        <v>48.24</v>
      </c>
    </row>
    <row r="3215" customFormat="false" ht="15" hidden="false" customHeight="false" outlineLevel="0" collapsed="false">
      <c r="A3215" s="31" t="n">
        <v>42869.875</v>
      </c>
      <c r="B3215" s="32" t="n">
        <v>48.038</v>
      </c>
      <c r="D3215" s="33" t="n">
        <f aca="false">WEEKDAY(A3215,2)</f>
        <v>7</v>
      </c>
      <c r="E3215" s="33" t="n">
        <f aca="false">HOUR(A3215)+MINUTE(A3215)/60</f>
        <v>21</v>
      </c>
      <c r="F3215" s="33" t="n">
        <f aca="false">IF(OR(D3215&gt;5,E3215&lt;8,E3215&gt;=18,COUNTIF($K$2:$K$10,INT(A3215))&gt;0),1,0)</f>
        <v>1</v>
      </c>
      <c r="G3215" s="34" t="n">
        <f aca="false">B3215/1</f>
        <v>48.038</v>
      </c>
      <c r="H3215" s="34" t="n">
        <f aca="false">IF(F3215=1,G3215,"")</f>
        <v>48.038</v>
      </c>
    </row>
    <row r="3216" customFormat="false" ht="15" hidden="false" customHeight="false" outlineLevel="0" collapsed="false">
      <c r="A3216" s="31" t="n">
        <v>42869.9166666667</v>
      </c>
      <c r="B3216" s="32" t="n">
        <v>50.537</v>
      </c>
      <c r="D3216" s="33" t="n">
        <f aca="false">WEEKDAY(A3216,2)</f>
        <v>7</v>
      </c>
      <c r="E3216" s="33" t="n">
        <f aca="false">HOUR(A3216)+MINUTE(A3216)/60</f>
        <v>22</v>
      </c>
      <c r="F3216" s="33" t="n">
        <f aca="false">IF(OR(D3216&gt;5,E3216&lt;8,E3216&gt;=18,COUNTIF($K$2:$K$10,INT(A3216))&gt;0),1,0)</f>
        <v>1</v>
      </c>
      <c r="G3216" s="34" t="n">
        <f aca="false">B3216/1</f>
        <v>50.537</v>
      </c>
      <c r="H3216" s="34" t="n">
        <f aca="false">IF(F3216=1,G3216,"")</f>
        <v>50.537</v>
      </c>
    </row>
    <row r="3217" customFormat="false" ht="15" hidden="false" customHeight="false" outlineLevel="0" collapsed="false">
      <c r="A3217" s="31" t="n">
        <v>42869.9583333333</v>
      </c>
      <c r="B3217" s="32" t="n">
        <v>49.628</v>
      </c>
      <c r="D3217" s="33" t="n">
        <f aca="false">WEEKDAY(A3217,2)</f>
        <v>7</v>
      </c>
      <c r="E3217" s="33" t="n">
        <f aca="false">HOUR(A3217)+MINUTE(A3217)/60</f>
        <v>23</v>
      </c>
      <c r="F3217" s="33" t="n">
        <f aca="false">IF(OR(D3217&gt;5,E3217&lt;8,E3217&gt;=18,COUNTIF($K$2:$K$10,INT(A3217))&gt;0),1,0)</f>
        <v>1</v>
      </c>
      <c r="G3217" s="34" t="n">
        <f aca="false">B3217/1</f>
        <v>49.628</v>
      </c>
      <c r="H3217" s="34" t="n">
        <f aca="false">IF(F3217=1,G3217,"")</f>
        <v>49.628</v>
      </c>
    </row>
    <row r="3218" customFormat="false" ht="15" hidden="false" customHeight="false" outlineLevel="0" collapsed="false">
      <c r="A3218" s="31" t="n">
        <v>42870</v>
      </c>
      <c r="B3218" s="32" t="n">
        <v>48.188</v>
      </c>
      <c r="D3218" s="33" t="n">
        <f aca="false">WEEKDAY(A3218,2)</f>
        <v>1</v>
      </c>
      <c r="E3218" s="33" t="n">
        <f aca="false">HOUR(A3218)+MINUTE(A3218)/60</f>
        <v>0</v>
      </c>
      <c r="F3218" s="33" t="n">
        <f aca="false">IF(OR(D3218&gt;5,E3218&lt;8,E3218&gt;=18,COUNTIF($K$2:$K$10,INT(A3218))&gt;0),1,0)</f>
        <v>1</v>
      </c>
      <c r="G3218" s="34" t="n">
        <f aca="false">B3218/1</f>
        <v>48.188</v>
      </c>
      <c r="H3218" s="34" t="n">
        <f aca="false">IF(F3218=1,G3218,"")</f>
        <v>48.188</v>
      </c>
    </row>
    <row r="3219" customFormat="false" ht="15" hidden="false" customHeight="false" outlineLevel="0" collapsed="false">
      <c r="A3219" s="31" t="n">
        <v>42870.0416666667</v>
      </c>
      <c r="B3219" s="32" t="n">
        <v>48.665</v>
      </c>
      <c r="D3219" s="33" t="n">
        <f aca="false">WEEKDAY(A3219,2)</f>
        <v>1</v>
      </c>
      <c r="E3219" s="33" t="n">
        <f aca="false">HOUR(A3219)+MINUTE(A3219)/60</f>
        <v>1</v>
      </c>
      <c r="F3219" s="33" t="n">
        <f aca="false">IF(OR(D3219&gt;5,E3219&lt;8,E3219&gt;=18,COUNTIF($K$2:$K$10,INT(A3219))&gt;0),1,0)</f>
        <v>1</v>
      </c>
      <c r="G3219" s="34" t="n">
        <f aca="false">B3219/1</f>
        <v>48.665</v>
      </c>
      <c r="H3219" s="34" t="n">
        <f aca="false">IF(F3219=1,G3219,"")</f>
        <v>48.665</v>
      </c>
    </row>
    <row r="3220" customFormat="false" ht="15" hidden="false" customHeight="false" outlineLevel="0" collapsed="false">
      <c r="A3220" s="31" t="n">
        <v>42870.0833333333</v>
      </c>
      <c r="B3220" s="32" t="n">
        <v>47.86</v>
      </c>
      <c r="D3220" s="33" t="n">
        <f aca="false">WEEKDAY(A3220,2)</f>
        <v>1</v>
      </c>
      <c r="E3220" s="33" t="n">
        <f aca="false">HOUR(A3220)+MINUTE(A3220)/60</f>
        <v>2</v>
      </c>
      <c r="F3220" s="33" t="n">
        <f aca="false">IF(OR(D3220&gt;5,E3220&lt;8,E3220&gt;=18,COUNTIF($K$2:$K$10,INT(A3220))&gt;0),1,0)</f>
        <v>1</v>
      </c>
      <c r="G3220" s="34" t="n">
        <f aca="false">B3220/1</f>
        <v>47.86</v>
      </c>
      <c r="H3220" s="34" t="n">
        <f aca="false">IF(F3220=1,G3220,"")</f>
        <v>47.86</v>
      </c>
    </row>
    <row r="3221" customFormat="false" ht="15" hidden="false" customHeight="false" outlineLevel="0" collapsed="false">
      <c r="A3221" s="31" t="n">
        <v>42870.125</v>
      </c>
      <c r="B3221" s="32" t="n">
        <v>48.406</v>
      </c>
      <c r="D3221" s="33" t="n">
        <f aca="false">WEEKDAY(A3221,2)</f>
        <v>1</v>
      </c>
      <c r="E3221" s="33" t="n">
        <f aca="false">HOUR(A3221)+MINUTE(A3221)/60</f>
        <v>3</v>
      </c>
      <c r="F3221" s="33" t="n">
        <f aca="false">IF(OR(D3221&gt;5,E3221&lt;8,E3221&gt;=18,COUNTIF($K$2:$K$10,INT(A3221))&gt;0),1,0)</f>
        <v>1</v>
      </c>
      <c r="G3221" s="34" t="n">
        <f aca="false">B3221/1</f>
        <v>48.406</v>
      </c>
      <c r="H3221" s="34" t="n">
        <f aca="false">IF(F3221=1,G3221,"")</f>
        <v>48.406</v>
      </c>
    </row>
    <row r="3222" customFormat="false" ht="15" hidden="false" customHeight="false" outlineLevel="0" collapsed="false">
      <c r="A3222" s="31" t="n">
        <v>42870.1666666667</v>
      </c>
      <c r="B3222" s="32" t="n">
        <v>48.483</v>
      </c>
      <c r="D3222" s="33" t="n">
        <f aca="false">WEEKDAY(A3222,2)</f>
        <v>1</v>
      </c>
      <c r="E3222" s="33" t="n">
        <f aca="false">HOUR(A3222)+MINUTE(A3222)/60</f>
        <v>4</v>
      </c>
      <c r="F3222" s="33" t="n">
        <f aca="false">IF(OR(D3222&gt;5,E3222&lt;8,E3222&gt;=18,COUNTIF($K$2:$K$10,INT(A3222))&gt;0),1,0)</f>
        <v>1</v>
      </c>
      <c r="G3222" s="34" t="n">
        <f aca="false">B3222/1</f>
        <v>48.483</v>
      </c>
      <c r="H3222" s="34" t="n">
        <f aca="false">IF(F3222=1,G3222,"")</f>
        <v>48.483</v>
      </c>
    </row>
    <row r="3223" customFormat="false" ht="15" hidden="false" customHeight="false" outlineLevel="0" collapsed="false">
      <c r="A3223" s="31" t="n">
        <v>42870.2083333333</v>
      </c>
      <c r="B3223" s="32" t="n">
        <v>48.235</v>
      </c>
      <c r="D3223" s="33" t="n">
        <f aca="false">WEEKDAY(A3223,2)</f>
        <v>1</v>
      </c>
      <c r="E3223" s="33" t="n">
        <f aca="false">HOUR(A3223)+MINUTE(A3223)/60</f>
        <v>5</v>
      </c>
      <c r="F3223" s="33" t="n">
        <f aca="false">IF(OR(D3223&gt;5,E3223&lt;8,E3223&gt;=18,COUNTIF($K$2:$K$10,INT(A3223))&gt;0),1,0)</f>
        <v>1</v>
      </c>
      <c r="G3223" s="34" t="n">
        <f aca="false">B3223/1</f>
        <v>48.235</v>
      </c>
      <c r="H3223" s="34" t="n">
        <f aca="false">IF(F3223=1,G3223,"")</f>
        <v>48.235</v>
      </c>
    </row>
    <row r="3224" customFormat="false" ht="15" hidden="false" customHeight="false" outlineLevel="0" collapsed="false">
      <c r="A3224" s="31" t="n">
        <v>42870.25</v>
      </c>
      <c r="B3224" s="32" t="n">
        <v>49.016</v>
      </c>
      <c r="D3224" s="33" t="n">
        <f aca="false">WEEKDAY(A3224,2)</f>
        <v>1</v>
      </c>
      <c r="E3224" s="33" t="n">
        <f aca="false">HOUR(A3224)+MINUTE(A3224)/60</f>
        <v>6</v>
      </c>
      <c r="F3224" s="33" t="n">
        <f aca="false">IF(OR(D3224&gt;5,E3224&lt;8,E3224&gt;=18,COUNTIF($K$2:$K$10,INT(A3224))&gt;0),1,0)</f>
        <v>1</v>
      </c>
      <c r="G3224" s="34" t="n">
        <f aca="false">B3224/1</f>
        <v>49.016</v>
      </c>
      <c r="H3224" s="34" t="n">
        <f aca="false">IF(F3224=1,G3224,"")</f>
        <v>49.016</v>
      </c>
    </row>
    <row r="3225" customFormat="false" ht="15" hidden="false" customHeight="false" outlineLevel="0" collapsed="false">
      <c r="A3225" s="31" t="n">
        <v>42870.2916666667</v>
      </c>
      <c r="B3225" s="32" t="n">
        <v>82.594</v>
      </c>
      <c r="D3225" s="33" t="n">
        <f aca="false">WEEKDAY(A3225,2)</f>
        <v>1</v>
      </c>
      <c r="E3225" s="33" t="n">
        <f aca="false">HOUR(A3225)+MINUTE(A3225)/60</f>
        <v>7</v>
      </c>
      <c r="F3225" s="33" t="n">
        <f aca="false">IF(OR(D3225&gt;5,E3225&lt;8,E3225&gt;=18,COUNTIF($K$2:$K$10,INT(A3225))&gt;0),1,0)</f>
        <v>1</v>
      </c>
      <c r="G3225" s="34" t="n">
        <f aca="false">B3225/1</f>
        <v>82.594</v>
      </c>
      <c r="H3225" s="34" t="n">
        <f aca="false">IF(F3225=1,G3225,"")</f>
        <v>82.594</v>
      </c>
    </row>
    <row r="3226" customFormat="false" ht="15" hidden="false" customHeight="false" outlineLevel="0" collapsed="false">
      <c r="A3226" s="31" t="n">
        <v>42870.3333333333</v>
      </c>
      <c r="B3226" s="32" t="n">
        <v>173.796</v>
      </c>
      <c r="D3226" s="33" t="n">
        <f aca="false">WEEKDAY(A3226,2)</f>
        <v>1</v>
      </c>
      <c r="E3226" s="33" t="n">
        <f aca="false">HOUR(A3226)+MINUTE(A3226)/60</f>
        <v>8</v>
      </c>
      <c r="F3226" s="33" t="n">
        <f aca="false">IF(OR(D3226&gt;5,E3226&lt;8,E3226&gt;=18,COUNTIF($K$2:$K$10,INT(A3226))&gt;0),1,0)</f>
        <v>0</v>
      </c>
      <c r="G3226" s="34" t="n">
        <f aca="false">B3226/1</f>
        <v>173.796</v>
      </c>
      <c r="H3226" s="34" t="str">
        <f aca="false">IF(F3226=1,G3226,"")</f>
        <v/>
      </c>
    </row>
    <row r="3227" customFormat="false" ht="15" hidden="false" customHeight="false" outlineLevel="0" collapsed="false">
      <c r="A3227" s="31" t="n">
        <v>42870.375</v>
      </c>
      <c r="B3227" s="32" t="n">
        <v>199.456</v>
      </c>
      <c r="D3227" s="33" t="n">
        <f aca="false">WEEKDAY(A3227,2)</f>
        <v>1</v>
      </c>
      <c r="E3227" s="33" t="n">
        <f aca="false">HOUR(A3227)+MINUTE(A3227)/60</f>
        <v>9</v>
      </c>
      <c r="F3227" s="33" t="n">
        <f aca="false">IF(OR(D3227&gt;5,E3227&lt;8,E3227&gt;=18,COUNTIF($K$2:$K$10,INT(A3227))&gt;0),1,0)</f>
        <v>0</v>
      </c>
      <c r="G3227" s="34" t="n">
        <f aca="false">B3227/1</f>
        <v>199.456</v>
      </c>
      <c r="H3227" s="34" t="str">
        <f aca="false">IF(F3227=1,G3227,"")</f>
        <v/>
      </c>
    </row>
    <row r="3228" customFormat="false" ht="15" hidden="false" customHeight="false" outlineLevel="0" collapsed="false">
      <c r="A3228" s="31" t="n">
        <v>42870.4166666667</v>
      </c>
      <c r="B3228" s="32" t="n">
        <v>208.135</v>
      </c>
      <c r="D3228" s="33" t="n">
        <f aca="false">WEEKDAY(A3228,2)</f>
        <v>1</v>
      </c>
      <c r="E3228" s="33" t="n">
        <f aca="false">HOUR(A3228)+MINUTE(A3228)/60</f>
        <v>10</v>
      </c>
      <c r="F3228" s="33" t="n">
        <f aca="false">IF(OR(D3228&gt;5,E3228&lt;8,E3228&gt;=18,COUNTIF($K$2:$K$10,INT(A3228))&gt;0),1,0)</f>
        <v>0</v>
      </c>
      <c r="G3228" s="34" t="n">
        <f aca="false">B3228/1</f>
        <v>208.135</v>
      </c>
      <c r="H3228" s="34" t="str">
        <f aca="false">IF(F3228=1,G3228,"")</f>
        <v/>
      </c>
    </row>
    <row r="3229" customFormat="false" ht="15" hidden="false" customHeight="false" outlineLevel="0" collapsed="false">
      <c r="A3229" s="31" t="n">
        <v>42870.4583333333</v>
      </c>
      <c r="B3229" s="32" t="n">
        <v>214.848</v>
      </c>
      <c r="D3229" s="33" t="n">
        <f aca="false">WEEKDAY(A3229,2)</f>
        <v>1</v>
      </c>
      <c r="E3229" s="33" t="n">
        <f aca="false">HOUR(A3229)+MINUTE(A3229)/60</f>
        <v>11</v>
      </c>
      <c r="F3229" s="33" t="n">
        <f aca="false">IF(OR(D3229&gt;5,E3229&lt;8,E3229&gt;=18,COUNTIF($K$2:$K$10,INT(A3229))&gt;0),1,0)</f>
        <v>0</v>
      </c>
      <c r="G3229" s="34" t="n">
        <f aca="false">B3229/1</f>
        <v>214.848</v>
      </c>
      <c r="H3229" s="34" t="str">
        <f aca="false">IF(F3229=1,G3229,"")</f>
        <v/>
      </c>
    </row>
    <row r="3230" customFormat="false" ht="15" hidden="false" customHeight="false" outlineLevel="0" collapsed="false">
      <c r="A3230" s="31" t="n">
        <v>42870.5</v>
      </c>
      <c r="B3230" s="32" t="n">
        <v>230.96</v>
      </c>
      <c r="D3230" s="33" t="n">
        <f aca="false">WEEKDAY(A3230,2)</f>
        <v>1</v>
      </c>
      <c r="E3230" s="33" t="n">
        <f aca="false">HOUR(A3230)+MINUTE(A3230)/60</f>
        <v>12</v>
      </c>
      <c r="F3230" s="33" t="n">
        <f aca="false">IF(OR(D3230&gt;5,E3230&lt;8,E3230&gt;=18,COUNTIF($K$2:$K$10,INT(A3230))&gt;0),1,0)</f>
        <v>0</v>
      </c>
      <c r="G3230" s="34" t="n">
        <f aca="false">B3230/1</f>
        <v>230.96</v>
      </c>
      <c r="H3230" s="34" t="str">
        <f aca="false">IF(F3230=1,G3230,"")</f>
        <v/>
      </c>
    </row>
    <row r="3231" customFormat="false" ht="15" hidden="false" customHeight="false" outlineLevel="0" collapsed="false">
      <c r="A3231" s="31" t="n">
        <v>42870.5416666667</v>
      </c>
      <c r="B3231" s="32" t="n">
        <v>218.76</v>
      </c>
      <c r="D3231" s="33" t="n">
        <f aca="false">WEEKDAY(A3231,2)</f>
        <v>1</v>
      </c>
      <c r="E3231" s="33" t="n">
        <f aca="false">HOUR(A3231)+MINUTE(A3231)/60</f>
        <v>13</v>
      </c>
      <c r="F3231" s="33" t="n">
        <f aca="false">IF(OR(D3231&gt;5,E3231&lt;8,E3231&gt;=18,COUNTIF($K$2:$K$10,INT(A3231))&gt;0),1,0)</f>
        <v>0</v>
      </c>
      <c r="G3231" s="34" t="n">
        <f aca="false">B3231/1</f>
        <v>218.76</v>
      </c>
      <c r="H3231" s="34" t="str">
        <f aca="false">IF(F3231=1,G3231,"")</f>
        <v/>
      </c>
    </row>
    <row r="3232" customFormat="false" ht="15" hidden="false" customHeight="false" outlineLevel="0" collapsed="false">
      <c r="A3232" s="31" t="n">
        <v>42870.5833333333</v>
      </c>
      <c r="B3232" s="32" t="n">
        <v>230.659</v>
      </c>
      <c r="D3232" s="33" t="n">
        <f aca="false">WEEKDAY(A3232,2)</f>
        <v>1</v>
      </c>
      <c r="E3232" s="33" t="n">
        <f aca="false">HOUR(A3232)+MINUTE(A3232)/60</f>
        <v>14</v>
      </c>
      <c r="F3232" s="33" t="n">
        <f aca="false">IF(OR(D3232&gt;5,E3232&lt;8,E3232&gt;=18,COUNTIF($K$2:$K$10,INT(A3232))&gt;0),1,0)</f>
        <v>0</v>
      </c>
      <c r="G3232" s="34" t="n">
        <f aca="false">B3232/1</f>
        <v>230.659</v>
      </c>
      <c r="H3232" s="34" t="str">
        <f aca="false">IF(F3232=1,G3232,"")</f>
        <v/>
      </c>
    </row>
    <row r="3233" customFormat="false" ht="15" hidden="false" customHeight="false" outlineLevel="0" collapsed="false">
      <c r="A3233" s="31" t="n">
        <v>42870.625</v>
      </c>
      <c r="B3233" s="32" t="n">
        <v>230.827</v>
      </c>
      <c r="D3233" s="33" t="n">
        <f aca="false">WEEKDAY(A3233,2)</f>
        <v>1</v>
      </c>
      <c r="E3233" s="33" t="n">
        <f aca="false">HOUR(A3233)+MINUTE(A3233)/60</f>
        <v>15</v>
      </c>
      <c r="F3233" s="33" t="n">
        <f aca="false">IF(OR(D3233&gt;5,E3233&lt;8,E3233&gt;=18,COUNTIF($K$2:$K$10,INT(A3233))&gt;0),1,0)</f>
        <v>0</v>
      </c>
      <c r="G3233" s="34" t="n">
        <f aca="false">B3233/1</f>
        <v>230.827</v>
      </c>
      <c r="H3233" s="34" t="str">
        <f aca="false">IF(F3233=1,G3233,"")</f>
        <v/>
      </c>
    </row>
    <row r="3234" customFormat="false" ht="15" hidden="false" customHeight="false" outlineLevel="0" collapsed="false">
      <c r="A3234" s="31" t="n">
        <v>42870.6666666667</v>
      </c>
      <c r="B3234" s="32" t="n">
        <v>219.499</v>
      </c>
      <c r="D3234" s="33" t="n">
        <f aca="false">WEEKDAY(A3234,2)</f>
        <v>1</v>
      </c>
      <c r="E3234" s="33" t="n">
        <f aca="false">HOUR(A3234)+MINUTE(A3234)/60</f>
        <v>16</v>
      </c>
      <c r="F3234" s="33" t="n">
        <f aca="false">IF(OR(D3234&gt;5,E3234&lt;8,E3234&gt;=18,COUNTIF($K$2:$K$10,INT(A3234))&gt;0),1,0)</f>
        <v>0</v>
      </c>
      <c r="G3234" s="34" t="n">
        <f aca="false">B3234/1</f>
        <v>219.499</v>
      </c>
      <c r="H3234" s="34" t="str">
        <f aca="false">IF(F3234=1,G3234,"")</f>
        <v/>
      </c>
    </row>
    <row r="3235" customFormat="false" ht="15" hidden="false" customHeight="false" outlineLevel="0" collapsed="false">
      <c r="A3235" s="31" t="n">
        <v>42870.7083333333</v>
      </c>
      <c r="B3235" s="32" t="n">
        <v>206.905</v>
      </c>
      <c r="D3235" s="33" t="n">
        <f aca="false">WEEKDAY(A3235,2)</f>
        <v>1</v>
      </c>
      <c r="E3235" s="33" t="n">
        <f aca="false">HOUR(A3235)+MINUTE(A3235)/60</f>
        <v>17</v>
      </c>
      <c r="F3235" s="33" t="n">
        <f aca="false">IF(OR(D3235&gt;5,E3235&lt;8,E3235&gt;=18,COUNTIF($K$2:$K$10,INT(A3235))&gt;0),1,0)</f>
        <v>0</v>
      </c>
      <c r="G3235" s="34" t="n">
        <f aca="false">B3235/1</f>
        <v>206.905</v>
      </c>
      <c r="H3235" s="34" t="str">
        <f aca="false">IF(F3235=1,G3235,"")</f>
        <v/>
      </c>
    </row>
    <row r="3236" customFormat="false" ht="15" hidden="false" customHeight="false" outlineLevel="0" collapsed="false">
      <c r="A3236" s="31" t="n">
        <v>42870.75</v>
      </c>
      <c r="B3236" s="32" t="n">
        <v>190.308</v>
      </c>
      <c r="D3236" s="33" t="n">
        <f aca="false">WEEKDAY(A3236,2)</f>
        <v>1</v>
      </c>
      <c r="E3236" s="33" t="n">
        <f aca="false">HOUR(A3236)+MINUTE(A3236)/60</f>
        <v>18</v>
      </c>
      <c r="F3236" s="33" t="n">
        <f aca="false">IF(OR(D3236&gt;5,E3236&lt;8,E3236&gt;=18,COUNTIF($K$2:$K$10,INT(A3236))&gt;0),1,0)</f>
        <v>1</v>
      </c>
      <c r="G3236" s="34" t="n">
        <f aca="false">B3236/1</f>
        <v>190.308</v>
      </c>
      <c r="H3236" s="34" t="n">
        <f aca="false">IF(F3236=1,G3236,"")</f>
        <v>190.308</v>
      </c>
    </row>
    <row r="3237" customFormat="false" ht="15" hidden="false" customHeight="false" outlineLevel="0" collapsed="false">
      <c r="A3237" s="31" t="n">
        <v>42870.7916666667</v>
      </c>
      <c r="B3237" s="32" t="n">
        <v>180.348</v>
      </c>
      <c r="D3237" s="33" t="n">
        <f aca="false">WEEKDAY(A3237,2)</f>
        <v>1</v>
      </c>
      <c r="E3237" s="33" t="n">
        <f aca="false">HOUR(A3237)+MINUTE(A3237)/60</f>
        <v>19</v>
      </c>
      <c r="F3237" s="33" t="n">
        <f aca="false">IF(OR(D3237&gt;5,E3237&lt;8,E3237&gt;=18,COUNTIF($K$2:$K$10,INT(A3237))&gt;0),1,0)</f>
        <v>1</v>
      </c>
      <c r="G3237" s="34" t="n">
        <f aca="false">B3237/1</f>
        <v>180.348</v>
      </c>
      <c r="H3237" s="34" t="n">
        <f aca="false">IF(F3237=1,G3237,"")</f>
        <v>180.348</v>
      </c>
    </row>
    <row r="3238" customFormat="false" ht="15" hidden="false" customHeight="false" outlineLevel="0" collapsed="false">
      <c r="A3238" s="31" t="n">
        <v>42870.8333333333</v>
      </c>
      <c r="B3238" s="32" t="n">
        <v>178.407</v>
      </c>
      <c r="D3238" s="33" t="n">
        <f aca="false">WEEKDAY(A3238,2)</f>
        <v>1</v>
      </c>
      <c r="E3238" s="33" t="n">
        <f aca="false">HOUR(A3238)+MINUTE(A3238)/60</f>
        <v>20</v>
      </c>
      <c r="F3238" s="33" t="n">
        <f aca="false">IF(OR(D3238&gt;5,E3238&lt;8,E3238&gt;=18,COUNTIF($K$2:$K$10,INT(A3238))&gt;0),1,0)</f>
        <v>1</v>
      </c>
      <c r="G3238" s="34" t="n">
        <f aca="false">B3238/1</f>
        <v>178.407</v>
      </c>
      <c r="H3238" s="34" t="n">
        <f aca="false">IF(F3238=1,G3238,"")</f>
        <v>178.407</v>
      </c>
    </row>
    <row r="3239" customFormat="false" ht="15" hidden="false" customHeight="false" outlineLevel="0" collapsed="false">
      <c r="A3239" s="31" t="n">
        <v>42870.875</v>
      </c>
      <c r="B3239" s="32" t="n">
        <v>177.743</v>
      </c>
      <c r="D3239" s="33" t="n">
        <f aca="false">WEEKDAY(A3239,2)</f>
        <v>1</v>
      </c>
      <c r="E3239" s="33" t="n">
        <f aca="false">HOUR(A3239)+MINUTE(A3239)/60</f>
        <v>21</v>
      </c>
      <c r="F3239" s="33" t="n">
        <f aca="false">IF(OR(D3239&gt;5,E3239&lt;8,E3239&gt;=18,COUNTIF($K$2:$K$10,INT(A3239))&gt;0),1,0)</f>
        <v>1</v>
      </c>
      <c r="G3239" s="34" t="n">
        <f aca="false">B3239/1</f>
        <v>177.743</v>
      </c>
      <c r="H3239" s="34" t="n">
        <f aca="false">IF(F3239=1,G3239,"")</f>
        <v>177.743</v>
      </c>
    </row>
    <row r="3240" customFormat="false" ht="15" hidden="false" customHeight="false" outlineLevel="0" collapsed="false">
      <c r="A3240" s="31" t="n">
        <v>42870.9166666667</v>
      </c>
      <c r="B3240" s="32" t="n">
        <v>124.847</v>
      </c>
      <c r="D3240" s="33" t="n">
        <f aca="false">WEEKDAY(A3240,2)</f>
        <v>1</v>
      </c>
      <c r="E3240" s="33" t="n">
        <f aca="false">HOUR(A3240)+MINUTE(A3240)/60</f>
        <v>22</v>
      </c>
      <c r="F3240" s="33" t="n">
        <f aca="false">IF(OR(D3240&gt;5,E3240&lt;8,E3240&gt;=18,COUNTIF($K$2:$K$10,INT(A3240))&gt;0),1,0)</f>
        <v>1</v>
      </c>
      <c r="G3240" s="34" t="n">
        <f aca="false">B3240/1</f>
        <v>124.847</v>
      </c>
      <c r="H3240" s="34" t="n">
        <f aca="false">IF(F3240=1,G3240,"")</f>
        <v>124.847</v>
      </c>
    </row>
    <row r="3241" customFormat="false" ht="15" hidden="false" customHeight="false" outlineLevel="0" collapsed="false">
      <c r="A3241" s="31" t="n">
        <v>42870.9583333333</v>
      </c>
      <c r="B3241" s="32" t="n">
        <v>58.482</v>
      </c>
      <c r="D3241" s="33" t="n">
        <f aca="false">WEEKDAY(A3241,2)</f>
        <v>1</v>
      </c>
      <c r="E3241" s="33" t="n">
        <f aca="false">HOUR(A3241)+MINUTE(A3241)/60</f>
        <v>23</v>
      </c>
      <c r="F3241" s="33" t="n">
        <f aca="false">IF(OR(D3241&gt;5,E3241&lt;8,E3241&gt;=18,COUNTIF($K$2:$K$10,INT(A3241))&gt;0),1,0)</f>
        <v>1</v>
      </c>
      <c r="G3241" s="34" t="n">
        <f aca="false">B3241/1</f>
        <v>58.482</v>
      </c>
      <c r="H3241" s="34" t="n">
        <f aca="false">IF(F3241=1,G3241,"")</f>
        <v>58.482</v>
      </c>
    </row>
    <row r="3242" customFormat="false" ht="15" hidden="false" customHeight="false" outlineLevel="0" collapsed="false">
      <c r="A3242" s="31" t="n">
        <v>42871</v>
      </c>
      <c r="B3242" s="32" t="n">
        <v>57.529</v>
      </c>
      <c r="D3242" s="33" t="n">
        <f aca="false">WEEKDAY(A3242,2)</f>
        <v>2</v>
      </c>
      <c r="E3242" s="33" t="n">
        <f aca="false">HOUR(A3242)+MINUTE(A3242)/60</f>
        <v>0</v>
      </c>
      <c r="F3242" s="33" t="n">
        <f aca="false">IF(OR(D3242&gt;5,E3242&lt;8,E3242&gt;=18,COUNTIF($K$2:$K$10,INT(A3242))&gt;0),1,0)</f>
        <v>1</v>
      </c>
      <c r="G3242" s="34" t="n">
        <f aca="false">B3242/1</f>
        <v>57.529</v>
      </c>
      <c r="H3242" s="34" t="n">
        <f aca="false">IF(F3242=1,G3242,"")</f>
        <v>57.529</v>
      </c>
    </row>
    <row r="3243" customFormat="false" ht="15" hidden="false" customHeight="false" outlineLevel="0" collapsed="false">
      <c r="A3243" s="31" t="n">
        <v>42871.0416666667</v>
      </c>
      <c r="B3243" s="32" t="n">
        <v>57.879</v>
      </c>
      <c r="D3243" s="33" t="n">
        <f aca="false">WEEKDAY(A3243,2)</f>
        <v>2</v>
      </c>
      <c r="E3243" s="33" t="n">
        <f aca="false">HOUR(A3243)+MINUTE(A3243)/60</f>
        <v>1</v>
      </c>
      <c r="F3243" s="33" t="n">
        <f aca="false">IF(OR(D3243&gt;5,E3243&lt;8,E3243&gt;=18,COUNTIF($K$2:$K$10,INT(A3243))&gt;0),1,0)</f>
        <v>1</v>
      </c>
      <c r="G3243" s="34" t="n">
        <f aca="false">B3243/1</f>
        <v>57.879</v>
      </c>
      <c r="H3243" s="34" t="n">
        <f aca="false">IF(F3243=1,G3243,"")</f>
        <v>57.879</v>
      </c>
    </row>
    <row r="3244" customFormat="false" ht="15" hidden="false" customHeight="false" outlineLevel="0" collapsed="false">
      <c r="A3244" s="31" t="n">
        <v>42871.0833333333</v>
      </c>
      <c r="B3244" s="32" t="n">
        <v>58.379</v>
      </c>
      <c r="D3244" s="33" t="n">
        <f aca="false">WEEKDAY(A3244,2)</f>
        <v>2</v>
      </c>
      <c r="E3244" s="33" t="n">
        <f aca="false">HOUR(A3244)+MINUTE(A3244)/60</f>
        <v>2</v>
      </c>
      <c r="F3244" s="33" t="n">
        <f aca="false">IF(OR(D3244&gt;5,E3244&lt;8,E3244&gt;=18,COUNTIF($K$2:$K$10,INT(A3244))&gt;0),1,0)</f>
        <v>1</v>
      </c>
      <c r="G3244" s="34" t="n">
        <f aca="false">B3244/1</f>
        <v>58.379</v>
      </c>
      <c r="H3244" s="34" t="n">
        <f aca="false">IF(F3244=1,G3244,"")</f>
        <v>58.379</v>
      </c>
    </row>
    <row r="3245" customFormat="false" ht="15" hidden="false" customHeight="false" outlineLevel="0" collapsed="false">
      <c r="A3245" s="31" t="n">
        <v>42871.125</v>
      </c>
      <c r="B3245" s="32" t="n">
        <v>58.715</v>
      </c>
      <c r="D3245" s="33" t="n">
        <f aca="false">WEEKDAY(A3245,2)</f>
        <v>2</v>
      </c>
      <c r="E3245" s="33" t="n">
        <f aca="false">HOUR(A3245)+MINUTE(A3245)/60</f>
        <v>3</v>
      </c>
      <c r="F3245" s="33" t="n">
        <f aca="false">IF(OR(D3245&gt;5,E3245&lt;8,E3245&gt;=18,COUNTIF($K$2:$K$10,INT(A3245))&gt;0),1,0)</f>
        <v>1</v>
      </c>
      <c r="G3245" s="34" t="n">
        <f aca="false">B3245/1</f>
        <v>58.715</v>
      </c>
      <c r="H3245" s="34" t="n">
        <f aca="false">IF(F3245=1,G3245,"")</f>
        <v>58.715</v>
      </c>
    </row>
    <row r="3246" customFormat="false" ht="15" hidden="false" customHeight="false" outlineLevel="0" collapsed="false">
      <c r="A3246" s="31" t="n">
        <v>42871.1666666667</v>
      </c>
      <c r="B3246" s="32" t="n">
        <v>58.35</v>
      </c>
      <c r="D3246" s="33" t="n">
        <f aca="false">WEEKDAY(A3246,2)</f>
        <v>2</v>
      </c>
      <c r="E3246" s="33" t="n">
        <f aca="false">HOUR(A3246)+MINUTE(A3246)/60</f>
        <v>4</v>
      </c>
      <c r="F3246" s="33" t="n">
        <f aca="false">IF(OR(D3246&gt;5,E3246&lt;8,E3246&gt;=18,COUNTIF($K$2:$K$10,INT(A3246))&gt;0),1,0)</f>
        <v>1</v>
      </c>
      <c r="G3246" s="34" t="n">
        <f aca="false">B3246/1</f>
        <v>58.35</v>
      </c>
      <c r="H3246" s="34" t="n">
        <f aca="false">IF(F3246=1,G3246,"")</f>
        <v>58.35</v>
      </c>
    </row>
    <row r="3247" customFormat="false" ht="15" hidden="false" customHeight="false" outlineLevel="0" collapsed="false">
      <c r="A3247" s="31" t="n">
        <v>42871.2083333333</v>
      </c>
      <c r="B3247" s="32" t="n">
        <v>59.055</v>
      </c>
      <c r="D3247" s="33" t="n">
        <f aca="false">WEEKDAY(A3247,2)</f>
        <v>2</v>
      </c>
      <c r="E3247" s="33" t="n">
        <f aca="false">HOUR(A3247)+MINUTE(A3247)/60</f>
        <v>5</v>
      </c>
      <c r="F3247" s="33" t="n">
        <f aca="false">IF(OR(D3247&gt;5,E3247&lt;8,E3247&gt;=18,COUNTIF($K$2:$K$10,INT(A3247))&gt;0),1,0)</f>
        <v>1</v>
      </c>
      <c r="G3247" s="34" t="n">
        <f aca="false">B3247/1</f>
        <v>59.055</v>
      </c>
      <c r="H3247" s="34" t="n">
        <f aca="false">IF(F3247=1,G3247,"")</f>
        <v>59.055</v>
      </c>
    </row>
    <row r="3248" customFormat="false" ht="15" hidden="false" customHeight="false" outlineLevel="0" collapsed="false">
      <c r="A3248" s="31" t="n">
        <v>42871.25</v>
      </c>
      <c r="B3248" s="32" t="n">
        <v>59.7</v>
      </c>
      <c r="D3248" s="33" t="n">
        <f aca="false">WEEKDAY(A3248,2)</f>
        <v>2</v>
      </c>
      <c r="E3248" s="33" t="n">
        <f aca="false">HOUR(A3248)+MINUTE(A3248)/60</f>
        <v>6</v>
      </c>
      <c r="F3248" s="33" t="n">
        <f aca="false">IF(OR(D3248&gt;5,E3248&lt;8,E3248&gt;=18,COUNTIF($K$2:$K$10,INT(A3248))&gt;0),1,0)</f>
        <v>1</v>
      </c>
      <c r="G3248" s="34" t="n">
        <f aca="false">B3248/1</f>
        <v>59.7</v>
      </c>
      <c r="H3248" s="34" t="n">
        <f aca="false">IF(F3248=1,G3248,"")</f>
        <v>59.7</v>
      </c>
    </row>
    <row r="3249" customFormat="false" ht="15" hidden="false" customHeight="false" outlineLevel="0" collapsed="false">
      <c r="A3249" s="31" t="n">
        <v>42871.2916666667</v>
      </c>
      <c r="B3249" s="32" t="n">
        <v>66.345</v>
      </c>
      <c r="D3249" s="33" t="n">
        <f aca="false">WEEKDAY(A3249,2)</f>
        <v>2</v>
      </c>
      <c r="E3249" s="33" t="n">
        <f aca="false">HOUR(A3249)+MINUTE(A3249)/60</f>
        <v>7</v>
      </c>
      <c r="F3249" s="33" t="n">
        <f aca="false">IF(OR(D3249&gt;5,E3249&lt;8,E3249&gt;=18,COUNTIF($K$2:$K$10,INT(A3249))&gt;0),1,0)</f>
        <v>1</v>
      </c>
      <c r="G3249" s="34" t="n">
        <f aca="false">B3249/1</f>
        <v>66.345</v>
      </c>
      <c r="H3249" s="34" t="n">
        <f aca="false">IF(F3249=1,G3249,"")</f>
        <v>66.345</v>
      </c>
    </row>
    <row r="3250" customFormat="false" ht="15" hidden="false" customHeight="false" outlineLevel="0" collapsed="false">
      <c r="A3250" s="31" t="n">
        <v>42871.3333333333</v>
      </c>
      <c r="B3250" s="32" t="n">
        <v>169.837</v>
      </c>
      <c r="D3250" s="33" t="n">
        <f aca="false">WEEKDAY(A3250,2)</f>
        <v>2</v>
      </c>
      <c r="E3250" s="33" t="n">
        <f aca="false">HOUR(A3250)+MINUTE(A3250)/60</f>
        <v>8</v>
      </c>
      <c r="F3250" s="33" t="n">
        <f aca="false">IF(OR(D3250&gt;5,E3250&lt;8,E3250&gt;=18,COUNTIF($K$2:$K$10,INT(A3250))&gt;0),1,0)</f>
        <v>0</v>
      </c>
      <c r="G3250" s="34" t="n">
        <f aca="false">B3250/1</f>
        <v>169.837</v>
      </c>
      <c r="H3250" s="34" t="str">
        <f aca="false">IF(F3250=1,G3250,"")</f>
        <v/>
      </c>
    </row>
    <row r="3251" customFormat="false" ht="15" hidden="false" customHeight="false" outlineLevel="0" collapsed="false">
      <c r="A3251" s="31" t="n">
        <v>42871.375</v>
      </c>
      <c r="B3251" s="32" t="n">
        <v>197.051</v>
      </c>
      <c r="D3251" s="33" t="n">
        <f aca="false">WEEKDAY(A3251,2)</f>
        <v>2</v>
      </c>
      <c r="E3251" s="33" t="n">
        <f aca="false">HOUR(A3251)+MINUTE(A3251)/60</f>
        <v>9</v>
      </c>
      <c r="F3251" s="33" t="n">
        <f aca="false">IF(OR(D3251&gt;5,E3251&lt;8,E3251&gt;=18,COUNTIF($K$2:$K$10,INT(A3251))&gt;0),1,0)</f>
        <v>0</v>
      </c>
      <c r="G3251" s="34" t="n">
        <f aca="false">B3251/1</f>
        <v>197.051</v>
      </c>
      <c r="H3251" s="34" t="str">
        <f aca="false">IF(F3251=1,G3251,"")</f>
        <v/>
      </c>
    </row>
    <row r="3252" customFormat="false" ht="15" hidden="false" customHeight="false" outlineLevel="0" collapsed="false">
      <c r="A3252" s="31" t="n">
        <v>42871.4166666667</v>
      </c>
      <c r="B3252" s="32" t="n">
        <v>211.355</v>
      </c>
      <c r="D3252" s="33" t="n">
        <f aca="false">WEEKDAY(A3252,2)</f>
        <v>2</v>
      </c>
      <c r="E3252" s="33" t="n">
        <f aca="false">HOUR(A3252)+MINUTE(A3252)/60</f>
        <v>10</v>
      </c>
      <c r="F3252" s="33" t="n">
        <f aca="false">IF(OR(D3252&gt;5,E3252&lt;8,E3252&gt;=18,COUNTIF($K$2:$K$10,INT(A3252))&gt;0),1,0)</f>
        <v>0</v>
      </c>
      <c r="G3252" s="34" t="n">
        <f aca="false">B3252/1</f>
        <v>211.355</v>
      </c>
      <c r="H3252" s="34" t="str">
        <f aca="false">IF(F3252=1,G3252,"")</f>
        <v/>
      </c>
    </row>
    <row r="3253" customFormat="false" ht="15" hidden="false" customHeight="false" outlineLevel="0" collapsed="false">
      <c r="A3253" s="31" t="n">
        <v>42871.4583333333</v>
      </c>
      <c r="B3253" s="32" t="n">
        <v>220.867</v>
      </c>
      <c r="D3253" s="33" t="n">
        <f aca="false">WEEKDAY(A3253,2)</f>
        <v>2</v>
      </c>
      <c r="E3253" s="33" t="n">
        <f aca="false">HOUR(A3253)+MINUTE(A3253)/60</f>
        <v>11</v>
      </c>
      <c r="F3253" s="33" t="n">
        <f aca="false">IF(OR(D3253&gt;5,E3253&lt;8,E3253&gt;=18,COUNTIF($K$2:$K$10,INT(A3253))&gt;0),1,0)</f>
        <v>0</v>
      </c>
      <c r="G3253" s="34" t="n">
        <f aca="false">B3253/1</f>
        <v>220.867</v>
      </c>
      <c r="H3253" s="34" t="str">
        <f aca="false">IF(F3253=1,G3253,"")</f>
        <v/>
      </c>
    </row>
    <row r="3254" customFormat="false" ht="15" hidden="false" customHeight="false" outlineLevel="0" collapsed="false">
      <c r="A3254" s="31" t="n">
        <v>42871.5</v>
      </c>
      <c r="B3254" s="32" t="n">
        <v>228.854</v>
      </c>
      <c r="D3254" s="33" t="n">
        <f aca="false">WEEKDAY(A3254,2)</f>
        <v>2</v>
      </c>
      <c r="E3254" s="33" t="n">
        <f aca="false">HOUR(A3254)+MINUTE(A3254)/60</f>
        <v>12</v>
      </c>
      <c r="F3254" s="33" t="n">
        <f aca="false">IF(OR(D3254&gt;5,E3254&lt;8,E3254&gt;=18,COUNTIF($K$2:$K$10,INT(A3254))&gt;0),1,0)</f>
        <v>0</v>
      </c>
      <c r="G3254" s="34" t="n">
        <f aca="false">B3254/1</f>
        <v>228.854</v>
      </c>
      <c r="H3254" s="34" t="str">
        <f aca="false">IF(F3254=1,G3254,"")</f>
        <v/>
      </c>
    </row>
    <row r="3255" customFormat="false" ht="15" hidden="false" customHeight="false" outlineLevel="0" collapsed="false">
      <c r="A3255" s="31" t="n">
        <v>42871.5416666667</v>
      </c>
      <c r="B3255" s="32" t="n">
        <v>225.59</v>
      </c>
      <c r="D3255" s="33" t="n">
        <f aca="false">WEEKDAY(A3255,2)</f>
        <v>2</v>
      </c>
      <c r="E3255" s="33" t="n">
        <f aca="false">HOUR(A3255)+MINUTE(A3255)/60</f>
        <v>13</v>
      </c>
      <c r="F3255" s="33" t="n">
        <f aca="false">IF(OR(D3255&gt;5,E3255&lt;8,E3255&gt;=18,COUNTIF($K$2:$K$10,INT(A3255))&gt;0),1,0)</f>
        <v>0</v>
      </c>
      <c r="G3255" s="34" t="n">
        <f aca="false">B3255/1</f>
        <v>225.59</v>
      </c>
      <c r="H3255" s="34" t="str">
        <f aca="false">IF(F3255=1,G3255,"")</f>
        <v/>
      </c>
    </row>
    <row r="3256" customFormat="false" ht="15" hidden="false" customHeight="false" outlineLevel="0" collapsed="false">
      <c r="A3256" s="31" t="n">
        <v>42871.5833333333</v>
      </c>
      <c r="B3256" s="32" t="n">
        <v>228.348</v>
      </c>
      <c r="D3256" s="33" t="n">
        <f aca="false">WEEKDAY(A3256,2)</f>
        <v>2</v>
      </c>
      <c r="E3256" s="33" t="n">
        <f aca="false">HOUR(A3256)+MINUTE(A3256)/60</f>
        <v>14</v>
      </c>
      <c r="F3256" s="33" t="n">
        <f aca="false">IF(OR(D3256&gt;5,E3256&lt;8,E3256&gt;=18,COUNTIF($K$2:$K$10,INT(A3256))&gt;0),1,0)</f>
        <v>0</v>
      </c>
      <c r="G3256" s="34" t="n">
        <f aca="false">B3256/1</f>
        <v>228.348</v>
      </c>
      <c r="H3256" s="34" t="str">
        <f aca="false">IF(F3256=1,G3256,"")</f>
        <v/>
      </c>
    </row>
    <row r="3257" customFormat="false" ht="15" hidden="false" customHeight="false" outlineLevel="0" collapsed="false">
      <c r="A3257" s="31" t="n">
        <v>42871.625</v>
      </c>
      <c r="B3257" s="32" t="n">
        <v>227.408</v>
      </c>
      <c r="D3257" s="33" t="n">
        <f aca="false">WEEKDAY(A3257,2)</f>
        <v>2</v>
      </c>
      <c r="E3257" s="33" t="n">
        <f aca="false">HOUR(A3257)+MINUTE(A3257)/60</f>
        <v>15</v>
      </c>
      <c r="F3257" s="33" t="n">
        <f aca="false">IF(OR(D3257&gt;5,E3257&lt;8,E3257&gt;=18,COUNTIF($K$2:$K$10,INT(A3257))&gt;0),1,0)</f>
        <v>0</v>
      </c>
      <c r="G3257" s="34" t="n">
        <f aca="false">B3257/1</f>
        <v>227.408</v>
      </c>
      <c r="H3257" s="34" t="str">
        <f aca="false">IF(F3257=1,G3257,"")</f>
        <v/>
      </c>
    </row>
    <row r="3258" customFormat="false" ht="15" hidden="false" customHeight="false" outlineLevel="0" collapsed="false">
      <c r="A3258" s="31" t="n">
        <v>42871.6666666667</v>
      </c>
      <c r="B3258" s="32" t="n">
        <v>228.974</v>
      </c>
      <c r="D3258" s="33" t="n">
        <f aca="false">WEEKDAY(A3258,2)</f>
        <v>2</v>
      </c>
      <c r="E3258" s="33" t="n">
        <f aca="false">HOUR(A3258)+MINUTE(A3258)/60</f>
        <v>16</v>
      </c>
      <c r="F3258" s="33" t="n">
        <f aca="false">IF(OR(D3258&gt;5,E3258&lt;8,E3258&gt;=18,COUNTIF($K$2:$K$10,INT(A3258))&gt;0),1,0)</f>
        <v>0</v>
      </c>
      <c r="G3258" s="34" t="n">
        <f aca="false">B3258/1</f>
        <v>228.974</v>
      </c>
      <c r="H3258" s="34" t="str">
        <f aca="false">IF(F3258=1,G3258,"")</f>
        <v/>
      </c>
    </row>
    <row r="3259" customFormat="false" ht="15" hidden="false" customHeight="false" outlineLevel="0" collapsed="false">
      <c r="A3259" s="31" t="n">
        <v>42871.7083333333</v>
      </c>
      <c r="B3259" s="32" t="n">
        <v>207.228</v>
      </c>
      <c r="D3259" s="33" t="n">
        <f aca="false">WEEKDAY(A3259,2)</f>
        <v>2</v>
      </c>
      <c r="E3259" s="33" t="n">
        <f aca="false">HOUR(A3259)+MINUTE(A3259)/60</f>
        <v>17</v>
      </c>
      <c r="F3259" s="33" t="n">
        <f aca="false">IF(OR(D3259&gt;5,E3259&lt;8,E3259&gt;=18,COUNTIF($K$2:$K$10,INT(A3259))&gt;0),1,0)</f>
        <v>0</v>
      </c>
      <c r="G3259" s="34" t="n">
        <f aca="false">B3259/1</f>
        <v>207.228</v>
      </c>
      <c r="H3259" s="34" t="str">
        <f aca="false">IF(F3259=1,G3259,"")</f>
        <v/>
      </c>
    </row>
    <row r="3260" customFormat="false" ht="15" hidden="false" customHeight="false" outlineLevel="0" collapsed="false">
      <c r="A3260" s="31" t="n">
        <v>42871.75</v>
      </c>
      <c r="B3260" s="32" t="n">
        <v>192.219</v>
      </c>
      <c r="D3260" s="33" t="n">
        <f aca="false">WEEKDAY(A3260,2)</f>
        <v>2</v>
      </c>
      <c r="E3260" s="33" t="n">
        <f aca="false">HOUR(A3260)+MINUTE(A3260)/60</f>
        <v>18</v>
      </c>
      <c r="F3260" s="33" t="n">
        <f aca="false">IF(OR(D3260&gt;5,E3260&lt;8,E3260&gt;=18,COUNTIF($K$2:$K$10,INT(A3260))&gt;0),1,0)</f>
        <v>1</v>
      </c>
      <c r="G3260" s="34" t="n">
        <f aca="false">B3260/1</f>
        <v>192.219</v>
      </c>
      <c r="H3260" s="34" t="n">
        <f aca="false">IF(F3260=1,G3260,"")</f>
        <v>192.219</v>
      </c>
    </row>
    <row r="3261" customFormat="false" ht="15" hidden="false" customHeight="false" outlineLevel="0" collapsed="false">
      <c r="A3261" s="31" t="n">
        <v>42871.7916666667</v>
      </c>
      <c r="B3261" s="32" t="n">
        <v>185.23</v>
      </c>
      <c r="D3261" s="33" t="n">
        <f aca="false">WEEKDAY(A3261,2)</f>
        <v>2</v>
      </c>
      <c r="E3261" s="33" t="n">
        <f aca="false">HOUR(A3261)+MINUTE(A3261)/60</f>
        <v>19</v>
      </c>
      <c r="F3261" s="33" t="n">
        <f aca="false">IF(OR(D3261&gt;5,E3261&lt;8,E3261&gt;=18,COUNTIF($K$2:$K$10,INT(A3261))&gt;0),1,0)</f>
        <v>1</v>
      </c>
      <c r="G3261" s="34" t="n">
        <f aca="false">B3261/1</f>
        <v>185.23</v>
      </c>
      <c r="H3261" s="34" t="n">
        <f aca="false">IF(F3261=1,G3261,"")</f>
        <v>185.23</v>
      </c>
    </row>
    <row r="3262" customFormat="false" ht="15" hidden="false" customHeight="false" outlineLevel="0" collapsed="false">
      <c r="A3262" s="31" t="n">
        <v>42871.8333333333</v>
      </c>
      <c r="B3262" s="32" t="n">
        <v>185.281</v>
      </c>
      <c r="D3262" s="33" t="n">
        <f aca="false">WEEKDAY(A3262,2)</f>
        <v>2</v>
      </c>
      <c r="E3262" s="33" t="n">
        <f aca="false">HOUR(A3262)+MINUTE(A3262)/60</f>
        <v>20</v>
      </c>
      <c r="F3262" s="33" t="n">
        <f aca="false">IF(OR(D3262&gt;5,E3262&lt;8,E3262&gt;=18,COUNTIF($K$2:$K$10,INT(A3262))&gt;0),1,0)</f>
        <v>1</v>
      </c>
      <c r="G3262" s="34" t="n">
        <f aca="false">B3262/1</f>
        <v>185.281</v>
      </c>
      <c r="H3262" s="34" t="n">
        <f aca="false">IF(F3262=1,G3262,"")</f>
        <v>185.281</v>
      </c>
    </row>
    <row r="3263" customFormat="false" ht="15" hidden="false" customHeight="false" outlineLevel="0" collapsed="false">
      <c r="A3263" s="31" t="n">
        <v>42871.875</v>
      </c>
      <c r="B3263" s="32" t="n">
        <v>176.214</v>
      </c>
      <c r="D3263" s="33" t="n">
        <f aca="false">WEEKDAY(A3263,2)</f>
        <v>2</v>
      </c>
      <c r="E3263" s="33" t="n">
        <f aca="false">HOUR(A3263)+MINUTE(A3263)/60</f>
        <v>21</v>
      </c>
      <c r="F3263" s="33" t="n">
        <f aca="false">IF(OR(D3263&gt;5,E3263&lt;8,E3263&gt;=18,COUNTIF($K$2:$K$10,INT(A3263))&gt;0),1,0)</f>
        <v>1</v>
      </c>
      <c r="G3263" s="34" t="n">
        <f aca="false">B3263/1</f>
        <v>176.214</v>
      </c>
      <c r="H3263" s="34" t="n">
        <f aca="false">IF(F3263=1,G3263,"")</f>
        <v>176.214</v>
      </c>
    </row>
    <row r="3264" customFormat="false" ht="15" hidden="false" customHeight="false" outlineLevel="0" collapsed="false">
      <c r="A3264" s="31" t="n">
        <v>42871.9166666667</v>
      </c>
      <c r="B3264" s="32" t="n">
        <v>120.637</v>
      </c>
      <c r="D3264" s="33" t="n">
        <f aca="false">WEEKDAY(A3264,2)</f>
        <v>2</v>
      </c>
      <c r="E3264" s="33" t="n">
        <f aca="false">HOUR(A3264)+MINUTE(A3264)/60</f>
        <v>22</v>
      </c>
      <c r="F3264" s="33" t="n">
        <f aca="false">IF(OR(D3264&gt;5,E3264&lt;8,E3264&gt;=18,COUNTIF($K$2:$K$10,INT(A3264))&gt;0),1,0)</f>
        <v>1</v>
      </c>
      <c r="G3264" s="34" t="n">
        <f aca="false">B3264/1</f>
        <v>120.637</v>
      </c>
      <c r="H3264" s="34" t="n">
        <f aca="false">IF(F3264=1,G3264,"")</f>
        <v>120.637</v>
      </c>
    </row>
    <row r="3265" customFormat="false" ht="15" hidden="false" customHeight="false" outlineLevel="0" collapsed="false">
      <c r="A3265" s="31" t="n">
        <v>42871.9583333333</v>
      </c>
      <c r="B3265" s="32" t="n">
        <v>58.367</v>
      </c>
      <c r="D3265" s="33" t="n">
        <f aca="false">WEEKDAY(A3265,2)</f>
        <v>2</v>
      </c>
      <c r="E3265" s="33" t="n">
        <f aca="false">HOUR(A3265)+MINUTE(A3265)/60</f>
        <v>23</v>
      </c>
      <c r="F3265" s="33" t="n">
        <f aca="false">IF(OR(D3265&gt;5,E3265&lt;8,E3265&gt;=18,COUNTIF($K$2:$K$10,INT(A3265))&gt;0),1,0)</f>
        <v>1</v>
      </c>
      <c r="G3265" s="34" t="n">
        <f aca="false">B3265/1</f>
        <v>58.367</v>
      </c>
      <c r="H3265" s="34" t="n">
        <f aca="false">IF(F3265=1,G3265,"")</f>
        <v>58.367</v>
      </c>
    </row>
    <row r="3266" customFormat="false" ht="15" hidden="false" customHeight="false" outlineLevel="0" collapsed="false">
      <c r="A3266" s="31" t="n">
        <v>42872</v>
      </c>
      <c r="B3266" s="32" t="n">
        <v>57.37</v>
      </c>
      <c r="D3266" s="33" t="n">
        <f aca="false">WEEKDAY(A3266,2)</f>
        <v>3</v>
      </c>
      <c r="E3266" s="33" t="n">
        <f aca="false">HOUR(A3266)+MINUTE(A3266)/60</f>
        <v>0</v>
      </c>
      <c r="F3266" s="33" t="n">
        <f aca="false">IF(OR(D3266&gt;5,E3266&lt;8,E3266&gt;=18,COUNTIF($K$2:$K$10,INT(A3266))&gt;0),1,0)</f>
        <v>1</v>
      </c>
      <c r="G3266" s="34" t="n">
        <f aca="false">B3266/1</f>
        <v>57.37</v>
      </c>
      <c r="H3266" s="34" t="n">
        <f aca="false">IF(F3266=1,G3266,"")</f>
        <v>57.37</v>
      </c>
    </row>
    <row r="3267" customFormat="false" ht="15" hidden="false" customHeight="false" outlineLevel="0" collapsed="false">
      <c r="A3267" s="31" t="n">
        <v>42872.0416666667</v>
      </c>
      <c r="B3267" s="32" t="n">
        <v>55.534</v>
      </c>
      <c r="D3267" s="33" t="n">
        <f aca="false">WEEKDAY(A3267,2)</f>
        <v>3</v>
      </c>
      <c r="E3267" s="33" t="n">
        <f aca="false">HOUR(A3267)+MINUTE(A3267)/60</f>
        <v>1</v>
      </c>
      <c r="F3267" s="33" t="n">
        <f aca="false">IF(OR(D3267&gt;5,E3267&lt;8,E3267&gt;=18,COUNTIF($K$2:$K$10,INT(A3267))&gt;0),1,0)</f>
        <v>1</v>
      </c>
      <c r="G3267" s="34" t="n">
        <f aca="false">B3267/1</f>
        <v>55.534</v>
      </c>
      <c r="H3267" s="34" t="n">
        <f aca="false">IF(F3267=1,G3267,"")</f>
        <v>55.534</v>
      </c>
    </row>
    <row r="3268" customFormat="false" ht="15" hidden="false" customHeight="false" outlineLevel="0" collapsed="false">
      <c r="A3268" s="31" t="n">
        <v>42872.0833333333</v>
      </c>
      <c r="B3268" s="32" t="n">
        <v>55.657</v>
      </c>
      <c r="D3268" s="33" t="n">
        <f aca="false">WEEKDAY(A3268,2)</f>
        <v>3</v>
      </c>
      <c r="E3268" s="33" t="n">
        <f aca="false">HOUR(A3268)+MINUTE(A3268)/60</f>
        <v>2</v>
      </c>
      <c r="F3268" s="33" t="n">
        <f aca="false">IF(OR(D3268&gt;5,E3268&lt;8,E3268&gt;=18,COUNTIF($K$2:$K$10,INT(A3268))&gt;0),1,0)</f>
        <v>1</v>
      </c>
      <c r="G3268" s="34" t="n">
        <f aca="false">B3268/1</f>
        <v>55.657</v>
      </c>
      <c r="H3268" s="34" t="n">
        <f aca="false">IF(F3268=1,G3268,"")</f>
        <v>55.657</v>
      </c>
    </row>
    <row r="3269" customFormat="false" ht="15" hidden="false" customHeight="false" outlineLevel="0" collapsed="false">
      <c r="A3269" s="31" t="n">
        <v>42872.125</v>
      </c>
      <c r="B3269" s="32" t="n">
        <v>56.446</v>
      </c>
      <c r="D3269" s="33" t="n">
        <f aca="false">WEEKDAY(A3269,2)</f>
        <v>3</v>
      </c>
      <c r="E3269" s="33" t="n">
        <f aca="false">HOUR(A3269)+MINUTE(A3269)/60</f>
        <v>3</v>
      </c>
      <c r="F3269" s="33" t="n">
        <f aca="false">IF(OR(D3269&gt;5,E3269&lt;8,E3269&gt;=18,COUNTIF($K$2:$K$10,INT(A3269))&gt;0),1,0)</f>
        <v>1</v>
      </c>
      <c r="G3269" s="34" t="n">
        <f aca="false">B3269/1</f>
        <v>56.446</v>
      </c>
      <c r="H3269" s="34" t="n">
        <f aca="false">IF(F3269=1,G3269,"")</f>
        <v>56.446</v>
      </c>
    </row>
    <row r="3270" customFormat="false" ht="15" hidden="false" customHeight="false" outlineLevel="0" collapsed="false">
      <c r="A3270" s="31" t="n">
        <v>42872.1666666667</v>
      </c>
      <c r="B3270" s="32" t="n">
        <v>55.686</v>
      </c>
      <c r="D3270" s="33" t="n">
        <f aca="false">WEEKDAY(A3270,2)</f>
        <v>3</v>
      </c>
      <c r="E3270" s="33" t="n">
        <f aca="false">HOUR(A3270)+MINUTE(A3270)/60</f>
        <v>4</v>
      </c>
      <c r="F3270" s="33" t="n">
        <f aca="false">IF(OR(D3270&gt;5,E3270&lt;8,E3270&gt;=18,COUNTIF($K$2:$K$10,INT(A3270))&gt;0),1,0)</f>
        <v>1</v>
      </c>
      <c r="G3270" s="34" t="n">
        <f aca="false">B3270/1</f>
        <v>55.686</v>
      </c>
      <c r="H3270" s="34" t="n">
        <f aca="false">IF(F3270=1,G3270,"")</f>
        <v>55.686</v>
      </c>
    </row>
    <row r="3271" customFormat="false" ht="15" hidden="false" customHeight="false" outlineLevel="0" collapsed="false">
      <c r="A3271" s="31" t="n">
        <v>42872.2083333333</v>
      </c>
      <c r="B3271" s="32" t="n">
        <v>55.75</v>
      </c>
      <c r="D3271" s="33" t="n">
        <f aca="false">WEEKDAY(A3271,2)</f>
        <v>3</v>
      </c>
      <c r="E3271" s="33" t="n">
        <f aca="false">HOUR(A3271)+MINUTE(A3271)/60</f>
        <v>5</v>
      </c>
      <c r="F3271" s="33" t="n">
        <f aca="false">IF(OR(D3271&gt;5,E3271&lt;8,E3271&gt;=18,COUNTIF($K$2:$K$10,INT(A3271))&gt;0),1,0)</f>
        <v>1</v>
      </c>
      <c r="G3271" s="34" t="n">
        <f aca="false">B3271/1</f>
        <v>55.75</v>
      </c>
      <c r="H3271" s="34" t="n">
        <f aca="false">IF(F3271=1,G3271,"")</f>
        <v>55.75</v>
      </c>
    </row>
    <row r="3272" customFormat="false" ht="15" hidden="false" customHeight="false" outlineLevel="0" collapsed="false">
      <c r="A3272" s="31" t="n">
        <v>42872.25</v>
      </c>
      <c r="B3272" s="32" t="n">
        <v>57.087</v>
      </c>
      <c r="D3272" s="33" t="n">
        <f aca="false">WEEKDAY(A3272,2)</f>
        <v>3</v>
      </c>
      <c r="E3272" s="33" t="n">
        <f aca="false">HOUR(A3272)+MINUTE(A3272)/60</f>
        <v>6</v>
      </c>
      <c r="F3272" s="33" t="n">
        <f aca="false">IF(OR(D3272&gt;5,E3272&lt;8,E3272&gt;=18,COUNTIF($K$2:$K$10,INT(A3272))&gt;0),1,0)</f>
        <v>1</v>
      </c>
      <c r="G3272" s="34" t="n">
        <f aca="false">B3272/1</f>
        <v>57.087</v>
      </c>
      <c r="H3272" s="34" t="n">
        <f aca="false">IF(F3272=1,G3272,"")</f>
        <v>57.087</v>
      </c>
    </row>
    <row r="3273" customFormat="false" ht="15" hidden="false" customHeight="false" outlineLevel="0" collapsed="false">
      <c r="A3273" s="31" t="n">
        <v>42872.2916666667</v>
      </c>
      <c r="B3273" s="32" t="n">
        <v>66.685</v>
      </c>
      <c r="D3273" s="33" t="n">
        <f aca="false">WEEKDAY(A3273,2)</f>
        <v>3</v>
      </c>
      <c r="E3273" s="33" t="n">
        <f aca="false">HOUR(A3273)+MINUTE(A3273)/60</f>
        <v>7</v>
      </c>
      <c r="F3273" s="33" t="n">
        <f aca="false">IF(OR(D3273&gt;5,E3273&lt;8,E3273&gt;=18,COUNTIF($K$2:$K$10,INT(A3273))&gt;0),1,0)</f>
        <v>1</v>
      </c>
      <c r="G3273" s="34" t="n">
        <f aca="false">B3273/1</f>
        <v>66.685</v>
      </c>
      <c r="H3273" s="34" t="n">
        <f aca="false">IF(F3273=1,G3273,"")</f>
        <v>66.685</v>
      </c>
    </row>
    <row r="3274" customFormat="false" ht="15" hidden="false" customHeight="false" outlineLevel="0" collapsed="false">
      <c r="A3274" s="31" t="n">
        <v>42872.3333333333</v>
      </c>
      <c r="B3274" s="32" t="n">
        <v>172.91</v>
      </c>
      <c r="D3274" s="33" t="n">
        <f aca="false">WEEKDAY(A3274,2)</f>
        <v>3</v>
      </c>
      <c r="E3274" s="33" t="n">
        <f aca="false">HOUR(A3274)+MINUTE(A3274)/60</f>
        <v>8</v>
      </c>
      <c r="F3274" s="33" t="n">
        <f aca="false">IF(OR(D3274&gt;5,E3274&lt;8,E3274&gt;=18,COUNTIF($K$2:$K$10,INT(A3274))&gt;0),1,0)</f>
        <v>0</v>
      </c>
      <c r="G3274" s="34" t="n">
        <f aca="false">B3274/1</f>
        <v>172.91</v>
      </c>
      <c r="H3274" s="34" t="str">
        <f aca="false">IF(F3274=1,G3274,"")</f>
        <v/>
      </c>
    </row>
    <row r="3275" customFormat="false" ht="15" hidden="false" customHeight="false" outlineLevel="0" collapsed="false">
      <c r="A3275" s="31" t="n">
        <v>42872.375</v>
      </c>
      <c r="B3275" s="32" t="n">
        <v>197.14</v>
      </c>
      <c r="D3275" s="33" t="n">
        <f aca="false">WEEKDAY(A3275,2)</f>
        <v>3</v>
      </c>
      <c r="E3275" s="33" t="n">
        <f aca="false">HOUR(A3275)+MINUTE(A3275)/60</f>
        <v>9</v>
      </c>
      <c r="F3275" s="33" t="n">
        <f aca="false">IF(OR(D3275&gt;5,E3275&lt;8,E3275&gt;=18,COUNTIF($K$2:$K$10,INT(A3275))&gt;0),1,0)</f>
        <v>0</v>
      </c>
      <c r="G3275" s="34" t="n">
        <f aca="false">B3275/1</f>
        <v>197.14</v>
      </c>
      <c r="H3275" s="34" t="str">
        <f aca="false">IF(F3275=1,G3275,"")</f>
        <v/>
      </c>
    </row>
    <row r="3276" customFormat="false" ht="15" hidden="false" customHeight="false" outlineLevel="0" collapsed="false">
      <c r="A3276" s="31" t="n">
        <v>42872.4166666667</v>
      </c>
      <c r="B3276" s="32" t="n">
        <v>211.259</v>
      </c>
      <c r="D3276" s="33" t="n">
        <f aca="false">WEEKDAY(A3276,2)</f>
        <v>3</v>
      </c>
      <c r="E3276" s="33" t="n">
        <f aca="false">HOUR(A3276)+MINUTE(A3276)/60</f>
        <v>10</v>
      </c>
      <c r="F3276" s="33" t="n">
        <f aca="false">IF(OR(D3276&gt;5,E3276&lt;8,E3276&gt;=18,COUNTIF($K$2:$K$10,INT(A3276))&gt;0),1,0)</f>
        <v>0</v>
      </c>
      <c r="G3276" s="34" t="n">
        <f aca="false">B3276/1</f>
        <v>211.259</v>
      </c>
      <c r="H3276" s="34" t="str">
        <f aca="false">IF(F3276=1,G3276,"")</f>
        <v/>
      </c>
    </row>
    <row r="3277" customFormat="false" ht="15" hidden="false" customHeight="false" outlineLevel="0" collapsed="false">
      <c r="A3277" s="31" t="n">
        <v>42872.4583333333</v>
      </c>
      <c r="B3277" s="32" t="n">
        <v>219.513</v>
      </c>
      <c r="D3277" s="33" t="n">
        <f aca="false">WEEKDAY(A3277,2)</f>
        <v>3</v>
      </c>
      <c r="E3277" s="33" t="n">
        <f aca="false">HOUR(A3277)+MINUTE(A3277)/60</f>
        <v>11</v>
      </c>
      <c r="F3277" s="33" t="n">
        <f aca="false">IF(OR(D3277&gt;5,E3277&lt;8,E3277&gt;=18,COUNTIF($K$2:$K$10,INT(A3277))&gt;0),1,0)</f>
        <v>0</v>
      </c>
      <c r="G3277" s="34" t="n">
        <f aca="false">B3277/1</f>
        <v>219.513</v>
      </c>
      <c r="H3277" s="34" t="str">
        <f aca="false">IF(F3277=1,G3277,"")</f>
        <v/>
      </c>
    </row>
    <row r="3278" customFormat="false" ht="15" hidden="false" customHeight="false" outlineLevel="0" collapsed="false">
      <c r="A3278" s="31" t="n">
        <v>42872.5</v>
      </c>
      <c r="B3278" s="32" t="n">
        <v>220.535</v>
      </c>
      <c r="D3278" s="33" t="n">
        <f aca="false">WEEKDAY(A3278,2)</f>
        <v>3</v>
      </c>
      <c r="E3278" s="33" t="n">
        <f aca="false">HOUR(A3278)+MINUTE(A3278)/60</f>
        <v>12</v>
      </c>
      <c r="F3278" s="33" t="n">
        <f aca="false">IF(OR(D3278&gt;5,E3278&lt;8,E3278&gt;=18,COUNTIF($K$2:$K$10,INT(A3278))&gt;0),1,0)</f>
        <v>0</v>
      </c>
      <c r="G3278" s="34" t="n">
        <f aca="false">B3278/1</f>
        <v>220.535</v>
      </c>
      <c r="H3278" s="34" t="str">
        <f aca="false">IF(F3278=1,G3278,"")</f>
        <v/>
      </c>
    </row>
    <row r="3279" customFormat="false" ht="15" hidden="false" customHeight="false" outlineLevel="0" collapsed="false">
      <c r="A3279" s="31" t="n">
        <v>42872.5416666667</v>
      </c>
      <c r="B3279" s="32" t="n">
        <v>223.762</v>
      </c>
      <c r="D3279" s="33" t="n">
        <f aca="false">WEEKDAY(A3279,2)</f>
        <v>3</v>
      </c>
      <c r="E3279" s="33" t="n">
        <f aca="false">HOUR(A3279)+MINUTE(A3279)/60</f>
        <v>13</v>
      </c>
      <c r="F3279" s="33" t="n">
        <f aca="false">IF(OR(D3279&gt;5,E3279&lt;8,E3279&gt;=18,COUNTIF($K$2:$K$10,INT(A3279))&gt;0),1,0)</f>
        <v>0</v>
      </c>
      <c r="G3279" s="34" t="n">
        <f aca="false">B3279/1</f>
        <v>223.762</v>
      </c>
      <c r="H3279" s="34" t="str">
        <f aca="false">IF(F3279=1,G3279,"")</f>
        <v/>
      </c>
    </row>
    <row r="3280" customFormat="false" ht="15" hidden="false" customHeight="false" outlineLevel="0" collapsed="false">
      <c r="A3280" s="31" t="n">
        <v>42872.5833333333</v>
      </c>
      <c r="B3280" s="32" t="n">
        <v>221.383</v>
      </c>
      <c r="D3280" s="33" t="n">
        <f aca="false">WEEKDAY(A3280,2)</f>
        <v>3</v>
      </c>
      <c r="E3280" s="33" t="n">
        <f aca="false">HOUR(A3280)+MINUTE(A3280)/60</f>
        <v>14</v>
      </c>
      <c r="F3280" s="33" t="n">
        <f aca="false">IF(OR(D3280&gt;5,E3280&lt;8,E3280&gt;=18,COUNTIF($K$2:$K$10,INT(A3280))&gt;0),1,0)</f>
        <v>0</v>
      </c>
      <c r="G3280" s="34" t="n">
        <f aca="false">B3280/1</f>
        <v>221.383</v>
      </c>
      <c r="H3280" s="34" t="str">
        <f aca="false">IF(F3280=1,G3280,"")</f>
        <v/>
      </c>
    </row>
    <row r="3281" customFormat="false" ht="15" hidden="false" customHeight="false" outlineLevel="0" collapsed="false">
      <c r="A3281" s="31" t="n">
        <v>42872.625</v>
      </c>
      <c r="B3281" s="32" t="n">
        <v>216.583</v>
      </c>
      <c r="D3281" s="33" t="n">
        <f aca="false">WEEKDAY(A3281,2)</f>
        <v>3</v>
      </c>
      <c r="E3281" s="33" t="n">
        <f aca="false">HOUR(A3281)+MINUTE(A3281)/60</f>
        <v>15</v>
      </c>
      <c r="F3281" s="33" t="n">
        <f aca="false">IF(OR(D3281&gt;5,E3281&lt;8,E3281&gt;=18,COUNTIF($K$2:$K$10,INT(A3281))&gt;0),1,0)</f>
        <v>0</v>
      </c>
      <c r="G3281" s="34" t="n">
        <f aca="false">B3281/1</f>
        <v>216.583</v>
      </c>
      <c r="H3281" s="34" t="str">
        <f aca="false">IF(F3281=1,G3281,"")</f>
        <v/>
      </c>
    </row>
    <row r="3282" customFormat="false" ht="15" hidden="false" customHeight="false" outlineLevel="0" collapsed="false">
      <c r="A3282" s="31" t="n">
        <v>42872.6666666667</v>
      </c>
      <c r="B3282" s="32" t="n">
        <v>208.211</v>
      </c>
      <c r="D3282" s="33" t="n">
        <f aca="false">WEEKDAY(A3282,2)</f>
        <v>3</v>
      </c>
      <c r="E3282" s="33" t="n">
        <f aca="false">HOUR(A3282)+MINUTE(A3282)/60</f>
        <v>16</v>
      </c>
      <c r="F3282" s="33" t="n">
        <f aca="false">IF(OR(D3282&gt;5,E3282&lt;8,E3282&gt;=18,COUNTIF($K$2:$K$10,INT(A3282))&gt;0),1,0)</f>
        <v>0</v>
      </c>
      <c r="G3282" s="34" t="n">
        <f aca="false">B3282/1</f>
        <v>208.211</v>
      </c>
      <c r="H3282" s="34" t="str">
        <f aca="false">IF(F3282=1,G3282,"")</f>
        <v/>
      </c>
    </row>
    <row r="3283" customFormat="false" ht="15" hidden="false" customHeight="false" outlineLevel="0" collapsed="false">
      <c r="A3283" s="31" t="n">
        <v>42872.7083333333</v>
      </c>
      <c r="B3283" s="32" t="n">
        <v>199.928</v>
      </c>
      <c r="D3283" s="33" t="n">
        <f aca="false">WEEKDAY(A3283,2)</f>
        <v>3</v>
      </c>
      <c r="E3283" s="33" t="n">
        <f aca="false">HOUR(A3283)+MINUTE(A3283)/60</f>
        <v>17</v>
      </c>
      <c r="F3283" s="33" t="n">
        <f aca="false">IF(OR(D3283&gt;5,E3283&lt;8,E3283&gt;=18,COUNTIF($K$2:$K$10,INT(A3283))&gt;0),1,0)</f>
        <v>0</v>
      </c>
      <c r="G3283" s="34" t="n">
        <f aca="false">B3283/1</f>
        <v>199.928</v>
      </c>
      <c r="H3283" s="34" t="str">
        <f aca="false">IF(F3283=1,G3283,"")</f>
        <v/>
      </c>
    </row>
    <row r="3284" customFormat="false" ht="15" hidden="false" customHeight="false" outlineLevel="0" collapsed="false">
      <c r="A3284" s="31" t="n">
        <v>42872.75</v>
      </c>
      <c r="B3284" s="32" t="n">
        <v>182.082</v>
      </c>
      <c r="D3284" s="33" t="n">
        <f aca="false">WEEKDAY(A3284,2)</f>
        <v>3</v>
      </c>
      <c r="E3284" s="33" t="n">
        <f aca="false">HOUR(A3284)+MINUTE(A3284)/60</f>
        <v>18</v>
      </c>
      <c r="F3284" s="33" t="n">
        <f aca="false">IF(OR(D3284&gt;5,E3284&lt;8,E3284&gt;=18,COUNTIF($K$2:$K$10,INT(A3284))&gt;0),1,0)</f>
        <v>1</v>
      </c>
      <c r="G3284" s="34" t="n">
        <f aca="false">B3284/1</f>
        <v>182.082</v>
      </c>
      <c r="H3284" s="34" t="n">
        <f aca="false">IF(F3284=1,G3284,"")</f>
        <v>182.082</v>
      </c>
    </row>
    <row r="3285" customFormat="false" ht="15" hidden="false" customHeight="false" outlineLevel="0" collapsed="false">
      <c r="A3285" s="31" t="n">
        <v>42872.7916666667</v>
      </c>
      <c r="B3285" s="32" t="n">
        <v>177.368</v>
      </c>
      <c r="D3285" s="33" t="n">
        <f aca="false">WEEKDAY(A3285,2)</f>
        <v>3</v>
      </c>
      <c r="E3285" s="33" t="n">
        <f aca="false">HOUR(A3285)+MINUTE(A3285)/60</f>
        <v>19</v>
      </c>
      <c r="F3285" s="33" t="n">
        <f aca="false">IF(OR(D3285&gt;5,E3285&lt;8,E3285&gt;=18,COUNTIF($K$2:$K$10,INT(A3285))&gt;0),1,0)</f>
        <v>1</v>
      </c>
      <c r="G3285" s="34" t="n">
        <f aca="false">B3285/1</f>
        <v>177.368</v>
      </c>
      <c r="H3285" s="34" t="n">
        <f aca="false">IF(F3285=1,G3285,"")</f>
        <v>177.368</v>
      </c>
    </row>
    <row r="3286" customFormat="false" ht="15" hidden="false" customHeight="false" outlineLevel="0" collapsed="false">
      <c r="A3286" s="31" t="n">
        <v>42872.8333333333</v>
      </c>
      <c r="B3286" s="32" t="n">
        <v>176.245</v>
      </c>
      <c r="D3286" s="33" t="n">
        <f aca="false">WEEKDAY(A3286,2)</f>
        <v>3</v>
      </c>
      <c r="E3286" s="33" t="n">
        <f aca="false">HOUR(A3286)+MINUTE(A3286)/60</f>
        <v>20</v>
      </c>
      <c r="F3286" s="33" t="n">
        <f aca="false">IF(OR(D3286&gt;5,E3286&lt;8,E3286&gt;=18,COUNTIF($K$2:$K$10,INT(A3286))&gt;0),1,0)</f>
        <v>1</v>
      </c>
      <c r="G3286" s="34" t="n">
        <f aca="false">B3286/1</f>
        <v>176.245</v>
      </c>
      <c r="H3286" s="34" t="n">
        <f aca="false">IF(F3286=1,G3286,"")</f>
        <v>176.245</v>
      </c>
    </row>
    <row r="3287" customFormat="false" ht="15" hidden="false" customHeight="false" outlineLevel="0" collapsed="false">
      <c r="A3287" s="31" t="n">
        <v>42872.875</v>
      </c>
      <c r="B3287" s="32" t="n">
        <v>171.154</v>
      </c>
      <c r="D3287" s="33" t="n">
        <f aca="false">WEEKDAY(A3287,2)</f>
        <v>3</v>
      </c>
      <c r="E3287" s="33" t="n">
        <f aca="false">HOUR(A3287)+MINUTE(A3287)/60</f>
        <v>21</v>
      </c>
      <c r="F3287" s="33" t="n">
        <f aca="false">IF(OR(D3287&gt;5,E3287&lt;8,E3287&gt;=18,COUNTIF($K$2:$K$10,INT(A3287))&gt;0),1,0)</f>
        <v>1</v>
      </c>
      <c r="G3287" s="34" t="n">
        <f aca="false">B3287/1</f>
        <v>171.154</v>
      </c>
      <c r="H3287" s="34" t="n">
        <f aca="false">IF(F3287=1,G3287,"")</f>
        <v>171.154</v>
      </c>
    </row>
    <row r="3288" customFormat="false" ht="15" hidden="false" customHeight="false" outlineLevel="0" collapsed="false">
      <c r="A3288" s="31" t="n">
        <v>42872.9166666667</v>
      </c>
      <c r="B3288" s="32" t="n">
        <v>122.097</v>
      </c>
      <c r="D3288" s="33" t="n">
        <f aca="false">WEEKDAY(A3288,2)</f>
        <v>3</v>
      </c>
      <c r="E3288" s="33" t="n">
        <f aca="false">HOUR(A3288)+MINUTE(A3288)/60</f>
        <v>22</v>
      </c>
      <c r="F3288" s="33" t="n">
        <f aca="false">IF(OR(D3288&gt;5,E3288&lt;8,E3288&gt;=18,COUNTIF($K$2:$K$10,INT(A3288))&gt;0),1,0)</f>
        <v>1</v>
      </c>
      <c r="G3288" s="34" t="n">
        <f aca="false">B3288/1</f>
        <v>122.097</v>
      </c>
      <c r="H3288" s="34" t="n">
        <f aca="false">IF(F3288=1,G3288,"")</f>
        <v>122.097</v>
      </c>
    </row>
    <row r="3289" customFormat="false" ht="15" hidden="false" customHeight="false" outlineLevel="0" collapsed="false">
      <c r="A3289" s="31" t="n">
        <v>42872.9583333333</v>
      </c>
      <c r="B3289" s="32" t="n">
        <v>57.828</v>
      </c>
      <c r="D3289" s="33" t="n">
        <f aca="false">WEEKDAY(A3289,2)</f>
        <v>3</v>
      </c>
      <c r="E3289" s="33" t="n">
        <f aca="false">HOUR(A3289)+MINUTE(A3289)/60</f>
        <v>23</v>
      </c>
      <c r="F3289" s="33" t="n">
        <f aca="false">IF(OR(D3289&gt;5,E3289&lt;8,E3289&gt;=18,COUNTIF($K$2:$K$10,INT(A3289))&gt;0),1,0)</f>
        <v>1</v>
      </c>
      <c r="G3289" s="34" t="n">
        <f aca="false">B3289/1</f>
        <v>57.828</v>
      </c>
      <c r="H3289" s="34" t="n">
        <f aca="false">IF(F3289=1,G3289,"")</f>
        <v>57.828</v>
      </c>
    </row>
    <row r="3290" customFormat="false" ht="15" hidden="false" customHeight="false" outlineLevel="0" collapsed="false">
      <c r="A3290" s="31" t="n">
        <v>42873</v>
      </c>
      <c r="B3290" s="32" t="n">
        <v>55.38</v>
      </c>
      <c r="D3290" s="33" t="n">
        <f aca="false">WEEKDAY(A3290,2)</f>
        <v>4</v>
      </c>
      <c r="E3290" s="33" t="n">
        <f aca="false">HOUR(A3290)+MINUTE(A3290)/60</f>
        <v>0</v>
      </c>
      <c r="F3290" s="33" t="n">
        <f aca="false">IF(OR(D3290&gt;5,E3290&lt;8,E3290&gt;=18,COUNTIF($K$2:$K$10,INT(A3290))&gt;0),1,0)</f>
        <v>1</v>
      </c>
      <c r="G3290" s="34" t="n">
        <f aca="false">B3290/1</f>
        <v>55.38</v>
      </c>
      <c r="H3290" s="34" t="n">
        <f aca="false">IF(F3290=1,G3290,"")</f>
        <v>55.38</v>
      </c>
    </row>
    <row r="3291" customFormat="false" ht="15" hidden="false" customHeight="false" outlineLevel="0" collapsed="false">
      <c r="A3291" s="31" t="n">
        <v>42873.0416666667</v>
      </c>
      <c r="B3291" s="32" t="n">
        <v>53.32</v>
      </c>
      <c r="D3291" s="33" t="n">
        <f aca="false">WEEKDAY(A3291,2)</f>
        <v>4</v>
      </c>
      <c r="E3291" s="33" t="n">
        <f aca="false">HOUR(A3291)+MINUTE(A3291)/60</f>
        <v>1</v>
      </c>
      <c r="F3291" s="33" t="n">
        <f aca="false">IF(OR(D3291&gt;5,E3291&lt;8,E3291&gt;=18,COUNTIF($K$2:$K$10,INT(A3291))&gt;0),1,0)</f>
        <v>1</v>
      </c>
      <c r="G3291" s="34" t="n">
        <f aca="false">B3291/1</f>
        <v>53.32</v>
      </c>
      <c r="H3291" s="34" t="n">
        <f aca="false">IF(F3291=1,G3291,"")</f>
        <v>53.32</v>
      </c>
    </row>
    <row r="3292" customFormat="false" ht="15" hidden="false" customHeight="false" outlineLevel="0" collapsed="false">
      <c r="A3292" s="31" t="n">
        <v>42873.0833333333</v>
      </c>
      <c r="B3292" s="32" t="n">
        <v>53.319</v>
      </c>
      <c r="D3292" s="33" t="n">
        <f aca="false">WEEKDAY(A3292,2)</f>
        <v>4</v>
      </c>
      <c r="E3292" s="33" t="n">
        <f aca="false">HOUR(A3292)+MINUTE(A3292)/60</f>
        <v>2</v>
      </c>
      <c r="F3292" s="33" t="n">
        <f aca="false">IF(OR(D3292&gt;5,E3292&lt;8,E3292&gt;=18,COUNTIF($K$2:$K$10,INT(A3292))&gt;0),1,0)</f>
        <v>1</v>
      </c>
      <c r="G3292" s="34" t="n">
        <f aca="false">B3292/1</f>
        <v>53.319</v>
      </c>
      <c r="H3292" s="34" t="n">
        <f aca="false">IF(F3292=1,G3292,"")</f>
        <v>53.319</v>
      </c>
    </row>
    <row r="3293" customFormat="false" ht="15" hidden="false" customHeight="false" outlineLevel="0" collapsed="false">
      <c r="A3293" s="31" t="n">
        <v>42873.125</v>
      </c>
      <c r="B3293" s="32" t="n">
        <v>53.35</v>
      </c>
      <c r="D3293" s="33" t="n">
        <f aca="false">WEEKDAY(A3293,2)</f>
        <v>4</v>
      </c>
      <c r="E3293" s="33" t="n">
        <f aca="false">HOUR(A3293)+MINUTE(A3293)/60</f>
        <v>3</v>
      </c>
      <c r="F3293" s="33" t="n">
        <f aca="false">IF(OR(D3293&gt;5,E3293&lt;8,E3293&gt;=18,COUNTIF($K$2:$K$10,INT(A3293))&gt;0),1,0)</f>
        <v>1</v>
      </c>
      <c r="G3293" s="34" t="n">
        <f aca="false">B3293/1</f>
        <v>53.35</v>
      </c>
      <c r="H3293" s="34" t="n">
        <f aca="false">IF(F3293=1,G3293,"")</f>
        <v>53.35</v>
      </c>
    </row>
    <row r="3294" customFormat="false" ht="15" hidden="false" customHeight="false" outlineLevel="0" collapsed="false">
      <c r="A3294" s="31" t="n">
        <v>42873.1666666667</v>
      </c>
      <c r="B3294" s="32" t="n">
        <v>52.802</v>
      </c>
      <c r="D3294" s="33" t="n">
        <f aca="false">WEEKDAY(A3294,2)</f>
        <v>4</v>
      </c>
      <c r="E3294" s="33" t="n">
        <f aca="false">HOUR(A3294)+MINUTE(A3294)/60</f>
        <v>4</v>
      </c>
      <c r="F3294" s="33" t="n">
        <f aca="false">IF(OR(D3294&gt;5,E3294&lt;8,E3294&gt;=18,COUNTIF($K$2:$K$10,INT(A3294))&gt;0),1,0)</f>
        <v>1</v>
      </c>
      <c r="G3294" s="34" t="n">
        <f aca="false">B3294/1</f>
        <v>52.802</v>
      </c>
      <c r="H3294" s="34" t="n">
        <f aca="false">IF(F3294=1,G3294,"")</f>
        <v>52.802</v>
      </c>
    </row>
    <row r="3295" customFormat="false" ht="15" hidden="false" customHeight="false" outlineLevel="0" collapsed="false">
      <c r="A3295" s="31" t="n">
        <v>42873.2083333333</v>
      </c>
      <c r="B3295" s="32" t="n">
        <v>53.002</v>
      </c>
      <c r="D3295" s="33" t="n">
        <f aca="false">WEEKDAY(A3295,2)</f>
        <v>4</v>
      </c>
      <c r="E3295" s="33" t="n">
        <f aca="false">HOUR(A3295)+MINUTE(A3295)/60</f>
        <v>5</v>
      </c>
      <c r="F3295" s="33" t="n">
        <f aca="false">IF(OR(D3295&gt;5,E3295&lt;8,E3295&gt;=18,COUNTIF($K$2:$K$10,INT(A3295))&gt;0),1,0)</f>
        <v>1</v>
      </c>
      <c r="G3295" s="34" t="n">
        <f aca="false">B3295/1</f>
        <v>53.002</v>
      </c>
      <c r="H3295" s="34" t="n">
        <f aca="false">IF(F3295=1,G3295,"")</f>
        <v>53.002</v>
      </c>
    </row>
    <row r="3296" customFormat="false" ht="15" hidden="false" customHeight="false" outlineLevel="0" collapsed="false">
      <c r="A3296" s="31" t="n">
        <v>42873.25</v>
      </c>
      <c r="B3296" s="32" t="n">
        <v>53.993</v>
      </c>
      <c r="D3296" s="33" t="n">
        <f aca="false">WEEKDAY(A3296,2)</f>
        <v>4</v>
      </c>
      <c r="E3296" s="33" t="n">
        <f aca="false">HOUR(A3296)+MINUTE(A3296)/60</f>
        <v>6</v>
      </c>
      <c r="F3296" s="33" t="n">
        <f aca="false">IF(OR(D3296&gt;5,E3296&lt;8,E3296&gt;=18,COUNTIF($K$2:$K$10,INT(A3296))&gt;0),1,0)</f>
        <v>1</v>
      </c>
      <c r="G3296" s="34" t="n">
        <f aca="false">B3296/1</f>
        <v>53.993</v>
      </c>
      <c r="H3296" s="34" t="n">
        <f aca="false">IF(F3296=1,G3296,"")</f>
        <v>53.993</v>
      </c>
    </row>
    <row r="3297" customFormat="false" ht="15" hidden="false" customHeight="false" outlineLevel="0" collapsed="false">
      <c r="A3297" s="31" t="n">
        <v>42873.2916666667</v>
      </c>
      <c r="B3297" s="32" t="n">
        <v>61.736</v>
      </c>
      <c r="D3297" s="33" t="n">
        <f aca="false">WEEKDAY(A3297,2)</f>
        <v>4</v>
      </c>
      <c r="E3297" s="33" t="n">
        <f aca="false">HOUR(A3297)+MINUTE(A3297)/60</f>
        <v>7</v>
      </c>
      <c r="F3297" s="33" t="n">
        <f aca="false">IF(OR(D3297&gt;5,E3297&lt;8,E3297&gt;=18,COUNTIF($K$2:$K$10,INT(A3297))&gt;0),1,0)</f>
        <v>1</v>
      </c>
      <c r="G3297" s="34" t="n">
        <f aca="false">B3297/1</f>
        <v>61.736</v>
      </c>
      <c r="H3297" s="34" t="n">
        <f aca="false">IF(F3297=1,G3297,"")</f>
        <v>61.736</v>
      </c>
    </row>
    <row r="3298" customFormat="false" ht="15" hidden="false" customHeight="false" outlineLevel="0" collapsed="false">
      <c r="A3298" s="31" t="n">
        <v>42873.3333333333</v>
      </c>
      <c r="B3298" s="32" t="n">
        <v>158.536</v>
      </c>
      <c r="D3298" s="33" t="n">
        <f aca="false">WEEKDAY(A3298,2)</f>
        <v>4</v>
      </c>
      <c r="E3298" s="33" t="n">
        <f aca="false">HOUR(A3298)+MINUTE(A3298)/60</f>
        <v>8</v>
      </c>
      <c r="F3298" s="33" t="n">
        <f aca="false">IF(OR(D3298&gt;5,E3298&lt;8,E3298&gt;=18,COUNTIF($K$2:$K$10,INT(A3298))&gt;0),1,0)</f>
        <v>0</v>
      </c>
      <c r="G3298" s="34" t="n">
        <f aca="false">B3298/1</f>
        <v>158.536</v>
      </c>
      <c r="H3298" s="34" t="str">
        <f aca="false">IF(F3298=1,G3298,"")</f>
        <v/>
      </c>
    </row>
    <row r="3299" customFormat="false" ht="15" hidden="false" customHeight="false" outlineLevel="0" collapsed="false">
      <c r="A3299" s="31" t="n">
        <v>42873.375</v>
      </c>
      <c r="B3299" s="32" t="n">
        <v>180.483</v>
      </c>
      <c r="D3299" s="33" t="n">
        <f aca="false">WEEKDAY(A3299,2)</f>
        <v>4</v>
      </c>
      <c r="E3299" s="33" t="n">
        <f aca="false">HOUR(A3299)+MINUTE(A3299)/60</f>
        <v>9</v>
      </c>
      <c r="F3299" s="33" t="n">
        <f aca="false">IF(OR(D3299&gt;5,E3299&lt;8,E3299&gt;=18,COUNTIF($K$2:$K$10,INT(A3299))&gt;0),1,0)</f>
        <v>0</v>
      </c>
      <c r="G3299" s="34" t="n">
        <f aca="false">B3299/1</f>
        <v>180.483</v>
      </c>
      <c r="H3299" s="34" t="str">
        <f aca="false">IF(F3299=1,G3299,"")</f>
        <v/>
      </c>
    </row>
    <row r="3300" customFormat="false" ht="15" hidden="false" customHeight="false" outlineLevel="0" collapsed="false">
      <c r="A3300" s="31" t="n">
        <v>42873.4166666667</v>
      </c>
      <c r="B3300" s="32" t="n">
        <v>194.755</v>
      </c>
      <c r="D3300" s="33" t="n">
        <f aca="false">WEEKDAY(A3300,2)</f>
        <v>4</v>
      </c>
      <c r="E3300" s="33" t="n">
        <f aca="false">HOUR(A3300)+MINUTE(A3300)/60</f>
        <v>10</v>
      </c>
      <c r="F3300" s="33" t="n">
        <f aca="false">IF(OR(D3300&gt;5,E3300&lt;8,E3300&gt;=18,COUNTIF($K$2:$K$10,INT(A3300))&gt;0),1,0)</f>
        <v>0</v>
      </c>
      <c r="G3300" s="34" t="n">
        <f aca="false">B3300/1</f>
        <v>194.755</v>
      </c>
      <c r="H3300" s="34" t="str">
        <f aca="false">IF(F3300=1,G3300,"")</f>
        <v/>
      </c>
    </row>
    <row r="3301" customFormat="false" ht="15" hidden="false" customHeight="false" outlineLevel="0" collapsed="false">
      <c r="A3301" s="31" t="n">
        <v>42873.4583333333</v>
      </c>
      <c r="B3301" s="32" t="n">
        <v>195.906</v>
      </c>
      <c r="D3301" s="33" t="n">
        <f aca="false">WEEKDAY(A3301,2)</f>
        <v>4</v>
      </c>
      <c r="E3301" s="33" t="n">
        <f aca="false">HOUR(A3301)+MINUTE(A3301)/60</f>
        <v>11</v>
      </c>
      <c r="F3301" s="33" t="n">
        <f aca="false">IF(OR(D3301&gt;5,E3301&lt;8,E3301&gt;=18,COUNTIF($K$2:$K$10,INT(A3301))&gt;0),1,0)</f>
        <v>0</v>
      </c>
      <c r="G3301" s="34" t="n">
        <f aca="false">B3301/1</f>
        <v>195.906</v>
      </c>
      <c r="H3301" s="34" t="str">
        <f aca="false">IF(F3301=1,G3301,"")</f>
        <v/>
      </c>
    </row>
    <row r="3302" customFormat="false" ht="15" hidden="false" customHeight="false" outlineLevel="0" collapsed="false">
      <c r="A3302" s="31" t="n">
        <v>42873.5</v>
      </c>
      <c r="B3302" s="32" t="n">
        <v>209.964</v>
      </c>
      <c r="D3302" s="33" t="n">
        <f aca="false">WEEKDAY(A3302,2)</f>
        <v>4</v>
      </c>
      <c r="E3302" s="33" t="n">
        <f aca="false">HOUR(A3302)+MINUTE(A3302)/60</f>
        <v>12</v>
      </c>
      <c r="F3302" s="33" t="n">
        <f aca="false">IF(OR(D3302&gt;5,E3302&lt;8,E3302&gt;=18,COUNTIF($K$2:$K$10,INT(A3302))&gt;0),1,0)</f>
        <v>0</v>
      </c>
      <c r="G3302" s="34" t="n">
        <f aca="false">B3302/1</f>
        <v>209.964</v>
      </c>
      <c r="H3302" s="34" t="str">
        <f aca="false">IF(F3302=1,G3302,"")</f>
        <v/>
      </c>
    </row>
    <row r="3303" customFormat="false" ht="15" hidden="false" customHeight="false" outlineLevel="0" collapsed="false">
      <c r="A3303" s="31" t="n">
        <v>42873.5416666667</v>
      </c>
      <c r="B3303" s="32" t="n">
        <v>203.312</v>
      </c>
      <c r="D3303" s="33" t="n">
        <f aca="false">WEEKDAY(A3303,2)</f>
        <v>4</v>
      </c>
      <c r="E3303" s="33" t="n">
        <f aca="false">HOUR(A3303)+MINUTE(A3303)/60</f>
        <v>13</v>
      </c>
      <c r="F3303" s="33" t="n">
        <f aca="false">IF(OR(D3303&gt;5,E3303&lt;8,E3303&gt;=18,COUNTIF($K$2:$K$10,INT(A3303))&gt;0),1,0)</f>
        <v>0</v>
      </c>
      <c r="G3303" s="34" t="n">
        <f aca="false">B3303/1</f>
        <v>203.312</v>
      </c>
      <c r="H3303" s="34" t="str">
        <f aca="false">IF(F3303=1,G3303,"")</f>
        <v/>
      </c>
    </row>
    <row r="3304" customFormat="false" ht="15" hidden="false" customHeight="false" outlineLevel="0" collapsed="false">
      <c r="A3304" s="31" t="n">
        <v>42873.5833333333</v>
      </c>
      <c r="B3304" s="32" t="n">
        <v>213.255</v>
      </c>
      <c r="D3304" s="33" t="n">
        <f aca="false">WEEKDAY(A3304,2)</f>
        <v>4</v>
      </c>
      <c r="E3304" s="33" t="n">
        <f aca="false">HOUR(A3304)+MINUTE(A3304)/60</f>
        <v>14</v>
      </c>
      <c r="F3304" s="33" t="n">
        <f aca="false">IF(OR(D3304&gt;5,E3304&lt;8,E3304&gt;=18,COUNTIF($K$2:$K$10,INT(A3304))&gt;0),1,0)</f>
        <v>0</v>
      </c>
      <c r="G3304" s="34" t="n">
        <f aca="false">B3304/1</f>
        <v>213.255</v>
      </c>
      <c r="H3304" s="34" t="str">
        <f aca="false">IF(F3304=1,G3304,"")</f>
        <v/>
      </c>
    </row>
    <row r="3305" customFormat="false" ht="15" hidden="false" customHeight="false" outlineLevel="0" collapsed="false">
      <c r="A3305" s="31" t="n">
        <v>42873.625</v>
      </c>
      <c r="B3305" s="32" t="n">
        <v>211.935</v>
      </c>
      <c r="D3305" s="33" t="n">
        <f aca="false">WEEKDAY(A3305,2)</f>
        <v>4</v>
      </c>
      <c r="E3305" s="33" t="n">
        <f aca="false">HOUR(A3305)+MINUTE(A3305)/60</f>
        <v>15</v>
      </c>
      <c r="F3305" s="33" t="n">
        <f aca="false">IF(OR(D3305&gt;5,E3305&lt;8,E3305&gt;=18,COUNTIF($K$2:$K$10,INT(A3305))&gt;0),1,0)</f>
        <v>0</v>
      </c>
      <c r="G3305" s="34" t="n">
        <f aca="false">B3305/1</f>
        <v>211.935</v>
      </c>
      <c r="H3305" s="34" t="str">
        <f aca="false">IF(F3305=1,G3305,"")</f>
        <v/>
      </c>
    </row>
    <row r="3306" customFormat="false" ht="15" hidden="false" customHeight="false" outlineLevel="0" collapsed="false">
      <c r="A3306" s="31" t="n">
        <v>42873.6666666667</v>
      </c>
      <c r="B3306" s="32" t="n">
        <v>201.601</v>
      </c>
      <c r="D3306" s="33" t="n">
        <f aca="false">WEEKDAY(A3306,2)</f>
        <v>4</v>
      </c>
      <c r="E3306" s="33" t="n">
        <f aca="false">HOUR(A3306)+MINUTE(A3306)/60</f>
        <v>16</v>
      </c>
      <c r="F3306" s="33" t="n">
        <f aca="false">IF(OR(D3306&gt;5,E3306&lt;8,E3306&gt;=18,COUNTIF($K$2:$K$10,INT(A3306))&gt;0),1,0)</f>
        <v>0</v>
      </c>
      <c r="G3306" s="34" t="n">
        <f aca="false">B3306/1</f>
        <v>201.601</v>
      </c>
      <c r="H3306" s="34" t="str">
        <f aca="false">IF(F3306=1,G3306,"")</f>
        <v/>
      </c>
    </row>
    <row r="3307" customFormat="false" ht="15" hidden="false" customHeight="false" outlineLevel="0" collapsed="false">
      <c r="A3307" s="31" t="n">
        <v>42873.7083333333</v>
      </c>
      <c r="B3307" s="32" t="n">
        <v>196.481</v>
      </c>
      <c r="D3307" s="33" t="n">
        <f aca="false">WEEKDAY(A3307,2)</f>
        <v>4</v>
      </c>
      <c r="E3307" s="33" t="n">
        <f aca="false">HOUR(A3307)+MINUTE(A3307)/60</f>
        <v>17</v>
      </c>
      <c r="F3307" s="33" t="n">
        <f aca="false">IF(OR(D3307&gt;5,E3307&lt;8,E3307&gt;=18,COUNTIF($K$2:$K$10,INT(A3307))&gt;0),1,0)</f>
        <v>0</v>
      </c>
      <c r="G3307" s="34" t="n">
        <f aca="false">B3307/1</f>
        <v>196.481</v>
      </c>
      <c r="H3307" s="34" t="str">
        <f aca="false">IF(F3307=1,G3307,"")</f>
        <v/>
      </c>
    </row>
    <row r="3308" customFormat="false" ht="15" hidden="false" customHeight="false" outlineLevel="0" collapsed="false">
      <c r="A3308" s="31" t="n">
        <v>42873.75</v>
      </c>
      <c r="B3308" s="32" t="n">
        <v>190.351</v>
      </c>
      <c r="D3308" s="33" t="n">
        <f aca="false">WEEKDAY(A3308,2)</f>
        <v>4</v>
      </c>
      <c r="E3308" s="33" t="n">
        <f aca="false">HOUR(A3308)+MINUTE(A3308)/60</f>
        <v>18</v>
      </c>
      <c r="F3308" s="33" t="n">
        <f aca="false">IF(OR(D3308&gt;5,E3308&lt;8,E3308&gt;=18,COUNTIF($K$2:$K$10,INT(A3308))&gt;0),1,0)</f>
        <v>1</v>
      </c>
      <c r="G3308" s="34" t="n">
        <f aca="false">B3308/1</f>
        <v>190.351</v>
      </c>
      <c r="H3308" s="34" t="n">
        <f aca="false">IF(F3308=1,G3308,"")</f>
        <v>190.351</v>
      </c>
    </row>
    <row r="3309" customFormat="false" ht="15" hidden="false" customHeight="false" outlineLevel="0" collapsed="false">
      <c r="A3309" s="31" t="n">
        <v>42873.7916666667</v>
      </c>
      <c r="B3309" s="32" t="n">
        <v>187.746</v>
      </c>
      <c r="D3309" s="33" t="n">
        <f aca="false">WEEKDAY(A3309,2)</f>
        <v>4</v>
      </c>
      <c r="E3309" s="33" t="n">
        <f aca="false">HOUR(A3309)+MINUTE(A3309)/60</f>
        <v>19</v>
      </c>
      <c r="F3309" s="33" t="n">
        <f aca="false">IF(OR(D3309&gt;5,E3309&lt;8,E3309&gt;=18,COUNTIF($K$2:$K$10,INT(A3309))&gt;0),1,0)</f>
        <v>1</v>
      </c>
      <c r="G3309" s="34" t="n">
        <f aca="false">B3309/1</f>
        <v>187.746</v>
      </c>
      <c r="H3309" s="34" t="n">
        <f aca="false">IF(F3309=1,G3309,"")</f>
        <v>187.746</v>
      </c>
    </row>
    <row r="3310" customFormat="false" ht="15" hidden="false" customHeight="false" outlineLevel="0" collapsed="false">
      <c r="A3310" s="31" t="n">
        <v>42873.8333333333</v>
      </c>
      <c r="B3310" s="32" t="n">
        <v>179.008</v>
      </c>
      <c r="D3310" s="33" t="n">
        <f aca="false">WEEKDAY(A3310,2)</f>
        <v>4</v>
      </c>
      <c r="E3310" s="33" t="n">
        <f aca="false">HOUR(A3310)+MINUTE(A3310)/60</f>
        <v>20</v>
      </c>
      <c r="F3310" s="33" t="n">
        <f aca="false">IF(OR(D3310&gt;5,E3310&lt;8,E3310&gt;=18,COUNTIF($K$2:$K$10,INT(A3310))&gt;0),1,0)</f>
        <v>1</v>
      </c>
      <c r="G3310" s="34" t="n">
        <f aca="false">B3310/1</f>
        <v>179.008</v>
      </c>
      <c r="H3310" s="34" t="n">
        <f aca="false">IF(F3310=1,G3310,"")</f>
        <v>179.008</v>
      </c>
    </row>
    <row r="3311" customFormat="false" ht="15" hidden="false" customHeight="false" outlineLevel="0" collapsed="false">
      <c r="A3311" s="31" t="n">
        <v>42873.875</v>
      </c>
      <c r="B3311" s="32" t="n">
        <v>175.23</v>
      </c>
      <c r="D3311" s="33" t="n">
        <f aca="false">WEEKDAY(A3311,2)</f>
        <v>4</v>
      </c>
      <c r="E3311" s="33" t="n">
        <f aca="false">HOUR(A3311)+MINUTE(A3311)/60</f>
        <v>21</v>
      </c>
      <c r="F3311" s="33" t="n">
        <f aca="false">IF(OR(D3311&gt;5,E3311&lt;8,E3311&gt;=18,COUNTIF($K$2:$K$10,INT(A3311))&gt;0),1,0)</f>
        <v>1</v>
      </c>
      <c r="G3311" s="34" t="n">
        <f aca="false">B3311/1</f>
        <v>175.23</v>
      </c>
      <c r="H3311" s="34" t="n">
        <f aca="false">IF(F3311=1,G3311,"")</f>
        <v>175.23</v>
      </c>
    </row>
    <row r="3312" customFormat="false" ht="15" hidden="false" customHeight="false" outlineLevel="0" collapsed="false">
      <c r="A3312" s="31" t="n">
        <v>42873.9166666667</v>
      </c>
      <c r="B3312" s="32" t="n">
        <v>128.992</v>
      </c>
      <c r="D3312" s="33" t="n">
        <f aca="false">WEEKDAY(A3312,2)</f>
        <v>4</v>
      </c>
      <c r="E3312" s="33" t="n">
        <f aca="false">HOUR(A3312)+MINUTE(A3312)/60</f>
        <v>22</v>
      </c>
      <c r="F3312" s="33" t="n">
        <f aca="false">IF(OR(D3312&gt;5,E3312&lt;8,E3312&gt;=18,COUNTIF($K$2:$K$10,INT(A3312))&gt;0),1,0)</f>
        <v>1</v>
      </c>
      <c r="G3312" s="34" t="n">
        <f aca="false">B3312/1</f>
        <v>128.992</v>
      </c>
      <c r="H3312" s="34" t="n">
        <f aca="false">IF(F3312=1,G3312,"")</f>
        <v>128.992</v>
      </c>
    </row>
    <row r="3313" customFormat="false" ht="15" hidden="false" customHeight="false" outlineLevel="0" collapsed="false">
      <c r="A3313" s="31" t="n">
        <v>42873.9583333333</v>
      </c>
      <c r="B3313" s="32" t="n">
        <v>65.176</v>
      </c>
      <c r="D3313" s="33" t="n">
        <f aca="false">WEEKDAY(A3313,2)</f>
        <v>4</v>
      </c>
      <c r="E3313" s="33" t="n">
        <f aca="false">HOUR(A3313)+MINUTE(A3313)/60</f>
        <v>23</v>
      </c>
      <c r="F3313" s="33" t="n">
        <f aca="false">IF(OR(D3313&gt;5,E3313&lt;8,E3313&gt;=18,COUNTIF($K$2:$K$10,INT(A3313))&gt;0),1,0)</f>
        <v>1</v>
      </c>
      <c r="G3313" s="34" t="n">
        <f aca="false">B3313/1</f>
        <v>65.176</v>
      </c>
      <c r="H3313" s="34" t="n">
        <f aca="false">IF(F3313=1,G3313,"")</f>
        <v>65.176</v>
      </c>
    </row>
    <row r="3314" customFormat="false" ht="15" hidden="false" customHeight="false" outlineLevel="0" collapsed="false">
      <c r="A3314" s="31" t="n">
        <v>42874</v>
      </c>
      <c r="B3314" s="32" t="n">
        <v>64.362</v>
      </c>
      <c r="D3314" s="33" t="n">
        <f aca="false">WEEKDAY(A3314,2)</f>
        <v>5</v>
      </c>
      <c r="E3314" s="33" t="n">
        <f aca="false">HOUR(A3314)+MINUTE(A3314)/60</f>
        <v>0</v>
      </c>
      <c r="F3314" s="33" t="n">
        <f aca="false">IF(OR(D3314&gt;5,E3314&lt;8,E3314&gt;=18,COUNTIF($K$2:$K$10,INT(A3314))&gt;0),1,0)</f>
        <v>1</v>
      </c>
      <c r="G3314" s="34" t="n">
        <f aca="false">B3314/1</f>
        <v>64.362</v>
      </c>
      <c r="H3314" s="34" t="n">
        <f aca="false">IF(F3314=1,G3314,"")</f>
        <v>64.362</v>
      </c>
    </row>
    <row r="3315" customFormat="false" ht="15" hidden="false" customHeight="false" outlineLevel="0" collapsed="false">
      <c r="A3315" s="31" t="n">
        <v>42874.0416666667</v>
      </c>
      <c r="B3315" s="32" t="n">
        <v>62.518</v>
      </c>
      <c r="D3315" s="33" t="n">
        <f aca="false">WEEKDAY(A3315,2)</f>
        <v>5</v>
      </c>
      <c r="E3315" s="33" t="n">
        <f aca="false">HOUR(A3315)+MINUTE(A3315)/60</f>
        <v>1</v>
      </c>
      <c r="F3315" s="33" t="n">
        <f aca="false">IF(OR(D3315&gt;5,E3315&lt;8,E3315&gt;=18,COUNTIF($K$2:$K$10,INT(A3315))&gt;0),1,0)</f>
        <v>1</v>
      </c>
      <c r="G3315" s="34" t="n">
        <f aca="false">B3315/1</f>
        <v>62.518</v>
      </c>
      <c r="H3315" s="34" t="n">
        <f aca="false">IF(F3315=1,G3315,"")</f>
        <v>62.518</v>
      </c>
    </row>
    <row r="3316" customFormat="false" ht="15" hidden="false" customHeight="false" outlineLevel="0" collapsed="false">
      <c r="A3316" s="31" t="n">
        <v>42874.0833333333</v>
      </c>
      <c r="B3316" s="32" t="n">
        <v>62.579</v>
      </c>
      <c r="D3316" s="33" t="n">
        <f aca="false">WEEKDAY(A3316,2)</f>
        <v>5</v>
      </c>
      <c r="E3316" s="33" t="n">
        <f aca="false">HOUR(A3316)+MINUTE(A3316)/60</f>
        <v>2</v>
      </c>
      <c r="F3316" s="33" t="n">
        <f aca="false">IF(OR(D3316&gt;5,E3316&lt;8,E3316&gt;=18,COUNTIF($K$2:$K$10,INT(A3316))&gt;0),1,0)</f>
        <v>1</v>
      </c>
      <c r="G3316" s="34" t="n">
        <f aca="false">B3316/1</f>
        <v>62.579</v>
      </c>
      <c r="H3316" s="34" t="n">
        <f aca="false">IF(F3316=1,G3316,"")</f>
        <v>62.579</v>
      </c>
    </row>
    <row r="3317" customFormat="false" ht="15" hidden="false" customHeight="false" outlineLevel="0" collapsed="false">
      <c r="A3317" s="31" t="n">
        <v>42874.125</v>
      </c>
      <c r="B3317" s="32" t="n">
        <v>62.794</v>
      </c>
      <c r="D3317" s="33" t="n">
        <f aca="false">WEEKDAY(A3317,2)</f>
        <v>5</v>
      </c>
      <c r="E3317" s="33" t="n">
        <f aca="false">HOUR(A3317)+MINUTE(A3317)/60</f>
        <v>3</v>
      </c>
      <c r="F3317" s="33" t="n">
        <f aca="false">IF(OR(D3317&gt;5,E3317&lt;8,E3317&gt;=18,COUNTIF($K$2:$K$10,INT(A3317))&gt;0),1,0)</f>
        <v>1</v>
      </c>
      <c r="G3317" s="34" t="n">
        <f aca="false">B3317/1</f>
        <v>62.794</v>
      </c>
      <c r="H3317" s="34" t="n">
        <f aca="false">IF(F3317=1,G3317,"")</f>
        <v>62.794</v>
      </c>
    </row>
    <row r="3318" customFormat="false" ht="15" hidden="false" customHeight="false" outlineLevel="0" collapsed="false">
      <c r="A3318" s="31" t="n">
        <v>42874.1666666667</v>
      </c>
      <c r="B3318" s="32" t="n">
        <v>62.833</v>
      </c>
      <c r="D3318" s="33" t="n">
        <f aca="false">WEEKDAY(A3318,2)</f>
        <v>5</v>
      </c>
      <c r="E3318" s="33" t="n">
        <f aca="false">HOUR(A3318)+MINUTE(A3318)/60</f>
        <v>4</v>
      </c>
      <c r="F3318" s="33" t="n">
        <f aca="false">IF(OR(D3318&gt;5,E3318&lt;8,E3318&gt;=18,COUNTIF($K$2:$K$10,INT(A3318))&gt;0),1,0)</f>
        <v>1</v>
      </c>
      <c r="G3318" s="34" t="n">
        <f aca="false">B3318/1</f>
        <v>62.833</v>
      </c>
      <c r="H3318" s="34" t="n">
        <f aca="false">IF(F3318=1,G3318,"")</f>
        <v>62.833</v>
      </c>
    </row>
    <row r="3319" customFormat="false" ht="15" hidden="false" customHeight="false" outlineLevel="0" collapsed="false">
      <c r="A3319" s="31" t="n">
        <v>42874.2083333333</v>
      </c>
      <c r="B3319" s="32" t="n">
        <v>62.426</v>
      </c>
      <c r="D3319" s="33" t="n">
        <f aca="false">WEEKDAY(A3319,2)</f>
        <v>5</v>
      </c>
      <c r="E3319" s="33" t="n">
        <f aca="false">HOUR(A3319)+MINUTE(A3319)/60</f>
        <v>5</v>
      </c>
      <c r="F3319" s="33" t="n">
        <f aca="false">IF(OR(D3319&gt;5,E3319&lt;8,E3319&gt;=18,COUNTIF($K$2:$K$10,INT(A3319))&gt;0),1,0)</f>
        <v>1</v>
      </c>
      <c r="G3319" s="34" t="n">
        <f aca="false">B3319/1</f>
        <v>62.426</v>
      </c>
      <c r="H3319" s="34" t="n">
        <f aca="false">IF(F3319=1,G3319,"")</f>
        <v>62.426</v>
      </c>
    </row>
    <row r="3320" customFormat="false" ht="15" hidden="false" customHeight="false" outlineLevel="0" collapsed="false">
      <c r="A3320" s="31" t="n">
        <v>42874.25</v>
      </c>
      <c r="B3320" s="32" t="n">
        <v>63.366</v>
      </c>
      <c r="D3320" s="33" t="n">
        <f aca="false">WEEKDAY(A3320,2)</f>
        <v>5</v>
      </c>
      <c r="E3320" s="33" t="n">
        <f aca="false">HOUR(A3320)+MINUTE(A3320)/60</f>
        <v>6</v>
      </c>
      <c r="F3320" s="33" t="n">
        <f aca="false">IF(OR(D3320&gt;5,E3320&lt;8,E3320&gt;=18,COUNTIF($K$2:$K$10,INT(A3320))&gt;0),1,0)</f>
        <v>1</v>
      </c>
      <c r="G3320" s="34" t="n">
        <f aca="false">B3320/1</f>
        <v>63.366</v>
      </c>
      <c r="H3320" s="34" t="n">
        <f aca="false">IF(F3320=1,G3320,"")</f>
        <v>63.366</v>
      </c>
    </row>
    <row r="3321" customFormat="false" ht="15" hidden="false" customHeight="false" outlineLevel="0" collapsed="false">
      <c r="A3321" s="31" t="n">
        <v>42874.2916666667</v>
      </c>
      <c r="B3321" s="32" t="n">
        <v>65.885</v>
      </c>
      <c r="D3321" s="33" t="n">
        <f aca="false">WEEKDAY(A3321,2)</f>
        <v>5</v>
      </c>
      <c r="E3321" s="33" t="n">
        <f aca="false">HOUR(A3321)+MINUTE(A3321)/60</f>
        <v>7</v>
      </c>
      <c r="F3321" s="33" t="n">
        <f aca="false">IF(OR(D3321&gt;5,E3321&lt;8,E3321&gt;=18,COUNTIF($K$2:$K$10,INT(A3321))&gt;0),1,0)</f>
        <v>1</v>
      </c>
      <c r="G3321" s="34" t="n">
        <f aca="false">B3321/1</f>
        <v>65.885</v>
      </c>
      <c r="H3321" s="34" t="n">
        <f aca="false">IF(F3321=1,G3321,"")</f>
        <v>65.885</v>
      </c>
    </row>
    <row r="3322" customFormat="false" ht="15" hidden="false" customHeight="false" outlineLevel="0" collapsed="false">
      <c r="A3322" s="31" t="n">
        <v>42874.3333333333</v>
      </c>
      <c r="B3322" s="32" t="n">
        <v>163.604</v>
      </c>
      <c r="D3322" s="33" t="n">
        <f aca="false">WEEKDAY(A3322,2)</f>
        <v>5</v>
      </c>
      <c r="E3322" s="33" t="n">
        <f aca="false">HOUR(A3322)+MINUTE(A3322)/60</f>
        <v>8</v>
      </c>
      <c r="F3322" s="33" t="n">
        <f aca="false">IF(OR(D3322&gt;5,E3322&lt;8,E3322&gt;=18,COUNTIF($K$2:$K$10,INT(A3322))&gt;0),1,0)</f>
        <v>0</v>
      </c>
      <c r="G3322" s="34" t="n">
        <f aca="false">B3322/1</f>
        <v>163.604</v>
      </c>
      <c r="H3322" s="34" t="str">
        <f aca="false">IF(F3322=1,G3322,"")</f>
        <v/>
      </c>
    </row>
    <row r="3323" customFormat="false" ht="15" hidden="false" customHeight="false" outlineLevel="0" collapsed="false">
      <c r="A3323" s="31" t="n">
        <v>42874.375</v>
      </c>
      <c r="B3323" s="32" t="n">
        <v>191.425</v>
      </c>
      <c r="D3323" s="33" t="n">
        <f aca="false">WEEKDAY(A3323,2)</f>
        <v>5</v>
      </c>
      <c r="E3323" s="33" t="n">
        <f aca="false">HOUR(A3323)+MINUTE(A3323)/60</f>
        <v>9</v>
      </c>
      <c r="F3323" s="33" t="n">
        <f aca="false">IF(OR(D3323&gt;5,E3323&lt;8,E3323&gt;=18,COUNTIF($K$2:$K$10,INT(A3323))&gt;0),1,0)</f>
        <v>0</v>
      </c>
      <c r="G3323" s="34" t="n">
        <f aca="false">B3323/1</f>
        <v>191.425</v>
      </c>
      <c r="H3323" s="34" t="str">
        <f aca="false">IF(F3323=1,G3323,"")</f>
        <v/>
      </c>
    </row>
    <row r="3324" customFormat="false" ht="15" hidden="false" customHeight="false" outlineLevel="0" collapsed="false">
      <c r="A3324" s="31" t="n">
        <v>42874.4166666667</v>
      </c>
      <c r="B3324" s="32" t="n">
        <v>205.967</v>
      </c>
      <c r="D3324" s="33" t="n">
        <f aca="false">WEEKDAY(A3324,2)</f>
        <v>5</v>
      </c>
      <c r="E3324" s="33" t="n">
        <f aca="false">HOUR(A3324)+MINUTE(A3324)/60</f>
        <v>10</v>
      </c>
      <c r="F3324" s="33" t="n">
        <f aca="false">IF(OR(D3324&gt;5,E3324&lt;8,E3324&gt;=18,COUNTIF($K$2:$K$10,INT(A3324))&gt;0),1,0)</f>
        <v>0</v>
      </c>
      <c r="G3324" s="34" t="n">
        <f aca="false">B3324/1</f>
        <v>205.967</v>
      </c>
      <c r="H3324" s="34" t="str">
        <f aca="false">IF(F3324=1,G3324,"")</f>
        <v/>
      </c>
    </row>
    <row r="3325" customFormat="false" ht="15" hidden="false" customHeight="false" outlineLevel="0" collapsed="false">
      <c r="A3325" s="31" t="n">
        <v>42874.4583333333</v>
      </c>
      <c r="B3325" s="32" t="n">
        <v>209.71</v>
      </c>
      <c r="D3325" s="33" t="n">
        <f aca="false">WEEKDAY(A3325,2)</f>
        <v>5</v>
      </c>
      <c r="E3325" s="33" t="n">
        <f aca="false">HOUR(A3325)+MINUTE(A3325)/60</f>
        <v>11</v>
      </c>
      <c r="F3325" s="33" t="n">
        <f aca="false">IF(OR(D3325&gt;5,E3325&lt;8,E3325&gt;=18,COUNTIF($K$2:$K$10,INT(A3325))&gt;0),1,0)</f>
        <v>0</v>
      </c>
      <c r="G3325" s="34" t="n">
        <f aca="false">B3325/1</f>
        <v>209.71</v>
      </c>
      <c r="H3325" s="34" t="str">
        <f aca="false">IF(F3325=1,G3325,"")</f>
        <v/>
      </c>
    </row>
    <row r="3326" customFormat="false" ht="15" hidden="false" customHeight="false" outlineLevel="0" collapsed="false">
      <c r="A3326" s="31" t="n">
        <v>42874.5</v>
      </c>
      <c r="B3326" s="32" t="n">
        <v>212.765</v>
      </c>
      <c r="D3326" s="33" t="n">
        <f aca="false">WEEKDAY(A3326,2)</f>
        <v>5</v>
      </c>
      <c r="E3326" s="33" t="n">
        <f aca="false">HOUR(A3326)+MINUTE(A3326)/60</f>
        <v>12</v>
      </c>
      <c r="F3326" s="33" t="n">
        <f aca="false">IF(OR(D3326&gt;5,E3326&lt;8,E3326&gt;=18,COUNTIF($K$2:$K$10,INT(A3326))&gt;0),1,0)</f>
        <v>0</v>
      </c>
      <c r="G3326" s="34" t="n">
        <f aca="false">B3326/1</f>
        <v>212.765</v>
      </c>
      <c r="H3326" s="34" t="str">
        <f aca="false">IF(F3326=1,G3326,"")</f>
        <v/>
      </c>
    </row>
    <row r="3327" customFormat="false" ht="15" hidden="false" customHeight="false" outlineLevel="0" collapsed="false">
      <c r="A3327" s="31" t="n">
        <v>42874.5416666667</v>
      </c>
      <c r="B3327" s="32" t="n">
        <v>214.209</v>
      </c>
      <c r="D3327" s="33" t="n">
        <f aca="false">WEEKDAY(A3327,2)</f>
        <v>5</v>
      </c>
      <c r="E3327" s="33" t="n">
        <f aca="false">HOUR(A3327)+MINUTE(A3327)/60</f>
        <v>13</v>
      </c>
      <c r="F3327" s="33" t="n">
        <f aca="false">IF(OR(D3327&gt;5,E3327&lt;8,E3327&gt;=18,COUNTIF($K$2:$K$10,INT(A3327))&gt;0),1,0)</f>
        <v>0</v>
      </c>
      <c r="G3327" s="34" t="n">
        <f aca="false">B3327/1</f>
        <v>214.209</v>
      </c>
      <c r="H3327" s="34" t="str">
        <f aca="false">IF(F3327=1,G3327,"")</f>
        <v/>
      </c>
    </row>
    <row r="3328" customFormat="false" ht="15" hidden="false" customHeight="false" outlineLevel="0" collapsed="false">
      <c r="A3328" s="31" t="n">
        <v>42874.5833333333</v>
      </c>
      <c r="B3328" s="32" t="n">
        <v>211.443</v>
      </c>
      <c r="D3328" s="33" t="n">
        <f aca="false">WEEKDAY(A3328,2)</f>
        <v>5</v>
      </c>
      <c r="E3328" s="33" t="n">
        <f aca="false">HOUR(A3328)+MINUTE(A3328)/60</f>
        <v>14</v>
      </c>
      <c r="F3328" s="33" t="n">
        <f aca="false">IF(OR(D3328&gt;5,E3328&lt;8,E3328&gt;=18,COUNTIF($K$2:$K$10,INT(A3328))&gt;0),1,0)</f>
        <v>0</v>
      </c>
      <c r="G3328" s="34" t="n">
        <f aca="false">B3328/1</f>
        <v>211.443</v>
      </c>
      <c r="H3328" s="34" t="str">
        <f aca="false">IF(F3328=1,G3328,"")</f>
        <v/>
      </c>
    </row>
    <row r="3329" customFormat="false" ht="15" hidden="false" customHeight="false" outlineLevel="0" collapsed="false">
      <c r="A3329" s="31" t="n">
        <v>42874.625</v>
      </c>
      <c r="B3329" s="32" t="n">
        <v>219.986</v>
      </c>
      <c r="D3329" s="33" t="n">
        <f aca="false">WEEKDAY(A3329,2)</f>
        <v>5</v>
      </c>
      <c r="E3329" s="33" t="n">
        <f aca="false">HOUR(A3329)+MINUTE(A3329)/60</f>
        <v>15</v>
      </c>
      <c r="F3329" s="33" t="n">
        <f aca="false">IF(OR(D3329&gt;5,E3329&lt;8,E3329&gt;=18,COUNTIF($K$2:$K$10,INT(A3329))&gt;0),1,0)</f>
        <v>0</v>
      </c>
      <c r="G3329" s="34" t="n">
        <f aca="false">B3329/1</f>
        <v>219.986</v>
      </c>
      <c r="H3329" s="34" t="str">
        <f aca="false">IF(F3329=1,G3329,"")</f>
        <v/>
      </c>
    </row>
    <row r="3330" customFormat="false" ht="15" hidden="false" customHeight="false" outlineLevel="0" collapsed="false">
      <c r="A3330" s="31" t="n">
        <v>42874.6666666667</v>
      </c>
      <c r="B3330" s="32" t="n">
        <v>214.367</v>
      </c>
      <c r="D3330" s="33" t="n">
        <f aca="false">WEEKDAY(A3330,2)</f>
        <v>5</v>
      </c>
      <c r="E3330" s="33" t="n">
        <f aca="false">HOUR(A3330)+MINUTE(A3330)/60</f>
        <v>16</v>
      </c>
      <c r="F3330" s="33" t="n">
        <f aca="false">IF(OR(D3330&gt;5,E3330&lt;8,E3330&gt;=18,COUNTIF($K$2:$K$10,INT(A3330))&gt;0),1,0)</f>
        <v>0</v>
      </c>
      <c r="G3330" s="34" t="n">
        <f aca="false">B3330/1</f>
        <v>214.367</v>
      </c>
      <c r="H3330" s="34" t="str">
        <f aca="false">IF(F3330=1,G3330,"")</f>
        <v/>
      </c>
    </row>
    <row r="3331" customFormat="false" ht="15" hidden="false" customHeight="false" outlineLevel="0" collapsed="false">
      <c r="A3331" s="31" t="n">
        <v>42874.7083333333</v>
      </c>
      <c r="B3331" s="32" t="n">
        <v>194.485</v>
      </c>
      <c r="D3331" s="33" t="n">
        <f aca="false">WEEKDAY(A3331,2)</f>
        <v>5</v>
      </c>
      <c r="E3331" s="33" t="n">
        <f aca="false">HOUR(A3331)+MINUTE(A3331)/60</f>
        <v>17</v>
      </c>
      <c r="F3331" s="33" t="n">
        <f aca="false">IF(OR(D3331&gt;5,E3331&lt;8,E3331&gt;=18,COUNTIF($K$2:$K$10,INT(A3331))&gt;0),1,0)</f>
        <v>0</v>
      </c>
      <c r="G3331" s="34" t="n">
        <f aca="false">B3331/1</f>
        <v>194.485</v>
      </c>
      <c r="H3331" s="34" t="str">
        <f aca="false">IF(F3331=1,G3331,"")</f>
        <v/>
      </c>
    </row>
    <row r="3332" customFormat="false" ht="15" hidden="false" customHeight="false" outlineLevel="0" collapsed="false">
      <c r="A3332" s="31" t="n">
        <v>42874.75</v>
      </c>
      <c r="B3332" s="32" t="n">
        <v>174.837</v>
      </c>
      <c r="D3332" s="33" t="n">
        <f aca="false">WEEKDAY(A3332,2)</f>
        <v>5</v>
      </c>
      <c r="E3332" s="33" t="n">
        <f aca="false">HOUR(A3332)+MINUTE(A3332)/60</f>
        <v>18</v>
      </c>
      <c r="F3332" s="33" t="n">
        <f aca="false">IF(OR(D3332&gt;5,E3332&lt;8,E3332&gt;=18,COUNTIF($K$2:$K$10,INT(A3332))&gt;0),1,0)</f>
        <v>1</v>
      </c>
      <c r="G3332" s="34" t="n">
        <f aca="false">B3332/1</f>
        <v>174.837</v>
      </c>
      <c r="H3332" s="34" t="n">
        <f aca="false">IF(F3332=1,G3332,"")</f>
        <v>174.837</v>
      </c>
    </row>
    <row r="3333" customFormat="false" ht="15" hidden="false" customHeight="false" outlineLevel="0" collapsed="false">
      <c r="A3333" s="31" t="n">
        <v>42874.7916666667</v>
      </c>
      <c r="B3333" s="32" t="n">
        <v>171.365</v>
      </c>
      <c r="D3333" s="33" t="n">
        <f aca="false">WEEKDAY(A3333,2)</f>
        <v>5</v>
      </c>
      <c r="E3333" s="33" t="n">
        <f aca="false">HOUR(A3333)+MINUTE(A3333)/60</f>
        <v>19</v>
      </c>
      <c r="F3333" s="33" t="n">
        <f aca="false">IF(OR(D3333&gt;5,E3333&lt;8,E3333&gt;=18,COUNTIF($K$2:$K$10,INT(A3333))&gt;0),1,0)</f>
        <v>1</v>
      </c>
      <c r="G3333" s="34" t="n">
        <f aca="false">B3333/1</f>
        <v>171.365</v>
      </c>
      <c r="H3333" s="34" t="n">
        <f aca="false">IF(F3333=1,G3333,"")</f>
        <v>171.365</v>
      </c>
    </row>
    <row r="3334" customFormat="false" ht="15" hidden="false" customHeight="false" outlineLevel="0" collapsed="false">
      <c r="A3334" s="31" t="n">
        <v>42874.8333333333</v>
      </c>
      <c r="B3334" s="32" t="n">
        <v>171.862</v>
      </c>
      <c r="D3334" s="33" t="n">
        <f aca="false">WEEKDAY(A3334,2)</f>
        <v>5</v>
      </c>
      <c r="E3334" s="33" t="n">
        <f aca="false">HOUR(A3334)+MINUTE(A3334)/60</f>
        <v>20</v>
      </c>
      <c r="F3334" s="33" t="n">
        <f aca="false">IF(OR(D3334&gt;5,E3334&lt;8,E3334&gt;=18,COUNTIF($K$2:$K$10,INT(A3334))&gt;0),1,0)</f>
        <v>1</v>
      </c>
      <c r="G3334" s="34" t="n">
        <f aca="false">B3334/1</f>
        <v>171.862</v>
      </c>
      <c r="H3334" s="34" t="n">
        <f aca="false">IF(F3334=1,G3334,"")</f>
        <v>171.862</v>
      </c>
    </row>
    <row r="3335" customFormat="false" ht="15" hidden="false" customHeight="false" outlineLevel="0" collapsed="false">
      <c r="A3335" s="31" t="n">
        <v>42874.875</v>
      </c>
      <c r="B3335" s="32" t="n">
        <v>169.296</v>
      </c>
      <c r="D3335" s="33" t="n">
        <f aca="false">WEEKDAY(A3335,2)</f>
        <v>5</v>
      </c>
      <c r="E3335" s="33" t="n">
        <f aca="false">HOUR(A3335)+MINUTE(A3335)/60</f>
        <v>21</v>
      </c>
      <c r="F3335" s="33" t="n">
        <f aca="false">IF(OR(D3335&gt;5,E3335&lt;8,E3335&gt;=18,COUNTIF($K$2:$K$10,INT(A3335))&gt;0),1,0)</f>
        <v>1</v>
      </c>
      <c r="G3335" s="34" t="n">
        <f aca="false">B3335/1</f>
        <v>169.296</v>
      </c>
      <c r="H3335" s="34" t="n">
        <f aca="false">IF(F3335=1,G3335,"")</f>
        <v>169.296</v>
      </c>
    </row>
    <row r="3336" customFormat="false" ht="15" hidden="false" customHeight="false" outlineLevel="0" collapsed="false">
      <c r="A3336" s="31" t="n">
        <v>42874.9166666667</v>
      </c>
      <c r="B3336" s="32" t="n">
        <v>121.648</v>
      </c>
      <c r="D3336" s="33" t="n">
        <f aca="false">WEEKDAY(A3336,2)</f>
        <v>5</v>
      </c>
      <c r="E3336" s="33" t="n">
        <f aca="false">HOUR(A3336)+MINUTE(A3336)/60</f>
        <v>22</v>
      </c>
      <c r="F3336" s="33" t="n">
        <f aca="false">IF(OR(D3336&gt;5,E3336&lt;8,E3336&gt;=18,COUNTIF($K$2:$K$10,INT(A3336))&gt;0),1,0)</f>
        <v>1</v>
      </c>
      <c r="G3336" s="34" t="n">
        <f aca="false">B3336/1</f>
        <v>121.648</v>
      </c>
      <c r="H3336" s="34" t="n">
        <f aca="false">IF(F3336=1,G3336,"")</f>
        <v>121.648</v>
      </c>
    </row>
    <row r="3337" customFormat="false" ht="15" hidden="false" customHeight="false" outlineLevel="0" collapsed="false">
      <c r="A3337" s="31" t="n">
        <v>42874.9583333333</v>
      </c>
      <c r="B3337" s="32" t="n">
        <v>62.352</v>
      </c>
      <c r="D3337" s="33" t="n">
        <f aca="false">WEEKDAY(A3337,2)</f>
        <v>5</v>
      </c>
      <c r="E3337" s="33" t="n">
        <f aca="false">HOUR(A3337)+MINUTE(A3337)/60</f>
        <v>23</v>
      </c>
      <c r="F3337" s="33" t="n">
        <f aca="false">IF(OR(D3337&gt;5,E3337&lt;8,E3337&gt;=18,COUNTIF($K$2:$K$10,INT(A3337))&gt;0),1,0)</f>
        <v>1</v>
      </c>
      <c r="G3337" s="34" t="n">
        <f aca="false">B3337/1</f>
        <v>62.352</v>
      </c>
      <c r="H3337" s="34" t="n">
        <f aca="false">IF(F3337=1,G3337,"")</f>
        <v>62.352</v>
      </c>
    </row>
    <row r="3338" customFormat="false" ht="15" hidden="false" customHeight="false" outlineLevel="0" collapsed="false">
      <c r="A3338" s="31" t="n">
        <v>42875</v>
      </c>
      <c r="B3338" s="32" t="n">
        <v>61.747</v>
      </c>
      <c r="D3338" s="33" t="n">
        <f aca="false">WEEKDAY(A3338,2)</f>
        <v>6</v>
      </c>
      <c r="E3338" s="33" t="n">
        <f aca="false">HOUR(A3338)+MINUTE(A3338)/60</f>
        <v>0</v>
      </c>
      <c r="F3338" s="33" t="n">
        <f aca="false">IF(OR(D3338&gt;5,E3338&lt;8,E3338&gt;=18,COUNTIF($K$2:$K$10,INT(A3338))&gt;0),1,0)</f>
        <v>1</v>
      </c>
      <c r="G3338" s="34" t="n">
        <f aca="false">B3338/1</f>
        <v>61.747</v>
      </c>
      <c r="H3338" s="34" t="n">
        <f aca="false">IF(F3338=1,G3338,"")</f>
        <v>61.747</v>
      </c>
    </row>
    <row r="3339" customFormat="false" ht="15" hidden="false" customHeight="false" outlineLevel="0" collapsed="false">
      <c r="A3339" s="31" t="n">
        <v>42875.0416666667</v>
      </c>
      <c r="B3339" s="32" t="n">
        <v>60.394</v>
      </c>
      <c r="D3339" s="33" t="n">
        <f aca="false">WEEKDAY(A3339,2)</f>
        <v>6</v>
      </c>
      <c r="E3339" s="33" t="n">
        <f aca="false">HOUR(A3339)+MINUTE(A3339)/60</f>
        <v>1</v>
      </c>
      <c r="F3339" s="33" t="n">
        <f aca="false">IF(OR(D3339&gt;5,E3339&lt;8,E3339&gt;=18,COUNTIF($K$2:$K$10,INT(A3339))&gt;0),1,0)</f>
        <v>1</v>
      </c>
      <c r="G3339" s="34" t="n">
        <f aca="false">B3339/1</f>
        <v>60.394</v>
      </c>
      <c r="H3339" s="34" t="n">
        <f aca="false">IF(F3339=1,G3339,"")</f>
        <v>60.394</v>
      </c>
    </row>
    <row r="3340" customFormat="false" ht="15" hidden="false" customHeight="false" outlineLevel="0" collapsed="false">
      <c r="A3340" s="31" t="n">
        <v>42875.0833333333</v>
      </c>
      <c r="B3340" s="32" t="n">
        <v>59.918</v>
      </c>
      <c r="D3340" s="33" t="n">
        <f aca="false">WEEKDAY(A3340,2)</f>
        <v>6</v>
      </c>
      <c r="E3340" s="33" t="n">
        <f aca="false">HOUR(A3340)+MINUTE(A3340)/60</f>
        <v>2</v>
      </c>
      <c r="F3340" s="33" t="n">
        <f aca="false">IF(OR(D3340&gt;5,E3340&lt;8,E3340&gt;=18,COUNTIF($K$2:$K$10,INT(A3340))&gt;0),1,0)</f>
        <v>1</v>
      </c>
      <c r="G3340" s="34" t="n">
        <f aca="false">B3340/1</f>
        <v>59.918</v>
      </c>
      <c r="H3340" s="34" t="n">
        <f aca="false">IF(F3340=1,G3340,"")</f>
        <v>59.918</v>
      </c>
    </row>
    <row r="3341" customFormat="false" ht="15" hidden="false" customHeight="false" outlineLevel="0" collapsed="false">
      <c r="A3341" s="31" t="n">
        <v>42875.125</v>
      </c>
      <c r="B3341" s="32" t="n">
        <v>60.847</v>
      </c>
      <c r="D3341" s="33" t="n">
        <f aca="false">WEEKDAY(A3341,2)</f>
        <v>6</v>
      </c>
      <c r="E3341" s="33" t="n">
        <f aca="false">HOUR(A3341)+MINUTE(A3341)/60</f>
        <v>3</v>
      </c>
      <c r="F3341" s="33" t="n">
        <f aca="false">IF(OR(D3341&gt;5,E3341&lt;8,E3341&gt;=18,COUNTIF($K$2:$K$10,INT(A3341))&gt;0),1,0)</f>
        <v>1</v>
      </c>
      <c r="G3341" s="34" t="n">
        <f aca="false">B3341/1</f>
        <v>60.847</v>
      </c>
      <c r="H3341" s="34" t="n">
        <f aca="false">IF(F3341=1,G3341,"")</f>
        <v>60.847</v>
      </c>
    </row>
    <row r="3342" customFormat="false" ht="15" hidden="false" customHeight="false" outlineLevel="0" collapsed="false">
      <c r="A3342" s="31" t="n">
        <v>42875.1666666667</v>
      </c>
      <c r="B3342" s="32" t="n">
        <v>60.204</v>
      </c>
      <c r="D3342" s="33" t="n">
        <f aca="false">WEEKDAY(A3342,2)</f>
        <v>6</v>
      </c>
      <c r="E3342" s="33" t="n">
        <f aca="false">HOUR(A3342)+MINUTE(A3342)/60</f>
        <v>4</v>
      </c>
      <c r="F3342" s="33" t="n">
        <f aca="false">IF(OR(D3342&gt;5,E3342&lt;8,E3342&gt;=18,COUNTIF($K$2:$K$10,INT(A3342))&gt;0),1,0)</f>
        <v>1</v>
      </c>
      <c r="G3342" s="34" t="n">
        <f aca="false">B3342/1</f>
        <v>60.204</v>
      </c>
      <c r="H3342" s="34" t="n">
        <f aca="false">IF(F3342=1,G3342,"")</f>
        <v>60.204</v>
      </c>
    </row>
    <row r="3343" customFormat="false" ht="15" hidden="false" customHeight="false" outlineLevel="0" collapsed="false">
      <c r="A3343" s="31" t="n">
        <v>42875.2083333333</v>
      </c>
      <c r="B3343" s="32" t="n">
        <v>60.142</v>
      </c>
      <c r="D3343" s="33" t="n">
        <f aca="false">WEEKDAY(A3343,2)</f>
        <v>6</v>
      </c>
      <c r="E3343" s="33" t="n">
        <f aca="false">HOUR(A3343)+MINUTE(A3343)/60</f>
        <v>5</v>
      </c>
      <c r="F3343" s="33" t="n">
        <f aca="false">IF(OR(D3343&gt;5,E3343&lt;8,E3343&gt;=18,COUNTIF($K$2:$K$10,INT(A3343))&gt;0),1,0)</f>
        <v>1</v>
      </c>
      <c r="G3343" s="34" t="n">
        <f aca="false">B3343/1</f>
        <v>60.142</v>
      </c>
      <c r="H3343" s="34" t="n">
        <f aca="false">IF(F3343=1,G3343,"")</f>
        <v>60.142</v>
      </c>
    </row>
    <row r="3344" customFormat="false" ht="15" hidden="false" customHeight="false" outlineLevel="0" collapsed="false">
      <c r="A3344" s="31" t="n">
        <v>42875.25</v>
      </c>
      <c r="B3344" s="32" t="n">
        <v>60.44</v>
      </c>
      <c r="D3344" s="33" t="n">
        <f aca="false">WEEKDAY(A3344,2)</f>
        <v>6</v>
      </c>
      <c r="E3344" s="33" t="n">
        <f aca="false">HOUR(A3344)+MINUTE(A3344)/60</f>
        <v>6</v>
      </c>
      <c r="F3344" s="33" t="n">
        <f aca="false">IF(OR(D3344&gt;5,E3344&lt;8,E3344&gt;=18,COUNTIF($K$2:$K$10,INT(A3344))&gt;0),1,0)</f>
        <v>1</v>
      </c>
      <c r="G3344" s="34" t="n">
        <f aca="false">B3344/1</f>
        <v>60.44</v>
      </c>
      <c r="H3344" s="34" t="n">
        <f aca="false">IF(F3344=1,G3344,"")</f>
        <v>60.44</v>
      </c>
    </row>
    <row r="3345" customFormat="false" ht="15" hidden="false" customHeight="false" outlineLevel="0" collapsed="false">
      <c r="A3345" s="31" t="n">
        <v>42875.2916666667</v>
      </c>
      <c r="B3345" s="32" t="n">
        <v>60</v>
      </c>
      <c r="D3345" s="33" t="n">
        <f aca="false">WEEKDAY(A3345,2)</f>
        <v>6</v>
      </c>
      <c r="E3345" s="33" t="n">
        <f aca="false">HOUR(A3345)+MINUTE(A3345)/60</f>
        <v>7</v>
      </c>
      <c r="F3345" s="33" t="n">
        <f aca="false">IF(OR(D3345&gt;5,E3345&lt;8,E3345&gt;=18,COUNTIF($K$2:$K$10,INT(A3345))&gt;0),1,0)</f>
        <v>1</v>
      </c>
      <c r="G3345" s="34" t="n">
        <f aca="false">B3345/1</f>
        <v>60</v>
      </c>
      <c r="H3345" s="34" t="n">
        <f aca="false">IF(F3345=1,G3345,"")</f>
        <v>60</v>
      </c>
    </row>
    <row r="3346" customFormat="false" ht="15" hidden="false" customHeight="false" outlineLevel="0" collapsed="false">
      <c r="A3346" s="31" t="n">
        <v>42875.3333333333</v>
      </c>
      <c r="B3346" s="32" t="n">
        <v>124.279</v>
      </c>
      <c r="D3346" s="33" t="n">
        <f aca="false">WEEKDAY(A3346,2)</f>
        <v>6</v>
      </c>
      <c r="E3346" s="33" t="n">
        <f aca="false">HOUR(A3346)+MINUTE(A3346)/60</f>
        <v>8</v>
      </c>
      <c r="F3346" s="33" t="n">
        <f aca="false">IF(OR(D3346&gt;5,E3346&lt;8,E3346&gt;=18,COUNTIF($K$2:$K$10,INT(A3346))&gt;0),1,0)</f>
        <v>1</v>
      </c>
      <c r="G3346" s="34" t="n">
        <f aca="false">B3346/1</f>
        <v>124.279</v>
      </c>
      <c r="H3346" s="34" t="n">
        <f aca="false">IF(F3346=1,G3346,"")</f>
        <v>124.279</v>
      </c>
    </row>
    <row r="3347" customFormat="false" ht="15" hidden="false" customHeight="false" outlineLevel="0" collapsed="false">
      <c r="A3347" s="31" t="n">
        <v>42875.375</v>
      </c>
      <c r="B3347" s="32" t="n">
        <v>155.894</v>
      </c>
      <c r="D3347" s="33" t="n">
        <f aca="false">WEEKDAY(A3347,2)</f>
        <v>6</v>
      </c>
      <c r="E3347" s="33" t="n">
        <f aca="false">HOUR(A3347)+MINUTE(A3347)/60</f>
        <v>9</v>
      </c>
      <c r="F3347" s="33" t="n">
        <f aca="false">IF(OR(D3347&gt;5,E3347&lt;8,E3347&gt;=18,COUNTIF($K$2:$K$10,INT(A3347))&gt;0),1,0)</f>
        <v>1</v>
      </c>
      <c r="G3347" s="34" t="n">
        <f aca="false">B3347/1</f>
        <v>155.894</v>
      </c>
      <c r="H3347" s="34" t="n">
        <f aca="false">IF(F3347=1,G3347,"")</f>
        <v>155.894</v>
      </c>
    </row>
    <row r="3348" customFormat="false" ht="15" hidden="false" customHeight="false" outlineLevel="0" collapsed="false">
      <c r="A3348" s="31" t="n">
        <v>42875.4166666667</v>
      </c>
      <c r="B3348" s="32" t="n">
        <v>159.079</v>
      </c>
      <c r="D3348" s="33" t="n">
        <f aca="false">WEEKDAY(A3348,2)</f>
        <v>6</v>
      </c>
      <c r="E3348" s="33" t="n">
        <f aca="false">HOUR(A3348)+MINUTE(A3348)/60</f>
        <v>10</v>
      </c>
      <c r="F3348" s="33" t="n">
        <f aca="false">IF(OR(D3348&gt;5,E3348&lt;8,E3348&gt;=18,COUNTIF($K$2:$K$10,INT(A3348))&gt;0),1,0)</f>
        <v>1</v>
      </c>
      <c r="G3348" s="34" t="n">
        <f aca="false">B3348/1</f>
        <v>159.079</v>
      </c>
      <c r="H3348" s="34" t="n">
        <f aca="false">IF(F3348=1,G3348,"")</f>
        <v>159.079</v>
      </c>
    </row>
    <row r="3349" customFormat="false" ht="15" hidden="false" customHeight="false" outlineLevel="0" collapsed="false">
      <c r="A3349" s="31" t="n">
        <v>42875.4583333333</v>
      </c>
      <c r="B3349" s="32" t="n">
        <v>158.9</v>
      </c>
      <c r="D3349" s="33" t="n">
        <f aca="false">WEEKDAY(A3349,2)</f>
        <v>6</v>
      </c>
      <c r="E3349" s="33" t="n">
        <f aca="false">HOUR(A3349)+MINUTE(A3349)/60</f>
        <v>11</v>
      </c>
      <c r="F3349" s="33" t="n">
        <f aca="false">IF(OR(D3349&gt;5,E3349&lt;8,E3349&gt;=18,COUNTIF($K$2:$K$10,INT(A3349))&gt;0),1,0)</f>
        <v>1</v>
      </c>
      <c r="G3349" s="34" t="n">
        <f aca="false">B3349/1</f>
        <v>158.9</v>
      </c>
      <c r="H3349" s="34" t="n">
        <f aca="false">IF(F3349=1,G3349,"")</f>
        <v>158.9</v>
      </c>
    </row>
    <row r="3350" customFormat="false" ht="15" hidden="false" customHeight="false" outlineLevel="0" collapsed="false">
      <c r="A3350" s="31" t="n">
        <v>42875.5</v>
      </c>
      <c r="B3350" s="32" t="n">
        <v>158.397</v>
      </c>
      <c r="D3350" s="33" t="n">
        <f aca="false">WEEKDAY(A3350,2)</f>
        <v>6</v>
      </c>
      <c r="E3350" s="33" t="n">
        <f aca="false">HOUR(A3350)+MINUTE(A3350)/60</f>
        <v>12</v>
      </c>
      <c r="F3350" s="33" t="n">
        <f aca="false">IF(OR(D3350&gt;5,E3350&lt;8,E3350&gt;=18,COUNTIF($K$2:$K$10,INT(A3350))&gt;0),1,0)</f>
        <v>1</v>
      </c>
      <c r="G3350" s="34" t="n">
        <f aca="false">B3350/1</f>
        <v>158.397</v>
      </c>
      <c r="H3350" s="34" t="n">
        <f aca="false">IF(F3350=1,G3350,"")</f>
        <v>158.397</v>
      </c>
    </row>
    <row r="3351" customFormat="false" ht="15" hidden="false" customHeight="false" outlineLevel="0" collapsed="false">
      <c r="A3351" s="31" t="n">
        <v>42875.5416666667</v>
      </c>
      <c r="B3351" s="32" t="n">
        <v>159.229</v>
      </c>
      <c r="D3351" s="33" t="n">
        <f aca="false">WEEKDAY(A3351,2)</f>
        <v>6</v>
      </c>
      <c r="E3351" s="33" t="n">
        <f aca="false">HOUR(A3351)+MINUTE(A3351)/60</f>
        <v>13</v>
      </c>
      <c r="F3351" s="33" t="n">
        <f aca="false">IF(OR(D3351&gt;5,E3351&lt;8,E3351&gt;=18,COUNTIF($K$2:$K$10,INT(A3351))&gt;0),1,0)</f>
        <v>1</v>
      </c>
      <c r="G3351" s="34" t="n">
        <f aca="false">B3351/1</f>
        <v>159.229</v>
      </c>
      <c r="H3351" s="34" t="n">
        <f aca="false">IF(F3351=1,G3351,"")</f>
        <v>159.229</v>
      </c>
    </row>
    <row r="3352" customFormat="false" ht="15" hidden="false" customHeight="false" outlineLevel="0" collapsed="false">
      <c r="A3352" s="31" t="n">
        <v>42875.5833333333</v>
      </c>
      <c r="B3352" s="32" t="n">
        <v>160.037</v>
      </c>
      <c r="D3352" s="33" t="n">
        <f aca="false">WEEKDAY(A3352,2)</f>
        <v>6</v>
      </c>
      <c r="E3352" s="33" t="n">
        <f aca="false">HOUR(A3352)+MINUTE(A3352)/60</f>
        <v>14</v>
      </c>
      <c r="F3352" s="33" t="n">
        <f aca="false">IF(OR(D3352&gt;5,E3352&lt;8,E3352&gt;=18,COUNTIF($K$2:$K$10,INT(A3352))&gt;0),1,0)</f>
        <v>1</v>
      </c>
      <c r="G3352" s="34" t="n">
        <f aca="false">B3352/1</f>
        <v>160.037</v>
      </c>
      <c r="H3352" s="34" t="n">
        <f aca="false">IF(F3352=1,G3352,"")</f>
        <v>160.037</v>
      </c>
    </row>
    <row r="3353" customFormat="false" ht="15" hidden="false" customHeight="false" outlineLevel="0" collapsed="false">
      <c r="A3353" s="31" t="n">
        <v>42875.625</v>
      </c>
      <c r="B3353" s="32" t="n">
        <v>159.895</v>
      </c>
      <c r="D3353" s="33" t="n">
        <f aca="false">WEEKDAY(A3353,2)</f>
        <v>6</v>
      </c>
      <c r="E3353" s="33" t="n">
        <f aca="false">HOUR(A3353)+MINUTE(A3353)/60</f>
        <v>15</v>
      </c>
      <c r="F3353" s="33" t="n">
        <f aca="false">IF(OR(D3353&gt;5,E3353&lt;8,E3353&gt;=18,COUNTIF($K$2:$K$10,INT(A3353))&gt;0),1,0)</f>
        <v>1</v>
      </c>
      <c r="G3353" s="34" t="n">
        <f aca="false">B3353/1</f>
        <v>159.895</v>
      </c>
      <c r="H3353" s="34" t="n">
        <f aca="false">IF(F3353=1,G3353,"")</f>
        <v>159.895</v>
      </c>
    </row>
    <row r="3354" customFormat="false" ht="15" hidden="false" customHeight="false" outlineLevel="0" collapsed="false">
      <c r="A3354" s="31" t="n">
        <v>42875.6666666667</v>
      </c>
      <c r="B3354" s="32" t="n">
        <v>159.654</v>
      </c>
      <c r="D3354" s="33" t="n">
        <f aca="false">WEEKDAY(A3354,2)</f>
        <v>6</v>
      </c>
      <c r="E3354" s="33" t="n">
        <f aca="false">HOUR(A3354)+MINUTE(A3354)/60</f>
        <v>16</v>
      </c>
      <c r="F3354" s="33" t="n">
        <f aca="false">IF(OR(D3354&gt;5,E3354&lt;8,E3354&gt;=18,COUNTIF($K$2:$K$10,INT(A3354))&gt;0),1,0)</f>
        <v>1</v>
      </c>
      <c r="G3354" s="34" t="n">
        <f aca="false">B3354/1</f>
        <v>159.654</v>
      </c>
      <c r="H3354" s="34" t="n">
        <f aca="false">IF(F3354=1,G3354,"")</f>
        <v>159.654</v>
      </c>
    </row>
    <row r="3355" customFormat="false" ht="15" hidden="false" customHeight="false" outlineLevel="0" collapsed="false">
      <c r="A3355" s="31" t="n">
        <v>42875.7083333333</v>
      </c>
      <c r="B3355" s="32" t="n">
        <v>156.686</v>
      </c>
      <c r="D3355" s="33" t="n">
        <f aca="false">WEEKDAY(A3355,2)</f>
        <v>6</v>
      </c>
      <c r="E3355" s="33" t="n">
        <f aca="false">HOUR(A3355)+MINUTE(A3355)/60</f>
        <v>17</v>
      </c>
      <c r="F3355" s="33" t="n">
        <f aca="false">IF(OR(D3355&gt;5,E3355&lt;8,E3355&gt;=18,COUNTIF($K$2:$K$10,INT(A3355))&gt;0),1,0)</f>
        <v>1</v>
      </c>
      <c r="G3355" s="34" t="n">
        <f aca="false">B3355/1</f>
        <v>156.686</v>
      </c>
      <c r="H3355" s="34" t="n">
        <f aca="false">IF(F3355=1,G3355,"")</f>
        <v>156.686</v>
      </c>
    </row>
    <row r="3356" customFormat="false" ht="15" hidden="false" customHeight="false" outlineLevel="0" collapsed="false">
      <c r="A3356" s="31" t="n">
        <v>42875.75</v>
      </c>
      <c r="B3356" s="32" t="n">
        <v>75.382</v>
      </c>
      <c r="D3356" s="33" t="n">
        <f aca="false">WEEKDAY(A3356,2)</f>
        <v>6</v>
      </c>
      <c r="E3356" s="33" t="n">
        <f aca="false">HOUR(A3356)+MINUTE(A3356)/60</f>
        <v>18</v>
      </c>
      <c r="F3356" s="33" t="n">
        <f aca="false">IF(OR(D3356&gt;5,E3356&lt;8,E3356&gt;=18,COUNTIF($K$2:$K$10,INT(A3356))&gt;0),1,0)</f>
        <v>1</v>
      </c>
      <c r="G3356" s="34" t="n">
        <f aca="false">B3356/1</f>
        <v>75.382</v>
      </c>
      <c r="H3356" s="34" t="n">
        <f aca="false">IF(F3356=1,G3356,"")</f>
        <v>75.382</v>
      </c>
    </row>
    <row r="3357" customFormat="false" ht="15" hidden="false" customHeight="false" outlineLevel="0" collapsed="false">
      <c r="A3357" s="31" t="n">
        <v>42875.7916666667</v>
      </c>
      <c r="B3357" s="32" t="n">
        <v>59.764</v>
      </c>
      <c r="D3357" s="33" t="n">
        <f aca="false">WEEKDAY(A3357,2)</f>
        <v>6</v>
      </c>
      <c r="E3357" s="33" t="n">
        <f aca="false">HOUR(A3357)+MINUTE(A3357)/60</f>
        <v>19</v>
      </c>
      <c r="F3357" s="33" t="n">
        <f aca="false">IF(OR(D3357&gt;5,E3357&lt;8,E3357&gt;=18,COUNTIF($K$2:$K$10,INT(A3357))&gt;0),1,0)</f>
        <v>1</v>
      </c>
      <c r="G3357" s="34" t="n">
        <f aca="false">B3357/1</f>
        <v>59.764</v>
      </c>
      <c r="H3357" s="34" t="n">
        <f aca="false">IF(F3357=1,G3357,"")</f>
        <v>59.764</v>
      </c>
    </row>
    <row r="3358" customFormat="false" ht="15" hidden="false" customHeight="false" outlineLevel="0" collapsed="false">
      <c r="A3358" s="31" t="n">
        <v>42875.8333333333</v>
      </c>
      <c r="B3358" s="32" t="n">
        <v>59.178</v>
      </c>
      <c r="D3358" s="33" t="n">
        <f aca="false">WEEKDAY(A3358,2)</f>
        <v>6</v>
      </c>
      <c r="E3358" s="33" t="n">
        <f aca="false">HOUR(A3358)+MINUTE(A3358)/60</f>
        <v>20</v>
      </c>
      <c r="F3358" s="33" t="n">
        <f aca="false">IF(OR(D3358&gt;5,E3358&lt;8,E3358&gt;=18,COUNTIF($K$2:$K$10,INT(A3358))&gt;0),1,0)</f>
        <v>1</v>
      </c>
      <c r="G3358" s="34" t="n">
        <f aca="false">B3358/1</f>
        <v>59.178</v>
      </c>
      <c r="H3358" s="34" t="n">
        <f aca="false">IF(F3358=1,G3358,"")</f>
        <v>59.178</v>
      </c>
    </row>
    <row r="3359" customFormat="false" ht="15" hidden="false" customHeight="false" outlineLevel="0" collapsed="false">
      <c r="A3359" s="31" t="n">
        <v>42875.875</v>
      </c>
      <c r="B3359" s="32" t="n">
        <v>54.429</v>
      </c>
      <c r="D3359" s="33" t="n">
        <f aca="false">WEEKDAY(A3359,2)</f>
        <v>6</v>
      </c>
      <c r="E3359" s="33" t="n">
        <f aca="false">HOUR(A3359)+MINUTE(A3359)/60</f>
        <v>21</v>
      </c>
      <c r="F3359" s="33" t="n">
        <f aca="false">IF(OR(D3359&gt;5,E3359&lt;8,E3359&gt;=18,COUNTIF($K$2:$K$10,INT(A3359))&gt;0),1,0)</f>
        <v>1</v>
      </c>
      <c r="G3359" s="34" t="n">
        <f aca="false">B3359/1</f>
        <v>54.429</v>
      </c>
      <c r="H3359" s="34" t="n">
        <f aca="false">IF(F3359=1,G3359,"")</f>
        <v>54.429</v>
      </c>
    </row>
    <row r="3360" customFormat="false" ht="15" hidden="false" customHeight="false" outlineLevel="0" collapsed="false">
      <c r="A3360" s="31" t="n">
        <v>42875.9166666667</v>
      </c>
      <c r="B3360" s="32" t="n">
        <v>59.599</v>
      </c>
      <c r="D3360" s="33" t="n">
        <f aca="false">WEEKDAY(A3360,2)</f>
        <v>6</v>
      </c>
      <c r="E3360" s="33" t="n">
        <f aca="false">HOUR(A3360)+MINUTE(A3360)/60</f>
        <v>22</v>
      </c>
      <c r="F3360" s="33" t="n">
        <f aca="false">IF(OR(D3360&gt;5,E3360&lt;8,E3360&gt;=18,COUNTIF($K$2:$K$10,INT(A3360))&gt;0),1,0)</f>
        <v>1</v>
      </c>
      <c r="G3360" s="34" t="n">
        <f aca="false">B3360/1</f>
        <v>59.599</v>
      </c>
      <c r="H3360" s="34" t="n">
        <f aca="false">IF(F3360=1,G3360,"")</f>
        <v>59.599</v>
      </c>
    </row>
    <row r="3361" customFormat="false" ht="15" hidden="false" customHeight="false" outlineLevel="0" collapsed="false">
      <c r="A3361" s="31" t="n">
        <v>42875.9583333333</v>
      </c>
      <c r="B3361" s="32" t="n">
        <v>54.964</v>
      </c>
      <c r="D3361" s="33" t="n">
        <f aca="false">WEEKDAY(A3361,2)</f>
        <v>6</v>
      </c>
      <c r="E3361" s="33" t="n">
        <f aca="false">HOUR(A3361)+MINUTE(A3361)/60</f>
        <v>23</v>
      </c>
      <c r="F3361" s="33" t="n">
        <f aca="false">IF(OR(D3361&gt;5,E3361&lt;8,E3361&gt;=18,COUNTIF($K$2:$K$10,INT(A3361))&gt;0),1,0)</f>
        <v>1</v>
      </c>
      <c r="G3361" s="34" t="n">
        <f aca="false">B3361/1</f>
        <v>54.964</v>
      </c>
      <c r="H3361" s="34" t="n">
        <f aca="false">IF(F3361=1,G3361,"")</f>
        <v>54.964</v>
      </c>
    </row>
    <row r="3362" customFormat="false" ht="15" hidden="false" customHeight="false" outlineLevel="0" collapsed="false">
      <c r="A3362" s="31" t="n">
        <v>42876</v>
      </c>
      <c r="B3362" s="32" t="n">
        <v>52.543</v>
      </c>
      <c r="D3362" s="33" t="n">
        <f aca="false">WEEKDAY(A3362,2)</f>
        <v>7</v>
      </c>
      <c r="E3362" s="33" t="n">
        <f aca="false">HOUR(A3362)+MINUTE(A3362)/60</f>
        <v>0</v>
      </c>
      <c r="F3362" s="33" t="n">
        <f aca="false">IF(OR(D3362&gt;5,E3362&lt;8,E3362&gt;=18,COUNTIF($K$2:$K$10,INT(A3362))&gt;0),1,0)</f>
        <v>1</v>
      </c>
      <c r="G3362" s="34" t="n">
        <f aca="false">B3362/1</f>
        <v>52.543</v>
      </c>
      <c r="H3362" s="34" t="n">
        <f aca="false">IF(F3362=1,G3362,"")</f>
        <v>52.543</v>
      </c>
    </row>
    <row r="3363" customFormat="false" ht="15" hidden="false" customHeight="false" outlineLevel="0" collapsed="false">
      <c r="A3363" s="31" t="n">
        <v>42876.0416666667</v>
      </c>
      <c r="B3363" s="32" t="n">
        <v>57.605</v>
      </c>
      <c r="D3363" s="33" t="n">
        <f aca="false">WEEKDAY(A3363,2)</f>
        <v>7</v>
      </c>
      <c r="E3363" s="33" t="n">
        <f aca="false">HOUR(A3363)+MINUTE(A3363)/60</f>
        <v>1</v>
      </c>
      <c r="F3363" s="33" t="n">
        <f aca="false">IF(OR(D3363&gt;5,E3363&lt;8,E3363&gt;=18,COUNTIF($K$2:$K$10,INT(A3363))&gt;0),1,0)</f>
        <v>1</v>
      </c>
      <c r="G3363" s="34" t="n">
        <f aca="false">B3363/1</f>
        <v>57.605</v>
      </c>
      <c r="H3363" s="34" t="n">
        <f aca="false">IF(F3363=1,G3363,"")</f>
        <v>57.605</v>
      </c>
    </row>
    <row r="3364" customFormat="false" ht="15" hidden="false" customHeight="false" outlineLevel="0" collapsed="false">
      <c r="A3364" s="31" t="n">
        <v>42876.0833333333</v>
      </c>
      <c r="B3364" s="32" t="n">
        <v>50.976</v>
      </c>
      <c r="D3364" s="33" t="n">
        <f aca="false">WEEKDAY(A3364,2)</f>
        <v>7</v>
      </c>
      <c r="E3364" s="33" t="n">
        <f aca="false">HOUR(A3364)+MINUTE(A3364)/60</f>
        <v>2</v>
      </c>
      <c r="F3364" s="33" t="n">
        <f aca="false">IF(OR(D3364&gt;5,E3364&lt;8,E3364&gt;=18,COUNTIF($K$2:$K$10,INT(A3364))&gt;0),1,0)</f>
        <v>1</v>
      </c>
      <c r="G3364" s="34" t="n">
        <f aca="false">B3364/1</f>
        <v>50.976</v>
      </c>
      <c r="H3364" s="34" t="n">
        <f aca="false">IF(F3364=1,G3364,"")</f>
        <v>50.976</v>
      </c>
    </row>
    <row r="3365" customFormat="false" ht="15" hidden="false" customHeight="false" outlineLevel="0" collapsed="false">
      <c r="A3365" s="31" t="n">
        <v>42876.125</v>
      </c>
      <c r="B3365" s="32" t="n">
        <v>51.156</v>
      </c>
      <c r="D3365" s="33" t="n">
        <f aca="false">WEEKDAY(A3365,2)</f>
        <v>7</v>
      </c>
      <c r="E3365" s="33" t="n">
        <f aca="false">HOUR(A3365)+MINUTE(A3365)/60</f>
        <v>3</v>
      </c>
      <c r="F3365" s="33" t="n">
        <f aca="false">IF(OR(D3365&gt;5,E3365&lt;8,E3365&gt;=18,COUNTIF($K$2:$K$10,INT(A3365))&gt;0),1,0)</f>
        <v>1</v>
      </c>
      <c r="G3365" s="34" t="n">
        <f aca="false">B3365/1</f>
        <v>51.156</v>
      </c>
      <c r="H3365" s="34" t="n">
        <f aca="false">IF(F3365=1,G3365,"")</f>
        <v>51.156</v>
      </c>
    </row>
    <row r="3366" customFormat="false" ht="15" hidden="false" customHeight="false" outlineLevel="0" collapsed="false">
      <c r="A3366" s="31" t="n">
        <v>42876.1666666667</v>
      </c>
      <c r="B3366" s="32" t="n">
        <v>50.917</v>
      </c>
      <c r="D3366" s="33" t="n">
        <f aca="false">WEEKDAY(A3366,2)</f>
        <v>7</v>
      </c>
      <c r="E3366" s="33" t="n">
        <f aca="false">HOUR(A3366)+MINUTE(A3366)/60</f>
        <v>4</v>
      </c>
      <c r="F3366" s="33" t="n">
        <f aca="false">IF(OR(D3366&gt;5,E3366&lt;8,E3366&gt;=18,COUNTIF($K$2:$K$10,INT(A3366))&gt;0),1,0)</f>
        <v>1</v>
      </c>
      <c r="G3366" s="34" t="n">
        <f aca="false">B3366/1</f>
        <v>50.917</v>
      </c>
      <c r="H3366" s="34" t="n">
        <f aca="false">IF(F3366=1,G3366,"")</f>
        <v>50.917</v>
      </c>
    </row>
    <row r="3367" customFormat="false" ht="15" hidden="false" customHeight="false" outlineLevel="0" collapsed="false">
      <c r="A3367" s="31" t="n">
        <v>42876.2083333333</v>
      </c>
      <c r="B3367" s="32" t="n">
        <v>51.269</v>
      </c>
      <c r="D3367" s="33" t="n">
        <f aca="false">WEEKDAY(A3367,2)</f>
        <v>7</v>
      </c>
      <c r="E3367" s="33" t="n">
        <f aca="false">HOUR(A3367)+MINUTE(A3367)/60</f>
        <v>5</v>
      </c>
      <c r="F3367" s="33" t="n">
        <f aca="false">IF(OR(D3367&gt;5,E3367&lt;8,E3367&gt;=18,COUNTIF($K$2:$K$10,INT(A3367))&gt;0),1,0)</f>
        <v>1</v>
      </c>
      <c r="G3367" s="34" t="n">
        <f aca="false">B3367/1</f>
        <v>51.269</v>
      </c>
      <c r="H3367" s="34" t="n">
        <f aca="false">IF(F3367=1,G3367,"")</f>
        <v>51.269</v>
      </c>
    </row>
    <row r="3368" customFormat="false" ht="15" hidden="false" customHeight="false" outlineLevel="0" collapsed="false">
      <c r="A3368" s="31" t="n">
        <v>42876.25</v>
      </c>
      <c r="B3368" s="32" t="n">
        <v>50.958</v>
      </c>
      <c r="D3368" s="33" t="n">
        <f aca="false">WEEKDAY(A3368,2)</f>
        <v>7</v>
      </c>
      <c r="E3368" s="33" t="n">
        <f aca="false">HOUR(A3368)+MINUTE(A3368)/60</f>
        <v>6</v>
      </c>
      <c r="F3368" s="33" t="n">
        <f aca="false">IF(OR(D3368&gt;5,E3368&lt;8,E3368&gt;=18,COUNTIF($K$2:$K$10,INT(A3368))&gt;0),1,0)</f>
        <v>1</v>
      </c>
      <c r="G3368" s="34" t="n">
        <f aca="false">B3368/1</f>
        <v>50.958</v>
      </c>
      <c r="H3368" s="34" t="n">
        <f aca="false">IF(F3368=1,G3368,"")</f>
        <v>50.958</v>
      </c>
    </row>
    <row r="3369" customFormat="false" ht="15" hidden="false" customHeight="false" outlineLevel="0" collapsed="false">
      <c r="A3369" s="31" t="n">
        <v>42876.2916666667</v>
      </c>
      <c r="B3369" s="32" t="n">
        <v>57.457</v>
      </c>
      <c r="D3369" s="33" t="n">
        <f aca="false">WEEKDAY(A3369,2)</f>
        <v>7</v>
      </c>
      <c r="E3369" s="33" t="n">
        <f aca="false">HOUR(A3369)+MINUTE(A3369)/60</f>
        <v>7</v>
      </c>
      <c r="F3369" s="33" t="n">
        <f aca="false">IF(OR(D3369&gt;5,E3369&lt;8,E3369&gt;=18,COUNTIF($K$2:$K$10,INT(A3369))&gt;0),1,0)</f>
        <v>1</v>
      </c>
      <c r="G3369" s="34" t="n">
        <f aca="false">B3369/1</f>
        <v>57.457</v>
      </c>
      <c r="H3369" s="34" t="n">
        <f aca="false">IF(F3369=1,G3369,"")</f>
        <v>57.457</v>
      </c>
    </row>
    <row r="3370" customFormat="false" ht="15" hidden="false" customHeight="false" outlineLevel="0" collapsed="false">
      <c r="A3370" s="31" t="n">
        <v>42876.3333333333</v>
      </c>
      <c r="B3370" s="32" t="n">
        <v>51.327</v>
      </c>
      <c r="D3370" s="33" t="n">
        <f aca="false">WEEKDAY(A3370,2)</f>
        <v>7</v>
      </c>
      <c r="E3370" s="33" t="n">
        <f aca="false">HOUR(A3370)+MINUTE(A3370)/60</f>
        <v>8</v>
      </c>
      <c r="F3370" s="33" t="n">
        <f aca="false">IF(OR(D3370&gt;5,E3370&lt;8,E3370&gt;=18,COUNTIF($K$2:$K$10,INT(A3370))&gt;0),1,0)</f>
        <v>1</v>
      </c>
      <c r="G3370" s="34" t="n">
        <f aca="false">B3370/1</f>
        <v>51.327</v>
      </c>
      <c r="H3370" s="34" t="n">
        <f aca="false">IF(F3370=1,G3370,"")</f>
        <v>51.327</v>
      </c>
    </row>
    <row r="3371" customFormat="false" ht="15" hidden="false" customHeight="false" outlineLevel="0" collapsed="false">
      <c r="A3371" s="31" t="n">
        <v>42876.375</v>
      </c>
      <c r="B3371" s="32" t="n">
        <v>52.622</v>
      </c>
      <c r="D3371" s="33" t="n">
        <f aca="false">WEEKDAY(A3371,2)</f>
        <v>7</v>
      </c>
      <c r="E3371" s="33" t="n">
        <f aca="false">HOUR(A3371)+MINUTE(A3371)/60</f>
        <v>9</v>
      </c>
      <c r="F3371" s="33" t="n">
        <f aca="false">IF(OR(D3371&gt;5,E3371&lt;8,E3371&gt;=18,COUNTIF($K$2:$K$10,INT(A3371))&gt;0),1,0)</f>
        <v>1</v>
      </c>
      <c r="G3371" s="34" t="n">
        <f aca="false">B3371/1</f>
        <v>52.622</v>
      </c>
      <c r="H3371" s="34" t="n">
        <f aca="false">IF(F3371=1,G3371,"")</f>
        <v>52.622</v>
      </c>
    </row>
    <row r="3372" customFormat="false" ht="15" hidden="false" customHeight="false" outlineLevel="0" collapsed="false">
      <c r="A3372" s="31" t="n">
        <v>42876.4166666667</v>
      </c>
      <c r="B3372" s="32" t="n">
        <v>52.518</v>
      </c>
      <c r="D3372" s="33" t="n">
        <f aca="false">WEEKDAY(A3372,2)</f>
        <v>7</v>
      </c>
      <c r="E3372" s="33" t="n">
        <f aca="false">HOUR(A3372)+MINUTE(A3372)/60</f>
        <v>10</v>
      </c>
      <c r="F3372" s="33" t="n">
        <f aca="false">IF(OR(D3372&gt;5,E3372&lt;8,E3372&gt;=18,COUNTIF($K$2:$K$10,INT(A3372))&gt;0),1,0)</f>
        <v>1</v>
      </c>
      <c r="G3372" s="34" t="n">
        <f aca="false">B3372/1</f>
        <v>52.518</v>
      </c>
      <c r="H3372" s="34" t="n">
        <f aca="false">IF(F3372=1,G3372,"")</f>
        <v>52.518</v>
      </c>
    </row>
    <row r="3373" customFormat="false" ht="15" hidden="false" customHeight="false" outlineLevel="0" collapsed="false">
      <c r="A3373" s="31" t="n">
        <v>42876.4583333333</v>
      </c>
      <c r="B3373" s="32" t="n">
        <v>48.742</v>
      </c>
      <c r="D3373" s="33" t="n">
        <f aca="false">WEEKDAY(A3373,2)</f>
        <v>7</v>
      </c>
      <c r="E3373" s="33" t="n">
        <f aca="false">HOUR(A3373)+MINUTE(A3373)/60</f>
        <v>11</v>
      </c>
      <c r="F3373" s="33" t="n">
        <f aca="false">IF(OR(D3373&gt;5,E3373&lt;8,E3373&gt;=18,COUNTIF($K$2:$K$10,INT(A3373))&gt;0),1,0)</f>
        <v>1</v>
      </c>
      <c r="G3373" s="34" t="n">
        <f aca="false">B3373/1</f>
        <v>48.742</v>
      </c>
      <c r="H3373" s="34" t="n">
        <f aca="false">IF(F3373=1,G3373,"")</f>
        <v>48.742</v>
      </c>
    </row>
    <row r="3374" customFormat="false" ht="15" hidden="false" customHeight="false" outlineLevel="0" collapsed="false">
      <c r="A3374" s="31" t="n">
        <v>42876.5</v>
      </c>
      <c r="B3374" s="32" t="n">
        <v>50.109</v>
      </c>
      <c r="D3374" s="33" t="n">
        <f aca="false">WEEKDAY(A3374,2)</f>
        <v>7</v>
      </c>
      <c r="E3374" s="33" t="n">
        <f aca="false">HOUR(A3374)+MINUTE(A3374)/60</f>
        <v>12</v>
      </c>
      <c r="F3374" s="33" t="n">
        <f aca="false">IF(OR(D3374&gt;5,E3374&lt;8,E3374&gt;=18,COUNTIF($K$2:$K$10,INT(A3374))&gt;0),1,0)</f>
        <v>1</v>
      </c>
      <c r="G3374" s="34" t="n">
        <f aca="false">B3374/1</f>
        <v>50.109</v>
      </c>
      <c r="H3374" s="34" t="n">
        <f aca="false">IF(F3374=1,G3374,"")</f>
        <v>50.109</v>
      </c>
    </row>
    <row r="3375" customFormat="false" ht="15" hidden="false" customHeight="false" outlineLevel="0" collapsed="false">
      <c r="A3375" s="31" t="n">
        <v>42876.5416666667</v>
      </c>
      <c r="B3375" s="32" t="n">
        <v>91.013</v>
      </c>
      <c r="D3375" s="33" t="n">
        <f aca="false">WEEKDAY(A3375,2)</f>
        <v>7</v>
      </c>
      <c r="E3375" s="33" t="n">
        <f aca="false">HOUR(A3375)+MINUTE(A3375)/60</f>
        <v>13</v>
      </c>
      <c r="F3375" s="33" t="n">
        <f aca="false">IF(OR(D3375&gt;5,E3375&lt;8,E3375&gt;=18,COUNTIF($K$2:$K$10,INT(A3375))&gt;0),1,0)</f>
        <v>1</v>
      </c>
      <c r="G3375" s="34" t="n">
        <f aca="false">B3375/1</f>
        <v>91.013</v>
      </c>
      <c r="H3375" s="34" t="n">
        <f aca="false">IF(F3375=1,G3375,"")</f>
        <v>91.013</v>
      </c>
    </row>
    <row r="3376" customFormat="false" ht="15" hidden="false" customHeight="false" outlineLevel="0" collapsed="false">
      <c r="A3376" s="31" t="n">
        <v>42876.5833333333</v>
      </c>
      <c r="B3376" s="32" t="n">
        <v>122.004</v>
      </c>
      <c r="D3376" s="33" t="n">
        <f aca="false">WEEKDAY(A3376,2)</f>
        <v>7</v>
      </c>
      <c r="E3376" s="33" t="n">
        <f aca="false">HOUR(A3376)+MINUTE(A3376)/60</f>
        <v>14</v>
      </c>
      <c r="F3376" s="33" t="n">
        <f aca="false">IF(OR(D3376&gt;5,E3376&lt;8,E3376&gt;=18,COUNTIF($K$2:$K$10,INT(A3376))&gt;0),1,0)</f>
        <v>1</v>
      </c>
      <c r="G3376" s="34" t="n">
        <f aca="false">B3376/1</f>
        <v>122.004</v>
      </c>
      <c r="H3376" s="34" t="n">
        <f aca="false">IF(F3376=1,G3376,"")</f>
        <v>122.004</v>
      </c>
    </row>
    <row r="3377" customFormat="false" ht="15" hidden="false" customHeight="false" outlineLevel="0" collapsed="false">
      <c r="A3377" s="31" t="n">
        <v>42876.625</v>
      </c>
      <c r="B3377" s="32" t="n">
        <v>122.64</v>
      </c>
      <c r="D3377" s="33" t="n">
        <f aca="false">WEEKDAY(A3377,2)</f>
        <v>7</v>
      </c>
      <c r="E3377" s="33" t="n">
        <f aca="false">HOUR(A3377)+MINUTE(A3377)/60</f>
        <v>15</v>
      </c>
      <c r="F3377" s="33" t="n">
        <f aca="false">IF(OR(D3377&gt;5,E3377&lt;8,E3377&gt;=18,COUNTIF($K$2:$K$10,INT(A3377))&gt;0),1,0)</f>
        <v>1</v>
      </c>
      <c r="G3377" s="34" t="n">
        <f aca="false">B3377/1</f>
        <v>122.64</v>
      </c>
      <c r="H3377" s="34" t="n">
        <f aca="false">IF(F3377=1,G3377,"")</f>
        <v>122.64</v>
      </c>
    </row>
    <row r="3378" customFormat="false" ht="15" hidden="false" customHeight="false" outlineLevel="0" collapsed="false">
      <c r="A3378" s="31" t="n">
        <v>42876.6666666667</v>
      </c>
      <c r="B3378" s="32" t="n">
        <v>123.358</v>
      </c>
      <c r="D3378" s="33" t="n">
        <f aca="false">WEEKDAY(A3378,2)</f>
        <v>7</v>
      </c>
      <c r="E3378" s="33" t="n">
        <f aca="false">HOUR(A3378)+MINUTE(A3378)/60</f>
        <v>16</v>
      </c>
      <c r="F3378" s="33" t="n">
        <f aca="false">IF(OR(D3378&gt;5,E3378&lt;8,E3378&gt;=18,COUNTIF($K$2:$K$10,INT(A3378))&gt;0),1,0)</f>
        <v>1</v>
      </c>
      <c r="G3378" s="34" t="n">
        <f aca="false">B3378/1</f>
        <v>123.358</v>
      </c>
      <c r="H3378" s="34" t="n">
        <f aca="false">IF(F3378=1,G3378,"")</f>
        <v>123.358</v>
      </c>
    </row>
    <row r="3379" customFormat="false" ht="15" hidden="false" customHeight="false" outlineLevel="0" collapsed="false">
      <c r="A3379" s="31" t="n">
        <v>42876.7083333333</v>
      </c>
      <c r="B3379" s="32" t="n">
        <v>126.907</v>
      </c>
      <c r="D3379" s="33" t="n">
        <f aca="false">WEEKDAY(A3379,2)</f>
        <v>7</v>
      </c>
      <c r="E3379" s="33" t="n">
        <f aca="false">HOUR(A3379)+MINUTE(A3379)/60</f>
        <v>17</v>
      </c>
      <c r="F3379" s="33" t="n">
        <f aca="false">IF(OR(D3379&gt;5,E3379&lt;8,E3379&gt;=18,COUNTIF($K$2:$K$10,INT(A3379))&gt;0),1,0)</f>
        <v>1</v>
      </c>
      <c r="G3379" s="34" t="n">
        <f aca="false">B3379/1</f>
        <v>126.907</v>
      </c>
      <c r="H3379" s="34" t="n">
        <f aca="false">IF(F3379=1,G3379,"")</f>
        <v>126.907</v>
      </c>
    </row>
    <row r="3380" customFormat="false" ht="15" hidden="false" customHeight="false" outlineLevel="0" collapsed="false">
      <c r="A3380" s="31" t="n">
        <v>42876.75</v>
      </c>
      <c r="B3380" s="32" t="n">
        <v>64.5</v>
      </c>
      <c r="D3380" s="33" t="n">
        <f aca="false">WEEKDAY(A3380,2)</f>
        <v>7</v>
      </c>
      <c r="E3380" s="33" t="n">
        <f aca="false">HOUR(A3380)+MINUTE(A3380)/60</f>
        <v>18</v>
      </c>
      <c r="F3380" s="33" t="n">
        <f aca="false">IF(OR(D3380&gt;5,E3380&lt;8,E3380&gt;=18,COUNTIF($K$2:$K$10,INT(A3380))&gt;0),1,0)</f>
        <v>1</v>
      </c>
      <c r="G3380" s="34" t="n">
        <f aca="false">B3380/1</f>
        <v>64.5</v>
      </c>
      <c r="H3380" s="34" t="n">
        <f aca="false">IF(F3380=1,G3380,"")</f>
        <v>64.5</v>
      </c>
    </row>
    <row r="3381" customFormat="false" ht="15" hidden="false" customHeight="false" outlineLevel="0" collapsed="false">
      <c r="A3381" s="31" t="n">
        <v>42876.7916666667</v>
      </c>
      <c r="B3381" s="32" t="n">
        <v>58.448</v>
      </c>
      <c r="D3381" s="33" t="n">
        <f aca="false">WEEKDAY(A3381,2)</f>
        <v>7</v>
      </c>
      <c r="E3381" s="33" t="n">
        <f aca="false">HOUR(A3381)+MINUTE(A3381)/60</f>
        <v>19</v>
      </c>
      <c r="F3381" s="33" t="n">
        <f aca="false">IF(OR(D3381&gt;5,E3381&lt;8,E3381&gt;=18,COUNTIF($K$2:$K$10,INT(A3381))&gt;0),1,0)</f>
        <v>1</v>
      </c>
      <c r="G3381" s="34" t="n">
        <f aca="false">B3381/1</f>
        <v>58.448</v>
      </c>
      <c r="H3381" s="34" t="n">
        <f aca="false">IF(F3381=1,G3381,"")</f>
        <v>58.448</v>
      </c>
    </row>
    <row r="3382" customFormat="false" ht="15" hidden="false" customHeight="false" outlineLevel="0" collapsed="false">
      <c r="A3382" s="31" t="n">
        <v>42876.8333333333</v>
      </c>
      <c r="B3382" s="32" t="n">
        <v>58.856</v>
      </c>
      <c r="D3382" s="33" t="n">
        <f aca="false">WEEKDAY(A3382,2)</f>
        <v>7</v>
      </c>
      <c r="E3382" s="33" t="n">
        <f aca="false">HOUR(A3382)+MINUTE(A3382)/60</f>
        <v>20</v>
      </c>
      <c r="F3382" s="33" t="n">
        <f aca="false">IF(OR(D3382&gt;5,E3382&lt;8,E3382&gt;=18,COUNTIF($K$2:$K$10,INT(A3382))&gt;0),1,0)</f>
        <v>1</v>
      </c>
      <c r="G3382" s="34" t="n">
        <f aca="false">B3382/1</f>
        <v>58.856</v>
      </c>
      <c r="H3382" s="34" t="n">
        <f aca="false">IF(F3382=1,G3382,"")</f>
        <v>58.856</v>
      </c>
    </row>
    <row r="3383" customFormat="false" ht="15" hidden="false" customHeight="false" outlineLevel="0" collapsed="false">
      <c r="A3383" s="31" t="n">
        <v>42876.875</v>
      </c>
      <c r="B3383" s="32" t="n">
        <v>60.491</v>
      </c>
      <c r="D3383" s="33" t="n">
        <f aca="false">WEEKDAY(A3383,2)</f>
        <v>7</v>
      </c>
      <c r="E3383" s="33" t="n">
        <f aca="false">HOUR(A3383)+MINUTE(A3383)/60</f>
        <v>21</v>
      </c>
      <c r="F3383" s="33" t="n">
        <f aca="false">IF(OR(D3383&gt;5,E3383&lt;8,E3383&gt;=18,COUNTIF($K$2:$K$10,INT(A3383))&gt;0),1,0)</f>
        <v>1</v>
      </c>
      <c r="G3383" s="34" t="n">
        <f aca="false">B3383/1</f>
        <v>60.491</v>
      </c>
      <c r="H3383" s="34" t="n">
        <f aca="false">IF(F3383=1,G3383,"")</f>
        <v>60.491</v>
      </c>
    </row>
    <row r="3384" customFormat="false" ht="15" hidden="false" customHeight="false" outlineLevel="0" collapsed="false">
      <c r="A3384" s="31" t="n">
        <v>42876.9166666667</v>
      </c>
      <c r="B3384" s="32" t="n">
        <v>61.446</v>
      </c>
      <c r="D3384" s="33" t="n">
        <f aca="false">WEEKDAY(A3384,2)</f>
        <v>7</v>
      </c>
      <c r="E3384" s="33" t="n">
        <f aca="false">HOUR(A3384)+MINUTE(A3384)/60</f>
        <v>22</v>
      </c>
      <c r="F3384" s="33" t="n">
        <f aca="false">IF(OR(D3384&gt;5,E3384&lt;8,E3384&gt;=18,COUNTIF($K$2:$K$10,INT(A3384))&gt;0),1,0)</f>
        <v>1</v>
      </c>
      <c r="G3384" s="34" t="n">
        <f aca="false">B3384/1</f>
        <v>61.446</v>
      </c>
      <c r="H3384" s="34" t="n">
        <f aca="false">IF(F3384=1,G3384,"")</f>
        <v>61.446</v>
      </c>
    </row>
    <row r="3385" customFormat="false" ht="15" hidden="false" customHeight="false" outlineLevel="0" collapsed="false">
      <c r="A3385" s="31" t="n">
        <v>42876.9583333333</v>
      </c>
      <c r="B3385" s="32" t="n">
        <v>61.098</v>
      </c>
      <c r="D3385" s="33" t="n">
        <f aca="false">WEEKDAY(A3385,2)</f>
        <v>7</v>
      </c>
      <c r="E3385" s="33" t="n">
        <f aca="false">HOUR(A3385)+MINUTE(A3385)/60</f>
        <v>23</v>
      </c>
      <c r="F3385" s="33" t="n">
        <f aca="false">IF(OR(D3385&gt;5,E3385&lt;8,E3385&gt;=18,COUNTIF($K$2:$K$10,INT(A3385))&gt;0),1,0)</f>
        <v>1</v>
      </c>
      <c r="G3385" s="34" t="n">
        <f aca="false">B3385/1</f>
        <v>61.098</v>
      </c>
      <c r="H3385" s="34" t="n">
        <f aca="false">IF(F3385=1,G3385,"")</f>
        <v>61.098</v>
      </c>
    </row>
    <row r="3386" customFormat="false" ht="15" hidden="false" customHeight="false" outlineLevel="0" collapsed="false">
      <c r="A3386" s="31" t="n">
        <v>42877</v>
      </c>
      <c r="B3386" s="32" t="n">
        <v>61.514</v>
      </c>
      <c r="D3386" s="33" t="n">
        <f aca="false">WEEKDAY(A3386,2)</f>
        <v>1</v>
      </c>
      <c r="E3386" s="33" t="n">
        <f aca="false">HOUR(A3386)+MINUTE(A3386)/60</f>
        <v>0</v>
      </c>
      <c r="F3386" s="33" t="n">
        <f aca="false">IF(OR(D3386&gt;5,E3386&lt;8,E3386&gt;=18,COUNTIF($K$2:$K$10,INT(A3386))&gt;0),1,0)</f>
        <v>1</v>
      </c>
      <c r="G3386" s="34" t="n">
        <f aca="false">B3386/1</f>
        <v>61.514</v>
      </c>
      <c r="H3386" s="34" t="n">
        <f aca="false">IF(F3386=1,G3386,"")</f>
        <v>61.514</v>
      </c>
    </row>
    <row r="3387" customFormat="false" ht="15" hidden="false" customHeight="false" outlineLevel="0" collapsed="false">
      <c r="A3387" s="31" t="n">
        <v>42877.0416666667</v>
      </c>
      <c r="B3387" s="32" t="n">
        <v>60.953</v>
      </c>
      <c r="D3387" s="33" t="n">
        <f aca="false">WEEKDAY(A3387,2)</f>
        <v>1</v>
      </c>
      <c r="E3387" s="33" t="n">
        <f aca="false">HOUR(A3387)+MINUTE(A3387)/60</f>
        <v>1</v>
      </c>
      <c r="F3387" s="33" t="n">
        <f aca="false">IF(OR(D3387&gt;5,E3387&lt;8,E3387&gt;=18,COUNTIF($K$2:$K$10,INT(A3387))&gt;0),1,0)</f>
        <v>1</v>
      </c>
      <c r="G3387" s="34" t="n">
        <f aca="false">B3387/1</f>
        <v>60.953</v>
      </c>
      <c r="H3387" s="34" t="n">
        <f aca="false">IF(F3387=1,G3387,"")</f>
        <v>60.953</v>
      </c>
    </row>
    <row r="3388" customFormat="false" ht="15" hidden="false" customHeight="false" outlineLevel="0" collapsed="false">
      <c r="A3388" s="31" t="n">
        <v>42877.0833333333</v>
      </c>
      <c r="B3388" s="32" t="n">
        <v>61.124</v>
      </c>
      <c r="D3388" s="33" t="n">
        <f aca="false">WEEKDAY(A3388,2)</f>
        <v>1</v>
      </c>
      <c r="E3388" s="33" t="n">
        <f aca="false">HOUR(A3388)+MINUTE(A3388)/60</f>
        <v>2</v>
      </c>
      <c r="F3388" s="33" t="n">
        <f aca="false">IF(OR(D3388&gt;5,E3388&lt;8,E3388&gt;=18,COUNTIF($K$2:$K$10,INT(A3388))&gt;0),1,0)</f>
        <v>1</v>
      </c>
      <c r="G3388" s="34" t="n">
        <f aca="false">B3388/1</f>
        <v>61.124</v>
      </c>
      <c r="H3388" s="34" t="n">
        <f aca="false">IF(F3388=1,G3388,"")</f>
        <v>61.124</v>
      </c>
    </row>
    <row r="3389" customFormat="false" ht="15" hidden="false" customHeight="false" outlineLevel="0" collapsed="false">
      <c r="A3389" s="31" t="n">
        <v>42877.125</v>
      </c>
      <c r="B3389" s="32" t="n">
        <v>61.201</v>
      </c>
      <c r="D3389" s="33" t="n">
        <f aca="false">WEEKDAY(A3389,2)</f>
        <v>1</v>
      </c>
      <c r="E3389" s="33" t="n">
        <f aca="false">HOUR(A3389)+MINUTE(A3389)/60</f>
        <v>3</v>
      </c>
      <c r="F3389" s="33" t="n">
        <f aca="false">IF(OR(D3389&gt;5,E3389&lt;8,E3389&gt;=18,COUNTIF($K$2:$K$10,INT(A3389))&gt;0),1,0)</f>
        <v>1</v>
      </c>
      <c r="G3389" s="34" t="n">
        <f aca="false">B3389/1</f>
        <v>61.201</v>
      </c>
      <c r="H3389" s="34" t="n">
        <f aca="false">IF(F3389=1,G3389,"")</f>
        <v>61.201</v>
      </c>
    </row>
    <row r="3390" customFormat="false" ht="15" hidden="false" customHeight="false" outlineLevel="0" collapsed="false">
      <c r="A3390" s="31" t="n">
        <v>42877.1666666667</v>
      </c>
      <c r="B3390" s="32" t="n">
        <v>61.106</v>
      </c>
      <c r="D3390" s="33" t="n">
        <f aca="false">WEEKDAY(A3390,2)</f>
        <v>1</v>
      </c>
      <c r="E3390" s="33" t="n">
        <f aca="false">HOUR(A3390)+MINUTE(A3390)/60</f>
        <v>4</v>
      </c>
      <c r="F3390" s="33" t="n">
        <f aca="false">IF(OR(D3390&gt;5,E3390&lt;8,E3390&gt;=18,COUNTIF($K$2:$K$10,INT(A3390))&gt;0),1,0)</f>
        <v>1</v>
      </c>
      <c r="G3390" s="34" t="n">
        <f aca="false">B3390/1</f>
        <v>61.106</v>
      </c>
      <c r="H3390" s="34" t="n">
        <f aca="false">IF(F3390=1,G3390,"")</f>
        <v>61.106</v>
      </c>
    </row>
    <row r="3391" customFormat="false" ht="15" hidden="false" customHeight="false" outlineLevel="0" collapsed="false">
      <c r="A3391" s="31" t="n">
        <v>42877.2083333333</v>
      </c>
      <c r="B3391" s="32" t="n">
        <v>60.707</v>
      </c>
      <c r="D3391" s="33" t="n">
        <f aca="false">WEEKDAY(A3391,2)</f>
        <v>1</v>
      </c>
      <c r="E3391" s="33" t="n">
        <f aca="false">HOUR(A3391)+MINUTE(A3391)/60</f>
        <v>5</v>
      </c>
      <c r="F3391" s="33" t="n">
        <f aca="false">IF(OR(D3391&gt;5,E3391&lt;8,E3391&gt;=18,COUNTIF($K$2:$K$10,INT(A3391))&gt;0),1,0)</f>
        <v>1</v>
      </c>
      <c r="G3391" s="34" t="n">
        <f aca="false">B3391/1</f>
        <v>60.707</v>
      </c>
      <c r="H3391" s="34" t="n">
        <f aca="false">IF(F3391=1,G3391,"")</f>
        <v>60.707</v>
      </c>
    </row>
    <row r="3392" customFormat="false" ht="15" hidden="false" customHeight="false" outlineLevel="0" collapsed="false">
      <c r="A3392" s="31" t="n">
        <v>42877.25</v>
      </c>
      <c r="B3392" s="32" t="n">
        <v>62.102</v>
      </c>
      <c r="D3392" s="33" t="n">
        <f aca="false">WEEKDAY(A3392,2)</f>
        <v>1</v>
      </c>
      <c r="E3392" s="33" t="n">
        <f aca="false">HOUR(A3392)+MINUTE(A3392)/60</f>
        <v>6</v>
      </c>
      <c r="F3392" s="33" t="n">
        <f aca="false">IF(OR(D3392&gt;5,E3392&lt;8,E3392&gt;=18,COUNTIF($K$2:$K$10,INT(A3392))&gt;0),1,0)</f>
        <v>1</v>
      </c>
      <c r="G3392" s="34" t="n">
        <f aca="false">B3392/1</f>
        <v>62.102</v>
      </c>
      <c r="H3392" s="34" t="n">
        <f aca="false">IF(F3392=1,G3392,"")</f>
        <v>62.102</v>
      </c>
    </row>
    <row r="3393" customFormat="false" ht="15" hidden="false" customHeight="false" outlineLevel="0" collapsed="false">
      <c r="A3393" s="31" t="n">
        <v>42877.2916666667</v>
      </c>
      <c r="B3393" s="32" t="n">
        <v>79.992</v>
      </c>
      <c r="D3393" s="33" t="n">
        <f aca="false">WEEKDAY(A3393,2)</f>
        <v>1</v>
      </c>
      <c r="E3393" s="33" t="n">
        <f aca="false">HOUR(A3393)+MINUTE(A3393)/60</f>
        <v>7</v>
      </c>
      <c r="F3393" s="33" t="n">
        <f aca="false">IF(OR(D3393&gt;5,E3393&lt;8,E3393&gt;=18,COUNTIF($K$2:$K$10,INT(A3393))&gt;0),1,0)</f>
        <v>1</v>
      </c>
      <c r="G3393" s="34" t="n">
        <f aca="false">B3393/1</f>
        <v>79.992</v>
      </c>
      <c r="H3393" s="34" t="n">
        <f aca="false">IF(F3393=1,G3393,"")</f>
        <v>79.992</v>
      </c>
    </row>
    <row r="3394" customFormat="false" ht="15" hidden="false" customHeight="false" outlineLevel="0" collapsed="false">
      <c r="A3394" s="31" t="n">
        <v>42877.3333333333</v>
      </c>
      <c r="B3394" s="32" t="n">
        <v>167.566</v>
      </c>
      <c r="D3394" s="33" t="n">
        <f aca="false">WEEKDAY(A3394,2)</f>
        <v>1</v>
      </c>
      <c r="E3394" s="33" t="n">
        <f aca="false">HOUR(A3394)+MINUTE(A3394)/60</f>
        <v>8</v>
      </c>
      <c r="F3394" s="33" t="n">
        <f aca="false">IF(OR(D3394&gt;5,E3394&lt;8,E3394&gt;=18,COUNTIF($K$2:$K$10,INT(A3394))&gt;0),1,0)</f>
        <v>0</v>
      </c>
      <c r="G3394" s="34" t="n">
        <f aca="false">B3394/1</f>
        <v>167.566</v>
      </c>
      <c r="H3394" s="34" t="str">
        <f aca="false">IF(F3394=1,G3394,"")</f>
        <v/>
      </c>
    </row>
    <row r="3395" customFormat="false" ht="15" hidden="false" customHeight="false" outlineLevel="0" collapsed="false">
      <c r="A3395" s="31" t="n">
        <v>42877.375</v>
      </c>
      <c r="B3395" s="32" t="n">
        <v>199.519</v>
      </c>
      <c r="D3395" s="33" t="n">
        <f aca="false">WEEKDAY(A3395,2)</f>
        <v>1</v>
      </c>
      <c r="E3395" s="33" t="n">
        <f aca="false">HOUR(A3395)+MINUTE(A3395)/60</f>
        <v>9</v>
      </c>
      <c r="F3395" s="33" t="n">
        <f aca="false">IF(OR(D3395&gt;5,E3395&lt;8,E3395&gt;=18,COUNTIF($K$2:$K$10,INT(A3395))&gt;0),1,0)</f>
        <v>0</v>
      </c>
      <c r="G3395" s="34" t="n">
        <f aca="false">B3395/1</f>
        <v>199.519</v>
      </c>
      <c r="H3395" s="34" t="str">
        <f aca="false">IF(F3395=1,G3395,"")</f>
        <v/>
      </c>
    </row>
    <row r="3396" customFormat="false" ht="15" hidden="false" customHeight="false" outlineLevel="0" collapsed="false">
      <c r="A3396" s="31" t="n">
        <v>42877.4166666667</v>
      </c>
      <c r="B3396" s="32" t="n">
        <v>210.781</v>
      </c>
      <c r="D3396" s="33" t="n">
        <f aca="false">WEEKDAY(A3396,2)</f>
        <v>1</v>
      </c>
      <c r="E3396" s="33" t="n">
        <f aca="false">HOUR(A3396)+MINUTE(A3396)/60</f>
        <v>10</v>
      </c>
      <c r="F3396" s="33" t="n">
        <f aca="false">IF(OR(D3396&gt;5,E3396&lt;8,E3396&gt;=18,COUNTIF($K$2:$K$10,INT(A3396))&gt;0),1,0)</f>
        <v>0</v>
      </c>
      <c r="G3396" s="34" t="n">
        <f aca="false">B3396/1</f>
        <v>210.781</v>
      </c>
      <c r="H3396" s="34" t="str">
        <f aca="false">IF(F3396=1,G3396,"")</f>
        <v/>
      </c>
    </row>
    <row r="3397" customFormat="false" ht="15" hidden="false" customHeight="false" outlineLevel="0" collapsed="false">
      <c r="A3397" s="31" t="n">
        <v>42877.4583333333</v>
      </c>
      <c r="B3397" s="32" t="n">
        <v>214.367</v>
      </c>
      <c r="D3397" s="33" t="n">
        <f aca="false">WEEKDAY(A3397,2)</f>
        <v>1</v>
      </c>
      <c r="E3397" s="33" t="n">
        <f aca="false">HOUR(A3397)+MINUTE(A3397)/60</f>
        <v>11</v>
      </c>
      <c r="F3397" s="33" t="n">
        <f aca="false">IF(OR(D3397&gt;5,E3397&lt;8,E3397&gt;=18,COUNTIF($K$2:$K$10,INT(A3397))&gt;0),1,0)</f>
        <v>0</v>
      </c>
      <c r="G3397" s="34" t="n">
        <f aca="false">B3397/1</f>
        <v>214.367</v>
      </c>
      <c r="H3397" s="34" t="str">
        <f aca="false">IF(F3397=1,G3397,"")</f>
        <v/>
      </c>
    </row>
    <row r="3398" customFormat="false" ht="15" hidden="false" customHeight="false" outlineLevel="0" collapsed="false">
      <c r="A3398" s="31" t="n">
        <v>42877.5</v>
      </c>
      <c r="B3398" s="32" t="n">
        <v>216.514</v>
      </c>
      <c r="D3398" s="33" t="n">
        <f aca="false">WEEKDAY(A3398,2)</f>
        <v>1</v>
      </c>
      <c r="E3398" s="33" t="n">
        <f aca="false">HOUR(A3398)+MINUTE(A3398)/60</f>
        <v>12</v>
      </c>
      <c r="F3398" s="33" t="n">
        <f aca="false">IF(OR(D3398&gt;5,E3398&lt;8,E3398&gt;=18,COUNTIF($K$2:$K$10,INT(A3398))&gt;0),1,0)</f>
        <v>0</v>
      </c>
      <c r="G3398" s="34" t="n">
        <f aca="false">B3398/1</f>
        <v>216.514</v>
      </c>
      <c r="H3398" s="34" t="str">
        <f aca="false">IF(F3398=1,G3398,"")</f>
        <v/>
      </c>
    </row>
    <row r="3399" customFormat="false" ht="15" hidden="false" customHeight="false" outlineLevel="0" collapsed="false">
      <c r="A3399" s="31" t="n">
        <v>42877.5416666667</v>
      </c>
      <c r="B3399" s="32" t="n">
        <v>213.774</v>
      </c>
      <c r="D3399" s="33" t="n">
        <f aca="false">WEEKDAY(A3399,2)</f>
        <v>1</v>
      </c>
      <c r="E3399" s="33" t="n">
        <f aca="false">HOUR(A3399)+MINUTE(A3399)/60</f>
        <v>13</v>
      </c>
      <c r="F3399" s="33" t="n">
        <f aca="false">IF(OR(D3399&gt;5,E3399&lt;8,E3399&gt;=18,COUNTIF($K$2:$K$10,INT(A3399))&gt;0),1,0)</f>
        <v>0</v>
      </c>
      <c r="G3399" s="34" t="n">
        <f aca="false">B3399/1</f>
        <v>213.774</v>
      </c>
      <c r="H3399" s="34" t="str">
        <f aca="false">IF(F3399=1,G3399,"")</f>
        <v/>
      </c>
    </row>
    <row r="3400" customFormat="false" ht="15" hidden="false" customHeight="false" outlineLevel="0" collapsed="false">
      <c r="A3400" s="31" t="n">
        <v>42877.5833333333</v>
      </c>
      <c r="B3400" s="32" t="n">
        <v>217.804</v>
      </c>
      <c r="D3400" s="33" t="n">
        <f aca="false">WEEKDAY(A3400,2)</f>
        <v>1</v>
      </c>
      <c r="E3400" s="33" t="n">
        <f aca="false">HOUR(A3400)+MINUTE(A3400)/60</f>
        <v>14</v>
      </c>
      <c r="F3400" s="33" t="n">
        <f aca="false">IF(OR(D3400&gt;5,E3400&lt;8,E3400&gt;=18,COUNTIF($K$2:$K$10,INT(A3400))&gt;0),1,0)</f>
        <v>0</v>
      </c>
      <c r="G3400" s="34" t="n">
        <f aca="false">B3400/1</f>
        <v>217.804</v>
      </c>
      <c r="H3400" s="34" t="str">
        <f aca="false">IF(F3400=1,G3400,"")</f>
        <v/>
      </c>
    </row>
    <row r="3401" customFormat="false" ht="15" hidden="false" customHeight="false" outlineLevel="0" collapsed="false">
      <c r="A3401" s="31" t="n">
        <v>42877.625</v>
      </c>
      <c r="B3401" s="32" t="n">
        <v>221.631</v>
      </c>
      <c r="D3401" s="33" t="n">
        <f aca="false">WEEKDAY(A3401,2)</f>
        <v>1</v>
      </c>
      <c r="E3401" s="33" t="n">
        <f aca="false">HOUR(A3401)+MINUTE(A3401)/60</f>
        <v>15</v>
      </c>
      <c r="F3401" s="33" t="n">
        <f aca="false">IF(OR(D3401&gt;5,E3401&lt;8,E3401&gt;=18,COUNTIF($K$2:$K$10,INT(A3401))&gt;0),1,0)</f>
        <v>0</v>
      </c>
      <c r="G3401" s="34" t="n">
        <f aca="false">B3401/1</f>
        <v>221.631</v>
      </c>
      <c r="H3401" s="34" t="str">
        <f aca="false">IF(F3401=1,G3401,"")</f>
        <v/>
      </c>
    </row>
    <row r="3402" customFormat="false" ht="15" hidden="false" customHeight="false" outlineLevel="0" collapsed="false">
      <c r="A3402" s="31" t="n">
        <v>42877.6666666667</v>
      </c>
      <c r="B3402" s="32" t="n">
        <v>212.891</v>
      </c>
      <c r="D3402" s="33" t="n">
        <f aca="false">WEEKDAY(A3402,2)</f>
        <v>1</v>
      </c>
      <c r="E3402" s="33" t="n">
        <f aca="false">HOUR(A3402)+MINUTE(A3402)/60</f>
        <v>16</v>
      </c>
      <c r="F3402" s="33" t="n">
        <f aca="false">IF(OR(D3402&gt;5,E3402&lt;8,E3402&gt;=18,COUNTIF($K$2:$K$10,INT(A3402))&gt;0),1,0)</f>
        <v>0</v>
      </c>
      <c r="G3402" s="34" t="n">
        <f aca="false">B3402/1</f>
        <v>212.891</v>
      </c>
      <c r="H3402" s="34" t="str">
        <f aca="false">IF(F3402=1,G3402,"")</f>
        <v/>
      </c>
    </row>
    <row r="3403" customFormat="false" ht="15" hidden="false" customHeight="false" outlineLevel="0" collapsed="false">
      <c r="A3403" s="31" t="n">
        <v>42877.7083333333</v>
      </c>
      <c r="B3403" s="32" t="n">
        <v>199.26</v>
      </c>
      <c r="D3403" s="33" t="n">
        <f aca="false">WEEKDAY(A3403,2)</f>
        <v>1</v>
      </c>
      <c r="E3403" s="33" t="n">
        <f aca="false">HOUR(A3403)+MINUTE(A3403)/60</f>
        <v>17</v>
      </c>
      <c r="F3403" s="33" t="n">
        <f aca="false">IF(OR(D3403&gt;5,E3403&lt;8,E3403&gt;=18,COUNTIF($K$2:$K$10,INT(A3403))&gt;0),1,0)</f>
        <v>0</v>
      </c>
      <c r="G3403" s="34" t="n">
        <f aca="false">B3403/1</f>
        <v>199.26</v>
      </c>
      <c r="H3403" s="34" t="str">
        <f aca="false">IF(F3403=1,G3403,"")</f>
        <v/>
      </c>
    </row>
    <row r="3404" customFormat="false" ht="15" hidden="false" customHeight="false" outlineLevel="0" collapsed="false">
      <c r="A3404" s="31" t="n">
        <v>42877.75</v>
      </c>
      <c r="B3404" s="32" t="n">
        <v>183.55</v>
      </c>
      <c r="D3404" s="33" t="n">
        <f aca="false">WEEKDAY(A3404,2)</f>
        <v>1</v>
      </c>
      <c r="E3404" s="33" t="n">
        <f aca="false">HOUR(A3404)+MINUTE(A3404)/60</f>
        <v>18</v>
      </c>
      <c r="F3404" s="33" t="n">
        <f aca="false">IF(OR(D3404&gt;5,E3404&lt;8,E3404&gt;=18,COUNTIF($K$2:$K$10,INT(A3404))&gt;0),1,0)</f>
        <v>1</v>
      </c>
      <c r="G3404" s="34" t="n">
        <f aca="false">B3404/1</f>
        <v>183.55</v>
      </c>
      <c r="H3404" s="34" t="n">
        <f aca="false">IF(F3404=1,G3404,"")</f>
        <v>183.55</v>
      </c>
    </row>
    <row r="3405" customFormat="false" ht="15" hidden="false" customHeight="false" outlineLevel="0" collapsed="false">
      <c r="A3405" s="31" t="n">
        <v>42877.7916666667</v>
      </c>
      <c r="B3405" s="32" t="n">
        <v>177.545</v>
      </c>
      <c r="D3405" s="33" t="n">
        <f aca="false">WEEKDAY(A3405,2)</f>
        <v>1</v>
      </c>
      <c r="E3405" s="33" t="n">
        <f aca="false">HOUR(A3405)+MINUTE(A3405)/60</f>
        <v>19</v>
      </c>
      <c r="F3405" s="33" t="n">
        <f aca="false">IF(OR(D3405&gt;5,E3405&lt;8,E3405&gt;=18,COUNTIF($K$2:$K$10,INT(A3405))&gt;0),1,0)</f>
        <v>1</v>
      </c>
      <c r="G3405" s="34" t="n">
        <f aca="false">B3405/1</f>
        <v>177.545</v>
      </c>
      <c r="H3405" s="34" t="n">
        <f aca="false">IF(F3405=1,G3405,"")</f>
        <v>177.545</v>
      </c>
    </row>
    <row r="3406" customFormat="false" ht="15" hidden="false" customHeight="false" outlineLevel="0" collapsed="false">
      <c r="A3406" s="31" t="n">
        <v>42877.8333333333</v>
      </c>
      <c r="B3406" s="32" t="n">
        <v>172.874</v>
      </c>
      <c r="D3406" s="33" t="n">
        <f aca="false">WEEKDAY(A3406,2)</f>
        <v>1</v>
      </c>
      <c r="E3406" s="33" t="n">
        <f aca="false">HOUR(A3406)+MINUTE(A3406)/60</f>
        <v>20</v>
      </c>
      <c r="F3406" s="33" t="n">
        <f aca="false">IF(OR(D3406&gt;5,E3406&lt;8,E3406&gt;=18,COUNTIF($K$2:$K$10,INT(A3406))&gt;0),1,0)</f>
        <v>1</v>
      </c>
      <c r="G3406" s="34" t="n">
        <f aca="false">B3406/1</f>
        <v>172.874</v>
      </c>
      <c r="H3406" s="34" t="n">
        <f aca="false">IF(F3406=1,G3406,"")</f>
        <v>172.874</v>
      </c>
    </row>
    <row r="3407" customFormat="false" ht="15" hidden="false" customHeight="false" outlineLevel="0" collapsed="false">
      <c r="A3407" s="31" t="n">
        <v>42877.875</v>
      </c>
      <c r="B3407" s="32" t="n">
        <v>171.182</v>
      </c>
      <c r="D3407" s="33" t="n">
        <f aca="false">WEEKDAY(A3407,2)</f>
        <v>1</v>
      </c>
      <c r="E3407" s="33" t="n">
        <f aca="false">HOUR(A3407)+MINUTE(A3407)/60</f>
        <v>21</v>
      </c>
      <c r="F3407" s="33" t="n">
        <f aca="false">IF(OR(D3407&gt;5,E3407&lt;8,E3407&gt;=18,COUNTIF($K$2:$K$10,INT(A3407))&gt;0),1,0)</f>
        <v>1</v>
      </c>
      <c r="G3407" s="34" t="n">
        <f aca="false">B3407/1</f>
        <v>171.182</v>
      </c>
      <c r="H3407" s="34" t="n">
        <f aca="false">IF(F3407=1,G3407,"")</f>
        <v>171.182</v>
      </c>
    </row>
    <row r="3408" customFormat="false" ht="15" hidden="false" customHeight="false" outlineLevel="0" collapsed="false">
      <c r="A3408" s="31" t="n">
        <v>42877.9166666667</v>
      </c>
      <c r="B3408" s="32" t="n">
        <v>127.319</v>
      </c>
      <c r="D3408" s="33" t="n">
        <f aca="false">WEEKDAY(A3408,2)</f>
        <v>1</v>
      </c>
      <c r="E3408" s="33" t="n">
        <f aca="false">HOUR(A3408)+MINUTE(A3408)/60</f>
        <v>22</v>
      </c>
      <c r="F3408" s="33" t="n">
        <f aca="false">IF(OR(D3408&gt;5,E3408&lt;8,E3408&gt;=18,COUNTIF($K$2:$K$10,INT(A3408))&gt;0),1,0)</f>
        <v>1</v>
      </c>
      <c r="G3408" s="34" t="n">
        <f aca="false">B3408/1</f>
        <v>127.319</v>
      </c>
      <c r="H3408" s="34" t="n">
        <f aca="false">IF(F3408=1,G3408,"")</f>
        <v>127.319</v>
      </c>
    </row>
    <row r="3409" customFormat="false" ht="15" hidden="false" customHeight="false" outlineLevel="0" collapsed="false">
      <c r="A3409" s="31" t="n">
        <v>42877.9583333333</v>
      </c>
      <c r="B3409" s="32" t="n">
        <v>66.606</v>
      </c>
      <c r="D3409" s="33" t="n">
        <f aca="false">WEEKDAY(A3409,2)</f>
        <v>1</v>
      </c>
      <c r="E3409" s="33" t="n">
        <f aca="false">HOUR(A3409)+MINUTE(A3409)/60</f>
        <v>23</v>
      </c>
      <c r="F3409" s="33" t="n">
        <f aca="false">IF(OR(D3409&gt;5,E3409&lt;8,E3409&gt;=18,COUNTIF($K$2:$K$10,INT(A3409))&gt;0),1,0)</f>
        <v>1</v>
      </c>
      <c r="G3409" s="34" t="n">
        <f aca="false">B3409/1</f>
        <v>66.606</v>
      </c>
      <c r="H3409" s="34" t="n">
        <f aca="false">IF(F3409=1,G3409,"")</f>
        <v>66.606</v>
      </c>
    </row>
    <row r="3410" customFormat="false" ht="15" hidden="false" customHeight="false" outlineLevel="0" collapsed="false">
      <c r="A3410" s="31" t="n">
        <v>42878</v>
      </c>
      <c r="B3410" s="32" t="n">
        <v>61.965</v>
      </c>
      <c r="D3410" s="33" t="n">
        <f aca="false">WEEKDAY(A3410,2)</f>
        <v>2</v>
      </c>
      <c r="E3410" s="33" t="n">
        <f aca="false">HOUR(A3410)+MINUTE(A3410)/60</f>
        <v>0</v>
      </c>
      <c r="F3410" s="33" t="n">
        <f aca="false">IF(OR(D3410&gt;5,E3410&lt;8,E3410&gt;=18,COUNTIF($K$2:$K$10,INT(A3410))&gt;0),1,0)</f>
        <v>1</v>
      </c>
      <c r="G3410" s="34" t="n">
        <f aca="false">B3410/1</f>
        <v>61.965</v>
      </c>
      <c r="H3410" s="34" t="n">
        <f aca="false">IF(F3410=1,G3410,"")</f>
        <v>61.965</v>
      </c>
    </row>
    <row r="3411" customFormat="false" ht="15" hidden="false" customHeight="false" outlineLevel="0" collapsed="false">
      <c r="A3411" s="31" t="n">
        <v>42878.0416666667</v>
      </c>
      <c r="B3411" s="32" t="n">
        <v>61.919</v>
      </c>
      <c r="D3411" s="33" t="n">
        <f aca="false">WEEKDAY(A3411,2)</f>
        <v>2</v>
      </c>
      <c r="E3411" s="33" t="n">
        <f aca="false">HOUR(A3411)+MINUTE(A3411)/60</f>
        <v>1</v>
      </c>
      <c r="F3411" s="33" t="n">
        <f aca="false">IF(OR(D3411&gt;5,E3411&lt;8,E3411&gt;=18,COUNTIF($K$2:$K$10,INT(A3411))&gt;0),1,0)</f>
        <v>1</v>
      </c>
      <c r="G3411" s="34" t="n">
        <f aca="false">B3411/1</f>
        <v>61.919</v>
      </c>
      <c r="H3411" s="34" t="n">
        <f aca="false">IF(F3411=1,G3411,"")</f>
        <v>61.919</v>
      </c>
    </row>
    <row r="3412" customFormat="false" ht="15" hidden="false" customHeight="false" outlineLevel="0" collapsed="false">
      <c r="A3412" s="31" t="n">
        <v>42878.0833333333</v>
      </c>
      <c r="B3412" s="32" t="n">
        <v>61.759</v>
      </c>
      <c r="D3412" s="33" t="n">
        <f aca="false">WEEKDAY(A3412,2)</f>
        <v>2</v>
      </c>
      <c r="E3412" s="33" t="n">
        <f aca="false">HOUR(A3412)+MINUTE(A3412)/60</f>
        <v>2</v>
      </c>
      <c r="F3412" s="33" t="n">
        <f aca="false">IF(OR(D3412&gt;5,E3412&lt;8,E3412&gt;=18,COUNTIF($K$2:$K$10,INT(A3412))&gt;0),1,0)</f>
        <v>1</v>
      </c>
      <c r="G3412" s="34" t="n">
        <f aca="false">B3412/1</f>
        <v>61.759</v>
      </c>
      <c r="H3412" s="34" t="n">
        <f aca="false">IF(F3412=1,G3412,"")</f>
        <v>61.759</v>
      </c>
    </row>
    <row r="3413" customFormat="false" ht="15" hidden="false" customHeight="false" outlineLevel="0" collapsed="false">
      <c r="A3413" s="31" t="n">
        <v>42878.125</v>
      </c>
      <c r="B3413" s="32" t="n">
        <v>61.541</v>
      </c>
      <c r="D3413" s="33" t="n">
        <f aca="false">WEEKDAY(A3413,2)</f>
        <v>2</v>
      </c>
      <c r="E3413" s="33" t="n">
        <f aca="false">HOUR(A3413)+MINUTE(A3413)/60</f>
        <v>3</v>
      </c>
      <c r="F3413" s="33" t="n">
        <f aca="false">IF(OR(D3413&gt;5,E3413&lt;8,E3413&gt;=18,COUNTIF($K$2:$K$10,INT(A3413))&gt;0),1,0)</f>
        <v>1</v>
      </c>
      <c r="G3413" s="34" t="n">
        <f aca="false">B3413/1</f>
        <v>61.541</v>
      </c>
      <c r="H3413" s="34" t="n">
        <f aca="false">IF(F3413=1,G3413,"")</f>
        <v>61.541</v>
      </c>
    </row>
    <row r="3414" customFormat="false" ht="15" hidden="false" customHeight="false" outlineLevel="0" collapsed="false">
      <c r="A3414" s="31" t="n">
        <v>42878.1666666667</v>
      </c>
      <c r="B3414" s="32" t="n">
        <v>61.297</v>
      </c>
      <c r="D3414" s="33" t="n">
        <f aca="false">WEEKDAY(A3414,2)</f>
        <v>2</v>
      </c>
      <c r="E3414" s="33" t="n">
        <f aca="false">HOUR(A3414)+MINUTE(A3414)/60</f>
        <v>4</v>
      </c>
      <c r="F3414" s="33" t="n">
        <f aca="false">IF(OR(D3414&gt;5,E3414&lt;8,E3414&gt;=18,COUNTIF($K$2:$K$10,INT(A3414))&gt;0),1,0)</f>
        <v>1</v>
      </c>
      <c r="G3414" s="34" t="n">
        <f aca="false">B3414/1</f>
        <v>61.297</v>
      </c>
      <c r="H3414" s="34" t="n">
        <f aca="false">IF(F3414=1,G3414,"")</f>
        <v>61.297</v>
      </c>
    </row>
    <row r="3415" customFormat="false" ht="15" hidden="false" customHeight="false" outlineLevel="0" collapsed="false">
      <c r="A3415" s="31" t="n">
        <v>42878.2083333333</v>
      </c>
      <c r="B3415" s="32" t="n">
        <v>61.473</v>
      </c>
      <c r="D3415" s="33" t="n">
        <f aca="false">WEEKDAY(A3415,2)</f>
        <v>2</v>
      </c>
      <c r="E3415" s="33" t="n">
        <f aca="false">HOUR(A3415)+MINUTE(A3415)/60</f>
        <v>5</v>
      </c>
      <c r="F3415" s="33" t="n">
        <f aca="false">IF(OR(D3415&gt;5,E3415&lt;8,E3415&gt;=18,COUNTIF($K$2:$K$10,INT(A3415))&gt;0),1,0)</f>
        <v>1</v>
      </c>
      <c r="G3415" s="34" t="n">
        <f aca="false">B3415/1</f>
        <v>61.473</v>
      </c>
      <c r="H3415" s="34" t="n">
        <f aca="false">IF(F3415=1,G3415,"")</f>
        <v>61.473</v>
      </c>
    </row>
    <row r="3416" customFormat="false" ht="15" hidden="false" customHeight="false" outlineLevel="0" collapsed="false">
      <c r="A3416" s="31" t="n">
        <v>42878.25</v>
      </c>
      <c r="B3416" s="32" t="n">
        <v>62.33</v>
      </c>
      <c r="D3416" s="33" t="n">
        <f aca="false">WEEKDAY(A3416,2)</f>
        <v>2</v>
      </c>
      <c r="E3416" s="33" t="n">
        <f aca="false">HOUR(A3416)+MINUTE(A3416)/60</f>
        <v>6</v>
      </c>
      <c r="F3416" s="33" t="n">
        <f aca="false">IF(OR(D3416&gt;5,E3416&lt;8,E3416&gt;=18,COUNTIF($K$2:$K$10,INT(A3416))&gt;0),1,0)</f>
        <v>1</v>
      </c>
      <c r="G3416" s="34" t="n">
        <f aca="false">B3416/1</f>
        <v>62.33</v>
      </c>
      <c r="H3416" s="34" t="n">
        <f aca="false">IF(F3416=1,G3416,"")</f>
        <v>62.33</v>
      </c>
    </row>
    <row r="3417" customFormat="false" ht="15" hidden="false" customHeight="false" outlineLevel="0" collapsed="false">
      <c r="A3417" s="31" t="n">
        <v>42878.2916666667</v>
      </c>
      <c r="B3417" s="32" t="n">
        <v>64.663</v>
      </c>
      <c r="D3417" s="33" t="n">
        <f aca="false">WEEKDAY(A3417,2)</f>
        <v>2</v>
      </c>
      <c r="E3417" s="33" t="n">
        <f aca="false">HOUR(A3417)+MINUTE(A3417)/60</f>
        <v>7</v>
      </c>
      <c r="F3417" s="33" t="n">
        <f aca="false">IF(OR(D3417&gt;5,E3417&lt;8,E3417&gt;=18,COUNTIF($K$2:$K$10,INT(A3417))&gt;0),1,0)</f>
        <v>1</v>
      </c>
      <c r="G3417" s="34" t="n">
        <f aca="false">B3417/1</f>
        <v>64.663</v>
      </c>
      <c r="H3417" s="34" t="n">
        <f aca="false">IF(F3417=1,G3417,"")</f>
        <v>64.663</v>
      </c>
    </row>
    <row r="3418" customFormat="false" ht="15" hidden="false" customHeight="false" outlineLevel="0" collapsed="false">
      <c r="A3418" s="31" t="n">
        <v>42878.3333333333</v>
      </c>
      <c r="B3418" s="32" t="n">
        <v>169.321</v>
      </c>
      <c r="D3418" s="33" t="n">
        <f aca="false">WEEKDAY(A3418,2)</f>
        <v>2</v>
      </c>
      <c r="E3418" s="33" t="n">
        <f aca="false">HOUR(A3418)+MINUTE(A3418)/60</f>
        <v>8</v>
      </c>
      <c r="F3418" s="33" t="n">
        <f aca="false">IF(OR(D3418&gt;5,E3418&lt;8,E3418&gt;=18,COUNTIF($K$2:$K$10,INT(A3418))&gt;0),1,0)</f>
        <v>0</v>
      </c>
      <c r="G3418" s="34" t="n">
        <f aca="false">B3418/1</f>
        <v>169.321</v>
      </c>
      <c r="H3418" s="34" t="str">
        <f aca="false">IF(F3418=1,G3418,"")</f>
        <v/>
      </c>
    </row>
    <row r="3419" customFormat="false" ht="15" hidden="false" customHeight="false" outlineLevel="0" collapsed="false">
      <c r="A3419" s="31" t="n">
        <v>42878.375</v>
      </c>
      <c r="B3419" s="32" t="n">
        <v>195.508</v>
      </c>
      <c r="D3419" s="33" t="n">
        <f aca="false">WEEKDAY(A3419,2)</f>
        <v>2</v>
      </c>
      <c r="E3419" s="33" t="n">
        <f aca="false">HOUR(A3419)+MINUTE(A3419)/60</f>
        <v>9</v>
      </c>
      <c r="F3419" s="33" t="n">
        <f aca="false">IF(OR(D3419&gt;5,E3419&lt;8,E3419&gt;=18,COUNTIF($K$2:$K$10,INT(A3419))&gt;0),1,0)</f>
        <v>0</v>
      </c>
      <c r="G3419" s="34" t="n">
        <f aca="false">B3419/1</f>
        <v>195.508</v>
      </c>
      <c r="H3419" s="34" t="str">
        <f aca="false">IF(F3419=1,G3419,"")</f>
        <v/>
      </c>
    </row>
    <row r="3420" customFormat="false" ht="15" hidden="false" customHeight="false" outlineLevel="0" collapsed="false">
      <c r="A3420" s="31" t="n">
        <v>42878.4166666667</v>
      </c>
      <c r="B3420" s="32" t="n">
        <v>208.656</v>
      </c>
      <c r="D3420" s="33" t="n">
        <f aca="false">WEEKDAY(A3420,2)</f>
        <v>2</v>
      </c>
      <c r="E3420" s="33" t="n">
        <f aca="false">HOUR(A3420)+MINUTE(A3420)/60</f>
        <v>10</v>
      </c>
      <c r="F3420" s="33" t="n">
        <f aca="false">IF(OR(D3420&gt;5,E3420&lt;8,E3420&gt;=18,COUNTIF($K$2:$K$10,INT(A3420))&gt;0),1,0)</f>
        <v>0</v>
      </c>
      <c r="G3420" s="34" t="n">
        <f aca="false">B3420/1</f>
        <v>208.656</v>
      </c>
      <c r="H3420" s="34" t="str">
        <f aca="false">IF(F3420=1,G3420,"")</f>
        <v/>
      </c>
    </row>
    <row r="3421" customFormat="false" ht="15" hidden="false" customHeight="false" outlineLevel="0" collapsed="false">
      <c r="A3421" s="31" t="n">
        <v>42878.4583333333</v>
      </c>
      <c r="B3421" s="32" t="n">
        <v>213.952</v>
      </c>
      <c r="D3421" s="33" t="n">
        <f aca="false">WEEKDAY(A3421,2)</f>
        <v>2</v>
      </c>
      <c r="E3421" s="33" t="n">
        <f aca="false">HOUR(A3421)+MINUTE(A3421)/60</f>
        <v>11</v>
      </c>
      <c r="F3421" s="33" t="n">
        <f aca="false">IF(OR(D3421&gt;5,E3421&lt;8,E3421&gt;=18,COUNTIF($K$2:$K$10,INT(A3421))&gt;0),1,0)</f>
        <v>0</v>
      </c>
      <c r="G3421" s="34" t="n">
        <f aca="false">B3421/1</f>
        <v>213.952</v>
      </c>
      <c r="H3421" s="34" t="str">
        <f aca="false">IF(F3421=1,G3421,"")</f>
        <v/>
      </c>
    </row>
    <row r="3422" customFormat="false" ht="15" hidden="false" customHeight="false" outlineLevel="0" collapsed="false">
      <c r="A3422" s="31" t="n">
        <v>42878.5</v>
      </c>
      <c r="B3422" s="32" t="n">
        <v>224.346</v>
      </c>
      <c r="D3422" s="33" t="n">
        <f aca="false">WEEKDAY(A3422,2)</f>
        <v>2</v>
      </c>
      <c r="E3422" s="33" t="n">
        <f aca="false">HOUR(A3422)+MINUTE(A3422)/60</f>
        <v>12</v>
      </c>
      <c r="F3422" s="33" t="n">
        <f aca="false">IF(OR(D3422&gt;5,E3422&lt;8,E3422&gt;=18,COUNTIF($K$2:$K$10,INT(A3422))&gt;0),1,0)</f>
        <v>0</v>
      </c>
      <c r="G3422" s="34" t="n">
        <f aca="false">B3422/1</f>
        <v>224.346</v>
      </c>
      <c r="H3422" s="34" t="str">
        <f aca="false">IF(F3422=1,G3422,"")</f>
        <v/>
      </c>
    </row>
    <row r="3423" customFormat="false" ht="15" hidden="false" customHeight="false" outlineLevel="0" collapsed="false">
      <c r="A3423" s="31" t="n">
        <v>42878.5416666667</v>
      </c>
      <c r="B3423" s="32" t="n">
        <v>223.688</v>
      </c>
      <c r="D3423" s="33" t="n">
        <f aca="false">WEEKDAY(A3423,2)</f>
        <v>2</v>
      </c>
      <c r="E3423" s="33" t="n">
        <f aca="false">HOUR(A3423)+MINUTE(A3423)/60</f>
        <v>13</v>
      </c>
      <c r="F3423" s="33" t="n">
        <f aca="false">IF(OR(D3423&gt;5,E3423&lt;8,E3423&gt;=18,COUNTIF($K$2:$K$10,INT(A3423))&gt;0),1,0)</f>
        <v>0</v>
      </c>
      <c r="G3423" s="34" t="n">
        <f aca="false">B3423/1</f>
        <v>223.688</v>
      </c>
      <c r="H3423" s="34" t="str">
        <f aca="false">IF(F3423=1,G3423,"")</f>
        <v/>
      </c>
    </row>
    <row r="3424" customFormat="false" ht="15" hidden="false" customHeight="false" outlineLevel="0" collapsed="false">
      <c r="A3424" s="31" t="n">
        <v>42878.5833333333</v>
      </c>
      <c r="B3424" s="32" t="n">
        <v>214.16</v>
      </c>
      <c r="D3424" s="33" t="n">
        <f aca="false">WEEKDAY(A3424,2)</f>
        <v>2</v>
      </c>
      <c r="E3424" s="33" t="n">
        <f aca="false">HOUR(A3424)+MINUTE(A3424)/60</f>
        <v>14</v>
      </c>
      <c r="F3424" s="33" t="n">
        <f aca="false">IF(OR(D3424&gt;5,E3424&lt;8,E3424&gt;=18,COUNTIF($K$2:$K$10,INT(A3424))&gt;0),1,0)</f>
        <v>0</v>
      </c>
      <c r="G3424" s="34" t="n">
        <f aca="false">B3424/1</f>
        <v>214.16</v>
      </c>
      <c r="H3424" s="34" t="str">
        <f aca="false">IF(F3424=1,G3424,"")</f>
        <v/>
      </c>
    </row>
    <row r="3425" customFormat="false" ht="15" hidden="false" customHeight="false" outlineLevel="0" collapsed="false">
      <c r="A3425" s="31" t="n">
        <v>42878.625</v>
      </c>
      <c r="B3425" s="32" t="n">
        <v>208.069</v>
      </c>
      <c r="D3425" s="33" t="n">
        <f aca="false">WEEKDAY(A3425,2)</f>
        <v>2</v>
      </c>
      <c r="E3425" s="33" t="n">
        <f aca="false">HOUR(A3425)+MINUTE(A3425)/60</f>
        <v>15</v>
      </c>
      <c r="F3425" s="33" t="n">
        <f aca="false">IF(OR(D3425&gt;5,E3425&lt;8,E3425&gt;=18,COUNTIF($K$2:$K$10,INT(A3425))&gt;0),1,0)</f>
        <v>0</v>
      </c>
      <c r="G3425" s="34" t="n">
        <f aca="false">B3425/1</f>
        <v>208.069</v>
      </c>
      <c r="H3425" s="34" t="str">
        <f aca="false">IF(F3425=1,G3425,"")</f>
        <v/>
      </c>
    </row>
    <row r="3426" customFormat="false" ht="15" hidden="false" customHeight="false" outlineLevel="0" collapsed="false">
      <c r="A3426" s="31" t="n">
        <v>42878.6666666667</v>
      </c>
      <c r="B3426" s="32" t="n">
        <v>198.024</v>
      </c>
      <c r="D3426" s="33" t="n">
        <f aca="false">WEEKDAY(A3426,2)</f>
        <v>2</v>
      </c>
      <c r="E3426" s="33" t="n">
        <f aca="false">HOUR(A3426)+MINUTE(A3426)/60</f>
        <v>16</v>
      </c>
      <c r="F3426" s="33" t="n">
        <f aca="false">IF(OR(D3426&gt;5,E3426&lt;8,E3426&gt;=18,COUNTIF($K$2:$K$10,INT(A3426))&gt;0),1,0)</f>
        <v>0</v>
      </c>
      <c r="G3426" s="34" t="n">
        <f aca="false">B3426/1</f>
        <v>198.024</v>
      </c>
      <c r="H3426" s="34" t="str">
        <f aca="false">IF(F3426=1,G3426,"")</f>
        <v/>
      </c>
    </row>
    <row r="3427" customFormat="false" ht="15" hidden="false" customHeight="false" outlineLevel="0" collapsed="false">
      <c r="A3427" s="31" t="n">
        <v>42878.7083333333</v>
      </c>
      <c r="B3427" s="32" t="n">
        <v>183.62</v>
      </c>
      <c r="D3427" s="33" t="n">
        <f aca="false">WEEKDAY(A3427,2)</f>
        <v>2</v>
      </c>
      <c r="E3427" s="33" t="n">
        <f aca="false">HOUR(A3427)+MINUTE(A3427)/60</f>
        <v>17</v>
      </c>
      <c r="F3427" s="33" t="n">
        <f aca="false">IF(OR(D3427&gt;5,E3427&lt;8,E3427&gt;=18,COUNTIF($K$2:$K$10,INT(A3427))&gt;0),1,0)</f>
        <v>0</v>
      </c>
      <c r="G3427" s="34" t="n">
        <f aca="false">B3427/1</f>
        <v>183.62</v>
      </c>
      <c r="H3427" s="34" t="str">
        <f aca="false">IF(F3427=1,G3427,"")</f>
        <v/>
      </c>
    </row>
    <row r="3428" customFormat="false" ht="15" hidden="false" customHeight="false" outlineLevel="0" collapsed="false">
      <c r="A3428" s="31" t="n">
        <v>42878.75</v>
      </c>
      <c r="B3428" s="32" t="n">
        <v>181.184</v>
      </c>
      <c r="D3428" s="33" t="n">
        <f aca="false">WEEKDAY(A3428,2)</f>
        <v>2</v>
      </c>
      <c r="E3428" s="33" t="n">
        <f aca="false">HOUR(A3428)+MINUTE(A3428)/60</f>
        <v>18</v>
      </c>
      <c r="F3428" s="33" t="n">
        <f aca="false">IF(OR(D3428&gt;5,E3428&lt;8,E3428&gt;=18,COUNTIF($K$2:$K$10,INT(A3428))&gt;0),1,0)</f>
        <v>1</v>
      </c>
      <c r="G3428" s="34" t="n">
        <f aca="false">B3428/1</f>
        <v>181.184</v>
      </c>
      <c r="H3428" s="34" t="n">
        <f aca="false">IF(F3428=1,G3428,"")</f>
        <v>181.184</v>
      </c>
    </row>
    <row r="3429" customFormat="false" ht="15" hidden="false" customHeight="false" outlineLevel="0" collapsed="false">
      <c r="A3429" s="31" t="n">
        <v>42878.7916666667</v>
      </c>
      <c r="B3429" s="32" t="n">
        <v>173.663</v>
      </c>
      <c r="D3429" s="33" t="n">
        <f aca="false">WEEKDAY(A3429,2)</f>
        <v>2</v>
      </c>
      <c r="E3429" s="33" t="n">
        <f aca="false">HOUR(A3429)+MINUTE(A3429)/60</f>
        <v>19</v>
      </c>
      <c r="F3429" s="33" t="n">
        <f aca="false">IF(OR(D3429&gt;5,E3429&lt;8,E3429&gt;=18,COUNTIF($K$2:$K$10,INT(A3429))&gt;0),1,0)</f>
        <v>1</v>
      </c>
      <c r="G3429" s="34" t="n">
        <f aca="false">B3429/1</f>
        <v>173.663</v>
      </c>
      <c r="H3429" s="34" t="n">
        <f aca="false">IF(F3429=1,G3429,"")</f>
        <v>173.663</v>
      </c>
    </row>
    <row r="3430" customFormat="false" ht="15" hidden="false" customHeight="false" outlineLevel="0" collapsed="false">
      <c r="A3430" s="31" t="n">
        <v>42878.8333333333</v>
      </c>
      <c r="B3430" s="32" t="n">
        <v>162.73</v>
      </c>
      <c r="D3430" s="33" t="n">
        <f aca="false">WEEKDAY(A3430,2)</f>
        <v>2</v>
      </c>
      <c r="E3430" s="33" t="n">
        <f aca="false">HOUR(A3430)+MINUTE(A3430)/60</f>
        <v>20</v>
      </c>
      <c r="F3430" s="33" t="n">
        <f aca="false">IF(OR(D3430&gt;5,E3430&lt;8,E3430&gt;=18,COUNTIF($K$2:$K$10,INT(A3430))&gt;0),1,0)</f>
        <v>1</v>
      </c>
      <c r="G3430" s="34" t="n">
        <f aca="false">B3430/1</f>
        <v>162.73</v>
      </c>
      <c r="H3430" s="34" t="n">
        <f aca="false">IF(F3430=1,G3430,"")</f>
        <v>162.73</v>
      </c>
    </row>
    <row r="3431" customFormat="false" ht="15" hidden="false" customHeight="false" outlineLevel="0" collapsed="false">
      <c r="A3431" s="31" t="n">
        <v>42878.875</v>
      </c>
      <c r="B3431" s="32" t="n">
        <v>161.57</v>
      </c>
      <c r="D3431" s="33" t="n">
        <f aca="false">WEEKDAY(A3431,2)</f>
        <v>2</v>
      </c>
      <c r="E3431" s="33" t="n">
        <f aca="false">HOUR(A3431)+MINUTE(A3431)/60</f>
        <v>21</v>
      </c>
      <c r="F3431" s="33" t="n">
        <f aca="false">IF(OR(D3431&gt;5,E3431&lt;8,E3431&gt;=18,COUNTIF($K$2:$K$10,INT(A3431))&gt;0),1,0)</f>
        <v>1</v>
      </c>
      <c r="G3431" s="34" t="n">
        <f aca="false">B3431/1</f>
        <v>161.57</v>
      </c>
      <c r="H3431" s="34" t="n">
        <f aca="false">IF(F3431=1,G3431,"")</f>
        <v>161.57</v>
      </c>
    </row>
    <row r="3432" customFormat="false" ht="15" hidden="false" customHeight="false" outlineLevel="0" collapsed="false">
      <c r="A3432" s="31" t="n">
        <v>42878.9166666667</v>
      </c>
      <c r="B3432" s="32" t="n">
        <v>126.109</v>
      </c>
      <c r="D3432" s="33" t="n">
        <f aca="false">WEEKDAY(A3432,2)</f>
        <v>2</v>
      </c>
      <c r="E3432" s="33" t="n">
        <f aca="false">HOUR(A3432)+MINUTE(A3432)/60</f>
        <v>22</v>
      </c>
      <c r="F3432" s="33" t="n">
        <f aca="false">IF(OR(D3432&gt;5,E3432&lt;8,E3432&gt;=18,COUNTIF($K$2:$K$10,INT(A3432))&gt;0),1,0)</f>
        <v>1</v>
      </c>
      <c r="G3432" s="34" t="n">
        <f aca="false">B3432/1</f>
        <v>126.109</v>
      </c>
      <c r="H3432" s="34" t="n">
        <f aca="false">IF(F3432=1,G3432,"")</f>
        <v>126.109</v>
      </c>
    </row>
    <row r="3433" customFormat="false" ht="15" hidden="false" customHeight="false" outlineLevel="0" collapsed="false">
      <c r="A3433" s="31" t="n">
        <v>42878.9583333333</v>
      </c>
      <c r="B3433" s="32" t="n">
        <v>56.956</v>
      </c>
      <c r="D3433" s="33" t="n">
        <f aca="false">WEEKDAY(A3433,2)</f>
        <v>2</v>
      </c>
      <c r="E3433" s="33" t="n">
        <f aca="false">HOUR(A3433)+MINUTE(A3433)/60</f>
        <v>23</v>
      </c>
      <c r="F3433" s="33" t="n">
        <f aca="false">IF(OR(D3433&gt;5,E3433&lt;8,E3433&gt;=18,COUNTIF($K$2:$K$10,INT(A3433))&gt;0),1,0)</f>
        <v>1</v>
      </c>
      <c r="G3433" s="34" t="n">
        <f aca="false">B3433/1</f>
        <v>56.956</v>
      </c>
      <c r="H3433" s="34" t="n">
        <f aca="false">IF(F3433=1,G3433,"")</f>
        <v>56.956</v>
      </c>
    </row>
    <row r="3434" customFormat="false" ht="15" hidden="false" customHeight="false" outlineLevel="0" collapsed="false">
      <c r="A3434" s="31" t="n">
        <v>42879</v>
      </c>
      <c r="B3434" s="32" t="n">
        <v>53.344</v>
      </c>
      <c r="D3434" s="33" t="n">
        <f aca="false">WEEKDAY(A3434,2)</f>
        <v>3</v>
      </c>
      <c r="E3434" s="33" t="n">
        <f aca="false">HOUR(A3434)+MINUTE(A3434)/60</f>
        <v>0</v>
      </c>
      <c r="F3434" s="33" t="n">
        <f aca="false">IF(OR(D3434&gt;5,E3434&lt;8,E3434&gt;=18,COUNTIF($K$2:$K$10,INT(A3434))&gt;0),1,0)</f>
        <v>1</v>
      </c>
      <c r="G3434" s="34" t="n">
        <f aca="false">B3434/1</f>
        <v>53.344</v>
      </c>
      <c r="H3434" s="34" t="n">
        <f aca="false">IF(F3434=1,G3434,"")</f>
        <v>53.344</v>
      </c>
    </row>
    <row r="3435" customFormat="false" ht="15" hidden="false" customHeight="false" outlineLevel="0" collapsed="false">
      <c r="A3435" s="31" t="n">
        <v>42879.0416666667</v>
      </c>
      <c r="B3435" s="32" t="n">
        <v>59.652</v>
      </c>
      <c r="D3435" s="33" t="n">
        <f aca="false">WEEKDAY(A3435,2)</f>
        <v>3</v>
      </c>
      <c r="E3435" s="33" t="n">
        <f aca="false">HOUR(A3435)+MINUTE(A3435)/60</f>
        <v>1</v>
      </c>
      <c r="F3435" s="33" t="n">
        <f aca="false">IF(OR(D3435&gt;5,E3435&lt;8,E3435&gt;=18,COUNTIF($K$2:$K$10,INT(A3435))&gt;0),1,0)</f>
        <v>1</v>
      </c>
      <c r="G3435" s="34" t="n">
        <f aca="false">B3435/1</f>
        <v>59.652</v>
      </c>
      <c r="H3435" s="34" t="n">
        <f aca="false">IF(F3435=1,G3435,"")</f>
        <v>59.652</v>
      </c>
    </row>
    <row r="3436" customFormat="false" ht="15" hidden="false" customHeight="false" outlineLevel="0" collapsed="false">
      <c r="A3436" s="31" t="n">
        <v>42879.0833333333</v>
      </c>
      <c r="B3436" s="32" t="n">
        <v>54.172</v>
      </c>
      <c r="D3436" s="33" t="n">
        <f aca="false">WEEKDAY(A3436,2)</f>
        <v>3</v>
      </c>
      <c r="E3436" s="33" t="n">
        <f aca="false">HOUR(A3436)+MINUTE(A3436)/60</f>
        <v>2</v>
      </c>
      <c r="F3436" s="33" t="n">
        <f aca="false">IF(OR(D3436&gt;5,E3436&lt;8,E3436&gt;=18,COUNTIF($K$2:$K$10,INT(A3436))&gt;0),1,0)</f>
        <v>1</v>
      </c>
      <c r="G3436" s="34" t="n">
        <f aca="false">B3436/1</f>
        <v>54.172</v>
      </c>
      <c r="H3436" s="34" t="n">
        <f aca="false">IF(F3436=1,G3436,"")</f>
        <v>54.172</v>
      </c>
    </row>
    <row r="3437" customFormat="false" ht="15" hidden="false" customHeight="false" outlineLevel="0" collapsed="false">
      <c r="A3437" s="31" t="n">
        <v>42879.125</v>
      </c>
      <c r="B3437" s="32" t="n">
        <v>57.725</v>
      </c>
      <c r="D3437" s="33" t="n">
        <f aca="false">WEEKDAY(A3437,2)</f>
        <v>3</v>
      </c>
      <c r="E3437" s="33" t="n">
        <f aca="false">HOUR(A3437)+MINUTE(A3437)/60</f>
        <v>3</v>
      </c>
      <c r="F3437" s="33" t="n">
        <f aca="false">IF(OR(D3437&gt;5,E3437&lt;8,E3437&gt;=18,COUNTIF($K$2:$K$10,INT(A3437))&gt;0),1,0)</f>
        <v>1</v>
      </c>
      <c r="G3437" s="34" t="n">
        <f aca="false">B3437/1</f>
        <v>57.725</v>
      </c>
      <c r="H3437" s="34" t="n">
        <f aca="false">IF(F3437=1,G3437,"")</f>
        <v>57.725</v>
      </c>
    </row>
    <row r="3438" customFormat="false" ht="15" hidden="false" customHeight="false" outlineLevel="0" collapsed="false">
      <c r="A3438" s="31" t="n">
        <v>42879.1666666667</v>
      </c>
      <c r="B3438" s="32" t="n">
        <v>60.785</v>
      </c>
      <c r="D3438" s="33" t="n">
        <f aca="false">WEEKDAY(A3438,2)</f>
        <v>3</v>
      </c>
      <c r="E3438" s="33" t="n">
        <f aca="false">HOUR(A3438)+MINUTE(A3438)/60</f>
        <v>4</v>
      </c>
      <c r="F3438" s="33" t="n">
        <f aca="false">IF(OR(D3438&gt;5,E3438&lt;8,E3438&gt;=18,COUNTIF($K$2:$K$10,INT(A3438))&gt;0),1,0)</f>
        <v>1</v>
      </c>
      <c r="G3438" s="34" t="n">
        <f aca="false">B3438/1</f>
        <v>60.785</v>
      </c>
      <c r="H3438" s="34" t="n">
        <f aca="false">IF(F3438=1,G3438,"")</f>
        <v>60.785</v>
      </c>
    </row>
    <row r="3439" customFormat="false" ht="15" hidden="false" customHeight="false" outlineLevel="0" collapsed="false">
      <c r="A3439" s="31" t="n">
        <v>42879.2083333333</v>
      </c>
      <c r="B3439" s="32" t="n">
        <v>57.923</v>
      </c>
      <c r="D3439" s="33" t="n">
        <f aca="false">WEEKDAY(A3439,2)</f>
        <v>3</v>
      </c>
      <c r="E3439" s="33" t="n">
        <f aca="false">HOUR(A3439)+MINUTE(A3439)/60</f>
        <v>5</v>
      </c>
      <c r="F3439" s="33" t="n">
        <f aca="false">IF(OR(D3439&gt;5,E3439&lt;8,E3439&gt;=18,COUNTIF($K$2:$K$10,INT(A3439))&gt;0),1,0)</f>
        <v>1</v>
      </c>
      <c r="G3439" s="34" t="n">
        <f aca="false">B3439/1</f>
        <v>57.923</v>
      </c>
      <c r="H3439" s="34" t="n">
        <f aca="false">IF(F3439=1,G3439,"")</f>
        <v>57.923</v>
      </c>
    </row>
    <row r="3440" customFormat="false" ht="15" hidden="false" customHeight="false" outlineLevel="0" collapsed="false">
      <c r="A3440" s="31" t="n">
        <v>42879.25</v>
      </c>
      <c r="B3440" s="32" t="n">
        <v>56.517</v>
      </c>
      <c r="D3440" s="33" t="n">
        <f aca="false">WEEKDAY(A3440,2)</f>
        <v>3</v>
      </c>
      <c r="E3440" s="33" t="n">
        <f aca="false">HOUR(A3440)+MINUTE(A3440)/60</f>
        <v>6</v>
      </c>
      <c r="F3440" s="33" t="n">
        <f aca="false">IF(OR(D3440&gt;5,E3440&lt;8,E3440&gt;=18,COUNTIF($K$2:$K$10,INT(A3440))&gt;0),1,0)</f>
        <v>1</v>
      </c>
      <c r="G3440" s="34" t="n">
        <f aca="false">B3440/1</f>
        <v>56.517</v>
      </c>
      <c r="H3440" s="34" t="n">
        <f aca="false">IF(F3440=1,G3440,"")</f>
        <v>56.517</v>
      </c>
    </row>
    <row r="3441" customFormat="false" ht="15" hidden="false" customHeight="false" outlineLevel="0" collapsed="false">
      <c r="A3441" s="31" t="n">
        <v>42879.2916666667</v>
      </c>
      <c r="B3441" s="32" t="n">
        <v>64.961</v>
      </c>
      <c r="D3441" s="33" t="n">
        <f aca="false">WEEKDAY(A3441,2)</f>
        <v>3</v>
      </c>
      <c r="E3441" s="33" t="n">
        <f aca="false">HOUR(A3441)+MINUTE(A3441)/60</f>
        <v>7</v>
      </c>
      <c r="F3441" s="33" t="n">
        <f aca="false">IF(OR(D3441&gt;5,E3441&lt;8,E3441&gt;=18,COUNTIF($K$2:$K$10,INT(A3441))&gt;0),1,0)</f>
        <v>1</v>
      </c>
      <c r="G3441" s="34" t="n">
        <f aca="false">B3441/1</f>
        <v>64.961</v>
      </c>
      <c r="H3441" s="34" t="n">
        <f aca="false">IF(F3441=1,G3441,"")</f>
        <v>64.961</v>
      </c>
    </row>
    <row r="3442" customFormat="false" ht="15" hidden="false" customHeight="false" outlineLevel="0" collapsed="false">
      <c r="A3442" s="31" t="n">
        <v>42879.3333333333</v>
      </c>
      <c r="B3442" s="32" t="n">
        <v>164.902</v>
      </c>
      <c r="D3442" s="33" t="n">
        <f aca="false">WEEKDAY(A3442,2)</f>
        <v>3</v>
      </c>
      <c r="E3442" s="33" t="n">
        <f aca="false">HOUR(A3442)+MINUTE(A3442)/60</f>
        <v>8</v>
      </c>
      <c r="F3442" s="33" t="n">
        <f aca="false">IF(OR(D3442&gt;5,E3442&lt;8,E3442&gt;=18,COUNTIF($K$2:$K$10,INT(A3442))&gt;0),1,0)</f>
        <v>0</v>
      </c>
      <c r="G3442" s="34" t="n">
        <f aca="false">B3442/1</f>
        <v>164.902</v>
      </c>
      <c r="H3442" s="34" t="str">
        <f aca="false">IF(F3442=1,G3442,"")</f>
        <v/>
      </c>
    </row>
    <row r="3443" customFormat="false" ht="15" hidden="false" customHeight="false" outlineLevel="0" collapsed="false">
      <c r="A3443" s="31" t="n">
        <v>42879.375</v>
      </c>
      <c r="B3443" s="32" t="n">
        <v>197.466</v>
      </c>
      <c r="D3443" s="33" t="n">
        <f aca="false">WEEKDAY(A3443,2)</f>
        <v>3</v>
      </c>
      <c r="E3443" s="33" t="n">
        <f aca="false">HOUR(A3443)+MINUTE(A3443)/60</f>
        <v>9</v>
      </c>
      <c r="F3443" s="33" t="n">
        <f aca="false">IF(OR(D3443&gt;5,E3443&lt;8,E3443&gt;=18,COUNTIF($K$2:$K$10,INT(A3443))&gt;0),1,0)</f>
        <v>0</v>
      </c>
      <c r="G3443" s="34" t="n">
        <f aca="false">B3443/1</f>
        <v>197.466</v>
      </c>
      <c r="H3443" s="34" t="str">
        <f aca="false">IF(F3443=1,G3443,"")</f>
        <v/>
      </c>
    </row>
    <row r="3444" customFormat="false" ht="15" hidden="false" customHeight="false" outlineLevel="0" collapsed="false">
      <c r="A3444" s="31" t="n">
        <v>42879.4166666667</v>
      </c>
      <c r="B3444" s="32" t="n">
        <v>202.679</v>
      </c>
      <c r="D3444" s="33" t="n">
        <f aca="false">WEEKDAY(A3444,2)</f>
        <v>3</v>
      </c>
      <c r="E3444" s="33" t="n">
        <f aca="false">HOUR(A3444)+MINUTE(A3444)/60</f>
        <v>10</v>
      </c>
      <c r="F3444" s="33" t="n">
        <f aca="false">IF(OR(D3444&gt;5,E3444&lt;8,E3444&gt;=18,COUNTIF($K$2:$K$10,INT(A3444))&gt;0),1,0)</f>
        <v>0</v>
      </c>
      <c r="G3444" s="34" t="n">
        <f aca="false">B3444/1</f>
        <v>202.679</v>
      </c>
      <c r="H3444" s="34" t="str">
        <f aca="false">IF(F3444=1,G3444,"")</f>
        <v/>
      </c>
    </row>
    <row r="3445" customFormat="false" ht="15" hidden="false" customHeight="false" outlineLevel="0" collapsed="false">
      <c r="A3445" s="31" t="n">
        <v>42879.4583333333</v>
      </c>
      <c r="B3445" s="32" t="n">
        <v>210.831</v>
      </c>
      <c r="D3445" s="33" t="n">
        <f aca="false">WEEKDAY(A3445,2)</f>
        <v>3</v>
      </c>
      <c r="E3445" s="33" t="n">
        <f aca="false">HOUR(A3445)+MINUTE(A3445)/60</f>
        <v>11</v>
      </c>
      <c r="F3445" s="33" t="n">
        <f aca="false">IF(OR(D3445&gt;5,E3445&lt;8,E3445&gt;=18,COUNTIF($K$2:$K$10,INT(A3445))&gt;0),1,0)</f>
        <v>0</v>
      </c>
      <c r="G3445" s="34" t="n">
        <f aca="false">B3445/1</f>
        <v>210.831</v>
      </c>
      <c r="H3445" s="34" t="str">
        <f aca="false">IF(F3445=1,G3445,"")</f>
        <v/>
      </c>
    </row>
    <row r="3446" customFormat="false" ht="15" hidden="false" customHeight="false" outlineLevel="0" collapsed="false">
      <c r="A3446" s="31" t="n">
        <v>42879.5</v>
      </c>
      <c r="B3446" s="32" t="n">
        <v>209.969</v>
      </c>
      <c r="D3446" s="33" t="n">
        <f aca="false">WEEKDAY(A3446,2)</f>
        <v>3</v>
      </c>
      <c r="E3446" s="33" t="n">
        <f aca="false">HOUR(A3446)+MINUTE(A3446)/60</f>
        <v>12</v>
      </c>
      <c r="F3446" s="33" t="n">
        <f aca="false">IF(OR(D3446&gt;5,E3446&lt;8,E3446&gt;=18,COUNTIF($K$2:$K$10,INT(A3446))&gt;0),1,0)</f>
        <v>0</v>
      </c>
      <c r="G3446" s="34" t="n">
        <f aca="false">B3446/1</f>
        <v>209.969</v>
      </c>
      <c r="H3446" s="34" t="str">
        <f aca="false">IF(F3446=1,G3446,"")</f>
        <v/>
      </c>
    </row>
    <row r="3447" customFormat="false" ht="15" hidden="false" customHeight="false" outlineLevel="0" collapsed="false">
      <c r="A3447" s="31" t="n">
        <v>42879.5416666667</v>
      </c>
      <c r="B3447" s="32" t="n">
        <v>211.3</v>
      </c>
      <c r="D3447" s="33" t="n">
        <f aca="false">WEEKDAY(A3447,2)</f>
        <v>3</v>
      </c>
      <c r="E3447" s="33" t="n">
        <f aca="false">HOUR(A3447)+MINUTE(A3447)/60</f>
        <v>13</v>
      </c>
      <c r="F3447" s="33" t="n">
        <f aca="false">IF(OR(D3447&gt;5,E3447&lt;8,E3447&gt;=18,COUNTIF($K$2:$K$10,INT(A3447))&gt;0),1,0)</f>
        <v>0</v>
      </c>
      <c r="G3447" s="34" t="n">
        <f aca="false">B3447/1</f>
        <v>211.3</v>
      </c>
      <c r="H3447" s="34" t="str">
        <f aca="false">IF(F3447=1,G3447,"")</f>
        <v/>
      </c>
    </row>
    <row r="3448" customFormat="false" ht="15" hidden="false" customHeight="false" outlineLevel="0" collapsed="false">
      <c r="A3448" s="31" t="n">
        <v>42879.5833333333</v>
      </c>
      <c r="B3448" s="32" t="n">
        <v>214.14</v>
      </c>
      <c r="D3448" s="33" t="n">
        <f aca="false">WEEKDAY(A3448,2)</f>
        <v>3</v>
      </c>
      <c r="E3448" s="33" t="n">
        <f aca="false">HOUR(A3448)+MINUTE(A3448)/60</f>
        <v>14</v>
      </c>
      <c r="F3448" s="33" t="n">
        <f aca="false">IF(OR(D3448&gt;5,E3448&lt;8,E3448&gt;=18,COUNTIF($K$2:$K$10,INT(A3448))&gt;0),1,0)</f>
        <v>0</v>
      </c>
      <c r="G3448" s="34" t="n">
        <f aca="false">B3448/1</f>
        <v>214.14</v>
      </c>
      <c r="H3448" s="34" t="str">
        <f aca="false">IF(F3448=1,G3448,"")</f>
        <v/>
      </c>
    </row>
    <row r="3449" customFormat="false" ht="15" hidden="false" customHeight="false" outlineLevel="0" collapsed="false">
      <c r="A3449" s="31" t="n">
        <v>42879.625</v>
      </c>
      <c r="B3449" s="32" t="n">
        <v>220.46</v>
      </c>
      <c r="D3449" s="33" t="n">
        <f aca="false">WEEKDAY(A3449,2)</f>
        <v>3</v>
      </c>
      <c r="E3449" s="33" t="n">
        <f aca="false">HOUR(A3449)+MINUTE(A3449)/60</f>
        <v>15</v>
      </c>
      <c r="F3449" s="33" t="n">
        <f aca="false">IF(OR(D3449&gt;5,E3449&lt;8,E3449&gt;=18,COUNTIF($K$2:$K$10,INT(A3449))&gt;0),1,0)</f>
        <v>0</v>
      </c>
      <c r="G3449" s="34" t="n">
        <f aca="false">B3449/1</f>
        <v>220.46</v>
      </c>
      <c r="H3449" s="34" t="str">
        <f aca="false">IF(F3449=1,G3449,"")</f>
        <v/>
      </c>
    </row>
    <row r="3450" customFormat="false" ht="15" hidden="false" customHeight="false" outlineLevel="0" collapsed="false">
      <c r="A3450" s="31" t="n">
        <v>42879.6666666667</v>
      </c>
      <c r="B3450" s="32" t="n">
        <v>211.101</v>
      </c>
      <c r="D3450" s="33" t="n">
        <f aca="false">WEEKDAY(A3450,2)</f>
        <v>3</v>
      </c>
      <c r="E3450" s="33" t="n">
        <f aca="false">HOUR(A3450)+MINUTE(A3450)/60</f>
        <v>16</v>
      </c>
      <c r="F3450" s="33" t="n">
        <f aca="false">IF(OR(D3450&gt;5,E3450&lt;8,E3450&gt;=18,COUNTIF($K$2:$K$10,INT(A3450))&gt;0),1,0)</f>
        <v>0</v>
      </c>
      <c r="G3450" s="34" t="n">
        <f aca="false">B3450/1</f>
        <v>211.101</v>
      </c>
      <c r="H3450" s="34" t="str">
        <f aca="false">IF(F3450=1,G3450,"")</f>
        <v/>
      </c>
    </row>
    <row r="3451" customFormat="false" ht="15" hidden="false" customHeight="false" outlineLevel="0" collapsed="false">
      <c r="A3451" s="31" t="n">
        <v>42879.7083333333</v>
      </c>
      <c r="B3451" s="32" t="n">
        <v>191.944</v>
      </c>
      <c r="D3451" s="33" t="n">
        <f aca="false">WEEKDAY(A3451,2)</f>
        <v>3</v>
      </c>
      <c r="E3451" s="33" t="n">
        <f aca="false">HOUR(A3451)+MINUTE(A3451)/60</f>
        <v>17</v>
      </c>
      <c r="F3451" s="33" t="n">
        <f aca="false">IF(OR(D3451&gt;5,E3451&lt;8,E3451&gt;=18,COUNTIF($K$2:$K$10,INT(A3451))&gt;0),1,0)</f>
        <v>0</v>
      </c>
      <c r="G3451" s="34" t="n">
        <f aca="false">B3451/1</f>
        <v>191.944</v>
      </c>
      <c r="H3451" s="34" t="str">
        <f aca="false">IF(F3451=1,G3451,"")</f>
        <v/>
      </c>
    </row>
    <row r="3452" customFormat="false" ht="15" hidden="false" customHeight="false" outlineLevel="0" collapsed="false">
      <c r="A3452" s="31" t="n">
        <v>42879.75</v>
      </c>
      <c r="B3452" s="32" t="n">
        <v>173.959</v>
      </c>
      <c r="D3452" s="33" t="n">
        <f aca="false">WEEKDAY(A3452,2)</f>
        <v>3</v>
      </c>
      <c r="E3452" s="33" t="n">
        <f aca="false">HOUR(A3452)+MINUTE(A3452)/60</f>
        <v>18</v>
      </c>
      <c r="F3452" s="33" t="n">
        <f aca="false">IF(OR(D3452&gt;5,E3452&lt;8,E3452&gt;=18,COUNTIF($K$2:$K$10,INT(A3452))&gt;0),1,0)</f>
        <v>1</v>
      </c>
      <c r="G3452" s="34" t="n">
        <f aca="false">B3452/1</f>
        <v>173.959</v>
      </c>
      <c r="H3452" s="34" t="n">
        <f aca="false">IF(F3452=1,G3452,"")</f>
        <v>173.959</v>
      </c>
    </row>
    <row r="3453" customFormat="false" ht="15" hidden="false" customHeight="false" outlineLevel="0" collapsed="false">
      <c r="A3453" s="31" t="n">
        <v>42879.7916666667</v>
      </c>
      <c r="B3453" s="32" t="n">
        <v>174.985</v>
      </c>
      <c r="D3453" s="33" t="n">
        <f aca="false">WEEKDAY(A3453,2)</f>
        <v>3</v>
      </c>
      <c r="E3453" s="33" t="n">
        <f aca="false">HOUR(A3453)+MINUTE(A3453)/60</f>
        <v>19</v>
      </c>
      <c r="F3453" s="33" t="n">
        <f aca="false">IF(OR(D3453&gt;5,E3453&lt;8,E3453&gt;=18,COUNTIF($K$2:$K$10,INT(A3453))&gt;0),1,0)</f>
        <v>1</v>
      </c>
      <c r="G3453" s="34" t="n">
        <f aca="false">B3453/1</f>
        <v>174.985</v>
      </c>
      <c r="H3453" s="34" t="n">
        <f aca="false">IF(F3453=1,G3453,"")</f>
        <v>174.985</v>
      </c>
    </row>
    <row r="3454" customFormat="false" ht="15" hidden="false" customHeight="false" outlineLevel="0" collapsed="false">
      <c r="A3454" s="31" t="n">
        <v>42879.8333333333</v>
      </c>
      <c r="B3454" s="32" t="n">
        <v>172.566</v>
      </c>
      <c r="D3454" s="33" t="n">
        <f aca="false">WEEKDAY(A3454,2)</f>
        <v>3</v>
      </c>
      <c r="E3454" s="33" t="n">
        <f aca="false">HOUR(A3454)+MINUTE(A3454)/60</f>
        <v>20</v>
      </c>
      <c r="F3454" s="33" t="n">
        <f aca="false">IF(OR(D3454&gt;5,E3454&lt;8,E3454&gt;=18,COUNTIF($K$2:$K$10,INT(A3454))&gt;0),1,0)</f>
        <v>1</v>
      </c>
      <c r="G3454" s="34" t="n">
        <f aca="false">B3454/1</f>
        <v>172.566</v>
      </c>
      <c r="H3454" s="34" t="n">
        <f aca="false">IF(F3454=1,G3454,"")</f>
        <v>172.566</v>
      </c>
    </row>
    <row r="3455" customFormat="false" ht="15" hidden="false" customHeight="false" outlineLevel="0" collapsed="false">
      <c r="A3455" s="31" t="n">
        <v>42879.875</v>
      </c>
      <c r="B3455" s="32" t="n">
        <v>171.004</v>
      </c>
      <c r="D3455" s="33" t="n">
        <f aca="false">WEEKDAY(A3455,2)</f>
        <v>3</v>
      </c>
      <c r="E3455" s="33" t="n">
        <f aca="false">HOUR(A3455)+MINUTE(A3455)/60</f>
        <v>21</v>
      </c>
      <c r="F3455" s="33" t="n">
        <f aca="false">IF(OR(D3455&gt;5,E3455&lt;8,E3455&gt;=18,COUNTIF($K$2:$K$10,INT(A3455))&gt;0),1,0)</f>
        <v>1</v>
      </c>
      <c r="G3455" s="34" t="n">
        <f aca="false">B3455/1</f>
        <v>171.004</v>
      </c>
      <c r="H3455" s="34" t="n">
        <f aca="false">IF(F3455=1,G3455,"")</f>
        <v>171.004</v>
      </c>
    </row>
    <row r="3456" customFormat="false" ht="15" hidden="false" customHeight="false" outlineLevel="0" collapsed="false">
      <c r="A3456" s="31" t="n">
        <v>42879.9166666667</v>
      </c>
      <c r="B3456" s="32" t="n">
        <v>125.211</v>
      </c>
      <c r="D3456" s="33" t="n">
        <f aca="false">WEEKDAY(A3456,2)</f>
        <v>3</v>
      </c>
      <c r="E3456" s="33" t="n">
        <f aca="false">HOUR(A3456)+MINUTE(A3456)/60</f>
        <v>22</v>
      </c>
      <c r="F3456" s="33" t="n">
        <f aca="false">IF(OR(D3456&gt;5,E3456&lt;8,E3456&gt;=18,COUNTIF($K$2:$K$10,INT(A3456))&gt;0),1,0)</f>
        <v>1</v>
      </c>
      <c r="G3456" s="34" t="n">
        <f aca="false">B3456/1</f>
        <v>125.211</v>
      </c>
      <c r="H3456" s="34" t="n">
        <f aca="false">IF(F3456=1,G3456,"")</f>
        <v>125.211</v>
      </c>
    </row>
    <row r="3457" customFormat="false" ht="15" hidden="false" customHeight="false" outlineLevel="0" collapsed="false">
      <c r="A3457" s="31" t="n">
        <v>42879.9583333333</v>
      </c>
      <c r="B3457" s="32" t="n">
        <v>52.799</v>
      </c>
      <c r="D3457" s="33" t="n">
        <f aca="false">WEEKDAY(A3457,2)</f>
        <v>3</v>
      </c>
      <c r="E3457" s="33" t="n">
        <f aca="false">HOUR(A3457)+MINUTE(A3457)/60</f>
        <v>23</v>
      </c>
      <c r="F3457" s="33" t="n">
        <f aca="false">IF(OR(D3457&gt;5,E3457&lt;8,E3457&gt;=18,COUNTIF($K$2:$K$10,INT(A3457))&gt;0),1,0)</f>
        <v>1</v>
      </c>
      <c r="G3457" s="34" t="n">
        <f aca="false">B3457/1</f>
        <v>52.799</v>
      </c>
      <c r="H3457" s="34" t="n">
        <f aca="false">IF(F3457=1,G3457,"")</f>
        <v>52.799</v>
      </c>
    </row>
    <row r="3458" customFormat="false" ht="15" hidden="false" customHeight="false" outlineLevel="0" collapsed="false">
      <c r="A3458" s="31" t="n">
        <v>42880</v>
      </c>
      <c r="B3458" s="32" t="n">
        <v>60.433</v>
      </c>
      <c r="D3458" s="33" t="n">
        <f aca="false">WEEKDAY(A3458,2)</f>
        <v>4</v>
      </c>
      <c r="E3458" s="33" t="n">
        <f aca="false">HOUR(A3458)+MINUTE(A3458)/60</f>
        <v>0</v>
      </c>
      <c r="F3458" s="33" t="n">
        <f aca="false">IF(OR(D3458&gt;5,E3458&lt;8,E3458&gt;=18,COUNTIF($K$2:$K$10,INT(A3458))&gt;0),1,0)</f>
        <v>1</v>
      </c>
      <c r="G3458" s="34" t="n">
        <f aca="false">B3458/1</f>
        <v>60.433</v>
      </c>
      <c r="H3458" s="34" t="n">
        <f aca="false">IF(F3458=1,G3458,"")</f>
        <v>60.433</v>
      </c>
    </row>
    <row r="3459" customFormat="false" ht="15" hidden="false" customHeight="false" outlineLevel="0" collapsed="false">
      <c r="A3459" s="31" t="n">
        <v>42880.0416666667</v>
      </c>
      <c r="B3459" s="32" t="n">
        <v>62.253</v>
      </c>
      <c r="D3459" s="33" t="n">
        <f aca="false">WEEKDAY(A3459,2)</f>
        <v>4</v>
      </c>
      <c r="E3459" s="33" t="n">
        <f aca="false">HOUR(A3459)+MINUTE(A3459)/60</f>
        <v>1</v>
      </c>
      <c r="F3459" s="33" t="n">
        <f aca="false">IF(OR(D3459&gt;5,E3459&lt;8,E3459&gt;=18,COUNTIF($K$2:$K$10,INT(A3459))&gt;0),1,0)</f>
        <v>1</v>
      </c>
      <c r="G3459" s="34" t="n">
        <f aca="false">B3459/1</f>
        <v>62.253</v>
      </c>
      <c r="H3459" s="34" t="n">
        <f aca="false">IF(F3459=1,G3459,"")</f>
        <v>62.253</v>
      </c>
    </row>
    <row r="3460" customFormat="false" ht="15" hidden="false" customHeight="false" outlineLevel="0" collapsed="false">
      <c r="A3460" s="31" t="n">
        <v>42880.0833333333</v>
      </c>
      <c r="B3460" s="32" t="n">
        <v>52.855</v>
      </c>
      <c r="D3460" s="33" t="n">
        <f aca="false">WEEKDAY(A3460,2)</f>
        <v>4</v>
      </c>
      <c r="E3460" s="33" t="n">
        <f aca="false">HOUR(A3460)+MINUTE(A3460)/60</f>
        <v>2</v>
      </c>
      <c r="F3460" s="33" t="n">
        <f aca="false">IF(OR(D3460&gt;5,E3460&lt;8,E3460&gt;=18,COUNTIF($K$2:$K$10,INT(A3460))&gt;0),1,0)</f>
        <v>1</v>
      </c>
      <c r="G3460" s="34" t="n">
        <f aca="false">B3460/1</f>
        <v>52.855</v>
      </c>
      <c r="H3460" s="34" t="n">
        <f aca="false">IF(F3460=1,G3460,"")</f>
        <v>52.855</v>
      </c>
    </row>
    <row r="3461" customFormat="false" ht="15" hidden="false" customHeight="false" outlineLevel="0" collapsed="false">
      <c r="A3461" s="31" t="n">
        <v>42880.125</v>
      </c>
      <c r="B3461" s="32" t="n">
        <v>51.994</v>
      </c>
      <c r="D3461" s="33" t="n">
        <f aca="false">WEEKDAY(A3461,2)</f>
        <v>4</v>
      </c>
      <c r="E3461" s="33" t="n">
        <f aca="false">HOUR(A3461)+MINUTE(A3461)/60</f>
        <v>3</v>
      </c>
      <c r="F3461" s="33" t="n">
        <f aca="false">IF(OR(D3461&gt;5,E3461&lt;8,E3461&gt;=18,COUNTIF($K$2:$K$10,INT(A3461))&gt;0),1,0)</f>
        <v>1</v>
      </c>
      <c r="G3461" s="34" t="n">
        <f aca="false">B3461/1</f>
        <v>51.994</v>
      </c>
      <c r="H3461" s="34" t="n">
        <f aca="false">IF(F3461=1,G3461,"")</f>
        <v>51.994</v>
      </c>
    </row>
    <row r="3462" customFormat="false" ht="15" hidden="false" customHeight="false" outlineLevel="0" collapsed="false">
      <c r="A3462" s="31" t="n">
        <v>42880.1666666667</v>
      </c>
      <c r="B3462" s="32" t="n">
        <v>52.025</v>
      </c>
      <c r="D3462" s="33" t="n">
        <f aca="false">WEEKDAY(A3462,2)</f>
        <v>4</v>
      </c>
      <c r="E3462" s="33" t="n">
        <f aca="false">HOUR(A3462)+MINUTE(A3462)/60</f>
        <v>4</v>
      </c>
      <c r="F3462" s="33" t="n">
        <f aca="false">IF(OR(D3462&gt;5,E3462&lt;8,E3462&gt;=18,COUNTIF($K$2:$K$10,INT(A3462))&gt;0),1,0)</f>
        <v>1</v>
      </c>
      <c r="G3462" s="34" t="n">
        <f aca="false">B3462/1</f>
        <v>52.025</v>
      </c>
      <c r="H3462" s="34" t="n">
        <f aca="false">IF(F3462=1,G3462,"")</f>
        <v>52.025</v>
      </c>
    </row>
    <row r="3463" customFormat="false" ht="15" hidden="false" customHeight="false" outlineLevel="0" collapsed="false">
      <c r="A3463" s="31" t="n">
        <v>42880.2083333333</v>
      </c>
      <c r="B3463" s="32" t="n">
        <v>52.197</v>
      </c>
      <c r="D3463" s="33" t="n">
        <f aca="false">WEEKDAY(A3463,2)</f>
        <v>4</v>
      </c>
      <c r="E3463" s="33" t="n">
        <f aca="false">HOUR(A3463)+MINUTE(A3463)/60</f>
        <v>5</v>
      </c>
      <c r="F3463" s="33" t="n">
        <f aca="false">IF(OR(D3463&gt;5,E3463&lt;8,E3463&gt;=18,COUNTIF($K$2:$K$10,INT(A3463))&gt;0),1,0)</f>
        <v>1</v>
      </c>
      <c r="G3463" s="34" t="n">
        <f aca="false">B3463/1</f>
        <v>52.197</v>
      </c>
      <c r="H3463" s="34" t="n">
        <f aca="false">IF(F3463=1,G3463,"")</f>
        <v>52.197</v>
      </c>
    </row>
    <row r="3464" customFormat="false" ht="15" hidden="false" customHeight="false" outlineLevel="0" collapsed="false">
      <c r="A3464" s="31" t="n">
        <v>42880.25</v>
      </c>
      <c r="B3464" s="32" t="n">
        <v>53.445</v>
      </c>
      <c r="D3464" s="33" t="n">
        <f aca="false">WEEKDAY(A3464,2)</f>
        <v>4</v>
      </c>
      <c r="E3464" s="33" t="n">
        <f aca="false">HOUR(A3464)+MINUTE(A3464)/60</f>
        <v>6</v>
      </c>
      <c r="F3464" s="33" t="n">
        <f aca="false">IF(OR(D3464&gt;5,E3464&lt;8,E3464&gt;=18,COUNTIF($K$2:$K$10,INT(A3464))&gt;0),1,0)</f>
        <v>1</v>
      </c>
      <c r="G3464" s="34" t="n">
        <f aca="false">B3464/1</f>
        <v>53.445</v>
      </c>
      <c r="H3464" s="34" t="n">
        <f aca="false">IF(F3464=1,G3464,"")</f>
        <v>53.445</v>
      </c>
    </row>
    <row r="3465" customFormat="false" ht="15" hidden="false" customHeight="false" outlineLevel="0" collapsed="false">
      <c r="A3465" s="31" t="n">
        <v>42880.2916666667</v>
      </c>
      <c r="B3465" s="32" t="n">
        <v>55.437</v>
      </c>
      <c r="D3465" s="33" t="n">
        <f aca="false">WEEKDAY(A3465,2)</f>
        <v>4</v>
      </c>
      <c r="E3465" s="33" t="n">
        <f aca="false">HOUR(A3465)+MINUTE(A3465)/60</f>
        <v>7</v>
      </c>
      <c r="F3465" s="33" t="n">
        <f aca="false">IF(OR(D3465&gt;5,E3465&lt;8,E3465&gt;=18,COUNTIF($K$2:$K$10,INT(A3465))&gt;0),1,0)</f>
        <v>1</v>
      </c>
      <c r="G3465" s="34" t="n">
        <f aca="false">B3465/1</f>
        <v>55.437</v>
      </c>
      <c r="H3465" s="34" t="n">
        <f aca="false">IF(F3465=1,G3465,"")</f>
        <v>55.437</v>
      </c>
    </row>
    <row r="3466" customFormat="false" ht="15" hidden="false" customHeight="false" outlineLevel="0" collapsed="false">
      <c r="A3466" s="31" t="n">
        <v>42880.3333333333</v>
      </c>
      <c r="B3466" s="32" t="n">
        <v>157.323</v>
      </c>
      <c r="D3466" s="33" t="n">
        <f aca="false">WEEKDAY(A3466,2)</f>
        <v>4</v>
      </c>
      <c r="E3466" s="33" t="n">
        <f aca="false">HOUR(A3466)+MINUTE(A3466)/60</f>
        <v>8</v>
      </c>
      <c r="F3466" s="33" t="n">
        <f aca="false">IF(OR(D3466&gt;5,E3466&lt;8,E3466&gt;=18,COUNTIF($K$2:$K$10,INT(A3466))&gt;0),1,0)</f>
        <v>0</v>
      </c>
      <c r="G3466" s="34" t="n">
        <f aca="false">B3466/1</f>
        <v>157.323</v>
      </c>
      <c r="H3466" s="34" t="str">
        <f aca="false">IF(F3466=1,G3466,"")</f>
        <v/>
      </c>
    </row>
    <row r="3467" customFormat="false" ht="15" hidden="false" customHeight="false" outlineLevel="0" collapsed="false">
      <c r="A3467" s="31" t="n">
        <v>42880.375</v>
      </c>
      <c r="B3467" s="32" t="n">
        <v>193.182</v>
      </c>
      <c r="D3467" s="33" t="n">
        <f aca="false">WEEKDAY(A3467,2)</f>
        <v>4</v>
      </c>
      <c r="E3467" s="33" t="n">
        <f aca="false">HOUR(A3467)+MINUTE(A3467)/60</f>
        <v>9</v>
      </c>
      <c r="F3467" s="33" t="n">
        <f aca="false">IF(OR(D3467&gt;5,E3467&lt;8,E3467&gt;=18,COUNTIF($K$2:$K$10,INT(A3467))&gt;0),1,0)</f>
        <v>0</v>
      </c>
      <c r="G3467" s="34" t="n">
        <f aca="false">B3467/1</f>
        <v>193.182</v>
      </c>
      <c r="H3467" s="34" t="str">
        <f aca="false">IF(F3467=1,G3467,"")</f>
        <v/>
      </c>
    </row>
    <row r="3468" customFormat="false" ht="15" hidden="false" customHeight="false" outlineLevel="0" collapsed="false">
      <c r="A3468" s="31" t="n">
        <v>42880.4166666667</v>
      </c>
      <c r="B3468" s="32" t="n">
        <v>205.593</v>
      </c>
      <c r="D3468" s="33" t="n">
        <f aca="false">WEEKDAY(A3468,2)</f>
        <v>4</v>
      </c>
      <c r="E3468" s="33" t="n">
        <f aca="false">HOUR(A3468)+MINUTE(A3468)/60</f>
        <v>10</v>
      </c>
      <c r="F3468" s="33" t="n">
        <f aca="false">IF(OR(D3468&gt;5,E3468&lt;8,E3468&gt;=18,COUNTIF($K$2:$K$10,INT(A3468))&gt;0),1,0)</f>
        <v>0</v>
      </c>
      <c r="G3468" s="34" t="n">
        <f aca="false">B3468/1</f>
        <v>205.593</v>
      </c>
      <c r="H3468" s="34" t="str">
        <f aca="false">IF(F3468=1,G3468,"")</f>
        <v/>
      </c>
    </row>
    <row r="3469" customFormat="false" ht="15" hidden="false" customHeight="false" outlineLevel="0" collapsed="false">
      <c r="A3469" s="31" t="n">
        <v>42880.4583333333</v>
      </c>
      <c r="B3469" s="32" t="n">
        <v>203.67</v>
      </c>
      <c r="D3469" s="33" t="n">
        <f aca="false">WEEKDAY(A3469,2)</f>
        <v>4</v>
      </c>
      <c r="E3469" s="33" t="n">
        <f aca="false">HOUR(A3469)+MINUTE(A3469)/60</f>
        <v>11</v>
      </c>
      <c r="F3469" s="33" t="n">
        <f aca="false">IF(OR(D3469&gt;5,E3469&lt;8,E3469&gt;=18,COUNTIF($K$2:$K$10,INT(A3469))&gt;0),1,0)</f>
        <v>0</v>
      </c>
      <c r="G3469" s="34" t="n">
        <f aca="false">B3469/1</f>
        <v>203.67</v>
      </c>
      <c r="H3469" s="34" t="str">
        <f aca="false">IF(F3469=1,G3469,"")</f>
        <v/>
      </c>
    </row>
    <row r="3470" customFormat="false" ht="15" hidden="false" customHeight="false" outlineLevel="0" collapsed="false">
      <c r="A3470" s="31" t="n">
        <v>42880.5</v>
      </c>
      <c r="B3470" s="32" t="n">
        <v>217.907</v>
      </c>
      <c r="D3470" s="33" t="n">
        <f aca="false">WEEKDAY(A3470,2)</f>
        <v>4</v>
      </c>
      <c r="E3470" s="33" t="n">
        <f aca="false">HOUR(A3470)+MINUTE(A3470)/60</f>
        <v>12</v>
      </c>
      <c r="F3470" s="33" t="n">
        <f aca="false">IF(OR(D3470&gt;5,E3470&lt;8,E3470&gt;=18,COUNTIF($K$2:$K$10,INT(A3470))&gt;0),1,0)</f>
        <v>0</v>
      </c>
      <c r="G3470" s="34" t="n">
        <f aca="false">B3470/1</f>
        <v>217.907</v>
      </c>
      <c r="H3470" s="34" t="str">
        <f aca="false">IF(F3470=1,G3470,"")</f>
        <v/>
      </c>
    </row>
    <row r="3471" customFormat="false" ht="15" hidden="false" customHeight="false" outlineLevel="0" collapsed="false">
      <c r="A3471" s="31" t="n">
        <v>42880.5416666667</v>
      </c>
      <c r="B3471" s="32" t="n">
        <v>213.56</v>
      </c>
      <c r="D3471" s="33" t="n">
        <f aca="false">WEEKDAY(A3471,2)</f>
        <v>4</v>
      </c>
      <c r="E3471" s="33" t="n">
        <f aca="false">HOUR(A3471)+MINUTE(A3471)/60</f>
        <v>13</v>
      </c>
      <c r="F3471" s="33" t="n">
        <f aca="false">IF(OR(D3471&gt;5,E3471&lt;8,E3471&gt;=18,COUNTIF($K$2:$K$10,INT(A3471))&gt;0),1,0)</f>
        <v>0</v>
      </c>
      <c r="G3471" s="34" t="n">
        <f aca="false">B3471/1</f>
        <v>213.56</v>
      </c>
      <c r="H3471" s="34" t="str">
        <f aca="false">IF(F3471=1,G3471,"")</f>
        <v/>
      </c>
    </row>
    <row r="3472" customFormat="false" ht="15" hidden="false" customHeight="false" outlineLevel="0" collapsed="false">
      <c r="A3472" s="31" t="n">
        <v>42880.5833333333</v>
      </c>
      <c r="B3472" s="32" t="n">
        <v>212.71</v>
      </c>
      <c r="D3472" s="33" t="n">
        <f aca="false">WEEKDAY(A3472,2)</f>
        <v>4</v>
      </c>
      <c r="E3472" s="33" t="n">
        <f aca="false">HOUR(A3472)+MINUTE(A3472)/60</f>
        <v>14</v>
      </c>
      <c r="F3472" s="33" t="n">
        <f aca="false">IF(OR(D3472&gt;5,E3472&lt;8,E3472&gt;=18,COUNTIF($K$2:$K$10,INT(A3472))&gt;0),1,0)</f>
        <v>0</v>
      </c>
      <c r="G3472" s="34" t="n">
        <f aca="false">B3472/1</f>
        <v>212.71</v>
      </c>
      <c r="H3472" s="34" t="str">
        <f aca="false">IF(F3472=1,G3472,"")</f>
        <v/>
      </c>
    </row>
    <row r="3473" customFormat="false" ht="15" hidden="false" customHeight="false" outlineLevel="0" collapsed="false">
      <c r="A3473" s="31" t="n">
        <v>42880.625</v>
      </c>
      <c r="B3473" s="32" t="n">
        <v>208.375</v>
      </c>
      <c r="D3473" s="33" t="n">
        <f aca="false">WEEKDAY(A3473,2)</f>
        <v>4</v>
      </c>
      <c r="E3473" s="33" t="n">
        <f aca="false">HOUR(A3473)+MINUTE(A3473)/60</f>
        <v>15</v>
      </c>
      <c r="F3473" s="33" t="n">
        <f aca="false">IF(OR(D3473&gt;5,E3473&lt;8,E3473&gt;=18,COUNTIF($K$2:$K$10,INT(A3473))&gt;0),1,0)</f>
        <v>0</v>
      </c>
      <c r="G3473" s="34" t="n">
        <f aca="false">B3473/1</f>
        <v>208.375</v>
      </c>
      <c r="H3473" s="34" t="str">
        <f aca="false">IF(F3473=1,G3473,"")</f>
        <v/>
      </c>
    </row>
    <row r="3474" customFormat="false" ht="15" hidden="false" customHeight="false" outlineLevel="0" collapsed="false">
      <c r="A3474" s="31" t="n">
        <v>42880.6666666667</v>
      </c>
      <c r="B3474" s="32" t="n">
        <v>200.774</v>
      </c>
      <c r="D3474" s="33" t="n">
        <f aca="false">WEEKDAY(A3474,2)</f>
        <v>4</v>
      </c>
      <c r="E3474" s="33" t="n">
        <f aca="false">HOUR(A3474)+MINUTE(A3474)/60</f>
        <v>16</v>
      </c>
      <c r="F3474" s="33" t="n">
        <f aca="false">IF(OR(D3474&gt;5,E3474&lt;8,E3474&gt;=18,COUNTIF($K$2:$K$10,INT(A3474))&gt;0),1,0)</f>
        <v>0</v>
      </c>
      <c r="G3474" s="34" t="n">
        <f aca="false">B3474/1</f>
        <v>200.774</v>
      </c>
      <c r="H3474" s="34" t="str">
        <f aca="false">IF(F3474=1,G3474,"")</f>
        <v/>
      </c>
    </row>
    <row r="3475" customFormat="false" ht="15" hidden="false" customHeight="false" outlineLevel="0" collapsed="false">
      <c r="A3475" s="31" t="n">
        <v>42880.7083333333</v>
      </c>
      <c r="B3475" s="32" t="n">
        <v>182.974</v>
      </c>
      <c r="D3475" s="33" t="n">
        <f aca="false">WEEKDAY(A3475,2)</f>
        <v>4</v>
      </c>
      <c r="E3475" s="33" t="n">
        <f aca="false">HOUR(A3475)+MINUTE(A3475)/60</f>
        <v>17</v>
      </c>
      <c r="F3475" s="33" t="n">
        <f aca="false">IF(OR(D3475&gt;5,E3475&lt;8,E3475&gt;=18,COUNTIF($K$2:$K$10,INT(A3475))&gt;0),1,0)</f>
        <v>0</v>
      </c>
      <c r="G3475" s="34" t="n">
        <f aca="false">B3475/1</f>
        <v>182.974</v>
      </c>
      <c r="H3475" s="34" t="str">
        <f aca="false">IF(F3475=1,G3475,"")</f>
        <v/>
      </c>
    </row>
    <row r="3476" customFormat="false" ht="15" hidden="false" customHeight="false" outlineLevel="0" collapsed="false">
      <c r="A3476" s="31" t="n">
        <v>42880.75</v>
      </c>
      <c r="B3476" s="32" t="n">
        <v>165.735</v>
      </c>
      <c r="D3476" s="33" t="n">
        <f aca="false">WEEKDAY(A3476,2)</f>
        <v>4</v>
      </c>
      <c r="E3476" s="33" t="n">
        <f aca="false">HOUR(A3476)+MINUTE(A3476)/60</f>
        <v>18</v>
      </c>
      <c r="F3476" s="33" t="n">
        <f aca="false">IF(OR(D3476&gt;5,E3476&lt;8,E3476&gt;=18,COUNTIF($K$2:$K$10,INT(A3476))&gt;0),1,0)</f>
        <v>1</v>
      </c>
      <c r="G3476" s="34" t="n">
        <f aca="false">B3476/1</f>
        <v>165.735</v>
      </c>
      <c r="H3476" s="34" t="n">
        <f aca="false">IF(F3476=1,G3476,"")</f>
        <v>165.735</v>
      </c>
    </row>
    <row r="3477" customFormat="false" ht="15" hidden="false" customHeight="false" outlineLevel="0" collapsed="false">
      <c r="A3477" s="31" t="n">
        <v>42880.7916666667</v>
      </c>
      <c r="B3477" s="32" t="n">
        <v>159.245</v>
      </c>
      <c r="D3477" s="33" t="n">
        <f aca="false">WEEKDAY(A3477,2)</f>
        <v>4</v>
      </c>
      <c r="E3477" s="33" t="n">
        <f aca="false">HOUR(A3477)+MINUTE(A3477)/60</f>
        <v>19</v>
      </c>
      <c r="F3477" s="33" t="n">
        <f aca="false">IF(OR(D3477&gt;5,E3477&lt;8,E3477&gt;=18,COUNTIF($K$2:$K$10,INT(A3477))&gt;0),1,0)</f>
        <v>1</v>
      </c>
      <c r="G3477" s="34" t="n">
        <f aca="false">B3477/1</f>
        <v>159.245</v>
      </c>
      <c r="H3477" s="34" t="n">
        <f aca="false">IF(F3477=1,G3477,"")</f>
        <v>159.245</v>
      </c>
    </row>
    <row r="3478" customFormat="false" ht="15" hidden="false" customHeight="false" outlineLevel="0" collapsed="false">
      <c r="A3478" s="31" t="n">
        <v>42880.8333333333</v>
      </c>
      <c r="B3478" s="32" t="n">
        <v>158.889</v>
      </c>
      <c r="D3478" s="33" t="n">
        <f aca="false">WEEKDAY(A3478,2)</f>
        <v>4</v>
      </c>
      <c r="E3478" s="33" t="n">
        <f aca="false">HOUR(A3478)+MINUTE(A3478)/60</f>
        <v>20</v>
      </c>
      <c r="F3478" s="33" t="n">
        <f aca="false">IF(OR(D3478&gt;5,E3478&lt;8,E3478&gt;=18,COUNTIF($K$2:$K$10,INT(A3478))&gt;0),1,0)</f>
        <v>1</v>
      </c>
      <c r="G3478" s="34" t="n">
        <f aca="false">B3478/1</f>
        <v>158.889</v>
      </c>
      <c r="H3478" s="34" t="n">
        <f aca="false">IF(F3478=1,G3478,"")</f>
        <v>158.889</v>
      </c>
    </row>
    <row r="3479" customFormat="false" ht="15" hidden="false" customHeight="false" outlineLevel="0" collapsed="false">
      <c r="A3479" s="31" t="n">
        <v>42880.875</v>
      </c>
      <c r="B3479" s="32" t="n">
        <v>158.598</v>
      </c>
      <c r="D3479" s="33" t="n">
        <f aca="false">WEEKDAY(A3479,2)</f>
        <v>4</v>
      </c>
      <c r="E3479" s="33" t="n">
        <f aca="false">HOUR(A3479)+MINUTE(A3479)/60</f>
        <v>21</v>
      </c>
      <c r="F3479" s="33" t="n">
        <f aca="false">IF(OR(D3479&gt;5,E3479&lt;8,E3479&gt;=18,COUNTIF($K$2:$K$10,INT(A3479))&gt;0),1,0)</f>
        <v>1</v>
      </c>
      <c r="G3479" s="34" t="n">
        <f aca="false">B3479/1</f>
        <v>158.598</v>
      </c>
      <c r="H3479" s="34" t="n">
        <f aca="false">IF(F3479=1,G3479,"")</f>
        <v>158.598</v>
      </c>
    </row>
    <row r="3480" customFormat="false" ht="15" hidden="false" customHeight="false" outlineLevel="0" collapsed="false">
      <c r="A3480" s="31" t="n">
        <v>42880.9166666667</v>
      </c>
      <c r="B3480" s="32" t="n">
        <v>112.664</v>
      </c>
      <c r="D3480" s="33" t="n">
        <f aca="false">WEEKDAY(A3480,2)</f>
        <v>4</v>
      </c>
      <c r="E3480" s="33" t="n">
        <f aca="false">HOUR(A3480)+MINUTE(A3480)/60</f>
        <v>22</v>
      </c>
      <c r="F3480" s="33" t="n">
        <f aca="false">IF(OR(D3480&gt;5,E3480&lt;8,E3480&gt;=18,COUNTIF($K$2:$K$10,INT(A3480))&gt;0),1,0)</f>
        <v>1</v>
      </c>
      <c r="G3480" s="34" t="n">
        <f aca="false">B3480/1</f>
        <v>112.664</v>
      </c>
      <c r="H3480" s="34" t="n">
        <f aca="false">IF(F3480=1,G3480,"")</f>
        <v>112.664</v>
      </c>
    </row>
    <row r="3481" customFormat="false" ht="15" hidden="false" customHeight="false" outlineLevel="0" collapsed="false">
      <c r="A3481" s="31" t="n">
        <v>42880.9583333333</v>
      </c>
      <c r="B3481" s="32" t="n">
        <v>50.491</v>
      </c>
      <c r="D3481" s="33" t="n">
        <f aca="false">WEEKDAY(A3481,2)</f>
        <v>4</v>
      </c>
      <c r="E3481" s="33" t="n">
        <f aca="false">HOUR(A3481)+MINUTE(A3481)/60</f>
        <v>23</v>
      </c>
      <c r="F3481" s="33" t="n">
        <f aca="false">IF(OR(D3481&gt;5,E3481&lt;8,E3481&gt;=18,COUNTIF($K$2:$K$10,INT(A3481))&gt;0),1,0)</f>
        <v>1</v>
      </c>
      <c r="G3481" s="34" t="n">
        <f aca="false">B3481/1</f>
        <v>50.491</v>
      </c>
      <c r="H3481" s="34" t="n">
        <f aca="false">IF(F3481=1,G3481,"")</f>
        <v>50.491</v>
      </c>
    </row>
    <row r="3482" customFormat="false" ht="15" hidden="false" customHeight="false" outlineLevel="0" collapsed="false">
      <c r="A3482" s="31" t="n">
        <v>42881</v>
      </c>
      <c r="B3482" s="32" t="n">
        <v>49.965</v>
      </c>
      <c r="D3482" s="33" t="n">
        <f aca="false">WEEKDAY(A3482,2)</f>
        <v>5</v>
      </c>
      <c r="E3482" s="33" t="n">
        <f aca="false">HOUR(A3482)+MINUTE(A3482)/60</f>
        <v>0</v>
      </c>
      <c r="F3482" s="33" t="n">
        <f aca="false">IF(OR(D3482&gt;5,E3482&lt;8,E3482&gt;=18,COUNTIF($K$2:$K$10,INT(A3482))&gt;0),1,0)</f>
        <v>1</v>
      </c>
      <c r="G3482" s="34" t="n">
        <f aca="false">B3482/1</f>
        <v>49.965</v>
      </c>
      <c r="H3482" s="34" t="n">
        <f aca="false">IF(F3482=1,G3482,"")</f>
        <v>49.965</v>
      </c>
    </row>
    <row r="3483" customFormat="false" ht="15" hidden="false" customHeight="false" outlineLevel="0" collapsed="false">
      <c r="A3483" s="31" t="n">
        <v>42881.0416666667</v>
      </c>
      <c r="B3483" s="32" t="n">
        <v>48.118</v>
      </c>
      <c r="D3483" s="33" t="n">
        <f aca="false">WEEKDAY(A3483,2)</f>
        <v>5</v>
      </c>
      <c r="E3483" s="33" t="n">
        <f aca="false">HOUR(A3483)+MINUTE(A3483)/60</f>
        <v>1</v>
      </c>
      <c r="F3483" s="33" t="n">
        <f aca="false">IF(OR(D3483&gt;5,E3483&lt;8,E3483&gt;=18,COUNTIF($K$2:$K$10,INT(A3483))&gt;0),1,0)</f>
        <v>1</v>
      </c>
      <c r="G3483" s="34" t="n">
        <f aca="false">B3483/1</f>
        <v>48.118</v>
      </c>
      <c r="H3483" s="34" t="n">
        <f aca="false">IF(F3483=1,G3483,"")</f>
        <v>48.118</v>
      </c>
    </row>
    <row r="3484" customFormat="false" ht="15" hidden="false" customHeight="false" outlineLevel="0" collapsed="false">
      <c r="A3484" s="31" t="n">
        <v>42881.0833333333</v>
      </c>
      <c r="B3484" s="32" t="n">
        <v>48.018</v>
      </c>
      <c r="D3484" s="33" t="n">
        <f aca="false">WEEKDAY(A3484,2)</f>
        <v>5</v>
      </c>
      <c r="E3484" s="33" t="n">
        <f aca="false">HOUR(A3484)+MINUTE(A3484)/60</f>
        <v>2</v>
      </c>
      <c r="F3484" s="33" t="n">
        <f aca="false">IF(OR(D3484&gt;5,E3484&lt;8,E3484&gt;=18,COUNTIF($K$2:$K$10,INT(A3484))&gt;0),1,0)</f>
        <v>1</v>
      </c>
      <c r="G3484" s="34" t="n">
        <f aca="false">B3484/1</f>
        <v>48.018</v>
      </c>
      <c r="H3484" s="34" t="n">
        <f aca="false">IF(F3484=1,G3484,"")</f>
        <v>48.018</v>
      </c>
    </row>
    <row r="3485" customFormat="false" ht="15" hidden="false" customHeight="false" outlineLevel="0" collapsed="false">
      <c r="A3485" s="31" t="n">
        <v>42881.125</v>
      </c>
      <c r="B3485" s="32" t="n">
        <v>47.6</v>
      </c>
      <c r="D3485" s="33" t="n">
        <f aca="false">WEEKDAY(A3485,2)</f>
        <v>5</v>
      </c>
      <c r="E3485" s="33" t="n">
        <f aca="false">HOUR(A3485)+MINUTE(A3485)/60</f>
        <v>3</v>
      </c>
      <c r="F3485" s="33" t="n">
        <f aca="false">IF(OR(D3485&gt;5,E3485&lt;8,E3485&gt;=18,COUNTIF($K$2:$K$10,INT(A3485))&gt;0),1,0)</f>
        <v>1</v>
      </c>
      <c r="G3485" s="34" t="n">
        <f aca="false">B3485/1</f>
        <v>47.6</v>
      </c>
      <c r="H3485" s="34" t="n">
        <f aca="false">IF(F3485=1,G3485,"")</f>
        <v>47.6</v>
      </c>
    </row>
    <row r="3486" customFormat="false" ht="15" hidden="false" customHeight="false" outlineLevel="0" collapsed="false">
      <c r="A3486" s="31" t="n">
        <v>42881.1666666667</v>
      </c>
      <c r="B3486" s="32" t="n">
        <v>48.028</v>
      </c>
      <c r="D3486" s="33" t="n">
        <f aca="false">WEEKDAY(A3486,2)</f>
        <v>5</v>
      </c>
      <c r="E3486" s="33" t="n">
        <f aca="false">HOUR(A3486)+MINUTE(A3486)/60</f>
        <v>4</v>
      </c>
      <c r="F3486" s="33" t="n">
        <f aca="false">IF(OR(D3486&gt;5,E3486&lt;8,E3486&gt;=18,COUNTIF($K$2:$K$10,INT(A3486))&gt;0),1,0)</f>
        <v>1</v>
      </c>
      <c r="G3486" s="34" t="n">
        <f aca="false">B3486/1</f>
        <v>48.028</v>
      </c>
      <c r="H3486" s="34" t="n">
        <f aca="false">IF(F3486=1,G3486,"")</f>
        <v>48.028</v>
      </c>
    </row>
    <row r="3487" customFormat="false" ht="15" hidden="false" customHeight="false" outlineLevel="0" collapsed="false">
      <c r="A3487" s="31" t="n">
        <v>42881.2083333333</v>
      </c>
      <c r="B3487" s="32" t="n">
        <v>47.817</v>
      </c>
      <c r="D3487" s="33" t="n">
        <f aca="false">WEEKDAY(A3487,2)</f>
        <v>5</v>
      </c>
      <c r="E3487" s="33" t="n">
        <f aca="false">HOUR(A3487)+MINUTE(A3487)/60</f>
        <v>5</v>
      </c>
      <c r="F3487" s="33" t="n">
        <f aca="false">IF(OR(D3487&gt;5,E3487&lt;8,E3487&gt;=18,COUNTIF($K$2:$K$10,INT(A3487))&gt;0),1,0)</f>
        <v>1</v>
      </c>
      <c r="G3487" s="34" t="n">
        <f aca="false">B3487/1</f>
        <v>47.817</v>
      </c>
      <c r="H3487" s="34" t="n">
        <f aca="false">IF(F3487=1,G3487,"")</f>
        <v>47.817</v>
      </c>
    </row>
    <row r="3488" customFormat="false" ht="15" hidden="false" customHeight="false" outlineLevel="0" collapsed="false">
      <c r="A3488" s="31" t="n">
        <v>42881.25</v>
      </c>
      <c r="B3488" s="32" t="n">
        <v>48.63</v>
      </c>
      <c r="D3488" s="33" t="n">
        <f aca="false">WEEKDAY(A3488,2)</f>
        <v>5</v>
      </c>
      <c r="E3488" s="33" t="n">
        <f aca="false">HOUR(A3488)+MINUTE(A3488)/60</f>
        <v>6</v>
      </c>
      <c r="F3488" s="33" t="n">
        <f aca="false">IF(OR(D3488&gt;5,E3488&lt;8,E3488&gt;=18,COUNTIF($K$2:$K$10,INT(A3488))&gt;0),1,0)</f>
        <v>1</v>
      </c>
      <c r="G3488" s="34" t="n">
        <f aca="false">B3488/1</f>
        <v>48.63</v>
      </c>
      <c r="H3488" s="34" t="n">
        <f aca="false">IF(F3488=1,G3488,"")</f>
        <v>48.63</v>
      </c>
    </row>
    <row r="3489" customFormat="false" ht="15" hidden="false" customHeight="false" outlineLevel="0" collapsed="false">
      <c r="A3489" s="31" t="n">
        <v>42881.2916666667</v>
      </c>
      <c r="B3489" s="32" t="n">
        <v>53.491</v>
      </c>
      <c r="D3489" s="33" t="n">
        <f aca="false">WEEKDAY(A3489,2)</f>
        <v>5</v>
      </c>
      <c r="E3489" s="33" t="n">
        <f aca="false">HOUR(A3489)+MINUTE(A3489)/60</f>
        <v>7</v>
      </c>
      <c r="F3489" s="33" t="n">
        <f aca="false">IF(OR(D3489&gt;5,E3489&lt;8,E3489&gt;=18,COUNTIF($K$2:$K$10,INT(A3489))&gt;0),1,0)</f>
        <v>1</v>
      </c>
      <c r="G3489" s="34" t="n">
        <f aca="false">B3489/1</f>
        <v>53.491</v>
      </c>
      <c r="H3489" s="34" t="n">
        <f aca="false">IF(F3489=1,G3489,"")</f>
        <v>53.491</v>
      </c>
    </row>
    <row r="3490" customFormat="false" ht="15" hidden="false" customHeight="false" outlineLevel="0" collapsed="false">
      <c r="A3490" s="31" t="n">
        <v>42881.3333333333</v>
      </c>
      <c r="B3490" s="32" t="n">
        <v>150.286</v>
      </c>
      <c r="D3490" s="33" t="n">
        <f aca="false">WEEKDAY(A3490,2)</f>
        <v>5</v>
      </c>
      <c r="E3490" s="33" t="n">
        <f aca="false">HOUR(A3490)+MINUTE(A3490)/60</f>
        <v>8</v>
      </c>
      <c r="F3490" s="33" t="n">
        <f aca="false">IF(OR(D3490&gt;5,E3490&lt;8,E3490&gt;=18,COUNTIF($K$2:$K$10,INT(A3490))&gt;0),1,0)</f>
        <v>0</v>
      </c>
      <c r="G3490" s="34" t="n">
        <f aca="false">B3490/1</f>
        <v>150.286</v>
      </c>
      <c r="H3490" s="34" t="str">
        <f aca="false">IF(F3490=1,G3490,"")</f>
        <v/>
      </c>
    </row>
    <row r="3491" customFormat="false" ht="15" hidden="false" customHeight="false" outlineLevel="0" collapsed="false">
      <c r="A3491" s="31" t="n">
        <v>42881.375</v>
      </c>
      <c r="B3491" s="32" t="n">
        <v>179.035</v>
      </c>
      <c r="D3491" s="33" t="n">
        <f aca="false">WEEKDAY(A3491,2)</f>
        <v>5</v>
      </c>
      <c r="E3491" s="33" t="n">
        <f aca="false">HOUR(A3491)+MINUTE(A3491)/60</f>
        <v>9</v>
      </c>
      <c r="F3491" s="33" t="n">
        <f aca="false">IF(OR(D3491&gt;5,E3491&lt;8,E3491&gt;=18,COUNTIF($K$2:$K$10,INT(A3491))&gt;0),1,0)</f>
        <v>0</v>
      </c>
      <c r="G3491" s="34" t="n">
        <f aca="false">B3491/1</f>
        <v>179.035</v>
      </c>
      <c r="H3491" s="34" t="str">
        <f aca="false">IF(F3491=1,G3491,"")</f>
        <v/>
      </c>
    </row>
    <row r="3492" customFormat="false" ht="15" hidden="false" customHeight="false" outlineLevel="0" collapsed="false">
      <c r="A3492" s="31" t="n">
        <v>42881.4166666667</v>
      </c>
      <c r="B3492" s="32" t="n">
        <v>192.666</v>
      </c>
      <c r="D3492" s="33" t="n">
        <f aca="false">WEEKDAY(A3492,2)</f>
        <v>5</v>
      </c>
      <c r="E3492" s="33" t="n">
        <f aca="false">HOUR(A3492)+MINUTE(A3492)/60</f>
        <v>10</v>
      </c>
      <c r="F3492" s="33" t="n">
        <f aca="false">IF(OR(D3492&gt;5,E3492&lt;8,E3492&gt;=18,COUNTIF($K$2:$K$10,INT(A3492))&gt;0),1,0)</f>
        <v>0</v>
      </c>
      <c r="G3492" s="34" t="n">
        <f aca="false">B3492/1</f>
        <v>192.666</v>
      </c>
      <c r="H3492" s="34" t="str">
        <f aca="false">IF(F3492=1,G3492,"")</f>
        <v/>
      </c>
    </row>
    <row r="3493" customFormat="false" ht="15" hidden="false" customHeight="false" outlineLevel="0" collapsed="false">
      <c r="A3493" s="31" t="n">
        <v>42881.4583333333</v>
      </c>
      <c r="B3493" s="32" t="n">
        <v>197.95</v>
      </c>
      <c r="D3493" s="33" t="n">
        <f aca="false">WEEKDAY(A3493,2)</f>
        <v>5</v>
      </c>
      <c r="E3493" s="33" t="n">
        <f aca="false">HOUR(A3493)+MINUTE(A3493)/60</f>
        <v>11</v>
      </c>
      <c r="F3493" s="33" t="n">
        <f aca="false">IF(OR(D3493&gt;5,E3493&lt;8,E3493&gt;=18,COUNTIF($K$2:$K$10,INT(A3493))&gt;0),1,0)</f>
        <v>0</v>
      </c>
      <c r="G3493" s="34" t="n">
        <f aca="false">B3493/1</f>
        <v>197.95</v>
      </c>
      <c r="H3493" s="34" t="str">
        <f aca="false">IF(F3493=1,G3493,"")</f>
        <v/>
      </c>
    </row>
    <row r="3494" customFormat="false" ht="15" hidden="false" customHeight="false" outlineLevel="0" collapsed="false">
      <c r="A3494" s="31" t="n">
        <v>42881.5</v>
      </c>
      <c r="B3494" s="32" t="n">
        <v>197.633</v>
      </c>
      <c r="D3494" s="33" t="n">
        <f aca="false">WEEKDAY(A3494,2)</f>
        <v>5</v>
      </c>
      <c r="E3494" s="33" t="n">
        <f aca="false">HOUR(A3494)+MINUTE(A3494)/60</f>
        <v>12</v>
      </c>
      <c r="F3494" s="33" t="n">
        <f aca="false">IF(OR(D3494&gt;5,E3494&lt;8,E3494&gt;=18,COUNTIF($K$2:$K$10,INT(A3494))&gt;0),1,0)</f>
        <v>0</v>
      </c>
      <c r="G3494" s="34" t="n">
        <f aca="false">B3494/1</f>
        <v>197.633</v>
      </c>
      <c r="H3494" s="34" t="str">
        <f aca="false">IF(F3494=1,G3494,"")</f>
        <v/>
      </c>
    </row>
    <row r="3495" customFormat="false" ht="15" hidden="false" customHeight="false" outlineLevel="0" collapsed="false">
      <c r="A3495" s="31" t="n">
        <v>42881.5416666667</v>
      </c>
      <c r="B3495" s="32" t="n">
        <v>194.812</v>
      </c>
      <c r="D3495" s="33" t="n">
        <f aca="false">WEEKDAY(A3495,2)</f>
        <v>5</v>
      </c>
      <c r="E3495" s="33" t="n">
        <f aca="false">HOUR(A3495)+MINUTE(A3495)/60</f>
        <v>13</v>
      </c>
      <c r="F3495" s="33" t="n">
        <f aca="false">IF(OR(D3495&gt;5,E3495&lt;8,E3495&gt;=18,COUNTIF($K$2:$K$10,INT(A3495))&gt;0),1,0)</f>
        <v>0</v>
      </c>
      <c r="G3495" s="34" t="n">
        <f aca="false">B3495/1</f>
        <v>194.812</v>
      </c>
      <c r="H3495" s="34" t="str">
        <f aca="false">IF(F3495=1,G3495,"")</f>
        <v/>
      </c>
    </row>
    <row r="3496" customFormat="false" ht="15" hidden="false" customHeight="false" outlineLevel="0" collapsed="false">
      <c r="A3496" s="31" t="n">
        <v>42881.5833333333</v>
      </c>
      <c r="B3496" s="32" t="n">
        <v>196.371</v>
      </c>
      <c r="D3496" s="33" t="n">
        <f aca="false">WEEKDAY(A3496,2)</f>
        <v>5</v>
      </c>
      <c r="E3496" s="33" t="n">
        <f aca="false">HOUR(A3496)+MINUTE(A3496)/60</f>
        <v>14</v>
      </c>
      <c r="F3496" s="33" t="n">
        <f aca="false">IF(OR(D3496&gt;5,E3496&lt;8,E3496&gt;=18,COUNTIF($K$2:$K$10,INT(A3496))&gt;0),1,0)</f>
        <v>0</v>
      </c>
      <c r="G3496" s="34" t="n">
        <f aca="false">B3496/1</f>
        <v>196.371</v>
      </c>
      <c r="H3496" s="34" t="str">
        <f aca="false">IF(F3496=1,G3496,"")</f>
        <v/>
      </c>
    </row>
    <row r="3497" customFormat="false" ht="15" hidden="false" customHeight="false" outlineLevel="0" collapsed="false">
      <c r="A3497" s="31" t="n">
        <v>42881.625</v>
      </c>
      <c r="B3497" s="32" t="n">
        <v>192.608</v>
      </c>
      <c r="D3497" s="33" t="n">
        <f aca="false">WEEKDAY(A3497,2)</f>
        <v>5</v>
      </c>
      <c r="E3497" s="33" t="n">
        <f aca="false">HOUR(A3497)+MINUTE(A3497)/60</f>
        <v>15</v>
      </c>
      <c r="F3497" s="33" t="n">
        <f aca="false">IF(OR(D3497&gt;5,E3497&lt;8,E3497&gt;=18,COUNTIF($K$2:$K$10,INT(A3497))&gt;0),1,0)</f>
        <v>0</v>
      </c>
      <c r="G3497" s="34" t="n">
        <f aca="false">B3497/1</f>
        <v>192.608</v>
      </c>
      <c r="H3497" s="34" t="str">
        <f aca="false">IF(F3497=1,G3497,"")</f>
        <v/>
      </c>
    </row>
    <row r="3498" customFormat="false" ht="15" hidden="false" customHeight="false" outlineLevel="0" collapsed="false">
      <c r="A3498" s="31" t="n">
        <v>42881.6666666667</v>
      </c>
      <c r="B3498" s="32" t="n">
        <v>186.205</v>
      </c>
      <c r="D3498" s="33" t="n">
        <f aca="false">WEEKDAY(A3498,2)</f>
        <v>5</v>
      </c>
      <c r="E3498" s="33" t="n">
        <f aca="false">HOUR(A3498)+MINUTE(A3498)/60</f>
        <v>16</v>
      </c>
      <c r="F3498" s="33" t="n">
        <f aca="false">IF(OR(D3498&gt;5,E3498&lt;8,E3498&gt;=18,COUNTIF($K$2:$K$10,INT(A3498))&gt;0),1,0)</f>
        <v>0</v>
      </c>
      <c r="G3498" s="34" t="n">
        <f aca="false">B3498/1</f>
        <v>186.205</v>
      </c>
      <c r="H3498" s="34" t="str">
        <f aca="false">IF(F3498=1,G3498,"")</f>
        <v/>
      </c>
    </row>
    <row r="3499" customFormat="false" ht="15" hidden="false" customHeight="false" outlineLevel="0" collapsed="false">
      <c r="A3499" s="31" t="n">
        <v>42881.7083333333</v>
      </c>
      <c r="B3499" s="32" t="n">
        <v>170.846</v>
      </c>
      <c r="D3499" s="33" t="n">
        <f aca="false">WEEKDAY(A3499,2)</f>
        <v>5</v>
      </c>
      <c r="E3499" s="33" t="n">
        <f aca="false">HOUR(A3499)+MINUTE(A3499)/60</f>
        <v>17</v>
      </c>
      <c r="F3499" s="33" t="n">
        <f aca="false">IF(OR(D3499&gt;5,E3499&lt;8,E3499&gt;=18,COUNTIF($K$2:$K$10,INT(A3499))&gt;0),1,0)</f>
        <v>0</v>
      </c>
      <c r="G3499" s="34" t="n">
        <f aca="false">B3499/1</f>
        <v>170.846</v>
      </c>
      <c r="H3499" s="34" t="str">
        <f aca="false">IF(F3499=1,G3499,"")</f>
        <v/>
      </c>
    </row>
    <row r="3500" customFormat="false" ht="15" hidden="false" customHeight="false" outlineLevel="0" collapsed="false">
      <c r="A3500" s="31" t="n">
        <v>42881.75</v>
      </c>
      <c r="B3500" s="32" t="n">
        <v>165.594</v>
      </c>
      <c r="D3500" s="33" t="n">
        <f aca="false">WEEKDAY(A3500,2)</f>
        <v>5</v>
      </c>
      <c r="E3500" s="33" t="n">
        <f aca="false">HOUR(A3500)+MINUTE(A3500)/60</f>
        <v>18</v>
      </c>
      <c r="F3500" s="33" t="n">
        <f aca="false">IF(OR(D3500&gt;5,E3500&lt;8,E3500&gt;=18,COUNTIF($K$2:$K$10,INT(A3500))&gt;0),1,0)</f>
        <v>1</v>
      </c>
      <c r="G3500" s="34" t="n">
        <f aca="false">B3500/1</f>
        <v>165.594</v>
      </c>
      <c r="H3500" s="34" t="n">
        <f aca="false">IF(F3500=1,G3500,"")</f>
        <v>165.594</v>
      </c>
    </row>
    <row r="3501" customFormat="false" ht="15" hidden="false" customHeight="false" outlineLevel="0" collapsed="false">
      <c r="A3501" s="31" t="n">
        <v>42881.7916666667</v>
      </c>
      <c r="B3501" s="32" t="n">
        <v>162.141</v>
      </c>
      <c r="D3501" s="33" t="n">
        <f aca="false">WEEKDAY(A3501,2)</f>
        <v>5</v>
      </c>
      <c r="E3501" s="33" t="n">
        <f aca="false">HOUR(A3501)+MINUTE(A3501)/60</f>
        <v>19</v>
      </c>
      <c r="F3501" s="33" t="n">
        <f aca="false">IF(OR(D3501&gt;5,E3501&lt;8,E3501&gt;=18,COUNTIF($K$2:$K$10,INT(A3501))&gt;0),1,0)</f>
        <v>1</v>
      </c>
      <c r="G3501" s="34" t="n">
        <f aca="false">B3501/1</f>
        <v>162.141</v>
      </c>
      <c r="H3501" s="34" t="n">
        <f aca="false">IF(F3501=1,G3501,"")</f>
        <v>162.141</v>
      </c>
    </row>
    <row r="3502" customFormat="false" ht="15" hidden="false" customHeight="false" outlineLevel="0" collapsed="false">
      <c r="A3502" s="31" t="n">
        <v>42881.8333333333</v>
      </c>
      <c r="B3502" s="32" t="n">
        <v>160.626</v>
      </c>
      <c r="D3502" s="33" t="n">
        <f aca="false">WEEKDAY(A3502,2)</f>
        <v>5</v>
      </c>
      <c r="E3502" s="33" t="n">
        <f aca="false">HOUR(A3502)+MINUTE(A3502)/60</f>
        <v>20</v>
      </c>
      <c r="F3502" s="33" t="n">
        <f aca="false">IF(OR(D3502&gt;5,E3502&lt;8,E3502&gt;=18,COUNTIF($K$2:$K$10,INT(A3502))&gt;0),1,0)</f>
        <v>1</v>
      </c>
      <c r="G3502" s="34" t="n">
        <f aca="false">B3502/1</f>
        <v>160.626</v>
      </c>
      <c r="H3502" s="34" t="n">
        <f aca="false">IF(F3502=1,G3502,"")</f>
        <v>160.626</v>
      </c>
    </row>
    <row r="3503" customFormat="false" ht="15" hidden="false" customHeight="false" outlineLevel="0" collapsed="false">
      <c r="A3503" s="31" t="n">
        <v>42881.875</v>
      </c>
      <c r="B3503" s="32" t="n">
        <v>158.371</v>
      </c>
      <c r="D3503" s="33" t="n">
        <f aca="false">WEEKDAY(A3503,2)</f>
        <v>5</v>
      </c>
      <c r="E3503" s="33" t="n">
        <f aca="false">HOUR(A3503)+MINUTE(A3503)/60</f>
        <v>21</v>
      </c>
      <c r="F3503" s="33" t="n">
        <f aca="false">IF(OR(D3503&gt;5,E3503&lt;8,E3503&gt;=18,COUNTIF($K$2:$K$10,INT(A3503))&gt;0),1,0)</f>
        <v>1</v>
      </c>
      <c r="G3503" s="34" t="n">
        <f aca="false">B3503/1</f>
        <v>158.371</v>
      </c>
      <c r="H3503" s="34" t="n">
        <f aca="false">IF(F3503=1,G3503,"")</f>
        <v>158.371</v>
      </c>
    </row>
    <row r="3504" customFormat="false" ht="15" hidden="false" customHeight="false" outlineLevel="0" collapsed="false">
      <c r="A3504" s="31" t="n">
        <v>42881.9166666667</v>
      </c>
      <c r="B3504" s="32" t="n">
        <v>108.22</v>
      </c>
      <c r="D3504" s="33" t="n">
        <f aca="false">WEEKDAY(A3504,2)</f>
        <v>5</v>
      </c>
      <c r="E3504" s="33" t="n">
        <f aca="false">HOUR(A3504)+MINUTE(A3504)/60</f>
        <v>22</v>
      </c>
      <c r="F3504" s="33" t="n">
        <f aca="false">IF(OR(D3504&gt;5,E3504&lt;8,E3504&gt;=18,COUNTIF($K$2:$K$10,INT(A3504))&gt;0),1,0)</f>
        <v>1</v>
      </c>
      <c r="G3504" s="34" t="n">
        <f aca="false">B3504/1</f>
        <v>108.22</v>
      </c>
      <c r="H3504" s="34" t="n">
        <f aca="false">IF(F3504=1,G3504,"")</f>
        <v>108.22</v>
      </c>
    </row>
    <row r="3505" customFormat="false" ht="15" hidden="false" customHeight="false" outlineLevel="0" collapsed="false">
      <c r="A3505" s="31" t="n">
        <v>42881.9583333333</v>
      </c>
      <c r="B3505" s="32" t="n">
        <v>49.042</v>
      </c>
      <c r="D3505" s="33" t="n">
        <f aca="false">WEEKDAY(A3505,2)</f>
        <v>5</v>
      </c>
      <c r="E3505" s="33" t="n">
        <f aca="false">HOUR(A3505)+MINUTE(A3505)/60</f>
        <v>23</v>
      </c>
      <c r="F3505" s="33" t="n">
        <f aca="false">IF(OR(D3505&gt;5,E3505&lt;8,E3505&gt;=18,COUNTIF($K$2:$K$10,INT(A3505))&gt;0),1,0)</f>
        <v>1</v>
      </c>
      <c r="G3505" s="34" t="n">
        <f aca="false">B3505/1</f>
        <v>49.042</v>
      </c>
      <c r="H3505" s="34" t="n">
        <f aca="false">IF(F3505=1,G3505,"")</f>
        <v>49.042</v>
      </c>
    </row>
    <row r="3506" customFormat="false" ht="15" hidden="false" customHeight="false" outlineLevel="0" collapsed="false">
      <c r="A3506" s="31" t="n">
        <v>42882</v>
      </c>
      <c r="B3506" s="32" t="n">
        <v>48.495</v>
      </c>
      <c r="D3506" s="33" t="n">
        <f aca="false">WEEKDAY(A3506,2)</f>
        <v>6</v>
      </c>
      <c r="E3506" s="33" t="n">
        <f aca="false">HOUR(A3506)+MINUTE(A3506)/60</f>
        <v>0</v>
      </c>
      <c r="F3506" s="33" t="n">
        <f aca="false">IF(OR(D3506&gt;5,E3506&lt;8,E3506&gt;=18,COUNTIF($K$2:$K$10,INT(A3506))&gt;0),1,0)</f>
        <v>1</v>
      </c>
      <c r="G3506" s="34" t="n">
        <f aca="false">B3506/1</f>
        <v>48.495</v>
      </c>
      <c r="H3506" s="34" t="n">
        <f aca="false">IF(F3506=1,G3506,"")</f>
        <v>48.495</v>
      </c>
    </row>
    <row r="3507" customFormat="false" ht="15" hidden="false" customHeight="false" outlineLevel="0" collapsed="false">
      <c r="A3507" s="31" t="n">
        <v>42882.0416666667</v>
      </c>
      <c r="B3507" s="32" t="n">
        <v>48.614</v>
      </c>
      <c r="D3507" s="33" t="n">
        <f aca="false">WEEKDAY(A3507,2)</f>
        <v>6</v>
      </c>
      <c r="E3507" s="33" t="n">
        <f aca="false">HOUR(A3507)+MINUTE(A3507)/60</f>
        <v>1</v>
      </c>
      <c r="F3507" s="33" t="n">
        <f aca="false">IF(OR(D3507&gt;5,E3507&lt;8,E3507&gt;=18,COUNTIF($K$2:$K$10,INT(A3507))&gt;0),1,0)</f>
        <v>1</v>
      </c>
      <c r="G3507" s="34" t="n">
        <f aca="false">B3507/1</f>
        <v>48.614</v>
      </c>
      <c r="H3507" s="34" t="n">
        <f aca="false">IF(F3507=1,G3507,"")</f>
        <v>48.614</v>
      </c>
    </row>
    <row r="3508" customFormat="false" ht="15" hidden="false" customHeight="false" outlineLevel="0" collapsed="false">
      <c r="A3508" s="31" t="n">
        <v>42882.0833333333</v>
      </c>
      <c r="B3508" s="32" t="n">
        <v>48.807</v>
      </c>
      <c r="D3508" s="33" t="n">
        <f aca="false">WEEKDAY(A3508,2)</f>
        <v>6</v>
      </c>
      <c r="E3508" s="33" t="n">
        <f aca="false">HOUR(A3508)+MINUTE(A3508)/60</f>
        <v>2</v>
      </c>
      <c r="F3508" s="33" t="n">
        <f aca="false">IF(OR(D3508&gt;5,E3508&lt;8,E3508&gt;=18,COUNTIF($K$2:$K$10,INT(A3508))&gt;0),1,0)</f>
        <v>1</v>
      </c>
      <c r="G3508" s="34" t="n">
        <f aca="false">B3508/1</f>
        <v>48.807</v>
      </c>
      <c r="H3508" s="34" t="n">
        <f aca="false">IF(F3508=1,G3508,"")</f>
        <v>48.807</v>
      </c>
    </row>
    <row r="3509" customFormat="false" ht="15" hidden="false" customHeight="false" outlineLevel="0" collapsed="false">
      <c r="A3509" s="31" t="n">
        <v>42882.125</v>
      </c>
      <c r="B3509" s="32" t="n">
        <v>49.49</v>
      </c>
      <c r="D3509" s="33" t="n">
        <f aca="false">WEEKDAY(A3509,2)</f>
        <v>6</v>
      </c>
      <c r="E3509" s="33" t="n">
        <f aca="false">HOUR(A3509)+MINUTE(A3509)/60</f>
        <v>3</v>
      </c>
      <c r="F3509" s="33" t="n">
        <f aca="false">IF(OR(D3509&gt;5,E3509&lt;8,E3509&gt;=18,COUNTIF($K$2:$K$10,INT(A3509))&gt;0),1,0)</f>
        <v>1</v>
      </c>
      <c r="G3509" s="34" t="n">
        <f aca="false">B3509/1</f>
        <v>49.49</v>
      </c>
      <c r="H3509" s="34" t="n">
        <f aca="false">IF(F3509=1,G3509,"")</f>
        <v>49.49</v>
      </c>
    </row>
    <row r="3510" customFormat="false" ht="15" hidden="false" customHeight="false" outlineLevel="0" collapsed="false">
      <c r="A3510" s="31" t="n">
        <v>42882.1666666667</v>
      </c>
      <c r="B3510" s="32" t="n">
        <v>47.499</v>
      </c>
      <c r="D3510" s="33" t="n">
        <f aca="false">WEEKDAY(A3510,2)</f>
        <v>6</v>
      </c>
      <c r="E3510" s="33" t="n">
        <f aca="false">HOUR(A3510)+MINUTE(A3510)/60</f>
        <v>4</v>
      </c>
      <c r="F3510" s="33" t="n">
        <f aca="false">IF(OR(D3510&gt;5,E3510&lt;8,E3510&gt;=18,COUNTIF($K$2:$K$10,INT(A3510))&gt;0),1,0)</f>
        <v>1</v>
      </c>
      <c r="G3510" s="34" t="n">
        <f aca="false">B3510/1</f>
        <v>47.499</v>
      </c>
      <c r="H3510" s="34" t="n">
        <f aca="false">IF(F3510=1,G3510,"")</f>
        <v>47.499</v>
      </c>
    </row>
    <row r="3511" customFormat="false" ht="15" hidden="false" customHeight="false" outlineLevel="0" collapsed="false">
      <c r="A3511" s="31" t="n">
        <v>42882.2083333333</v>
      </c>
      <c r="B3511" s="32" t="n">
        <v>46.997</v>
      </c>
      <c r="D3511" s="33" t="n">
        <f aca="false">WEEKDAY(A3511,2)</f>
        <v>6</v>
      </c>
      <c r="E3511" s="33" t="n">
        <f aca="false">HOUR(A3511)+MINUTE(A3511)/60</f>
        <v>5</v>
      </c>
      <c r="F3511" s="33" t="n">
        <f aca="false">IF(OR(D3511&gt;5,E3511&lt;8,E3511&gt;=18,COUNTIF($K$2:$K$10,INT(A3511))&gt;0),1,0)</f>
        <v>1</v>
      </c>
      <c r="G3511" s="34" t="n">
        <f aca="false">B3511/1</f>
        <v>46.997</v>
      </c>
      <c r="H3511" s="34" t="n">
        <f aca="false">IF(F3511=1,G3511,"")</f>
        <v>46.997</v>
      </c>
    </row>
    <row r="3512" customFormat="false" ht="15" hidden="false" customHeight="false" outlineLevel="0" collapsed="false">
      <c r="A3512" s="31" t="n">
        <v>42882.25</v>
      </c>
      <c r="B3512" s="32" t="n">
        <v>48.07</v>
      </c>
      <c r="D3512" s="33" t="n">
        <f aca="false">WEEKDAY(A3512,2)</f>
        <v>6</v>
      </c>
      <c r="E3512" s="33" t="n">
        <f aca="false">HOUR(A3512)+MINUTE(A3512)/60</f>
        <v>6</v>
      </c>
      <c r="F3512" s="33" t="n">
        <f aca="false">IF(OR(D3512&gt;5,E3512&lt;8,E3512&gt;=18,COUNTIF($K$2:$K$10,INT(A3512))&gt;0),1,0)</f>
        <v>1</v>
      </c>
      <c r="G3512" s="34" t="n">
        <f aca="false">B3512/1</f>
        <v>48.07</v>
      </c>
      <c r="H3512" s="34" t="n">
        <f aca="false">IF(F3512=1,G3512,"")</f>
        <v>48.07</v>
      </c>
    </row>
    <row r="3513" customFormat="false" ht="15" hidden="false" customHeight="false" outlineLevel="0" collapsed="false">
      <c r="A3513" s="31" t="n">
        <v>42882.2916666667</v>
      </c>
      <c r="B3513" s="32" t="n">
        <v>44.844</v>
      </c>
      <c r="D3513" s="33" t="n">
        <f aca="false">WEEKDAY(A3513,2)</f>
        <v>6</v>
      </c>
      <c r="E3513" s="33" t="n">
        <f aca="false">HOUR(A3513)+MINUTE(A3513)/60</f>
        <v>7</v>
      </c>
      <c r="F3513" s="33" t="n">
        <f aca="false">IF(OR(D3513&gt;5,E3513&lt;8,E3513&gt;=18,COUNTIF($K$2:$K$10,INT(A3513))&gt;0),1,0)</f>
        <v>1</v>
      </c>
      <c r="G3513" s="34" t="n">
        <f aca="false">B3513/1</f>
        <v>44.844</v>
      </c>
      <c r="H3513" s="34" t="n">
        <f aca="false">IF(F3513=1,G3513,"")</f>
        <v>44.844</v>
      </c>
    </row>
    <row r="3514" customFormat="false" ht="15" hidden="false" customHeight="false" outlineLevel="0" collapsed="false">
      <c r="A3514" s="31" t="n">
        <v>42882.3333333333</v>
      </c>
      <c r="B3514" s="32" t="n">
        <v>112.077</v>
      </c>
      <c r="D3514" s="33" t="n">
        <f aca="false">WEEKDAY(A3514,2)</f>
        <v>6</v>
      </c>
      <c r="E3514" s="33" t="n">
        <f aca="false">HOUR(A3514)+MINUTE(A3514)/60</f>
        <v>8</v>
      </c>
      <c r="F3514" s="33" t="n">
        <f aca="false">IF(OR(D3514&gt;5,E3514&lt;8,E3514&gt;=18,COUNTIF($K$2:$K$10,INT(A3514))&gt;0),1,0)</f>
        <v>1</v>
      </c>
      <c r="G3514" s="34" t="n">
        <f aca="false">B3514/1</f>
        <v>112.077</v>
      </c>
      <c r="H3514" s="34" t="n">
        <f aca="false">IF(F3514=1,G3514,"")</f>
        <v>112.077</v>
      </c>
    </row>
    <row r="3515" customFormat="false" ht="15" hidden="false" customHeight="false" outlineLevel="0" collapsed="false">
      <c r="A3515" s="31" t="n">
        <v>42882.375</v>
      </c>
      <c r="B3515" s="32" t="n">
        <v>147.557</v>
      </c>
      <c r="D3515" s="33" t="n">
        <f aca="false">WEEKDAY(A3515,2)</f>
        <v>6</v>
      </c>
      <c r="E3515" s="33" t="n">
        <f aca="false">HOUR(A3515)+MINUTE(A3515)/60</f>
        <v>9</v>
      </c>
      <c r="F3515" s="33" t="n">
        <f aca="false">IF(OR(D3515&gt;5,E3515&lt;8,E3515&gt;=18,COUNTIF($K$2:$K$10,INT(A3515))&gt;0),1,0)</f>
        <v>1</v>
      </c>
      <c r="G3515" s="34" t="n">
        <f aca="false">B3515/1</f>
        <v>147.557</v>
      </c>
      <c r="H3515" s="34" t="n">
        <f aca="false">IF(F3515=1,G3515,"")</f>
        <v>147.557</v>
      </c>
    </row>
    <row r="3516" customFormat="false" ht="15" hidden="false" customHeight="false" outlineLevel="0" collapsed="false">
      <c r="A3516" s="31" t="n">
        <v>42882.4166666667</v>
      </c>
      <c r="B3516" s="32" t="n">
        <v>150.253</v>
      </c>
      <c r="D3516" s="33" t="n">
        <f aca="false">WEEKDAY(A3516,2)</f>
        <v>6</v>
      </c>
      <c r="E3516" s="33" t="n">
        <f aca="false">HOUR(A3516)+MINUTE(A3516)/60</f>
        <v>10</v>
      </c>
      <c r="F3516" s="33" t="n">
        <f aca="false">IF(OR(D3516&gt;5,E3516&lt;8,E3516&gt;=18,COUNTIF($K$2:$K$10,INT(A3516))&gt;0),1,0)</f>
        <v>1</v>
      </c>
      <c r="G3516" s="34" t="n">
        <f aca="false">B3516/1</f>
        <v>150.253</v>
      </c>
      <c r="H3516" s="34" t="n">
        <f aca="false">IF(F3516=1,G3516,"")</f>
        <v>150.253</v>
      </c>
    </row>
    <row r="3517" customFormat="false" ht="15" hidden="false" customHeight="false" outlineLevel="0" collapsed="false">
      <c r="A3517" s="31" t="n">
        <v>42882.4583333333</v>
      </c>
      <c r="B3517" s="32" t="n">
        <v>156.331</v>
      </c>
      <c r="D3517" s="33" t="n">
        <f aca="false">WEEKDAY(A3517,2)</f>
        <v>6</v>
      </c>
      <c r="E3517" s="33" t="n">
        <f aca="false">HOUR(A3517)+MINUTE(A3517)/60</f>
        <v>11</v>
      </c>
      <c r="F3517" s="33" t="n">
        <f aca="false">IF(OR(D3517&gt;5,E3517&lt;8,E3517&gt;=18,COUNTIF($K$2:$K$10,INT(A3517))&gt;0),1,0)</f>
        <v>1</v>
      </c>
      <c r="G3517" s="34" t="n">
        <f aca="false">B3517/1</f>
        <v>156.331</v>
      </c>
      <c r="H3517" s="34" t="n">
        <f aca="false">IF(F3517=1,G3517,"")</f>
        <v>156.331</v>
      </c>
    </row>
    <row r="3518" customFormat="false" ht="15" hidden="false" customHeight="false" outlineLevel="0" collapsed="false">
      <c r="A3518" s="31" t="n">
        <v>42882.5</v>
      </c>
      <c r="B3518" s="32" t="n">
        <v>152.14</v>
      </c>
      <c r="D3518" s="33" t="n">
        <f aca="false">WEEKDAY(A3518,2)</f>
        <v>6</v>
      </c>
      <c r="E3518" s="33" t="n">
        <f aca="false">HOUR(A3518)+MINUTE(A3518)/60</f>
        <v>12</v>
      </c>
      <c r="F3518" s="33" t="n">
        <f aca="false">IF(OR(D3518&gt;5,E3518&lt;8,E3518&gt;=18,COUNTIF($K$2:$K$10,INT(A3518))&gt;0),1,0)</f>
        <v>1</v>
      </c>
      <c r="G3518" s="34" t="n">
        <f aca="false">B3518/1</f>
        <v>152.14</v>
      </c>
      <c r="H3518" s="34" t="n">
        <f aca="false">IF(F3518=1,G3518,"")</f>
        <v>152.14</v>
      </c>
    </row>
    <row r="3519" customFormat="false" ht="15" hidden="false" customHeight="false" outlineLevel="0" collapsed="false">
      <c r="A3519" s="31" t="n">
        <v>42882.5416666667</v>
      </c>
      <c r="B3519" s="32" t="n">
        <v>155.575</v>
      </c>
      <c r="D3519" s="33" t="n">
        <f aca="false">WEEKDAY(A3519,2)</f>
        <v>6</v>
      </c>
      <c r="E3519" s="33" t="n">
        <f aca="false">HOUR(A3519)+MINUTE(A3519)/60</f>
        <v>13</v>
      </c>
      <c r="F3519" s="33" t="n">
        <f aca="false">IF(OR(D3519&gt;5,E3519&lt;8,E3519&gt;=18,COUNTIF($K$2:$K$10,INT(A3519))&gt;0),1,0)</f>
        <v>1</v>
      </c>
      <c r="G3519" s="34" t="n">
        <f aca="false">B3519/1</f>
        <v>155.575</v>
      </c>
      <c r="H3519" s="34" t="n">
        <f aca="false">IF(F3519=1,G3519,"")</f>
        <v>155.575</v>
      </c>
    </row>
    <row r="3520" customFormat="false" ht="15" hidden="false" customHeight="false" outlineLevel="0" collapsed="false">
      <c r="A3520" s="31" t="n">
        <v>42882.5833333333</v>
      </c>
      <c r="B3520" s="32" t="n">
        <v>157.423</v>
      </c>
      <c r="D3520" s="33" t="n">
        <f aca="false">WEEKDAY(A3520,2)</f>
        <v>6</v>
      </c>
      <c r="E3520" s="33" t="n">
        <f aca="false">HOUR(A3520)+MINUTE(A3520)/60</f>
        <v>14</v>
      </c>
      <c r="F3520" s="33" t="n">
        <f aca="false">IF(OR(D3520&gt;5,E3520&lt;8,E3520&gt;=18,COUNTIF($K$2:$K$10,INT(A3520))&gt;0),1,0)</f>
        <v>1</v>
      </c>
      <c r="G3520" s="34" t="n">
        <f aca="false">B3520/1</f>
        <v>157.423</v>
      </c>
      <c r="H3520" s="34" t="n">
        <f aca="false">IF(F3520=1,G3520,"")</f>
        <v>157.423</v>
      </c>
    </row>
    <row r="3521" customFormat="false" ht="15" hidden="false" customHeight="false" outlineLevel="0" collapsed="false">
      <c r="A3521" s="31" t="n">
        <v>42882.625</v>
      </c>
      <c r="B3521" s="32" t="n">
        <v>152.602</v>
      </c>
      <c r="D3521" s="33" t="n">
        <f aca="false">WEEKDAY(A3521,2)</f>
        <v>6</v>
      </c>
      <c r="E3521" s="33" t="n">
        <f aca="false">HOUR(A3521)+MINUTE(A3521)/60</f>
        <v>15</v>
      </c>
      <c r="F3521" s="33" t="n">
        <f aca="false">IF(OR(D3521&gt;5,E3521&lt;8,E3521&gt;=18,COUNTIF($K$2:$K$10,INT(A3521))&gt;0),1,0)</f>
        <v>1</v>
      </c>
      <c r="G3521" s="34" t="n">
        <f aca="false">B3521/1</f>
        <v>152.602</v>
      </c>
      <c r="H3521" s="34" t="n">
        <f aca="false">IF(F3521=1,G3521,"")</f>
        <v>152.602</v>
      </c>
    </row>
    <row r="3522" customFormat="false" ht="15" hidden="false" customHeight="false" outlineLevel="0" collapsed="false">
      <c r="A3522" s="31" t="n">
        <v>42882.6666666667</v>
      </c>
      <c r="B3522" s="32" t="n">
        <v>155.43</v>
      </c>
      <c r="D3522" s="33" t="n">
        <f aca="false">WEEKDAY(A3522,2)</f>
        <v>6</v>
      </c>
      <c r="E3522" s="33" t="n">
        <f aca="false">HOUR(A3522)+MINUTE(A3522)/60</f>
        <v>16</v>
      </c>
      <c r="F3522" s="33" t="n">
        <f aca="false">IF(OR(D3522&gt;5,E3522&lt;8,E3522&gt;=18,COUNTIF($K$2:$K$10,INT(A3522))&gt;0),1,0)</f>
        <v>1</v>
      </c>
      <c r="G3522" s="34" t="n">
        <f aca="false">B3522/1</f>
        <v>155.43</v>
      </c>
      <c r="H3522" s="34" t="n">
        <f aca="false">IF(F3522=1,G3522,"")</f>
        <v>155.43</v>
      </c>
    </row>
    <row r="3523" customFormat="false" ht="15" hidden="false" customHeight="false" outlineLevel="0" collapsed="false">
      <c r="A3523" s="31" t="n">
        <v>42882.7083333333</v>
      </c>
      <c r="B3523" s="32" t="n">
        <v>146.6</v>
      </c>
      <c r="D3523" s="33" t="n">
        <f aca="false">WEEKDAY(A3523,2)</f>
        <v>6</v>
      </c>
      <c r="E3523" s="33" t="n">
        <f aca="false">HOUR(A3523)+MINUTE(A3523)/60</f>
        <v>17</v>
      </c>
      <c r="F3523" s="33" t="n">
        <f aca="false">IF(OR(D3523&gt;5,E3523&lt;8,E3523&gt;=18,COUNTIF($K$2:$K$10,INT(A3523))&gt;0),1,0)</f>
        <v>1</v>
      </c>
      <c r="G3523" s="34" t="n">
        <f aca="false">B3523/1</f>
        <v>146.6</v>
      </c>
      <c r="H3523" s="34" t="n">
        <f aca="false">IF(F3523=1,G3523,"")</f>
        <v>146.6</v>
      </c>
    </row>
    <row r="3524" customFormat="false" ht="15" hidden="false" customHeight="false" outlineLevel="0" collapsed="false">
      <c r="A3524" s="31" t="n">
        <v>42882.75</v>
      </c>
      <c r="B3524" s="32" t="n">
        <v>67.744</v>
      </c>
      <c r="D3524" s="33" t="n">
        <f aca="false">WEEKDAY(A3524,2)</f>
        <v>6</v>
      </c>
      <c r="E3524" s="33" t="n">
        <f aca="false">HOUR(A3524)+MINUTE(A3524)/60</f>
        <v>18</v>
      </c>
      <c r="F3524" s="33" t="n">
        <f aca="false">IF(OR(D3524&gt;5,E3524&lt;8,E3524&gt;=18,COUNTIF($K$2:$K$10,INT(A3524))&gt;0),1,0)</f>
        <v>1</v>
      </c>
      <c r="G3524" s="34" t="n">
        <f aca="false">B3524/1</f>
        <v>67.744</v>
      </c>
      <c r="H3524" s="34" t="n">
        <f aca="false">IF(F3524=1,G3524,"")</f>
        <v>67.744</v>
      </c>
    </row>
    <row r="3525" customFormat="false" ht="15" hidden="false" customHeight="false" outlineLevel="0" collapsed="false">
      <c r="A3525" s="31" t="n">
        <v>42882.7916666667</v>
      </c>
      <c r="B3525" s="32" t="n">
        <v>45.777</v>
      </c>
      <c r="D3525" s="33" t="n">
        <f aca="false">WEEKDAY(A3525,2)</f>
        <v>6</v>
      </c>
      <c r="E3525" s="33" t="n">
        <f aca="false">HOUR(A3525)+MINUTE(A3525)/60</f>
        <v>19</v>
      </c>
      <c r="F3525" s="33" t="n">
        <f aca="false">IF(OR(D3525&gt;5,E3525&lt;8,E3525&gt;=18,COUNTIF($K$2:$K$10,INT(A3525))&gt;0),1,0)</f>
        <v>1</v>
      </c>
      <c r="G3525" s="34" t="n">
        <f aca="false">B3525/1</f>
        <v>45.777</v>
      </c>
      <c r="H3525" s="34" t="n">
        <f aca="false">IF(F3525=1,G3525,"")</f>
        <v>45.777</v>
      </c>
    </row>
    <row r="3526" customFormat="false" ht="15" hidden="false" customHeight="false" outlineLevel="0" collapsed="false">
      <c r="A3526" s="31" t="n">
        <v>42882.8333333333</v>
      </c>
      <c r="B3526" s="32" t="n">
        <v>44.916</v>
      </c>
      <c r="D3526" s="33" t="n">
        <f aca="false">WEEKDAY(A3526,2)</f>
        <v>6</v>
      </c>
      <c r="E3526" s="33" t="n">
        <f aca="false">HOUR(A3526)+MINUTE(A3526)/60</f>
        <v>20</v>
      </c>
      <c r="F3526" s="33" t="n">
        <f aca="false">IF(OR(D3526&gt;5,E3526&lt;8,E3526&gt;=18,COUNTIF($K$2:$K$10,INT(A3526))&gt;0),1,0)</f>
        <v>1</v>
      </c>
      <c r="G3526" s="34" t="n">
        <f aca="false">B3526/1</f>
        <v>44.916</v>
      </c>
      <c r="H3526" s="34" t="n">
        <f aca="false">IF(F3526=1,G3526,"")</f>
        <v>44.916</v>
      </c>
    </row>
    <row r="3527" customFormat="false" ht="15" hidden="false" customHeight="false" outlineLevel="0" collapsed="false">
      <c r="A3527" s="31" t="n">
        <v>42882.875</v>
      </c>
      <c r="B3527" s="32" t="n">
        <v>45.549</v>
      </c>
      <c r="D3527" s="33" t="n">
        <f aca="false">WEEKDAY(A3527,2)</f>
        <v>6</v>
      </c>
      <c r="E3527" s="33" t="n">
        <f aca="false">HOUR(A3527)+MINUTE(A3527)/60</f>
        <v>21</v>
      </c>
      <c r="F3527" s="33" t="n">
        <f aca="false">IF(OR(D3527&gt;5,E3527&lt;8,E3527&gt;=18,COUNTIF($K$2:$K$10,INT(A3527))&gt;0),1,0)</f>
        <v>1</v>
      </c>
      <c r="G3527" s="34" t="n">
        <f aca="false">B3527/1</f>
        <v>45.549</v>
      </c>
      <c r="H3527" s="34" t="n">
        <f aca="false">IF(F3527=1,G3527,"")</f>
        <v>45.549</v>
      </c>
    </row>
    <row r="3528" customFormat="false" ht="15" hidden="false" customHeight="false" outlineLevel="0" collapsed="false">
      <c r="A3528" s="31" t="n">
        <v>42882.9166666667</v>
      </c>
      <c r="B3528" s="32" t="n">
        <v>48.143</v>
      </c>
      <c r="D3528" s="33" t="n">
        <f aca="false">WEEKDAY(A3528,2)</f>
        <v>6</v>
      </c>
      <c r="E3528" s="33" t="n">
        <f aca="false">HOUR(A3528)+MINUTE(A3528)/60</f>
        <v>22</v>
      </c>
      <c r="F3528" s="33" t="n">
        <f aca="false">IF(OR(D3528&gt;5,E3528&lt;8,E3528&gt;=18,COUNTIF($K$2:$K$10,INT(A3528))&gt;0),1,0)</f>
        <v>1</v>
      </c>
      <c r="G3528" s="34" t="n">
        <f aca="false">B3528/1</f>
        <v>48.143</v>
      </c>
      <c r="H3528" s="34" t="n">
        <f aca="false">IF(F3528=1,G3528,"")</f>
        <v>48.143</v>
      </c>
    </row>
    <row r="3529" customFormat="false" ht="15" hidden="false" customHeight="false" outlineLevel="0" collapsed="false">
      <c r="A3529" s="31" t="n">
        <v>42882.9583333333</v>
      </c>
      <c r="B3529" s="32" t="n">
        <v>47.734</v>
      </c>
      <c r="D3529" s="33" t="n">
        <f aca="false">WEEKDAY(A3529,2)</f>
        <v>6</v>
      </c>
      <c r="E3529" s="33" t="n">
        <f aca="false">HOUR(A3529)+MINUTE(A3529)/60</f>
        <v>23</v>
      </c>
      <c r="F3529" s="33" t="n">
        <f aca="false">IF(OR(D3529&gt;5,E3529&lt;8,E3529&gt;=18,COUNTIF($K$2:$K$10,INT(A3529))&gt;0),1,0)</f>
        <v>1</v>
      </c>
      <c r="G3529" s="34" t="n">
        <f aca="false">B3529/1</f>
        <v>47.734</v>
      </c>
      <c r="H3529" s="34" t="n">
        <f aca="false">IF(F3529=1,G3529,"")</f>
        <v>47.734</v>
      </c>
    </row>
    <row r="3530" customFormat="false" ht="15" hidden="false" customHeight="false" outlineLevel="0" collapsed="false">
      <c r="A3530" s="31" t="n">
        <v>42883</v>
      </c>
      <c r="B3530" s="32" t="n">
        <v>47.34</v>
      </c>
      <c r="D3530" s="33" t="n">
        <f aca="false">WEEKDAY(A3530,2)</f>
        <v>7</v>
      </c>
      <c r="E3530" s="33" t="n">
        <f aca="false">HOUR(A3530)+MINUTE(A3530)/60</f>
        <v>0</v>
      </c>
      <c r="F3530" s="33" t="n">
        <f aca="false">IF(OR(D3530&gt;5,E3530&lt;8,E3530&gt;=18,COUNTIF($K$2:$K$10,INT(A3530))&gt;0),1,0)</f>
        <v>1</v>
      </c>
      <c r="G3530" s="34" t="n">
        <f aca="false">B3530/1</f>
        <v>47.34</v>
      </c>
      <c r="H3530" s="34" t="n">
        <f aca="false">IF(F3530=1,G3530,"")</f>
        <v>47.34</v>
      </c>
    </row>
    <row r="3531" customFormat="false" ht="15" hidden="false" customHeight="false" outlineLevel="0" collapsed="false">
      <c r="A3531" s="31" t="n">
        <v>42883.0416666667</v>
      </c>
      <c r="B3531" s="32" t="n">
        <v>47.543</v>
      </c>
      <c r="D3531" s="33" t="n">
        <f aca="false">WEEKDAY(A3531,2)</f>
        <v>7</v>
      </c>
      <c r="E3531" s="33" t="n">
        <f aca="false">HOUR(A3531)+MINUTE(A3531)/60</f>
        <v>1</v>
      </c>
      <c r="F3531" s="33" t="n">
        <f aca="false">IF(OR(D3531&gt;5,E3531&lt;8,E3531&gt;=18,COUNTIF($K$2:$K$10,INT(A3531))&gt;0),1,0)</f>
        <v>1</v>
      </c>
      <c r="G3531" s="34" t="n">
        <f aca="false">B3531/1</f>
        <v>47.543</v>
      </c>
      <c r="H3531" s="34" t="n">
        <f aca="false">IF(F3531=1,G3531,"")</f>
        <v>47.543</v>
      </c>
    </row>
    <row r="3532" customFormat="false" ht="15" hidden="false" customHeight="false" outlineLevel="0" collapsed="false">
      <c r="A3532" s="31" t="n">
        <v>42883.0833333333</v>
      </c>
      <c r="B3532" s="32" t="n">
        <v>47.57</v>
      </c>
      <c r="D3532" s="33" t="n">
        <f aca="false">WEEKDAY(A3532,2)</f>
        <v>7</v>
      </c>
      <c r="E3532" s="33" t="n">
        <f aca="false">HOUR(A3532)+MINUTE(A3532)/60</f>
        <v>2</v>
      </c>
      <c r="F3532" s="33" t="n">
        <f aca="false">IF(OR(D3532&gt;5,E3532&lt;8,E3532&gt;=18,COUNTIF($K$2:$K$10,INT(A3532))&gt;0),1,0)</f>
        <v>1</v>
      </c>
      <c r="G3532" s="34" t="n">
        <f aca="false">B3532/1</f>
        <v>47.57</v>
      </c>
      <c r="H3532" s="34" t="n">
        <f aca="false">IF(F3532=1,G3532,"")</f>
        <v>47.57</v>
      </c>
    </row>
    <row r="3533" customFormat="false" ht="15" hidden="false" customHeight="false" outlineLevel="0" collapsed="false">
      <c r="A3533" s="31" t="n">
        <v>42883.125</v>
      </c>
      <c r="B3533" s="32" t="n">
        <v>47.157</v>
      </c>
      <c r="D3533" s="33" t="n">
        <f aca="false">WEEKDAY(A3533,2)</f>
        <v>7</v>
      </c>
      <c r="E3533" s="33" t="n">
        <f aca="false">HOUR(A3533)+MINUTE(A3533)/60</f>
        <v>3</v>
      </c>
      <c r="F3533" s="33" t="n">
        <f aca="false">IF(OR(D3533&gt;5,E3533&lt;8,E3533&gt;=18,COUNTIF($K$2:$K$10,INT(A3533))&gt;0),1,0)</f>
        <v>1</v>
      </c>
      <c r="G3533" s="34" t="n">
        <f aca="false">B3533/1</f>
        <v>47.157</v>
      </c>
      <c r="H3533" s="34" t="n">
        <f aca="false">IF(F3533=1,G3533,"")</f>
        <v>47.157</v>
      </c>
    </row>
    <row r="3534" customFormat="false" ht="15" hidden="false" customHeight="false" outlineLevel="0" collapsed="false">
      <c r="A3534" s="31" t="n">
        <v>42883.1666666667</v>
      </c>
      <c r="B3534" s="32" t="n">
        <v>47.527</v>
      </c>
      <c r="D3534" s="33" t="n">
        <f aca="false">WEEKDAY(A3534,2)</f>
        <v>7</v>
      </c>
      <c r="E3534" s="33" t="n">
        <f aca="false">HOUR(A3534)+MINUTE(A3534)/60</f>
        <v>4</v>
      </c>
      <c r="F3534" s="33" t="n">
        <f aca="false">IF(OR(D3534&gt;5,E3534&lt;8,E3534&gt;=18,COUNTIF($K$2:$K$10,INT(A3534))&gt;0),1,0)</f>
        <v>1</v>
      </c>
      <c r="G3534" s="34" t="n">
        <f aca="false">B3534/1</f>
        <v>47.527</v>
      </c>
      <c r="H3534" s="34" t="n">
        <f aca="false">IF(F3534=1,G3534,"")</f>
        <v>47.527</v>
      </c>
    </row>
    <row r="3535" customFormat="false" ht="15" hidden="false" customHeight="false" outlineLevel="0" collapsed="false">
      <c r="A3535" s="31" t="n">
        <v>42883.2083333333</v>
      </c>
      <c r="B3535" s="32" t="n">
        <v>47.021</v>
      </c>
      <c r="D3535" s="33" t="n">
        <f aca="false">WEEKDAY(A3535,2)</f>
        <v>7</v>
      </c>
      <c r="E3535" s="33" t="n">
        <f aca="false">HOUR(A3535)+MINUTE(A3535)/60</f>
        <v>5</v>
      </c>
      <c r="F3535" s="33" t="n">
        <f aca="false">IF(OR(D3535&gt;5,E3535&lt;8,E3535&gt;=18,COUNTIF($K$2:$K$10,INT(A3535))&gt;0),1,0)</f>
        <v>1</v>
      </c>
      <c r="G3535" s="34" t="n">
        <f aca="false">B3535/1</f>
        <v>47.021</v>
      </c>
      <c r="H3535" s="34" t="n">
        <f aca="false">IF(F3535=1,G3535,"")</f>
        <v>47.021</v>
      </c>
    </row>
    <row r="3536" customFormat="false" ht="15" hidden="false" customHeight="false" outlineLevel="0" collapsed="false">
      <c r="A3536" s="31" t="n">
        <v>42883.25</v>
      </c>
      <c r="B3536" s="32" t="n">
        <v>47.191</v>
      </c>
      <c r="D3536" s="33" t="n">
        <f aca="false">WEEKDAY(A3536,2)</f>
        <v>7</v>
      </c>
      <c r="E3536" s="33" t="n">
        <f aca="false">HOUR(A3536)+MINUTE(A3536)/60</f>
        <v>6</v>
      </c>
      <c r="F3536" s="33" t="n">
        <f aca="false">IF(OR(D3536&gt;5,E3536&lt;8,E3536&gt;=18,COUNTIF($K$2:$K$10,INT(A3536))&gt;0),1,0)</f>
        <v>1</v>
      </c>
      <c r="G3536" s="34" t="n">
        <f aca="false">B3536/1</f>
        <v>47.191</v>
      </c>
      <c r="H3536" s="34" t="n">
        <f aca="false">IF(F3536=1,G3536,"")</f>
        <v>47.191</v>
      </c>
    </row>
    <row r="3537" customFormat="false" ht="15" hidden="false" customHeight="false" outlineLevel="0" collapsed="false">
      <c r="A3537" s="31" t="n">
        <v>42883.2916666667</v>
      </c>
      <c r="B3537" s="32" t="n">
        <v>45.216</v>
      </c>
      <c r="D3537" s="33" t="n">
        <f aca="false">WEEKDAY(A3537,2)</f>
        <v>7</v>
      </c>
      <c r="E3537" s="33" t="n">
        <f aca="false">HOUR(A3537)+MINUTE(A3537)/60</f>
        <v>7</v>
      </c>
      <c r="F3537" s="33" t="n">
        <f aca="false">IF(OR(D3537&gt;5,E3537&lt;8,E3537&gt;=18,COUNTIF($K$2:$K$10,INT(A3537))&gt;0),1,0)</f>
        <v>1</v>
      </c>
      <c r="G3537" s="34" t="n">
        <f aca="false">B3537/1</f>
        <v>45.216</v>
      </c>
      <c r="H3537" s="34" t="n">
        <f aca="false">IF(F3537=1,G3537,"")</f>
        <v>45.216</v>
      </c>
    </row>
    <row r="3538" customFormat="false" ht="15" hidden="false" customHeight="false" outlineLevel="0" collapsed="false">
      <c r="A3538" s="31" t="n">
        <v>42883.3333333333</v>
      </c>
      <c r="B3538" s="32" t="n">
        <v>44.653</v>
      </c>
      <c r="D3538" s="33" t="n">
        <f aca="false">WEEKDAY(A3538,2)</f>
        <v>7</v>
      </c>
      <c r="E3538" s="33" t="n">
        <f aca="false">HOUR(A3538)+MINUTE(A3538)/60</f>
        <v>8</v>
      </c>
      <c r="F3538" s="33" t="n">
        <f aca="false">IF(OR(D3538&gt;5,E3538&lt;8,E3538&gt;=18,COUNTIF($K$2:$K$10,INT(A3538))&gt;0),1,0)</f>
        <v>1</v>
      </c>
      <c r="G3538" s="34" t="n">
        <f aca="false">B3538/1</f>
        <v>44.653</v>
      </c>
      <c r="H3538" s="34" t="n">
        <f aca="false">IF(F3538=1,G3538,"")</f>
        <v>44.653</v>
      </c>
    </row>
    <row r="3539" customFormat="false" ht="15" hidden="false" customHeight="false" outlineLevel="0" collapsed="false">
      <c r="A3539" s="31" t="n">
        <v>42883.375</v>
      </c>
      <c r="B3539" s="32" t="n">
        <v>45.337</v>
      </c>
      <c r="D3539" s="33" t="n">
        <f aca="false">WEEKDAY(A3539,2)</f>
        <v>7</v>
      </c>
      <c r="E3539" s="33" t="n">
        <f aca="false">HOUR(A3539)+MINUTE(A3539)/60</f>
        <v>9</v>
      </c>
      <c r="F3539" s="33" t="n">
        <f aca="false">IF(OR(D3539&gt;5,E3539&lt;8,E3539&gt;=18,COUNTIF($K$2:$K$10,INT(A3539))&gt;0),1,0)</f>
        <v>1</v>
      </c>
      <c r="G3539" s="34" t="n">
        <f aca="false">B3539/1</f>
        <v>45.337</v>
      </c>
      <c r="H3539" s="34" t="n">
        <f aca="false">IF(F3539=1,G3539,"")</f>
        <v>45.337</v>
      </c>
    </row>
    <row r="3540" customFormat="false" ht="15" hidden="false" customHeight="false" outlineLevel="0" collapsed="false">
      <c r="A3540" s="31" t="n">
        <v>42883.4166666667</v>
      </c>
      <c r="B3540" s="32" t="n">
        <v>49.952</v>
      </c>
      <c r="D3540" s="33" t="n">
        <f aca="false">WEEKDAY(A3540,2)</f>
        <v>7</v>
      </c>
      <c r="E3540" s="33" t="n">
        <f aca="false">HOUR(A3540)+MINUTE(A3540)/60</f>
        <v>10</v>
      </c>
      <c r="F3540" s="33" t="n">
        <f aca="false">IF(OR(D3540&gt;5,E3540&lt;8,E3540&gt;=18,COUNTIF($K$2:$K$10,INT(A3540))&gt;0),1,0)</f>
        <v>1</v>
      </c>
      <c r="G3540" s="34" t="n">
        <f aca="false">B3540/1</f>
        <v>49.952</v>
      </c>
      <c r="H3540" s="34" t="n">
        <f aca="false">IF(F3540=1,G3540,"")</f>
        <v>49.952</v>
      </c>
    </row>
    <row r="3541" customFormat="false" ht="15" hidden="false" customHeight="false" outlineLevel="0" collapsed="false">
      <c r="A3541" s="31" t="n">
        <v>42883.4583333333</v>
      </c>
      <c r="B3541" s="32" t="n">
        <v>49.705</v>
      </c>
      <c r="D3541" s="33" t="n">
        <f aca="false">WEEKDAY(A3541,2)</f>
        <v>7</v>
      </c>
      <c r="E3541" s="33" t="n">
        <f aca="false">HOUR(A3541)+MINUTE(A3541)/60</f>
        <v>11</v>
      </c>
      <c r="F3541" s="33" t="n">
        <f aca="false">IF(OR(D3541&gt;5,E3541&lt;8,E3541&gt;=18,COUNTIF($K$2:$K$10,INT(A3541))&gt;0),1,0)</f>
        <v>1</v>
      </c>
      <c r="G3541" s="34" t="n">
        <f aca="false">B3541/1</f>
        <v>49.705</v>
      </c>
      <c r="H3541" s="34" t="n">
        <f aca="false">IF(F3541=1,G3541,"")</f>
        <v>49.705</v>
      </c>
    </row>
    <row r="3542" customFormat="false" ht="15" hidden="false" customHeight="false" outlineLevel="0" collapsed="false">
      <c r="A3542" s="31" t="n">
        <v>42883.5</v>
      </c>
      <c r="B3542" s="32" t="n">
        <v>46.405</v>
      </c>
      <c r="D3542" s="33" t="n">
        <f aca="false">WEEKDAY(A3542,2)</f>
        <v>7</v>
      </c>
      <c r="E3542" s="33" t="n">
        <f aca="false">HOUR(A3542)+MINUTE(A3542)/60</f>
        <v>12</v>
      </c>
      <c r="F3542" s="33" t="n">
        <f aca="false">IF(OR(D3542&gt;5,E3542&lt;8,E3542&gt;=18,COUNTIF($K$2:$K$10,INT(A3542))&gt;0),1,0)</f>
        <v>1</v>
      </c>
      <c r="G3542" s="34" t="n">
        <f aca="false">B3542/1</f>
        <v>46.405</v>
      </c>
      <c r="H3542" s="34" t="n">
        <f aca="false">IF(F3542=1,G3542,"")</f>
        <v>46.405</v>
      </c>
    </row>
    <row r="3543" customFormat="false" ht="15" hidden="false" customHeight="false" outlineLevel="0" collapsed="false">
      <c r="A3543" s="31" t="n">
        <v>42883.5416666667</v>
      </c>
      <c r="B3543" s="32" t="n">
        <v>99.091</v>
      </c>
      <c r="D3543" s="33" t="n">
        <f aca="false">WEEKDAY(A3543,2)</f>
        <v>7</v>
      </c>
      <c r="E3543" s="33" t="n">
        <f aca="false">HOUR(A3543)+MINUTE(A3543)/60</f>
        <v>13</v>
      </c>
      <c r="F3543" s="33" t="n">
        <f aca="false">IF(OR(D3543&gt;5,E3543&lt;8,E3543&gt;=18,COUNTIF($K$2:$K$10,INT(A3543))&gt;0),1,0)</f>
        <v>1</v>
      </c>
      <c r="G3543" s="34" t="n">
        <f aca="false">B3543/1</f>
        <v>99.091</v>
      </c>
      <c r="H3543" s="34" t="n">
        <f aca="false">IF(F3543=1,G3543,"")</f>
        <v>99.091</v>
      </c>
    </row>
    <row r="3544" customFormat="false" ht="15" hidden="false" customHeight="false" outlineLevel="0" collapsed="false">
      <c r="A3544" s="31" t="n">
        <v>42883.5833333333</v>
      </c>
      <c r="B3544" s="32" t="n">
        <v>123.418</v>
      </c>
      <c r="D3544" s="33" t="n">
        <f aca="false">WEEKDAY(A3544,2)</f>
        <v>7</v>
      </c>
      <c r="E3544" s="33" t="n">
        <f aca="false">HOUR(A3544)+MINUTE(A3544)/60</f>
        <v>14</v>
      </c>
      <c r="F3544" s="33" t="n">
        <f aca="false">IF(OR(D3544&gt;5,E3544&lt;8,E3544&gt;=18,COUNTIF($K$2:$K$10,INT(A3544))&gt;0),1,0)</f>
        <v>1</v>
      </c>
      <c r="G3544" s="34" t="n">
        <f aca="false">B3544/1</f>
        <v>123.418</v>
      </c>
      <c r="H3544" s="34" t="n">
        <f aca="false">IF(F3544=1,G3544,"")</f>
        <v>123.418</v>
      </c>
    </row>
    <row r="3545" customFormat="false" ht="15" hidden="false" customHeight="false" outlineLevel="0" collapsed="false">
      <c r="A3545" s="31" t="n">
        <v>42883.625</v>
      </c>
      <c r="B3545" s="32" t="n">
        <v>125.34</v>
      </c>
      <c r="D3545" s="33" t="n">
        <f aca="false">WEEKDAY(A3545,2)</f>
        <v>7</v>
      </c>
      <c r="E3545" s="33" t="n">
        <f aca="false">HOUR(A3545)+MINUTE(A3545)/60</f>
        <v>15</v>
      </c>
      <c r="F3545" s="33" t="n">
        <f aca="false">IF(OR(D3545&gt;5,E3545&lt;8,E3545&gt;=18,COUNTIF($K$2:$K$10,INT(A3545))&gt;0),1,0)</f>
        <v>1</v>
      </c>
      <c r="G3545" s="34" t="n">
        <f aca="false">B3545/1</f>
        <v>125.34</v>
      </c>
      <c r="H3545" s="34" t="n">
        <f aca="false">IF(F3545=1,G3545,"")</f>
        <v>125.34</v>
      </c>
    </row>
    <row r="3546" customFormat="false" ht="15" hidden="false" customHeight="false" outlineLevel="0" collapsed="false">
      <c r="A3546" s="31" t="n">
        <v>42883.6666666667</v>
      </c>
      <c r="B3546" s="32" t="n">
        <v>126.442</v>
      </c>
      <c r="D3546" s="33" t="n">
        <f aca="false">WEEKDAY(A3546,2)</f>
        <v>7</v>
      </c>
      <c r="E3546" s="33" t="n">
        <f aca="false">HOUR(A3546)+MINUTE(A3546)/60</f>
        <v>16</v>
      </c>
      <c r="F3546" s="33" t="n">
        <f aca="false">IF(OR(D3546&gt;5,E3546&lt;8,E3546&gt;=18,COUNTIF($K$2:$K$10,INT(A3546))&gt;0),1,0)</f>
        <v>1</v>
      </c>
      <c r="G3546" s="34" t="n">
        <f aca="false">B3546/1</f>
        <v>126.442</v>
      </c>
      <c r="H3546" s="34" t="n">
        <f aca="false">IF(F3546=1,G3546,"")</f>
        <v>126.442</v>
      </c>
    </row>
    <row r="3547" customFormat="false" ht="15" hidden="false" customHeight="false" outlineLevel="0" collapsed="false">
      <c r="A3547" s="31" t="n">
        <v>42883.7083333333</v>
      </c>
      <c r="B3547" s="32" t="n">
        <v>125.319</v>
      </c>
      <c r="D3547" s="33" t="n">
        <f aca="false">WEEKDAY(A3547,2)</f>
        <v>7</v>
      </c>
      <c r="E3547" s="33" t="n">
        <f aca="false">HOUR(A3547)+MINUTE(A3547)/60</f>
        <v>17</v>
      </c>
      <c r="F3547" s="33" t="n">
        <f aca="false">IF(OR(D3547&gt;5,E3547&lt;8,E3547&gt;=18,COUNTIF($K$2:$K$10,INT(A3547))&gt;0),1,0)</f>
        <v>1</v>
      </c>
      <c r="G3547" s="34" t="n">
        <f aca="false">B3547/1</f>
        <v>125.319</v>
      </c>
      <c r="H3547" s="34" t="n">
        <f aca="false">IF(F3547=1,G3547,"")</f>
        <v>125.319</v>
      </c>
    </row>
    <row r="3548" customFormat="false" ht="15" hidden="false" customHeight="false" outlineLevel="0" collapsed="false">
      <c r="A3548" s="31" t="n">
        <v>42883.75</v>
      </c>
      <c r="B3548" s="32" t="n">
        <v>55.508</v>
      </c>
      <c r="D3548" s="33" t="n">
        <f aca="false">WEEKDAY(A3548,2)</f>
        <v>7</v>
      </c>
      <c r="E3548" s="33" t="n">
        <f aca="false">HOUR(A3548)+MINUTE(A3548)/60</f>
        <v>18</v>
      </c>
      <c r="F3548" s="33" t="n">
        <f aca="false">IF(OR(D3548&gt;5,E3548&lt;8,E3548&gt;=18,COUNTIF($K$2:$K$10,INT(A3548))&gt;0),1,0)</f>
        <v>1</v>
      </c>
      <c r="G3548" s="34" t="n">
        <f aca="false">B3548/1</f>
        <v>55.508</v>
      </c>
      <c r="H3548" s="34" t="n">
        <f aca="false">IF(F3548=1,G3548,"")</f>
        <v>55.508</v>
      </c>
    </row>
    <row r="3549" customFormat="false" ht="15" hidden="false" customHeight="false" outlineLevel="0" collapsed="false">
      <c r="A3549" s="31" t="n">
        <v>42883.7916666667</v>
      </c>
      <c r="B3549" s="32" t="n">
        <v>46.854</v>
      </c>
      <c r="D3549" s="33" t="n">
        <f aca="false">WEEKDAY(A3549,2)</f>
        <v>7</v>
      </c>
      <c r="E3549" s="33" t="n">
        <f aca="false">HOUR(A3549)+MINUTE(A3549)/60</f>
        <v>19</v>
      </c>
      <c r="F3549" s="33" t="n">
        <f aca="false">IF(OR(D3549&gt;5,E3549&lt;8,E3549&gt;=18,COUNTIF($K$2:$K$10,INT(A3549))&gt;0),1,0)</f>
        <v>1</v>
      </c>
      <c r="G3549" s="34" t="n">
        <f aca="false">B3549/1</f>
        <v>46.854</v>
      </c>
      <c r="H3549" s="34" t="n">
        <f aca="false">IF(F3549=1,G3549,"")</f>
        <v>46.854</v>
      </c>
    </row>
    <row r="3550" customFormat="false" ht="15" hidden="false" customHeight="false" outlineLevel="0" collapsed="false">
      <c r="A3550" s="31" t="n">
        <v>42883.8333333333</v>
      </c>
      <c r="B3550" s="32" t="n">
        <v>50.623</v>
      </c>
      <c r="D3550" s="33" t="n">
        <f aca="false">WEEKDAY(A3550,2)</f>
        <v>7</v>
      </c>
      <c r="E3550" s="33" t="n">
        <f aca="false">HOUR(A3550)+MINUTE(A3550)/60</f>
        <v>20</v>
      </c>
      <c r="F3550" s="33" t="n">
        <f aca="false">IF(OR(D3550&gt;5,E3550&lt;8,E3550&gt;=18,COUNTIF($K$2:$K$10,INT(A3550))&gt;0),1,0)</f>
        <v>1</v>
      </c>
      <c r="G3550" s="34" t="n">
        <f aca="false">B3550/1</f>
        <v>50.623</v>
      </c>
      <c r="H3550" s="34" t="n">
        <f aca="false">IF(F3550=1,G3550,"")</f>
        <v>50.623</v>
      </c>
    </row>
    <row r="3551" customFormat="false" ht="15" hidden="false" customHeight="false" outlineLevel="0" collapsed="false">
      <c r="A3551" s="31" t="n">
        <v>42883.875</v>
      </c>
      <c r="B3551" s="32" t="n">
        <v>46.023</v>
      </c>
      <c r="D3551" s="33" t="n">
        <f aca="false">WEEKDAY(A3551,2)</f>
        <v>7</v>
      </c>
      <c r="E3551" s="33" t="n">
        <f aca="false">HOUR(A3551)+MINUTE(A3551)/60</f>
        <v>21</v>
      </c>
      <c r="F3551" s="33" t="n">
        <f aca="false">IF(OR(D3551&gt;5,E3551&lt;8,E3551&gt;=18,COUNTIF($K$2:$K$10,INT(A3551))&gt;0),1,0)</f>
        <v>1</v>
      </c>
      <c r="G3551" s="34" t="n">
        <f aca="false">B3551/1</f>
        <v>46.023</v>
      </c>
      <c r="H3551" s="34" t="n">
        <f aca="false">IF(F3551=1,G3551,"")</f>
        <v>46.023</v>
      </c>
    </row>
    <row r="3552" customFormat="false" ht="15" hidden="false" customHeight="false" outlineLevel="0" collapsed="false">
      <c r="A3552" s="31" t="n">
        <v>42883.9166666667</v>
      </c>
      <c r="B3552" s="32" t="n">
        <v>48.672</v>
      </c>
      <c r="D3552" s="33" t="n">
        <f aca="false">WEEKDAY(A3552,2)</f>
        <v>7</v>
      </c>
      <c r="E3552" s="33" t="n">
        <f aca="false">HOUR(A3552)+MINUTE(A3552)/60</f>
        <v>22</v>
      </c>
      <c r="F3552" s="33" t="n">
        <f aca="false">IF(OR(D3552&gt;5,E3552&lt;8,E3552&gt;=18,COUNTIF($K$2:$K$10,INT(A3552))&gt;0),1,0)</f>
        <v>1</v>
      </c>
      <c r="G3552" s="34" t="n">
        <f aca="false">B3552/1</f>
        <v>48.672</v>
      </c>
      <c r="H3552" s="34" t="n">
        <f aca="false">IF(F3552=1,G3552,"")</f>
        <v>48.672</v>
      </c>
    </row>
    <row r="3553" customFormat="false" ht="15" hidden="false" customHeight="false" outlineLevel="0" collapsed="false">
      <c r="A3553" s="31" t="n">
        <v>42883.9583333333</v>
      </c>
      <c r="B3553" s="32" t="n">
        <v>48.653</v>
      </c>
      <c r="D3553" s="33" t="n">
        <f aca="false">WEEKDAY(A3553,2)</f>
        <v>7</v>
      </c>
      <c r="E3553" s="33" t="n">
        <f aca="false">HOUR(A3553)+MINUTE(A3553)/60</f>
        <v>23</v>
      </c>
      <c r="F3553" s="33" t="n">
        <f aca="false">IF(OR(D3553&gt;5,E3553&lt;8,E3553&gt;=18,COUNTIF($K$2:$K$10,INT(A3553))&gt;0),1,0)</f>
        <v>1</v>
      </c>
      <c r="G3553" s="34" t="n">
        <f aca="false">B3553/1</f>
        <v>48.653</v>
      </c>
      <c r="H3553" s="34" t="n">
        <f aca="false">IF(F3553=1,G3553,"")</f>
        <v>48.653</v>
      </c>
    </row>
    <row r="3554" customFormat="false" ht="15" hidden="false" customHeight="false" outlineLevel="0" collapsed="false">
      <c r="A3554" s="31" t="n">
        <v>42884</v>
      </c>
      <c r="B3554" s="32" t="n">
        <v>48.535</v>
      </c>
      <c r="D3554" s="33" t="n">
        <f aca="false">WEEKDAY(A3554,2)</f>
        <v>1</v>
      </c>
      <c r="E3554" s="33" t="n">
        <f aca="false">HOUR(A3554)+MINUTE(A3554)/60</f>
        <v>0</v>
      </c>
      <c r="F3554" s="33" t="n">
        <f aca="false">IF(OR(D3554&gt;5,E3554&lt;8,E3554&gt;=18,COUNTIF($K$2:$K$10,INT(A3554))&gt;0),1,0)</f>
        <v>1</v>
      </c>
      <c r="G3554" s="34" t="n">
        <f aca="false">B3554/1</f>
        <v>48.535</v>
      </c>
      <c r="H3554" s="34" t="n">
        <f aca="false">IF(F3554=1,G3554,"")</f>
        <v>48.535</v>
      </c>
    </row>
    <row r="3555" customFormat="false" ht="15" hidden="false" customHeight="false" outlineLevel="0" collapsed="false">
      <c r="A3555" s="31" t="n">
        <v>42884.0416666667</v>
      </c>
      <c r="B3555" s="32" t="n">
        <v>47.488</v>
      </c>
      <c r="D3555" s="33" t="n">
        <f aca="false">WEEKDAY(A3555,2)</f>
        <v>1</v>
      </c>
      <c r="E3555" s="33" t="n">
        <f aca="false">HOUR(A3555)+MINUTE(A3555)/60</f>
        <v>1</v>
      </c>
      <c r="F3555" s="33" t="n">
        <f aca="false">IF(OR(D3555&gt;5,E3555&lt;8,E3555&gt;=18,COUNTIF($K$2:$K$10,INT(A3555))&gt;0),1,0)</f>
        <v>1</v>
      </c>
      <c r="G3555" s="34" t="n">
        <f aca="false">B3555/1</f>
        <v>47.488</v>
      </c>
      <c r="H3555" s="34" t="n">
        <f aca="false">IF(F3555=1,G3555,"")</f>
        <v>47.488</v>
      </c>
    </row>
    <row r="3556" customFormat="false" ht="15" hidden="false" customHeight="false" outlineLevel="0" collapsed="false">
      <c r="A3556" s="31" t="n">
        <v>42884.0833333333</v>
      </c>
      <c r="B3556" s="32" t="n">
        <v>47.435</v>
      </c>
      <c r="D3556" s="33" t="n">
        <f aca="false">WEEKDAY(A3556,2)</f>
        <v>1</v>
      </c>
      <c r="E3556" s="33" t="n">
        <f aca="false">HOUR(A3556)+MINUTE(A3556)/60</f>
        <v>2</v>
      </c>
      <c r="F3556" s="33" t="n">
        <f aca="false">IF(OR(D3556&gt;5,E3556&lt;8,E3556&gt;=18,COUNTIF($K$2:$K$10,INT(A3556))&gt;0),1,0)</f>
        <v>1</v>
      </c>
      <c r="G3556" s="34" t="n">
        <f aca="false">B3556/1</f>
        <v>47.435</v>
      </c>
      <c r="H3556" s="34" t="n">
        <f aca="false">IF(F3556=1,G3556,"")</f>
        <v>47.435</v>
      </c>
    </row>
    <row r="3557" customFormat="false" ht="15" hidden="false" customHeight="false" outlineLevel="0" collapsed="false">
      <c r="A3557" s="31" t="n">
        <v>42884.125</v>
      </c>
      <c r="B3557" s="32" t="n">
        <v>47.628</v>
      </c>
      <c r="D3557" s="33" t="n">
        <f aca="false">WEEKDAY(A3557,2)</f>
        <v>1</v>
      </c>
      <c r="E3557" s="33" t="n">
        <f aca="false">HOUR(A3557)+MINUTE(A3557)/60</f>
        <v>3</v>
      </c>
      <c r="F3557" s="33" t="n">
        <f aca="false">IF(OR(D3557&gt;5,E3557&lt;8,E3557&gt;=18,COUNTIF($K$2:$K$10,INT(A3557))&gt;0),1,0)</f>
        <v>1</v>
      </c>
      <c r="G3557" s="34" t="n">
        <f aca="false">B3557/1</f>
        <v>47.628</v>
      </c>
      <c r="H3557" s="34" t="n">
        <f aca="false">IF(F3557=1,G3557,"")</f>
        <v>47.628</v>
      </c>
    </row>
    <row r="3558" customFormat="false" ht="15" hidden="false" customHeight="false" outlineLevel="0" collapsed="false">
      <c r="A3558" s="31" t="n">
        <v>42884.1666666667</v>
      </c>
      <c r="B3558" s="32" t="n">
        <v>48.604</v>
      </c>
      <c r="D3558" s="33" t="n">
        <f aca="false">WEEKDAY(A3558,2)</f>
        <v>1</v>
      </c>
      <c r="E3558" s="33" t="n">
        <f aca="false">HOUR(A3558)+MINUTE(A3558)/60</f>
        <v>4</v>
      </c>
      <c r="F3558" s="33" t="n">
        <f aca="false">IF(OR(D3558&gt;5,E3558&lt;8,E3558&gt;=18,COUNTIF($K$2:$K$10,INT(A3558))&gt;0),1,0)</f>
        <v>1</v>
      </c>
      <c r="G3558" s="34" t="n">
        <f aca="false">B3558/1</f>
        <v>48.604</v>
      </c>
      <c r="H3558" s="34" t="n">
        <f aca="false">IF(F3558=1,G3558,"")</f>
        <v>48.604</v>
      </c>
    </row>
    <row r="3559" customFormat="false" ht="15" hidden="false" customHeight="false" outlineLevel="0" collapsed="false">
      <c r="A3559" s="31" t="n">
        <v>42884.2083333333</v>
      </c>
      <c r="B3559" s="32" t="n">
        <v>48.162</v>
      </c>
      <c r="D3559" s="33" t="n">
        <f aca="false">WEEKDAY(A3559,2)</f>
        <v>1</v>
      </c>
      <c r="E3559" s="33" t="n">
        <f aca="false">HOUR(A3559)+MINUTE(A3559)/60</f>
        <v>5</v>
      </c>
      <c r="F3559" s="33" t="n">
        <f aca="false">IF(OR(D3559&gt;5,E3559&lt;8,E3559&gt;=18,COUNTIF($K$2:$K$10,INT(A3559))&gt;0),1,0)</f>
        <v>1</v>
      </c>
      <c r="G3559" s="34" t="n">
        <f aca="false">B3559/1</f>
        <v>48.162</v>
      </c>
      <c r="H3559" s="34" t="n">
        <f aca="false">IF(F3559=1,G3559,"")</f>
        <v>48.162</v>
      </c>
    </row>
    <row r="3560" customFormat="false" ht="15" hidden="false" customHeight="false" outlineLevel="0" collapsed="false">
      <c r="A3560" s="31" t="n">
        <v>42884.25</v>
      </c>
      <c r="B3560" s="32" t="n">
        <v>49.479</v>
      </c>
      <c r="D3560" s="33" t="n">
        <f aca="false">WEEKDAY(A3560,2)</f>
        <v>1</v>
      </c>
      <c r="E3560" s="33" t="n">
        <f aca="false">HOUR(A3560)+MINUTE(A3560)/60</f>
        <v>6</v>
      </c>
      <c r="F3560" s="33" t="n">
        <f aca="false">IF(OR(D3560&gt;5,E3560&lt;8,E3560&gt;=18,COUNTIF($K$2:$K$10,INT(A3560))&gt;0),1,0)</f>
        <v>1</v>
      </c>
      <c r="G3560" s="34" t="n">
        <f aca="false">B3560/1</f>
        <v>49.479</v>
      </c>
      <c r="H3560" s="34" t="n">
        <f aca="false">IF(F3560=1,G3560,"")</f>
        <v>49.479</v>
      </c>
    </row>
    <row r="3561" customFormat="false" ht="15" hidden="false" customHeight="false" outlineLevel="0" collapsed="false">
      <c r="A3561" s="31" t="n">
        <v>42884.2916666667</v>
      </c>
      <c r="B3561" s="32" t="n">
        <v>62.215</v>
      </c>
      <c r="D3561" s="33" t="n">
        <f aca="false">WEEKDAY(A3561,2)</f>
        <v>1</v>
      </c>
      <c r="E3561" s="33" t="n">
        <f aca="false">HOUR(A3561)+MINUTE(A3561)/60</f>
        <v>7</v>
      </c>
      <c r="F3561" s="33" t="n">
        <f aca="false">IF(OR(D3561&gt;5,E3561&lt;8,E3561&gt;=18,COUNTIF($K$2:$K$10,INT(A3561))&gt;0),1,0)</f>
        <v>1</v>
      </c>
      <c r="G3561" s="34" t="n">
        <f aca="false">B3561/1</f>
        <v>62.215</v>
      </c>
      <c r="H3561" s="34" t="n">
        <f aca="false">IF(F3561=1,G3561,"")</f>
        <v>62.215</v>
      </c>
    </row>
    <row r="3562" customFormat="false" ht="15" hidden="false" customHeight="false" outlineLevel="0" collapsed="false">
      <c r="A3562" s="31" t="n">
        <v>42884.3333333333</v>
      </c>
      <c r="B3562" s="32" t="n">
        <v>72.273</v>
      </c>
      <c r="D3562" s="33" t="n">
        <f aca="false">WEEKDAY(A3562,2)</f>
        <v>1</v>
      </c>
      <c r="E3562" s="33" t="n">
        <f aca="false">HOUR(A3562)+MINUTE(A3562)/60</f>
        <v>8</v>
      </c>
      <c r="F3562" s="33" t="n">
        <f aca="false">IF(OR(D3562&gt;5,E3562&lt;8,E3562&gt;=18,COUNTIF($K$2:$K$10,INT(A3562))&gt;0),1,0)</f>
        <v>1</v>
      </c>
      <c r="G3562" s="34" t="n">
        <f aca="false">B3562/1</f>
        <v>72.273</v>
      </c>
      <c r="H3562" s="34" t="n">
        <f aca="false">IF(F3562=1,G3562,"")</f>
        <v>72.273</v>
      </c>
    </row>
    <row r="3563" customFormat="false" ht="15" hidden="false" customHeight="false" outlineLevel="0" collapsed="false">
      <c r="A3563" s="31" t="n">
        <v>42884.375</v>
      </c>
      <c r="B3563" s="32" t="n">
        <v>72.185</v>
      </c>
      <c r="D3563" s="33" t="n">
        <f aca="false">WEEKDAY(A3563,2)</f>
        <v>1</v>
      </c>
      <c r="E3563" s="33" t="n">
        <f aca="false">HOUR(A3563)+MINUTE(A3563)/60</f>
        <v>9</v>
      </c>
      <c r="F3563" s="33" t="n">
        <f aca="false">IF(OR(D3563&gt;5,E3563&lt;8,E3563&gt;=18,COUNTIF($K$2:$K$10,INT(A3563))&gt;0),1,0)</f>
        <v>1</v>
      </c>
      <c r="G3563" s="34" t="n">
        <f aca="false">B3563/1</f>
        <v>72.185</v>
      </c>
      <c r="H3563" s="34" t="n">
        <f aca="false">IF(F3563=1,G3563,"")</f>
        <v>72.185</v>
      </c>
    </row>
    <row r="3564" customFormat="false" ht="15" hidden="false" customHeight="false" outlineLevel="0" collapsed="false">
      <c r="A3564" s="31" t="n">
        <v>42884.4166666667</v>
      </c>
      <c r="B3564" s="32" t="n">
        <v>71.934</v>
      </c>
      <c r="D3564" s="33" t="n">
        <f aca="false">WEEKDAY(A3564,2)</f>
        <v>1</v>
      </c>
      <c r="E3564" s="33" t="n">
        <f aca="false">HOUR(A3564)+MINUTE(A3564)/60</f>
        <v>10</v>
      </c>
      <c r="F3564" s="33" t="n">
        <f aca="false">IF(OR(D3564&gt;5,E3564&lt;8,E3564&gt;=18,COUNTIF($K$2:$K$10,INT(A3564))&gt;0),1,0)</f>
        <v>1</v>
      </c>
      <c r="G3564" s="34" t="n">
        <f aca="false">B3564/1</f>
        <v>71.934</v>
      </c>
      <c r="H3564" s="34" t="n">
        <f aca="false">IF(F3564=1,G3564,"")</f>
        <v>71.934</v>
      </c>
    </row>
    <row r="3565" customFormat="false" ht="15" hidden="false" customHeight="false" outlineLevel="0" collapsed="false">
      <c r="A3565" s="31" t="n">
        <v>42884.4583333333</v>
      </c>
      <c r="B3565" s="32" t="n">
        <v>71.252</v>
      </c>
      <c r="D3565" s="33" t="n">
        <f aca="false">WEEKDAY(A3565,2)</f>
        <v>1</v>
      </c>
      <c r="E3565" s="33" t="n">
        <f aca="false">HOUR(A3565)+MINUTE(A3565)/60</f>
        <v>11</v>
      </c>
      <c r="F3565" s="33" t="n">
        <f aca="false">IF(OR(D3565&gt;5,E3565&lt;8,E3565&gt;=18,COUNTIF($K$2:$K$10,INT(A3565))&gt;0),1,0)</f>
        <v>1</v>
      </c>
      <c r="G3565" s="34" t="n">
        <f aca="false">B3565/1</f>
        <v>71.252</v>
      </c>
      <c r="H3565" s="34" t="n">
        <f aca="false">IF(F3565=1,G3565,"")</f>
        <v>71.252</v>
      </c>
    </row>
    <row r="3566" customFormat="false" ht="15" hidden="false" customHeight="false" outlineLevel="0" collapsed="false">
      <c r="A3566" s="31" t="n">
        <v>42884.5</v>
      </c>
      <c r="B3566" s="32" t="n">
        <v>70.428</v>
      </c>
      <c r="D3566" s="33" t="n">
        <f aca="false">WEEKDAY(A3566,2)</f>
        <v>1</v>
      </c>
      <c r="E3566" s="33" t="n">
        <f aca="false">HOUR(A3566)+MINUTE(A3566)/60</f>
        <v>12</v>
      </c>
      <c r="F3566" s="33" t="n">
        <f aca="false">IF(OR(D3566&gt;5,E3566&lt;8,E3566&gt;=18,COUNTIF($K$2:$K$10,INT(A3566))&gt;0),1,0)</f>
        <v>1</v>
      </c>
      <c r="G3566" s="34" t="n">
        <f aca="false">B3566/1</f>
        <v>70.428</v>
      </c>
      <c r="H3566" s="34" t="n">
        <f aca="false">IF(F3566=1,G3566,"")</f>
        <v>70.428</v>
      </c>
    </row>
    <row r="3567" customFormat="false" ht="15" hidden="false" customHeight="false" outlineLevel="0" collapsed="false">
      <c r="A3567" s="31" t="n">
        <v>42884.5416666667</v>
      </c>
      <c r="B3567" s="32" t="n">
        <v>70.998</v>
      </c>
      <c r="D3567" s="33" t="n">
        <f aca="false">WEEKDAY(A3567,2)</f>
        <v>1</v>
      </c>
      <c r="E3567" s="33" t="n">
        <f aca="false">HOUR(A3567)+MINUTE(A3567)/60</f>
        <v>13</v>
      </c>
      <c r="F3567" s="33" t="n">
        <f aca="false">IF(OR(D3567&gt;5,E3567&lt;8,E3567&gt;=18,COUNTIF($K$2:$K$10,INT(A3567))&gt;0),1,0)</f>
        <v>1</v>
      </c>
      <c r="G3567" s="34" t="n">
        <f aca="false">B3567/1</f>
        <v>70.998</v>
      </c>
      <c r="H3567" s="34" t="n">
        <f aca="false">IF(F3567=1,G3567,"")</f>
        <v>70.998</v>
      </c>
    </row>
    <row r="3568" customFormat="false" ht="15" hidden="false" customHeight="false" outlineLevel="0" collapsed="false">
      <c r="A3568" s="31" t="n">
        <v>42884.5833333333</v>
      </c>
      <c r="B3568" s="32" t="n">
        <v>72.432</v>
      </c>
      <c r="D3568" s="33" t="n">
        <f aca="false">WEEKDAY(A3568,2)</f>
        <v>1</v>
      </c>
      <c r="E3568" s="33" t="n">
        <f aca="false">HOUR(A3568)+MINUTE(A3568)/60</f>
        <v>14</v>
      </c>
      <c r="F3568" s="33" t="n">
        <f aca="false">IF(OR(D3568&gt;5,E3568&lt;8,E3568&gt;=18,COUNTIF($K$2:$K$10,INT(A3568))&gt;0),1,0)</f>
        <v>1</v>
      </c>
      <c r="G3568" s="34" t="n">
        <f aca="false">B3568/1</f>
        <v>72.432</v>
      </c>
      <c r="H3568" s="34" t="n">
        <f aca="false">IF(F3568=1,G3568,"")</f>
        <v>72.432</v>
      </c>
    </row>
    <row r="3569" customFormat="false" ht="15" hidden="false" customHeight="false" outlineLevel="0" collapsed="false">
      <c r="A3569" s="31" t="n">
        <v>42884.625</v>
      </c>
      <c r="B3569" s="32" t="n">
        <v>72.576</v>
      </c>
      <c r="D3569" s="33" t="n">
        <f aca="false">WEEKDAY(A3569,2)</f>
        <v>1</v>
      </c>
      <c r="E3569" s="33" t="n">
        <f aca="false">HOUR(A3569)+MINUTE(A3569)/60</f>
        <v>15</v>
      </c>
      <c r="F3569" s="33" t="n">
        <f aca="false">IF(OR(D3569&gt;5,E3569&lt;8,E3569&gt;=18,COUNTIF($K$2:$K$10,INT(A3569))&gt;0),1,0)</f>
        <v>1</v>
      </c>
      <c r="G3569" s="34" t="n">
        <f aca="false">B3569/1</f>
        <v>72.576</v>
      </c>
      <c r="H3569" s="34" t="n">
        <f aca="false">IF(F3569=1,G3569,"")</f>
        <v>72.576</v>
      </c>
    </row>
    <row r="3570" customFormat="false" ht="15" hidden="false" customHeight="false" outlineLevel="0" collapsed="false">
      <c r="A3570" s="31" t="n">
        <v>42884.6666666667</v>
      </c>
      <c r="B3570" s="32" t="n">
        <v>73.51</v>
      </c>
      <c r="D3570" s="33" t="n">
        <f aca="false">WEEKDAY(A3570,2)</f>
        <v>1</v>
      </c>
      <c r="E3570" s="33" t="n">
        <f aca="false">HOUR(A3570)+MINUTE(A3570)/60</f>
        <v>16</v>
      </c>
      <c r="F3570" s="33" t="n">
        <f aca="false">IF(OR(D3570&gt;5,E3570&lt;8,E3570&gt;=18,COUNTIF($K$2:$K$10,INT(A3570))&gt;0),1,0)</f>
        <v>1</v>
      </c>
      <c r="G3570" s="34" t="n">
        <f aca="false">B3570/1</f>
        <v>73.51</v>
      </c>
      <c r="H3570" s="34" t="n">
        <f aca="false">IF(F3570=1,G3570,"")</f>
        <v>73.51</v>
      </c>
    </row>
    <row r="3571" customFormat="false" ht="15" hidden="false" customHeight="false" outlineLevel="0" collapsed="false">
      <c r="A3571" s="31" t="n">
        <v>42884.7083333333</v>
      </c>
      <c r="B3571" s="32" t="n">
        <v>73.779</v>
      </c>
      <c r="D3571" s="33" t="n">
        <f aca="false">WEEKDAY(A3571,2)</f>
        <v>1</v>
      </c>
      <c r="E3571" s="33" t="n">
        <f aca="false">HOUR(A3571)+MINUTE(A3571)/60</f>
        <v>17</v>
      </c>
      <c r="F3571" s="33" t="n">
        <f aca="false">IF(OR(D3571&gt;5,E3571&lt;8,E3571&gt;=18,COUNTIF($K$2:$K$10,INT(A3571))&gt;0),1,0)</f>
        <v>1</v>
      </c>
      <c r="G3571" s="34" t="n">
        <f aca="false">B3571/1</f>
        <v>73.779</v>
      </c>
      <c r="H3571" s="34" t="n">
        <f aca="false">IF(F3571=1,G3571,"")</f>
        <v>73.779</v>
      </c>
    </row>
    <row r="3572" customFormat="false" ht="15" hidden="false" customHeight="false" outlineLevel="0" collapsed="false">
      <c r="A3572" s="31" t="n">
        <v>42884.75</v>
      </c>
      <c r="B3572" s="32" t="n">
        <v>73.064</v>
      </c>
      <c r="D3572" s="33" t="n">
        <f aca="false">WEEKDAY(A3572,2)</f>
        <v>1</v>
      </c>
      <c r="E3572" s="33" t="n">
        <f aca="false">HOUR(A3572)+MINUTE(A3572)/60</f>
        <v>18</v>
      </c>
      <c r="F3572" s="33" t="n">
        <f aca="false">IF(OR(D3572&gt;5,E3572&lt;8,E3572&gt;=18,COUNTIF($K$2:$K$10,INT(A3572))&gt;0),1,0)</f>
        <v>1</v>
      </c>
      <c r="G3572" s="34" t="n">
        <f aca="false">B3572/1</f>
        <v>73.064</v>
      </c>
      <c r="H3572" s="34" t="n">
        <f aca="false">IF(F3572=1,G3572,"")</f>
        <v>73.064</v>
      </c>
    </row>
    <row r="3573" customFormat="false" ht="15" hidden="false" customHeight="false" outlineLevel="0" collapsed="false">
      <c r="A3573" s="31" t="n">
        <v>42884.7916666667</v>
      </c>
      <c r="B3573" s="32" t="n">
        <v>72.565</v>
      </c>
      <c r="D3573" s="33" t="n">
        <f aca="false">WEEKDAY(A3573,2)</f>
        <v>1</v>
      </c>
      <c r="E3573" s="33" t="n">
        <f aca="false">HOUR(A3573)+MINUTE(A3573)/60</f>
        <v>19</v>
      </c>
      <c r="F3573" s="33" t="n">
        <f aca="false">IF(OR(D3573&gt;5,E3573&lt;8,E3573&gt;=18,COUNTIF($K$2:$K$10,INT(A3573))&gt;0),1,0)</f>
        <v>1</v>
      </c>
      <c r="G3573" s="34" t="n">
        <f aca="false">B3573/1</f>
        <v>72.565</v>
      </c>
      <c r="H3573" s="34" t="n">
        <f aca="false">IF(F3573=1,G3573,"")</f>
        <v>72.565</v>
      </c>
    </row>
    <row r="3574" customFormat="false" ht="15" hidden="false" customHeight="false" outlineLevel="0" collapsed="false">
      <c r="A3574" s="31" t="n">
        <v>42884.8333333333</v>
      </c>
      <c r="B3574" s="32" t="n">
        <v>78.691</v>
      </c>
      <c r="D3574" s="33" t="n">
        <f aca="false">WEEKDAY(A3574,2)</f>
        <v>1</v>
      </c>
      <c r="E3574" s="33" t="n">
        <f aca="false">HOUR(A3574)+MINUTE(A3574)/60</f>
        <v>20</v>
      </c>
      <c r="F3574" s="33" t="n">
        <f aca="false">IF(OR(D3574&gt;5,E3574&lt;8,E3574&gt;=18,COUNTIF($K$2:$K$10,INT(A3574))&gt;0),1,0)</f>
        <v>1</v>
      </c>
      <c r="G3574" s="34" t="n">
        <f aca="false">B3574/1</f>
        <v>78.691</v>
      </c>
      <c r="H3574" s="34" t="n">
        <f aca="false">IF(F3574=1,G3574,"")</f>
        <v>78.691</v>
      </c>
    </row>
    <row r="3575" customFormat="false" ht="15" hidden="false" customHeight="false" outlineLevel="0" collapsed="false">
      <c r="A3575" s="31" t="n">
        <v>42884.875</v>
      </c>
      <c r="B3575" s="32" t="n">
        <v>73.311</v>
      </c>
      <c r="D3575" s="33" t="n">
        <f aca="false">WEEKDAY(A3575,2)</f>
        <v>1</v>
      </c>
      <c r="E3575" s="33" t="n">
        <f aca="false">HOUR(A3575)+MINUTE(A3575)/60</f>
        <v>21</v>
      </c>
      <c r="F3575" s="33" t="n">
        <f aca="false">IF(OR(D3575&gt;5,E3575&lt;8,E3575&gt;=18,COUNTIF($K$2:$K$10,INT(A3575))&gt;0),1,0)</f>
        <v>1</v>
      </c>
      <c r="G3575" s="34" t="n">
        <f aca="false">B3575/1</f>
        <v>73.311</v>
      </c>
      <c r="H3575" s="34" t="n">
        <f aca="false">IF(F3575=1,G3575,"")</f>
        <v>73.311</v>
      </c>
    </row>
    <row r="3576" customFormat="false" ht="15" hidden="false" customHeight="false" outlineLevel="0" collapsed="false">
      <c r="A3576" s="31" t="n">
        <v>42884.9166666667</v>
      </c>
      <c r="B3576" s="32" t="n">
        <v>60.913</v>
      </c>
      <c r="D3576" s="33" t="n">
        <f aca="false">WEEKDAY(A3576,2)</f>
        <v>1</v>
      </c>
      <c r="E3576" s="33" t="n">
        <f aca="false">HOUR(A3576)+MINUTE(A3576)/60</f>
        <v>22</v>
      </c>
      <c r="F3576" s="33" t="n">
        <f aca="false">IF(OR(D3576&gt;5,E3576&lt;8,E3576&gt;=18,COUNTIF($K$2:$K$10,INT(A3576))&gt;0),1,0)</f>
        <v>1</v>
      </c>
      <c r="G3576" s="34" t="n">
        <f aca="false">B3576/1</f>
        <v>60.913</v>
      </c>
      <c r="H3576" s="34" t="n">
        <f aca="false">IF(F3576=1,G3576,"")</f>
        <v>60.913</v>
      </c>
    </row>
    <row r="3577" customFormat="false" ht="15" hidden="false" customHeight="false" outlineLevel="0" collapsed="false">
      <c r="A3577" s="31" t="n">
        <v>42884.9583333333</v>
      </c>
      <c r="B3577" s="32" t="n">
        <v>47.752</v>
      </c>
      <c r="D3577" s="33" t="n">
        <f aca="false">WEEKDAY(A3577,2)</f>
        <v>1</v>
      </c>
      <c r="E3577" s="33" t="n">
        <f aca="false">HOUR(A3577)+MINUTE(A3577)/60</f>
        <v>23</v>
      </c>
      <c r="F3577" s="33" t="n">
        <f aca="false">IF(OR(D3577&gt;5,E3577&lt;8,E3577&gt;=18,COUNTIF($K$2:$K$10,INT(A3577))&gt;0),1,0)</f>
        <v>1</v>
      </c>
      <c r="G3577" s="34" t="n">
        <f aca="false">B3577/1</f>
        <v>47.752</v>
      </c>
      <c r="H3577" s="34" t="n">
        <f aca="false">IF(F3577=1,G3577,"")</f>
        <v>47.752</v>
      </c>
    </row>
    <row r="3578" customFormat="false" ht="15" hidden="false" customHeight="false" outlineLevel="0" collapsed="false">
      <c r="A3578" s="31" t="n">
        <v>42885</v>
      </c>
      <c r="B3578" s="32" t="n">
        <v>47.509</v>
      </c>
      <c r="D3578" s="33" t="n">
        <f aca="false">WEEKDAY(A3578,2)</f>
        <v>2</v>
      </c>
      <c r="E3578" s="33" t="n">
        <f aca="false">HOUR(A3578)+MINUTE(A3578)/60</f>
        <v>0</v>
      </c>
      <c r="F3578" s="33" t="n">
        <f aca="false">IF(OR(D3578&gt;5,E3578&lt;8,E3578&gt;=18,COUNTIF($K$2:$K$10,INT(A3578))&gt;0),1,0)</f>
        <v>1</v>
      </c>
      <c r="G3578" s="34" t="n">
        <f aca="false">B3578/1</f>
        <v>47.509</v>
      </c>
      <c r="H3578" s="34" t="n">
        <f aca="false">IF(F3578=1,G3578,"")</f>
        <v>47.509</v>
      </c>
    </row>
    <row r="3579" customFormat="false" ht="15" hidden="false" customHeight="false" outlineLevel="0" collapsed="false">
      <c r="A3579" s="31" t="n">
        <v>42885.0416666667</v>
      </c>
      <c r="B3579" s="32" t="n">
        <v>53.941</v>
      </c>
      <c r="D3579" s="33" t="n">
        <f aca="false">WEEKDAY(A3579,2)</f>
        <v>2</v>
      </c>
      <c r="E3579" s="33" t="n">
        <f aca="false">HOUR(A3579)+MINUTE(A3579)/60</f>
        <v>1</v>
      </c>
      <c r="F3579" s="33" t="n">
        <f aca="false">IF(OR(D3579&gt;5,E3579&lt;8,E3579&gt;=18,COUNTIF($K$2:$K$10,INT(A3579))&gt;0),1,0)</f>
        <v>1</v>
      </c>
      <c r="G3579" s="34" t="n">
        <f aca="false">B3579/1</f>
        <v>53.941</v>
      </c>
      <c r="H3579" s="34" t="n">
        <f aca="false">IF(F3579=1,G3579,"")</f>
        <v>53.941</v>
      </c>
    </row>
    <row r="3580" customFormat="false" ht="15" hidden="false" customHeight="false" outlineLevel="0" collapsed="false">
      <c r="A3580" s="31" t="n">
        <v>42885.0833333333</v>
      </c>
      <c r="B3580" s="32" t="n">
        <v>48.205</v>
      </c>
      <c r="D3580" s="33" t="n">
        <f aca="false">WEEKDAY(A3580,2)</f>
        <v>2</v>
      </c>
      <c r="E3580" s="33" t="n">
        <f aca="false">HOUR(A3580)+MINUTE(A3580)/60</f>
        <v>2</v>
      </c>
      <c r="F3580" s="33" t="n">
        <f aca="false">IF(OR(D3580&gt;5,E3580&lt;8,E3580&gt;=18,COUNTIF($K$2:$K$10,INT(A3580))&gt;0),1,0)</f>
        <v>1</v>
      </c>
      <c r="G3580" s="34" t="n">
        <f aca="false">B3580/1</f>
        <v>48.205</v>
      </c>
      <c r="H3580" s="34" t="n">
        <f aca="false">IF(F3580=1,G3580,"")</f>
        <v>48.205</v>
      </c>
    </row>
    <row r="3581" customFormat="false" ht="15" hidden="false" customHeight="false" outlineLevel="0" collapsed="false">
      <c r="A3581" s="31" t="n">
        <v>42885.125</v>
      </c>
      <c r="B3581" s="32" t="n">
        <v>48.189</v>
      </c>
      <c r="D3581" s="33" t="n">
        <f aca="false">WEEKDAY(A3581,2)</f>
        <v>2</v>
      </c>
      <c r="E3581" s="33" t="n">
        <f aca="false">HOUR(A3581)+MINUTE(A3581)/60</f>
        <v>3</v>
      </c>
      <c r="F3581" s="33" t="n">
        <f aca="false">IF(OR(D3581&gt;5,E3581&lt;8,E3581&gt;=18,COUNTIF($K$2:$K$10,INT(A3581))&gt;0),1,0)</f>
        <v>1</v>
      </c>
      <c r="G3581" s="34" t="n">
        <f aca="false">B3581/1</f>
        <v>48.189</v>
      </c>
      <c r="H3581" s="34" t="n">
        <f aca="false">IF(F3581=1,G3581,"")</f>
        <v>48.189</v>
      </c>
    </row>
    <row r="3582" customFormat="false" ht="15" hidden="false" customHeight="false" outlineLevel="0" collapsed="false">
      <c r="A3582" s="31" t="n">
        <v>42885.1666666667</v>
      </c>
      <c r="B3582" s="32" t="n">
        <v>53.664</v>
      </c>
      <c r="D3582" s="33" t="n">
        <f aca="false">WEEKDAY(A3582,2)</f>
        <v>2</v>
      </c>
      <c r="E3582" s="33" t="n">
        <f aca="false">HOUR(A3582)+MINUTE(A3582)/60</f>
        <v>4</v>
      </c>
      <c r="F3582" s="33" t="n">
        <f aca="false">IF(OR(D3582&gt;5,E3582&lt;8,E3582&gt;=18,COUNTIF($K$2:$K$10,INT(A3582))&gt;0),1,0)</f>
        <v>1</v>
      </c>
      <c r="G3582" s="34" t="n">
        <f aca="false">B3582/1</f>
        <v>53.664</v>
      </c>
      <c r="H3582" s="34" t="n">
        <f aca="false">IF(F3582=1,G3582,"")</f>
        <v>53.664</v>
      </c>
    </row>
    <row r="3583" customFormat="false" ht="15" hidden="false" customHeight="false" outlineLevel="0" collapsed="false">
      <c r="A3583" s="31" t="n">
        <v>42885.2083333333</v>
      </c>
      <c r="B3583" s="32" t="n">
        <v>48.366</v>
      </c>
      <c r="D3583" s="33" t="n">
        <f aca="false">WEEKDAY(A3583,2)</f>
        <v>2</v>
      </c>
      <c r="E3583" s="33" t="n">
        <f aca="false">HOUR(A3583)+MINUTE(A3583)/60</f>
        <v>5</v>
      </c>
      <c r="F3583" s="33" t="n">
        <f aca="false">IF(OR(D3583&gt;5,E3583&lt;8,E3583&gt;=18,COUNTIF($K$2:$K$10,INT(A3583))&gt;0),1,0)</f>
        <v>1</v>
      </c>
      <c r="G3583" s="34" t="n">
        <f aca="false">B3583/1</f>
        <v>48.366</v>
      </c>
      <c r="H3583" s="34" t="n">
        <f aca="false">IF(F3583=1,G3583,"")</f>
        <v>48.366</v>
      </c>
    </row>
    <row r="3584" customFormat="false" ht="15" hidden="false" customHeight="false" outlineLevel="0" collapsed="false">
      <c r="A3584" s="31" t="n">
        <v>42885.25</v>
      </c>
      <c r="B3584" s="32" t="n">
        <v>54.881</v>
      </c>
      <c r="D3584" s="33" t="n">
        <f aca="false">WEEKDAY(A3584,2)</f>
        <v>2</v>
      </c>
      <c r="E3584" s="33" t="n">
        <f aca="false">HOUR(A3584)+MINUTE(A3584)/60</f>
        <v>6</v>
      </c>
      <c r="F3584" s="33" t="n">
        <f aca="false">IF(OR(D3584&gt;5,E3584&lt;8,E3584&gt;=18,COUNTIF($K$2:$K$10,INT(A3584))&gt;0),1,0)</f>
        <v>1</v>
      </c>
      <c r="G3584" s="34" t="n">
        <f aca="false">B3584/1</f>
        <v>54.881</v>
      </c>
      <c r="H3584" s="34" t="n">
        <f aca="false">IF(F3584=1,G3584,"")</f>
        <v>54.881</v>
      </c>
    </row>
    <row r="3585" customFormat="false" ht="15" hidden="false" customHeight="false" outlineLevel="0" collapsed="false">
      <c r="A3585" s="31" t="n">
        <v>42885.2916666667</v>
      </c>
      <c r="B3585" s="32" t="n">
        <v>54.07</v>
      </c>
      <c r="D3585" s="33" t="n">
        <f aca="false">WEEKDAY(A3585,2)</f>
        <v>2</v>
      </c>
      <c r="E3585" s="33" t="n">
        <f aca="false">HOUR(A3585)+MINUTE(A3585)/60</f>
        <v>7</v>
      </c>
      <c r="F3585" s="33" t="n">
        <f aca="false">IF(OR(D3585&gt;5,E3585&lt;8,E3585&gt;=18,COUNTIF($K$2:$K$10,INT(A3585))&gt;0),1,0)</f>
        <v>1</v>
      </c>
      <c r="G3585" s="34" t="n">
        <f aca="false">B3585/1</f>
        <v>54.07</v>
      </c>
      <c r="H3585" s="34" t="n">
        <f aca="false">IF(F3585=1,G3585,"")</f>
        <v>54.07</v>
      </c>
    </row>
    <row r="3586" customFormat="false" ht="15" hidden="false" customHeight="false" outlineLevel="0" collapsed="false">
      <c r="A3586" s="31" t="n">
        <v>42885.3333333333</v>
      </c>
      <c r="B3586" s="32" t="n">
        <v>148.436</v>
      </c>
      <c r="D3586" s="33" t="n">
        <f aca="false">WEEKDAY(A3586,2)</f>
        <v>2</v>
      </c>
      <c r="E3586" s="33" t="n">
        <f aca="false">HOUR(A3586)+MINUTE(A3586)/60</f>
        <v>8</v>
      </c>
      <c r="F3586" s="33" t="n">
        <f aca="false">IF(OR(D3586&gt;5,E3586&lt;8,E3586&gt;=18,COUNTIF($K$2:$K$10,INT(A3586))&gt;0),1,0)</f>
        <v>0</v>
      </c>
      <c r="G3586" s="34" t="n">
        <f aca="false">B3586/1</f>
        <v>148.436</v>
      </c>
      <c r="H3586" s="34" t="str">
        <f aca="false">IF(F3586=1,G3586,"")</f>
        <v/>
      </c>
    </row>
    <row r="3587" customFormat="false" ht="15" hidden="false" customHeight="false" outlineLevel="0" collapsed="false">
      <c r="A3587" s="31" t="n">
        <v>42885.375</v>
      </c>
      <c r="B3587" s="32" t="n">
        <v>143.989</v>
      </c>
      <c r="D3587" s="33" t="n">
        <f aca="false">WEEKDAY(A3587,2)</f>
        <v>2</v>
      </c>
      <c r="E3587" s="33" t="n">
        <f aca="false">HOUR(A3587)+MINUTE(A3587)/60</f>
        <v>9</v>
      </c>
      <c r="F3587" s="33" t="n">
        <f aca="false">IF(OR(D3587&gt;5,E3587&lt;8,E3587&gt;=18,COUNTIF($K$2:$K$10,INT(A3587))&gt;0),1,0)</f>
        <v>0</v>
      </c>
      <c r="G3587" s="34" t="n">
        <f aca="false">B3587/1</f>
        <v>143.989</v>
      </c>
      <c r="H3587" s="34" t="str">
        <f aca="false">IF(F3587=1,G3587,"")</f>
        <v/>
      </c>
    </row>
    <row r="3588" customFormat="false" ht="15" hidden="false" customHeight="false" outlineLevel="0" collapsed="false">
      <c r="A3588" s="31" t="n">
        <v>42885.4166666667</v>
      </c>
      <c r="B3588" s="32" t="n">
        <v>182.324</v>
      </c>
      <c r="D3588" s="33" t="n">
        <f aca="false">WEEKDAY(A3588,2)</f>
        <v>2</v>
      </c>
      <c r="E3588" s="33" t="n">
        <f aca="false">HOUR(A3588)+MINUTE(A3588)/60</f>
        <v>10</v>
      </c>
      <c r="F3588" s="33" t="n">
        <f aca="false">IF(OR(D3588&gt;5,E3588&lt;8,E3588&gt;=18,COUNTIF($K$2:$K$10,INT(A3588))&gt;0),1,0)</f>
        <v>0</v>
      </c>
      <c r="G3588" s="34" t="n">
        <f aca="false">B3588/1</f>
        <v>182.324</v>
      </c>
      <c r="H3588" s="34" t="str">
        <f aca="false">IF(F3588=1,G3588,"")</f>
        <v/>
      </c>
    </row>
    <row r="3589" customFormat="false" ht="15" hidden="false" customHeight="false" outlineLevel="0" collapsed="false">
      <c r="A3589" s="31" t="n">
        <v>42885.4583333333</v>
      </c>
      <c r="B3589" s="32" t="n">
        <v>187.895</v>
      </c>
      <c r="D3589" s="33" t="n">
        <f aca="false">WEEKDAY(A3589,2)</f>
        <v>2</v>
      </c>
      <c r="E3589" s="33" t="n">
        <f aca="false">HOUR(A3589)+MINUTE(A3589)/60</f>
        <v>11</v>
      </c>
      <c r="F3589" s="33" t="n">
        <f aca="false">IF(OR(D3589&gt;5,E3589&lt;8,E3589&gt;=18,COUNTIF($K$2:$K$10,INT(A3589))&gt;0),1,0)</f>
        <v>0</v>
      </c>
      <c r="G3589" s="34" t="n">
        <f aca="false">B3589/1</f>
        <v>187.895</v>
      </c>
      <c r="H3589" s="34" t="str">
        <f aca="false">IF(F3589=1,G3589,"")</f>
        <v/>
      </c>
    </row>
    <row r="3590" customFormat="false" ht="15" hidden="false" customHeight="false" outlineLevel="0" collapsed="false">
      <c r="A3590" s="31" t="n">
        <v>42885.5</v>
      </c>
      <c r="B3590" s="32" t="n">
        <v>199.969</v>
      </c>
      <c r="D3590" s="33" t="n">
        <f aca="false">WEEKDAY(A3590,2)</f>
        <v>2</v>
      </c>
      <c r="E3590" s="33" t="n">
        <f aca="false">HOUR(A3590)+MINUTE(A3590)/60</f>
        <v>12</v>
      </c>
      <c r="F3590" s="33" t="n">
        <f aca="false">IF(OR(D3590&gt;5,E3590&lt;8,E3590&gt;=18,COUNTIF($K$2:$K$10,INT(A3590))&gt;0),1,0)</f>
        <v>0</v>
      </c>
      <c r="G3590" s="34" t="n">
        <f aca="false">B3590/1</f>
        <v>199.969</v>
      </c>
      <c r="H3590" s="34" t="str">
        <f aca="false">IF(F3590=1,G3590,"")</f>
        <v/>
      </c>
    </row>
    <row r="3591" customFormat="false" ht="15" hidden="false" customHeight="false" outlineLevel="0" collapsed="false">
      <c r="A3591" s="31" t="n">
        <v>42885.5416666667</v>
      </c>
      <c r="B3591" s="32" t="n">
        <v>187.307</v>
      </c>
      <c r="D3591" s="33" t="n">
        <f aca="false">WEEKDAY(A3591,2)</f>
        <v>2</v>
      </c>
      <c r="E3591" s="33" t="n">
        <f aca="false">HOUR(A3591)+MINUTE(A3591)/60</f>
        <v>13</v>
      </c>
      <c r="F3591" s="33" t="n">
        <f aca="false">IF(OR(D3591&gt;5,E3591&lt;8,E3591&gt;=18,COUNTIF($K$2:$K$10,INT(A3591))&gt;0),1,0)</f>
        <v>0</v>
      </c>
      <c r="G3591" s="34" t="n">
        <f aca="false">B3591/1</f>
        <v>187.307</v>
      </c>
      <c r="H3591" s="34" t="str">
        <f aca="false">IF(F3591=1,G3591,"")</f>
        <v/>
      </c>
    </row>
    <row r="3592" customFormat="false" ht="15" hidden="false" customHeight="false" outlineLevel="0" collapsed="false">
      <c r="A3592" s="31" t="n">
        <v>42885.5833333333</v>
      </c>
      <c r="B3592" s="32" t="n">
        <v>188.005</v>
      </c>
      <c r="D3592" s="33" t="n">
        <f aca="false">WEEKDAY(A3592,2)</f>
        <v>2</v>
      </c>
      <c r="E3592" s="33" t="n">
        <f aca="false">HOUR(A3592)+MINUTE(A3592)/60</f>
        <v>14</v>
      </c>
      <c r="F3592" s="33" t="n">
        <f aca="false">IF(OR(D3592&gt;5,E3592&lt;8,E3592&gt;=18,COUNTIF($K$2:$K$10,INT(A3592))&gt;0),1,0)</f>
        <v>0</v>
      </c>
      <c r="G3592" s="34" t="n">
        <f aca="false">B3592/1</f>
        <v>188.005</v>
      </c>
      <c r="H3592" s="34" t="str">
        <f aca="false">IF(F3592=1,G3592,"")</f>
        <v/>
      </c>
    </row>
    <row r="3593" customFormat="false" ht="15" hidden="false" customHeight="false" outlineLevel="0" collapsed="false">
      <c r="A3593" s="31" t="n">
        <v>42885.625</v>
      </c>
      <c r="B3593" s="32" t="n">
        <v>179.046</v>
      </c>
      <c r="D3593" s="33" t="n">
        <f aca="false">WEEKDAY(A3593,2)</f>
        <v>2</v>
      </c>
      <c r="E3593" s="33" t="n">
        <f aca="false">HOUR(A3593)+MINUTE(A3593)/60</f>
        <v>15</v>
      </c>
      <c r="F3593" s="33" t="n">
        <f aca="false">IF(OR(D3593&gt;5,E3593&lt;8,E3593&gt;=18,COUNTIF($K$2:$K$10,INT(A3593))&gt;0),1,0)</f>
        <v>0</v>
      </c>
      <c r="G3593" s="34" t="n">
        <f aca="false">B3593/1</f>
        <v>179.046</v>
      </c>
      <c r="H3593" s="34" t="str">
        <f aca="false">IF(F3593=1,G3593,"")</f>
        <v/>
      </c>
    </row>
    <row r="3594" customFormat="false" ht="15" hidden="false" customHeight="false" outlineLevel="0" collapsed="false">
      <c r="A3594" s="31" t="n">
        <v>42885.6666666667</v>
      </c>
      <c r="B3594" s="32" t="n">
        <v>171.651</v>
      </c>
      <c r="D3594" s="33" t="n">
        <f aca="false">WEEKDAY(A3594,2)</f>
        <v>2</v>
      </c>
      <c r="E3594" s="33" t="n">
        <f aca="false">HOUR(A3594)+MINUTE(A3594)/60</f>
        <v>16</v>
      </c>
      <c r="F3594" s="33" t="n">
        <f aca="false">IF(OR(D3594&gt;5,E3594&lt;8,E3594&gt;=18,COUNTIF($K$2:$K$10,INT(A3594))&gt;0),1,0)</f>
        <v>0</v>
      </c>
      <c r="G3594" s="34" t="n">
        <f aca="false">B3594/1</f>
        <v>171.651</v>
      </c>
      <c r="H3594" s="34" t="str">
        <f aca="false">IF(F3594=1,G3594,"")</f>
        <v/>
      </c>
    </row>
    <row r="3595" customFormat="false" ht="15" hidden="false" customHeight="false" outlineLevel="0" collapsed="false">
      <c r="A3595" s="31" t="n">
        <v>42885.7083333333</v>
      </c>
      <c r="B3595" s="32" t="n">
        <v>162.77</v>
      </c>
      <c r="D3595" s="33" t="n">
        <f aca="false">WEEKDAY(A3595,2)</f>
        <v>2</v>
      </c>
      <c r="E3595" s="33" t="n">
        <f aca="false">HOUR(A3595)+MINUTE(A3595)/60</f>
        <v>17</v>
      </c>
      <c r="F3595" s="33" t="n">
        <f aca="false">IF(OR(D3595&gt;5,E3595&lt;8,E3595&gt;=18,COUNTIF($K$2:$K$10,INT(A3595))&gt;0),1,0)</f>
        <v>0</v>
      </c>
      <c r="G3595" s="34" t="n">
        <f aca="false">B3595/1</f>
        <v>162.77</v>
      </c>
      <c r="H3595" s="34" t="str">
        <f aca="false">IF(F3595=1,G3595,"")</f>
        <v/>
      </c>
    </row>
    <row r="3596" customFormat="false" ht="15" hidden="false" customHeight="false" outlineLevel="0" collapsed="false">
      <c r="A3596" s="31" t="n">
        <v>42885.75</v>
      </c>
      <c r="B3596" s="32" t="n">
        <v>150.756</v>
      </c>
      <c r="D3596" s="33" t="n">
        <f aca="false">WEEKDAY(A3596,2)</f>
        <v>2</v>
      </c>
      <c r="E3596" s="33" t="n">
        <f aca="false">HOUR(A3596)+MINUTE(A3596)/60</f>
        <v>18</v>
      </c>
      <c r="F3596" s="33" t="n">
        <f aca="false">IF(OR(D3596&gt;5,E3596&lt;8,E3596&gt;=18,COUNTIF($K$2:$K$10,INT(A3596))&gt;0),1,0)</f>
        <v>1</v>
      </c>
      <c r="G3596" s="34" t="n">
        <f aca="false">B3596/1</f>
        <v>150.756</v>
      </c>
      <c r="H3596" s="34" t="n">
        <f aca="false">IF(F3596=1,G3596,"")</f>
        <v>150.756</v>
      </c>
    </row>
    <row r="3597" customFormat="false" ht="15" hidden="false" customHeight="false" outlineLevel="0" collapsed="false">
      <c r="A3597" s="31" t="n">
        <v>42885.7916666667</v>
      </c>
      <c r="B3597" s="32" t="n">
        <v>144.295</v>
      </c>
      <c r="D3597" s="33" t="n">
        <f aca="false">WEEKDAY(A3597,2)</f>
        <v>2</v>
      </c>
      <c r="E3597" s="33" t="n">
        <f aca="false">HOUR(A3597)+MINUTE(A3597)/60</f>
        <v>19</v>
      </c>
      <c r="F3597" s="33" t="n">
        <f aca="false">IF(OR(D3597&gt;5,E3597&lt;8,E3597&gt;=18,COUNTIF($K$2:$K$10,INT(A3597))&gt;0),1,0)</f>
        <v>1</v>
      </c>
      <c r="G3597" s="34" t="n">
        <f aca="false">B3597/1</f>
        <v>144.295</v>
      </c>
      <c r="H3597" s="34" t="n">
        <f aca="false">IF(F3597=1,G3597,"")</f>
        <v>144.295</v>
      </c>
    </row>
    <row r="3598" customFormat="false" ht="15" hidden="false" customHeight="false" outlineLevel="0" collapsed="false">
      <c r="A3598" s="31" t="n">
        <v>42885.8333333333</v>
      </c>
      <c r="B3598" s="32" t="n">
        <v>138.401</v>
      </c>
      <c r="D3598" s="33" t="n">
        <f aca="false">WEEKDAY(A3598,2)</f>
        <v>2</v>
      </c>
      <c r="E3598" s="33" t="n">
        <f aca="false">HOUR(A3598)+MINUTE(A3598)/60</f>
        <v>20</v>
      </c>
      <c r="F3598" s="33" t="n">
        <f aca="false">IF(OR(D3598&gt;5,E3598&lt;8,E3598&gt;=18,COUNTIF($K$2:$K$10,INT(A3598))&gt;0),1,0)</f>
        <v>1</v>
      </c>
      <c r="G3598" s="34" t="n">
        <f aca="false">B3598/1</f>
        <v>138.401</v>
      </c>
      <c r="H3598" s="34" t="n">
        <f aca="false">IF(F3598=1,G3598,"")</f>
        <v>138.401</v>
      </c>
    </row>
    <row r="3599" customFormat="false" ht="15" hidden="false" customHeight="false" outlineLevel="0" collapsed="false">
      <c r="A3599" s="31" t="n">
        <v>42885.875</v>
      </c>
      <c r="B3599" s="32" t="n">
        <v>142.732</v>
      </c>
      <c r="D3599" s="33" t="n">
        <f aca="false">WEEKDAY(A3599,2)</f>
        <v>2</v>
      </c>
      <c r="E3599" s="33" t="n">
        <f aca="false">HOUR(A3599)+MINUTE(A3599)/60</f>
        <v>21</v>
      </c>
      <c r="F3599" s="33" t="n">
        <f aca="false">IF(OR(D3599&gt;5,E3599&lt;8,E3599&gt;=18,COUNTIF($K$2:$K$10,INT(A3599))&gt;0),1,0)</f>
        <v>1</v>
      </c>
      <c r="G3599" s="34" t="n">
        <f aca="false">B3599/1</f>
        <v>142.732</v>
      </c>
      <c r="H3599" s="34" t="n">
        <f aca="false">IF(F3599=1,G3599,"")</f>
        <v>142.732</v>
      </c>
    </row>
    <row r="3600" customFormat="false" ht="15" hidden="false" customHeight="false" outlineLevel="0" collapsed="false">
      <c r="A3600" s="31" t="n">
        <v>42885.9166666667</v>
      </c>
      <c r="B3600" s="32" t="n">
        <v>105.034</v>
      </c>
      <c r="D3600" s="33" t="n">
        <f aca="false">WEEKDAY(A3600,2)</f>
        <v>2</v>
      </c>
      <c r="E3600" s="33" t="n">
        <f aca="false">HOUR(A3600)+MINUTE(A3600)/60</f>
        <v>22</v>
      </c>
      <c r="F3600" s="33" t="n">
        <f aca="false">IF(OR(D3600&gt;5,E3600&lt;8,E3600&gt;=18,COUNTIF($K$2:$K$10,INT(A3600))&gt;0),1,0)</f>
        <v>1</v>
      </c>
      <c r="G3600" s="34" t="n">
        <f aca="false">B3600/1</f>
        <v>105.034</v>
      </c>
      <c r="H3600" s="34" t="n">
        <f aca="false">IF(F3600=1,G3600,"")</f>
        <v>105.034</v>
      </c>
    </row>
    <row r="3601" customFormat="false" ht="15" hidden="false" customHeight="false" outlineLevel="0" collapsed="false">
      <c r="A3601" s="31" t="n">
        <v>42885.9583333333</v>
      </c>
      <c r="B3601" s="32" t="n">
        <v>65.461</v>
      </c>
      <c r="D3601" s="33" t="n">
        <f aca="false">WEEKDAY(A3601,2)</f>
        <v>2</v>
      </c>
      <c r="E3601" s="33" t="n">
        <f aca="false">HOUR(A3601)+MINUTE(A3601)/60</f>
        <v>23</v>
      </c>
      <c r="F3601" s="33" t="n">
        <f aca="false">IF(OR(D3601&gt;5,E3601&lt;8,E3601&gt;=18,COUNTIF($K$2:$K$10,INT(A3601))&gt;0),1,0)</f>
        <v>1</v>
      </c>
      <c r="G3601" s="34" t="n">
        <f aca="false">B3601/1</f>
        <v>65.461</v>
      </c>
      <c r="H3601" s="34" t="n">
        <f aca="false">IF(F3601=1,G3601,"")</f>
        <v>65.461</v>
      </c>
    </row>
    <row r="3602" customFormat="false" ht="15" hidden="false" customHeight="false" outlineLevel="0" collapsed="false">
      <c r="A3602" s="31" t="n">
        <v>42886</v>
      </c>
      <c r="B3602" s="32" t="n">
        <v>61.079</v>
      </c>
      <c r="D3602" s="33" t="n">
        <f aca="false">WEEKDAY(A3602,2)</f>
        <v>3</v>
      </c>
      <c r="E3602" s="33" t="n">
        <f aca="false">HOUR(A3602)+MINUTE(A3602)/60</f>
        <v>0</v>
      </c>
      <c r="F3602" s="33" t="n">
        <f aca="false">IF(OR(D3602&gt;5,E3602&lt;8,E3602&gt;=18,COUNTIF($K$2:$K$10,INT(A3602))&gt;0),1,0)</f>
        <v>1</v>
      </c>
      <c r="G3602" s="34" t="n">
        <f aca="false">B3602/1</f>
        <v>61.079</v>
      </c>
      <c r="H3602" s="34" t="n">
        <f aca="false">IF(F3602=1,G3602,"")</f>
        <v>61.079</v>
      </c>
    </row>
    <row r="3603" customFormat="false" ht="15" hidden="false" customHeight="false" outlineLevel="0" collapsed="false">
      <c r="A3603" s="31" t="n">
        <v>42886.0416666667</v>
      </c>
      <c r="B3603" s="32" t="n">
        <v>55.031</v>
      </c>
      <c r="D3603" s="33" t="n">
        <f aca="false">WEEKDAY(A3603,2)</f>
        <v>3</v>
      </c>
      <c r="E3603" s="33" t="n">
        <f aca="false">HOUR(A3603)+MINUTE(A3603)/60</f>
        <v>1</v>
      </c>
      <c r="F3603" s="33" t="n">
        <f aca="false">IF(OR(D3603&gt;5,E3603&lt;8,E3603&gt;=18,COUNTIF($K$2:$K$10,INT(A3603))&gt;0),1,0)</f>
        <v>1</v>
      </c>
      <c r="G3603" s="34" t="n">
        <f aca="false">B3603/1</f>
        <v>55.031</v>
      </c>
      <c r="H3603" s="34" t="n">
        <f aca="false">IF(F3603=1,G3603,"")</f>
        <v>55.031</v>
      </c>
    </row>
    <row r="3604" customFormat="false" ht="15" hidden="false" customHeight="false" outlineLevel="0" collapsed="false">
      <c r="A3604" s="31" t="n">
        <v>42886.0833333333</v>
      </c>
      <c r="B3604" s="32" t="n">
        <v>52.695</v>
      </c>
      <c r="D3604" s="33" t="n">
        <f aca="false">WEEKDAY(A3604,2)</f>
        <v>3</v>
      </c>
      <c r="E3604" s="33" t="n">
        <f aca="false">HOUR(A3604)+MINUTE(A3604)/60</f>
        <v>2</v>
      </c>
      <c r="F3604" s="33" t="n">
        <f aca="false">IF(OR(D3604&gt;5,E3604&lt;8,E3604&gt;=18,COUNTIF($K$2:$K$10,INT(A3604))&gt;0),1,0)</f>
        <v>1</v>
      </c>
      <c r="G3604" s="34" t="n">
        <f aca="false">B3604/1</f>
        <v>52.695</v>
      </c>
      <c r="H3604" s="34" t="n">
        <f aca="false">IF(F3604=1,G3604,"")</f>
        <v>52.695</v>
      </c>
    </row>
    <row r="3605" customFormat="false" ht="15" hidden="false" customHeight="false" outlineLevel="0" collapsed="false">
      <c r="A3605" s="31" t="n">
        <v>42886.125</v>
      </c>
      <c r="B3605" s="32" t="n">
        <v>57.204</v>
      </c>
      <c r="D3605" s="33" t="n">
        <f aca="false">WEEKDAY(A3605,2)</f>
        <v>3</v>
      </c>
      <c r="E3605" s="33" t="n">
        <f aca="false">HOUR(A3605)+MINUTE(A3605)/60</f>
        <v>3</v>
      </c>
      <c r="F3605" s="33" t="n">
        <f aca="false">IF(OR(D3605&gt;5,E3605&lt;8,E3605&gt;=18,COUNTIF($K$2:$K$10,INT(A3605))&gt;0),1,0)</f>
        <v>1</v>
      </c>
      <c r="G3605" s="34" t="n">
        <f aca="false">B3605/1</f>
        <v>57.204</v>
      </c>
      <c r="H3605" s="34" t="n">
        <f aca="false">IF(F3605=1,G3605,"")</f>
        <v>57.204</v>
      </c>
    </row>
    <row r="3606" customFormat="false" ht="15" hidden="false" customHeight="false" outlineLevel="0" collapsed="false">
      <c r="A3606" s="31" t="n">
        <v>42886.1666666667</v>
      </c>
      <c r="B3606" s="32" t="n">
        <v>52.725</v>
      </c>
      <c r="D3606" s="33" t="n">
        <f aca="false">WEEKDAY(A3606,2)</f>
        <v>3</v>
      </c>
      <c r="E3606" s="33" t="n">
        <f aca="false">HOUR(A3606)+MINUTE(A3606)/60</f>
        <v>4</v>
      </c>
      <c r="F3606" s="33" t="n">
        <f aca="false">IF(OR(D3606&gt;5,E3606&lt;8,E3606&gt;=18,COUNTIF($K$2:$K$10,INT(A3606))&gt;0),1,0)</f>
        <v>1</v>
      </c>
      <c r="G3606" s="34" t="n">
        <f aca="false">B3606/1</f>
        <v>52.725</v>
      </c>
      <c r="H3606" s="34" t="n">
        <f aca="false">IF(F3606=1,G3606,"")</f>
        <v>52.725</v>
      </c>
    </row>
    <row r="3607" customFormat="false" ht="15" hidden="false" customHeight="false" outlineLevel="0" collapsed="false">
      <c r="A3607" s="31" t="n">
        <v>42886.2083333333</v>
      </c>
      <c r="B3607" s="32" t="n">
        <v>58.403</v>
      </c>
      <c r="D3607" s="33" t="n">
        <f aca="false">WEEKDAY(A3607,2)</f>
        <v>3</v>
      </c>
      <c r="E3607" s="33" t="n">
        <f aca="false">HOUR(A3607)+MINUTE(A3607)/60</f>
        <v>5</v>
      </c>
      <c r="F3607" s="33" t="n">
        <f aca="false">IF(OR(D3607&gt;5,E3607&lt;8,E3607&gt;=18,COUNTIF($K$2:$K$10,INT(A3607))&gt;0),1,0)</f>
        <v>1</v>
      </c>
      <c r="G3607" s="34" t="n">
        <f aca="false">B3607/1</f>
        <v>58.403</v>
      </c>
      <c r="H3607" s="34" t="n">
        <f aca="false">IF(F3607=1,G3607,"")</f>
        <v>58.403</v>
      </c>
    </row>
    <row r="3608" customFormat="false" ht="15" hidden="false" customHeight="false" outlineLevel="0" collapsed="false">
      <c r="A3608" s="31" t="n">
        <v>42886.25</v>
      </c>
      <c r="B3608" s="32" t="n">
        <v>55.253</v>
      </c>
      <c r="D3608" s="33" t="n">
        <f aca="false">WEEKDAY(A3608,2)</f>
        <v>3</v>
      </c>
      <c r="E3608" s="33" t="n">
        <f aca="false">HOUR(A3608)+MINUTE(A3608)/60</f>
        <v>6</v>
      </c>
      <c r="F3608" s="33" t="n">
        <f aca="false">IF(OR(D3608&gt;5,E3608&lt;8,E3608&gt;=18,COUNTIF($K$2:$K$10,INT(A3608))&gt;0),1,0)</f>
        <v>1</v>
      </c>
      <c r="G3608" s="34" t="n">
        <f aca="false">B3608/1</f>
        <v>55.253</v>
      </c>
      <c r="H3608" s="34" t="n">
        <f aca="false">IF(F3608=1,G3608,"")</f>
        <v>55.253</v>
      </c>
    </row>
    <row r="3609" customFormat="false" ht="15" hidden="false" customHeight="false" outlineLevel="0" collapsed="false">
      <c r="A3609" s="31" t="n">
        <v>42886.2916666667</v>
      </c>
      <c r="B3609" s="32" t="n">
        <v>60.815</v>
      </c>
      <c r="D3609" s="33" t="n">
        <f aca="false">WEEKDAY(A3609,2)</f>
        <v>3</v>
      </c>
      <c r="E3609" s="33" t="n">
        <f aca="false">HOUR(A3609)+MINUTE(A3609)/60</f>
        <v>7</v>
      </c>
      <c r="F3609" s="33" t="n">
        <f aca="false">IF(OR(D3609&gt;5,E3609&lt;8,E3609&gt;=18,COUNTIF($K$2:$K$10,INT(A3609))&gt;0),1,0)</f>
        <v>1</v>
      </c>
      <c r="G3609" s="34" t="n">
        <f aca="false">B3609/1</f>
        <v>60.815</v>
      </c>
      <c r="H3609" s="34" t="n">
        <f aca="false">IF(F3609=1,G3609,"")</f>
        <v>60.815</v>
      </c>
    </row>
    <row r="3610" customFormat="false" ht="15" hidden="false" customHeight="false" outlineLevel="0" collapsed="false">
      <c r="A3610" s="31" t="n">
        <v>42886.3333333333</v>
      </c>
      <c r="B3610" s="32" t="n">
        <v>140.753</v>
      </c>
      <c r="D3610" s="33" t="n">
        <f aca="false">WEEKDAY(A3610,2)</f>
        <v>3</v>
      </c>
      <c r="E3610" s="33" t="n">
        <f aca="false">HOUR(A3610)+MINUTE(A3610)/60</f>
        <v>8</v>
      </c>
      <c r="F3610" s="33" t="n">
        <f aca="false">IF(OR(D3610&gt;5,E3610&lt;8,E3610&gt;=18,COUNTIF($K$2:$K$10,INT(A3610))&gt;0),1,0)</f>
        <v>0</v>
      </c>
      <c r="G3610" s="34" t="n">
        <f aca="false">B3610/1</f>
        <v>140.753</v>
      </c>
      <c r="H3610" s="34" t="str">
        <f aca="false">IF(F3610=1,G3610,"")</f>
        <v/>
      </c>
    </row>
    <row r="3611" customFormat="false" ht="15" hidden="false" customHeight="false" outlineLevel="0" collapsed="false">
      <c r="A3611" s="31" t="n">
        <v>42886.375</v>
      </c>
      <c r="B3611" s="32" t="n">
        <v>170.892</v>
      </c>
      <c r="D3611" s="33" t="n">
        <f aca="false">WEEKDAY(A3611,2)</f>
        <v>3</v>
      </c>
      <c r="E3611" s="33" t="n">
        <f aca="false">HOUR(A3611)+MINUTE(A3611)/60</f>
        <v>9</v>
      </c>
      <c r="F3611" s="33" t="n">
        <f aca="false">IF(OR(D3611&gt;5,E3611&lt;8,E3611&gt;=18,COUNTIF($K$2:$K$10,INT(A3611))&gt;0),1,0)</f>
        <v>0</v>
      </c>
      <c r="G3611" s="34" t="n">
        <f aca="false">B3611/1</f>
        <v>170.892</v>
      </c>
      <c r="H3611" s="34" t="str">
        <f aca="false">IF(F3611=1,G3611,"")</f>
        <v/>
      </c>
    </row>
    <row r="3612" customFormat="false" ht="15" hidden="false" customHeight="false" outlineLevel="0" collapsed="false">
      <c r="A3612" s="31" t="n">
        <v>42886.4166666667</v>
      </c>
      <c r="B3612" s="32" t="n">
        <v>181.641</v>
      </c>
      <c r="D3612" s="33" t="n">
        <f aca="false">WEEKDAY(A3612,2)</f>
        <v>3</v>
      </c>
      <c r="E3612" s="33" t="n">
        <f aca="false">HOUR(A3612)+MINUTE(A3612)/60</f>
        <v>10</v>
      </c>
      <c r="F3612" s="33" t="n">
        <f aca="false">IF(OR(D3612&gt;5,E3612&lt;8,E3612&gt;=18,COUNTIF($K$2:$K$10,INT(A3612))&gt;0),1,0)</f>
        <v>0</v>
      </c>
      <c r="G3612" s="34" t="n">
        <f aca="false">B3612/1</f>
        <v>181.641</v>
      </c>
      <c r="H3612" s="34" t="str">
        <f aca="false">IF(F3612=1,G3612,"")</f>
        <v/>
      </c>
    </row>
    <row r="3613" customFormat="false" ht="15" hidden="false" customHeight="false" outlineLevel="0" collapsed="false">
      <c r="A3613" s="31" t="n">
        <v>42886.4583333333</v>
      </c>
      <c r="B3613" s="32" t="n">
        <v>192.877</v>
      </c>
      <c r="D3613" s="33" t="n">
        <f aca="false">WEEKDAY(A3613,2)</f>
        <v>3</v>
      </c>
      <c r="E3613" s="33" t="n">
        <f aca="false">HOUR(A3613)+MINUTE(A3613)/60</f>
        <v>11</v>
      </c>
      <c r="F3613" s="33" t="n">
        <f aca="false">IF(OR(D3613&gt;5,E3613&lt;8,E3613&gt;=18,COUNTIF($K$2:$K$10,INT(A3613))&gt;0),1,0)</f>
        <v>0</v>
      </c>
      <c r="G3613" s="34" t="n">
        <f aca="false">B3613/1</f>
        <v>192.877</v>
      </c>
      <c r="H3613" s="34" t="str">
        <f aca="false">IF(F3613=1,G3613,"")</f>
        <v/>
      </c>
    </row>
    <row r="3614" customFormat="false" ht="15" hidden="false" customHeight="false" outlineLevel="0" collapsed="false">
      <c r="A3614" s="31" t="n">
        <v>42886.5</v>
      </c>
      <c r="B3614" s="32" t="n">
        <v>192.268</v>
      </c>
      <c r="D3614" s="33" t="n">
        <f aca="false">WEEKDAY(A3614,2)</f>
        <v>3</v>
      </c>
      <c r="E3614" s="33" t="n">
        <f aca="false">HOUR(A3614)+MINUTE(A3614)/60</f>
        <v>12</v>
      </c>
      <c r="F3614" s="33" t="n">
        <f aca="false">IF(OR(D3614&gt;5,E3614&lt;8,E3614&gt;=18,COUNTIF($K$2:$K$10,INT(A3614))&gt;0),1,0)</f>
        <v>0</v>
      </c>
      <c r="G3614" s="34" t="n">
        <f aca="false">B3614/1</f>
        <v>192.268</v>
      </c>
      <c r="H3614" s="34" t="str">
        <f aca="false">IF(F3614=1,G3614,"")</f>
        <v/>
      </c>
    </row>
    <row r="3615" customFormat="false" ht="15" hidden="false" customHeight="false" outlineLevel="0" collapsed="false">
      <c r="A3615" s="31" t="n">
        <v>42886.5416666667</v>
      </c>
      <c r="B3615" s="32" t="n">
        <v>198.231</v>
      </c>
      <c r="D3615" s="33" t="n">
        <f aca="false">WEEKDAY(A3615,2)</f>
        <v>3</v>
      </c>
      <c r="E3615" s="33" t="n">
        <f aca="false">HOUR(A3615)+MINUTE(A3615)/60</f>
        <v>13</v>
      </c>
      <c r="F3615" s="33" t="n">
        <f aca="false">IF(OR(D3615&gt;5,E3615&lt;8,E3615&gt;=18,COUNTIF($K$2:$K$10,INT(A3615))&gt;0),1,0)</f>
        <v>0</v>
      </c>
      <c r="G3615" s="34" t="n">
        <f aca="false">B3615/1</f>
        <v>198.231</v>
      </c>
      <c r="H3615" s="34" t="str">
        <f aca="false">IF(F3615=1,G3615,"")</f>
        <v/>
      </c>
    </row>
    <row r="3616" customFormat="false" ht="15" hidden="false" customHeight="false" outlineLevel="0" collapsed="false">
      <c r="A3616" s="31" t="n">
        <v>42886.5833333333</v>
      </c>
      <c r="B3616" s="32" t="n">
        <v>198.191</v>
      </c>
      <c r="D3616" s="33" t="n">
        <f aca="false">WEEKDAY(A3616,2)</f>
        <v>3</v>
      </c>
      <c r="E3616" s="33" t="n">
        <f aca="false">HOUR(A3616)+MINUTE(A3616)/60</f>
        <v>14</v>
      </c>
      <c r="F3616" s="33" t="n">
        <f aca="false">IF(OR(D3616&gt;5,E3616&lt;8,E3616&gt;=18,COUNTIF($K$2:$K$10,INT(A3616))&gt;0),1,0)</f>
        <v>0</v>
      </c>
      <c r="G3616" s="34" t="n">
        <f aca="false">B3616/1</f>
        <v>198.191</v>
      </c>
      <c r="H3616" s="34" t="str">
        <f aca="false">IF(F3616=1,G3616,"")</f>
        <v/>
      </c>
    </row>
    <row r="3617" customFormat="false" ht="15" hidden="false" customHeight="false" outlineLevel="0" collapsed="false">
      <c r="A3617" s="31" t="n">
        <v>42886.625</v>
      </c>
      <c r="B3617" s="32" t="n">
        <v>190.803</v>
      </c>
      <c r="D3617" s="33" t="n">
        <f aca="false">WEEKDAY(A3617,2)</f>
        <v>3</v>
      </c>
      <c r="E3617" s="33" t="n">
        <f aca="false">HOUR(A3617)+MINUTE(A3617)/60</f>
        <v>15</v>
      </c>
      <c r="F3617" s="33" t="n">
        <f aca="false">IF(OR(D3617&gt;5,E3617&lt;8,E3617&gt;=18,COUNTIF($K$2:$K$10,INT(A3617))&gt;0),1,0)</f>
        <v>0</v>
      </c>
      <c r="G3617" s="34" t="n">
        <f aca="false">B3617/1</f>
        <v>190.803</v>
      </c>
      <c r="H3617" s="34" t="str">
        <f aca="false">IF(F3617=1,G3617,"")</f>
        <v/>
      </c>
    </row>
    <row r="3618" customFormat="false" ht="15" hidden="false" customHeight="false" outlineLevel="0" collapsed="false">
      <c r="A3618" s="31" t="n">
        <v>42886.6666666667</v>
      </c>
      <c r="B3618" s="32" t="n">
        <v>183.094</v>
      </c>
      <c r="D3618" s="33" t="n">
        <f aca="false">WEEKDAY(A3618,2)</f>
        <v>3</v>
      </c>
      <c r="E3618" s="33" t="n">
        <f aca="false">HOUR(A3618)+MINUTE(A3618)/60</f>
        <v>16</v>
      </c>
      <c r="F3618" s="33" t="n">
        <f aca="false">IF(OR(D3618&gt;5,E3618&lt;8,E3618&gt;=18,COUNTIF($K$2:$K$10,INT(A3618))&gt;0),1,0)</f>
        <v>0</v>
      </c>
      <c r="G3618" s="34" t="n">
        <f aca="false">B3618/1</f>
        <v>183.094</v>
      </c>
      <c r="H3618" s="34" t="str">
        <f aca="false">IF(F3618=1,G3618,"")</f>
        <v/>
      </c>
    </row>
    <row r="3619" customFormat="false" ht="15" hidden="false" customHeight="false" outlineLevel="0" collapsed="false">
      <c r="A3619" s="31" t="n">
        <v>42886.7083333333</v>
      </c>
      <c r="B3619" s="32" t="n">
        <v>169.636</v>
      </c>
      <c r="D3619" s="33" t="n">
        <f aca="false">WEEKDAY(A3619,2)</f>
        <v>3</v>
      </c>
      <c r="E3619" s="33" t="n">
        <f aca="false">HOUR(A3619)+MINUTE(A3619)/60</f>
        <v>17</v>
      </c>
      <c r="F3619" s="33" t="n">
        <f aca="false">IF(OR(D3619&gt;5,E3619&lt;8,E3619&gt;=18,COUNTIF($K$2:$K$10,INT(A3619))&gt;0),1,0)</f>
        <v>0</v>
      </c>
      <c r="G3619" s="34" t="n">
        <f aca="false">B3619/1</f>
        <v>169.636</v>
      </c>
      <c r="H3619" s="34" t="str">
        <f aca="false">IF(F3619=1,G3619,"")</f>
        <v/>
      </c>
    </row>
    <row r="3620" customFormat="false" ht="15" hidden="false" customHeight="false" outlineLevel="0" collapsed="false">
      <c r="A3620" s="31" t="n">
        <v>42886.75</v>
      </c>
      <c r="B3620" s="32" t="n">
        <v>159.331</v>
      </c>
      <c r="D3620" s="33" t="n">
        <f aca="false">WEEKDAY(A3620,2)</f>
        <v>3</v>
      </c>
      <c r="E3620" s="33" t="n">
        <f aca="false">HOUR(A3620)+MINUTE(A3620)/60</f>
        <v>18</v>
      </c>
      <c r="F3620" s="33" t="n">
        <f aca="false">IF(OR(D3620&gt;5,E3620&lt;8,E3620&gt;=18,COUNTIF($K$2:$K$10,INT(A3620))&gt;0),1,0)</f>
        <v>1</v>
      </c>
      <c r="G3620" s="34" t="n">
        <f aca="false">B3620/1</f>
        <v>159.331</v>
      </c>
      <c r="H3620" s="34" t="n">
        <f aca="false">IF(F3620=1,G3620,"")</f>
        <v>159.331</v>
      </c>
    </row>
    <row r="3621" customFormat="false" ht="15" hidden="false" customHeight="false" outlineLevel="0" collapsed="false">
      <c r="A3621" s="31" t="n">
        <v>42886.7916666667</v>
      </c>
      <c r="B3621" s="32" t="n">
        <v>148.007</v>
      </c>
      <c r="D3621" s="33" t="n">
        <f aca="false">WEEKDAY(A3621,2)</f>
        <v>3</v>
      </c>
      <c r="E3621" s="33" t="n">
        <f aca="false">HOUR(A3621)+MINUTE(A3621)/60</f>
        <v>19</v>
      </c>
      <c r="F3621" s="33" t="n">
        <f aca="false">IF(OR(D3621&gt;5,E3621&lt;8,E3621&gt;=18,COUNTIF($K$2:$K$10,INT(A3621))&gt;0),1,0)</f>
        <v>1</v>
      </c>
      <c r="G3621" s="34" t="n">
        <f aca="false">B3621/1</f>
        <v>148.007</v>
      </c>
      <c r="H3621" s="34" t="n">
        <f aca="false">IF(F3621=1,G3621,"")</f>
        <v>148.007</v>
      </c>
    </row>
    <row r="3622" customFormat="false" ht="15" hidden="false" customHeight="false" outlineLevel="0" collapsed="false">
      <c r="A3622" s="31" t="n">
        <v>42886.8333333333</v>
      </c>
      <c r="B3622" s="32" t="n">
        <v>154.629</v>
      </c>
      <c r="D3622" s="33" t="n">
        <f aca="false">WEEKDAY(A3622,2)</f>
        <v>3</v>
      </c>
      <c r="E3622" s="33" t="n">
        <f aca="false">HOUR(A3622)+MINUTE(A3622)/60</f>
        <v>20</v>
      </c>
      <c r="F3622" s="33" t="n">
        <f aca="false">IF(OR(D3622&gt;5,E3622&lt;8,E3622&gt;=18,COUNTIF($K$2:$K$10,INT(A3622))&gt;0),1,0)</f>
        <v>1</v>
      </c>
      <c r="G3622" s="34" t="n">
        <f aca="false">B3622/1</f>
        <v>154.629</v>
      </c>
      <c r="H3622" s="34" t="n">
        <f aca="false">IF(F3622=1,G3622,"")</f>
        <v>154.629</v>
      </c>
    </row>
    <row r="3623" customFormat="false" ht="15" hidden="false" customHeight="false" outlineLevel="0" collapsed="false">
      <c r="A3623" s="31" t="n">
        <v>42886.875</v>
      </c>
      <c r="B3623" s="32" t="n">
        <v>148.313</v>
      </c>
      <c r="D3623" s="33" t="n">
        <f aca="false">WEEKDAY(A3623,2)</f>
        <v>3</v>
      </c>
      <c r="E3623" s="33" t="n">
        <f aca="false">HOUR(A3623)+MINUTE(A3623)/60</f>
        <v>21</v>
      </c>
      <c r="F3623" s="33" t="n">
        <f aca="false">IF(OR(D3623&gt;5,E3623&lt;8,E3623&gt;=18,COUNTIF($K$2:$K$10,INT(A3623))&gt;0),1,0)</f>
        <v>1</v>
      </c>
      <c r="G3623" s="34" t="n">
        <f aca="false">B3623/1</f>
        <v>148.313</v>
      </c>
      <c r="H3623" s="34" t="n">
        <f aca="false">IF(F3623=1,G3623,"")</f>
        <v>148.313</v>
      </c>
    </row>
    <row r="3624" customFormat="false" ht="15" hidden="false" customHeight="false" outlineLevel="0" collapsed="false">
      <c r="A3624" s="31" t="n">
        <v>42886.9166666667</v>
      </c>
      <c r="B3624" s="32" t="n">
        <v>119.886</v>
      </c>
      <c r="D3624" s="33" t="n">
        <f aca="false">WEEKDAY(A3624,2)</f>
        <v>3</v>
      </c>
      <c r="E3624" s="33" t="n">
        <f aca="false">HOUR(A3624)+MINUTE(A3624)/60</f>
        <v>22</v>
      </c>
      <c r="F3624" s="33" t="n">
        <f aca="false">IF(OR(D3624&gt;5,E3624&lt;8,E3624&gt;=18,COUNTIF($K$2:$K$10,INT(A3624))&gt;0),1,0)</f>
        <v>1</v>
      </c>
      <c r="G3624" s="34" t="n">
        <f aca="false">B3624/1</f>
        <v>119.886</v>
      </c>
      <c r="H3624" s="34" t="n">
        <f aca="false">IF(F3624=1,G3624,"")</f>
        <v>119.886</v>
      </c>
    </row>
    <row r="3625" customFormat="false" ht="15" hidden="false" customHeight="false" outlineLevel="0" collapsed="false">
      <c r="A3625" s="31" t="n">
        <v>42886.9583333333</v>
      </c>
      <c r="B3625" s="32" t="n">
        <v>72.652</v>
      </c>
      <c r="D3625" s="33" t="n">
        <f aca="false">WEEKDAY(A3625,2)</f>
        <v>3</v>
      </c>
      <c r="E3625" s="33" t="n">
        <f aca="false">HOUR(A3625)+MINUTE(A3625)/60</f>
        <v>23</v>
      </c>
      <c r="F3625" s="33" t="n">
        <f aca="false">IF(OR(D3625&gt;5,E3625&lt;8,E3625&gt;=18,COUNTIF($K$2:$K$10,INT(A3625))&gt;0),1,0)</f>
        <v>1</v>
      </c>
      <c r="G3625" s="34" t="n">
        <f aca="false">B3625/1</f>
        <v>72.652</v>
      </c>
      <c r="H3625" s="34" t="n">
        <f aca="false">IF(F3625=1,G3625,"")</f>
        <v>72.652</v>
      </c>
    </row>
    <row r="3626" customFormat="false" ht="15" hidden="false" customHeight="false" outlineLevel="0" collapsed="false">
      <c r="A3626" s="31" t="n">
        <v>42887</v>
      </c>
      <c r="B3626" s="32" t="n">
        <v>63.156</v>
      </c>
      <c r="D3626" s="33" t="n">
        <f aca="false">WEEKDAY(A3626,2)</f>
        <v>4</v>
      </c>
      <c r="E3626" s="33" t="n">
        <f aca="false">HOUR(A3626)+MINUTE(A3626)/60</f>
        <v>0</v>
      </c>
      <c r="F3626" s="33" t="n">
        <f aca="false">IF(OR(D3626&gt;5,E3626&lt;8,E3626&gt;=18,COUNTIF($K$2:$K$10,INT(A3626))&gt;0),1,0)</f>
        <v>1</v>
      </c>
      <c r="G3626" s="34" t="n">
        <f aca="false">B3626/1</f>
        <v>63.156</v>
      </c>
      <c r="H3626" s="34" t="n">
        <f aca="false">IF(F3626=1,G3626,"")</f>
        <v>63.156</v>
      </c>
    </row>
    <row r="3627" customFormat="false" ht="15" hidden="false" customHeight="false" outlineLevel="0" collapsed="false">
      <c r="A3627" s="31" t="n">
        <v>42887.0416666667</v>
      </c>
      <c r="B3627" s="32" t="n">
        <v>63.602</v>
      </c>
      <c r="D3627" s="33" t="n">
        <f aca="false">WEEKDAY(A3627,2)</f>
        <v>4</v>
      </c>
      <c r="E3627" s="33" t="n">
        <f aca="false">HOUR(A3627)+MINUTE(A3627)/60</f>
        <v>1</v>
      </c>
      <c r="F3627" s="33" t="n">
        <f aca="false">IF(OR(D3627&gt;5,E3627&lt;8,E3627&gt;=18,COUNTIF($K$2:$K$10,INT(A3627))&gt;0),1,0)</f>
        <v>1</v>
      </c>
      <c r="G3627" s="34" t="n">
        <f aca="false">B3627/1</f>
        <v>63.602</v>
      </c>
      <c r="H3627" s="34" t="n">
        <f aca="false">IF(F3627=1,G3627,"")</f>
        <v>63.602</v>
      </c>
    </row>
    <row r="3628" customFormat="false" ht="15" hidden="false" customHeight="false" outlineLevel="0" collapsed="false">
      <c r="A3628" s="31" t="n">
        <v>42887.0833333333</v>
      </c>
      <c r="B3628" s="32" t="n">
        <v>62.789</v>
      </c>
      <c r="D3628" s="33" t="n">
        <f aca="false">WEEKDAY(A3628,2)</f>
        <v>4</v>
      </c>
      <c r="E3628" s="33" t="n">
        <f aca="false">HOUR(A3628)+MINUTE(A3628)/60</f>
        <v>2</v>
      </c>
      <c r="F3628" s="33" t="n">
        <f aca="false">IF(OR(D3628&gt;5,E3628&lt;8,E3628&gt;=18,COUNTIF($K$2:$K$10,INT(A3628))&gt;0),1,0)</f>
        <v>1</v>
      </c>
      <c r="G3628" s="34" t="n">
        <f aca="false">B3628/1</f>
        <v>62.789</v>
      </c>
      <c r="H3628" s="34" t="n">
        <f aca="false">IF(F3628=1,G3628,"")</f>
        <v>62.789</v>
      </c>
    </row>
    <row r="3629" customFormat="false" ht="15" hidden="false" customHeight="false" outlineLevel="0" collapsed="false">
      <c r="A3629" s="31" t="n">
        <v>42887.125</v>
      </c>
      <c r="B3629" s="32" t="n">
        <v>63.233</v>
      </c>
      <c r="D3629" s="33" t="n">
        <f aca="false">WEEKDAY(A3629,2)</f>
        <v>4</v>
      </c>
      <c r="E3629" s="33" t="n">
        <f aca="false">HOUR(A3629)+MINUTE(A3629)/60</f>
        <v>3</v>
      </c>
      <c r="F3629" s="33" t="n">
        <f aca="false">IF(OR(D3629&gt;5,E3629&lt;8,E3629&gt;=18,COUNTIF($K$2:$K$10,INT(A3629))&gt;0),1,0)</f>
        <v>1</v>
      </c>
      <c r="G3629" s="34" t="n">
        <f aca="false">B3629/1</f>
        <v>63.233</v>
      </c>
      <c r="H3629" s="34" t="n">
        <f aca="false">IF(F3629=1,G3629,"")</f>
        <v>63.233</v>
      </c>
    </row>
    <row r="3630" customFormat="false" ht="15" hidden="false" customHeight="false" outlineLevel="0" collapsed="false">
      <c r="A3630" s="31" t="n">
        <v>42887.1666666667</v>
      </c>
      <c r="B3630" s="32" t="n">
        <v>61.671</v>
      </c>
      <c r="D3630" s="33" t="n">
        <f aca="false">WEEKDAY(A3630,2)</f>
        <v>4</v>
      </c>
      <c r="E3630" s="33" t="n">
        <f aca="false">HOUR(A3630)+MINUTE(A3630)/60</f>
        <v>4</v>
      </c>
      <c r="F3630" s="33" t="n">
        <f aca="false">IF(OR(D3630&gt;5,E3630&lt;8,E3630&gt;=18,COUNTIF($K$2:$K$10,INT(A3630))&gt;0),1,0)</f>
        <v>1</v>
      </c>
      <c r="G3630" s="34" t="n">
        <f aca="false">B3630/1</f>
        <v>61.671</v>
      </c>
      <c r="H3630" s="34" t="n">
        <f aca="false">IF(F3630=1,G3630,"")</f>
        <v>61.671</v>
      </c>
    </row>
    <row r="3631" customFormat="false" ht="15" hidden="false" customHeight="false" outlineLevel="0" collapsed="false">
      <c r="A3631" s="31" t="n">
        <v>42887.2083333333</v>
      </c>
      <c r="B3631" s="32" t="n">
        <v>53.157</v>
      </c>
      <c r="D3631" s="33" t="n">
        <f aca="false">WEEKDAY(A3631,2)</f>
        <v>4</v>
      </c>
      <c r="E3631" s="33" t="n">
        <f aca="false">HOUR(A3631)+MINUTE(A3631)/60</f>
        <v>5</v>
      </c>
      <c r="F3631" s="33" t="n">
        <f aca="false">IF(OR(D3631&gt;5,E3631&lt;8,E3631&gt;=18,COUNTIF($K$2:$K$10,INT(A3631))&gt;0),1,0)</f>
        <v>1</v>
      </c>
      <c r="G3631" s="34" t="n">
        <f aca="false">B3631/1</f>
        <v>53.157</v>
      </c>
      <c r="H3631" s="34" t="n">
        <f aca="false">IF(F3631=1,G3631,"")</f>
        <v>53.157</v>
      </c>
    </row>
    <row r="3632" customFormat="false" ht="15" hidden="false" customHeight="false" outlineLevel="0" collapsed="false">
      <c r="A3632" s="31" t="n">
        <v>42887.25</v>
      </c>
      <c r="B3632" s="32" t="n">
        <v>62.857</v>
      </c>
      <c r="D3632" s="33" t="n">
        <f aca="false">WEEKDAY(A3632,2)</f>
        <v>4</v>
      </c>
      <c r="E3632" s="33" t="n">
        <f aca="false">HOUR(A3632)+MINUTE(A3632)/60</f>
        <v>6</v>
      </c>
      <c r="F3632" s="33" t="n">
        <f aca="false">IF(OR(D3632&gt;5,E3632&lt;8,E3632&gt;=18,COUNTIF($K$2:$K$10,INT(A3632))&gt;0),1,0)</f>
        <v>1</v>
      </c>
      <c r="G3632" s="34" t="n">
        <f aca="false">B3632/1</f>
        <v>62.857</v>
      </c>
      <c r="H3632" s="34" t="n">
        <f aca="false">IF(F3632=1,G3632,"")</f>
        <v>62.857</v>
      </c>
    </row>
    <row r="3633" customFormat="false" ht="15" hidden="false" customHeight="false" outlineLevel="0" collapsed="false">
      <c r="A3633" s="31" t="n">
        <v>42887.2916666667</v>
      </c>
      <c r="B3633" s="32" t="n">
        <v>63.481</v>
      </c>
      <c r="D3633" s="33" t="n">
        <f aca="false">WEEKDAY(A3633,2)</f>
        <v>4</v>
      </c>
      <c r="E3633" s="33" t="n">
        <f aca="false">HOUR(A3633)+MINUTE(A3633)/60</f>
        <v>7</v>
      </c>
      <c r="F3633" s="33" t="n">
        <f aca="false">IF(OR(D3633&gt;5,E3633&lt;8,E3633&gt;=18,COUNTIF($K$2:$K$10,INT(A3633))&gt;0),1,0)</f>
        <v>1</v>
      </c>
      <c r="G3633" s="34" t="n">
        <f aca="false">B3633/1</f>
        <v>63.481</v>
      </c>
      <c r="H3633" s="34" t="n">
        <f aca="false">IF(F3633=1,G3633,"")</f>
        <v>63.481</v>
      </c>
    </row>
    <row r="3634" customFormat="false" ht="15" hidden="false" customHeight="false" outlineLevel="0" collapsed="false">
      <c r="A3634" s="31" t="n">
        <v>42887.3333333333</v>
      </c>
      <c r="B3634" s="32" t="n">
        <v>145.901</v>
      </c>
      <c r="D3634" s="33" t="n">
        <f aca="false">WEEKDAY(A3634,2)</f>
        <v>4</v>
      </c>
      <c r="E3634" s="33" t="n">
        <f aca="false">HOUR(A3634)+MINUTE(A3634)/60</f>
        <v>8</v>
      </c>
      <c r="F3634" s="33" t="n">
        <f aca="false">IF(OR(D3634&gt;5,E3634&lt;8,E3634&gt;=18,COUNTIF($K$2:$K$10,INT(A3634))&gt;0),1,0)</f>
        <v>0</v>
      </c>
      <c r="G3634" s="34" t="n">
        <f aca="false">B3634/1</f>
        <v>145.901</v>
      </c>
      <c r="H3634" s="34" t="str">
        <f aca="false">IF(F3634=1,G3634,"")</f>
        <v/>
      </c>
    </row>
    <row r="3635" customFormat="false" ht="15" hidden="false" customHeight="false" outlineLevel="0" collapsed="false">
      <c r="A3635" s="31" t="n">
        <v>42887.375</v>
      </c>
      <c r="B3635" s="32" t="n">
        <v>163.52</v>
      </c>
      <c r="D3635" s="33" t="n">
        <f aca="false">WEEKDAY(A3635,2)</f>
        <v>4</v>
      </c>
      <c r="E3635" s="33" t="n">
        <f aca="false">HOUR(A3635)+MINUTE(A3635)/60</f>
        <v>9</v>
      </c>
      <c r="F3635" s="33" t="n">
        <f aca="false">IF(OR(D3635&gt;5,E3635&lt;8,E3635&gt;=18,COUNTIF($K$2:$K$10,INT(A3635))&gt;0),1,0)</f>
        <v>0</v>
      </c>
      <c r="G3635" s="34" t="n">
        <f aca="false">B3635/1</f>
        <v>163.52</v>
      </c>
      <c r="H3635" s="34" t="str">
        <f aca="false">IF(F3635=1,G3635,"")</f>
        <v/>
      </c>
    </row>
    <row r="3636" customFormat="false" ht="15" hidden="false" customHeight="false" outlineLevel="0" collapsed="false">
      <c r="A3636" s="31" t="n">
        <v>42887.4166666667</v>
      </c>
      <c r="B3636" s="32" t="n">
        <v>182.523</v>
      </c>
      <c r="D3636" s="33" t="n">
        <f aca="false">WEEKDAY(A3636,2)</f>
        <v>4</v>
      </c>
      <c r="E3636" s="33" t="n">
        <f aca="false">HOUR(A3636)+MINUTE(A3636)/60</f>
        <v>10</v>
      </c>
      <c r="F3636" s="33" t="n">
        <f aca="false">IF(OR(D3636&gt;5,E3636&lt;8,E3636&gt;=18,COUNTIF($K$2:$K$10,INT(A3636))&gt;0),1,0)</f>
        <v>0</v>
      </c>
      <c r="G3636" s="34" t="n">
        <f aca="false">B3636/1</f>
        <v>182.523</v>
      </c>
      <c r="H3636" s="34" t="str">
        <f aca="false">IF(F3636=1,G3636,"")</f>
        <v/>
      </c>
    </row>
    <row r="3637" customFormat="false" ht="15" hidden="false" customHeight="false" outlineLevel="0" collapsed="false">
      <c r="A3637" s="31" t="n">
        <v>42887.4583333333</v>
      </c>
      <c r="B3637" s="32" t="n">
        <v>185.745</v>
      </c>
      <c r="D3637" s="33" t="n">
        <f aca="false">WEEKDAY(A3637,2)</f>
        <v>4</v>
      </c>
      <c r="E3637" s="33" t="n">
        <f aca="false">HOUR(A3637)+MINUTE(A3637)/60</f>
        <v>11</v>
      </c>
      <c r="F3637" s="33" t="n">
        <f aca="false">IF(OR(D3637&gt;5,E3637&lt;8,E3637&gt;=18,COUNTIF($K$2:$K$10,INT(A3637))&gt;0),1,0)</f>
        <v>0</v>
      </c>
      <c r="G3637" s="34" t="n">
        <f aca="false">B3637/1</f>
        <v>185.745</v>
      </c>
      <c r="H3637" s="34" t="str">
        <f aca="false">IF(F3637=1,G3637,"")</f>
        <v/>
      </c>
    </row>
    <row r="3638" customFormat="false" ht="15" hidden="false" customHeight="false" outlineLevel="0" collapsed="false">
      <c r="A3638" s="31" t="n">
        <v>42887.5</v>
      </c>
      <c r="B3638" s="32" t="n">
        <v>182.035</v>
      </c>
      <c r="D3638" s="33" t="n">
        <f aca="false">WEEKDAY(A3638,2)</f>
        <v>4</v>
      </c>
      <c r="E3638" s="33" t="n">
        <f aca="false">HOUR(A3638)+MINUTE(A3638)/60</f>
        <v>12</v>
      </c>
      <c r="F3638" s="33" t="n">
        <f aca="false">IF(OR(D3638&gt;5,E3638&lt;8,E3638&gt;=18,COUNTIF($K$2:$K$10,INT(A3638))&gt;0),1,0)</f>
        <v>0</v>
      </c>
      <c r="G3638" s="34" t="n">
        <f aca="false">B3638/1</f>
        <v>182.035</v>
      </c>
      <c r="H3638" s="34" t="str">
        <f aca="false">IF(F3638=1,G3638,"")</f>
        <v/>
      </c>
    </row>
    <row r="3639" customFormat="false" ht="15" hidden="false" customHeight="false" outlineLevel="0" collapsed="false">
      <c r="A3639" s="31" t="n">
        <v>42887.5416666667</v>
      </c>
      <c r="B3639" s="32" t="n">
        <v>185.946</v>
      </c>
      <c r="D3639" s="33" t="n">
        <f aca="false">WEEKDAY(A3639,2)</f>
        <v>4</v>
      </c>
      <c r="E3639" s="33" t="n">
        <f aca="false">HOUR(A3639)+MINUTE(A3639)/60</f>
        <v>13</v>
      </c>
      <c r="F3639" s="33" t="n">
        <f aca="false">IF(OR(D3639&gt;5,E3639&lt;8,E3639&gt;=18,COUNTIF($K$2:$K$10,INT(A3639))&gt;0),1,0)</f>
        <v>0</v>
      </c>
      <c r="G3639" s="34" t="n">
        <f aca="false">B3639/1</f>
        <v>185.946</v>
      </c>
      <c r="H3639" s="34" t="str">
        <f aca="false">IF(F3639=1,G3639,"")</f>
        <v/>
      </c>
    </row>
    <row r="3640" customFormat="false" ht="15" hidden="false" customHeight="false" outlineLevel="0" collapsed="false">
      <c r="A3640" s="31" t="n">
        <v>42887.5833333333</v>
      </c>
      <c r="B3640" s="32" t="n">
        <v>191.143</v>
      </c>
      <c r="D3640" s="33" t="n">
        <f aca="false">WEEKDAY(A3640,2)</f>
        <v>4</v>
      </c>
      <c r="E3640" s="33" t="n">
        <f aca="false">HOUR(A3640)+MINUTE(A3640)/60</f>
        <v>14</v>
      </c>
      <c r="F3640" s="33" t="n">
        <f aca="false">IF(OR(D3640&gt;5,E3640&lt;8,E3640&gt;=18,COUNTIF($K$2:$K$10,INT(A3640))&gt;0),1,0)</f>
        <v>0</v>
      </c>
      <c r="G3640" s="34" t="n">
        <f aca="false">B3640/1</f>
        <v>191.143</v>
      </c>
      <c r="H3640" s="34" t="str">
        <f aca="false">IF(F3640=1,G3640,"")</f>
        <v/>
      </c>
    </row>
    <row r="3641" customFormat="false" ht="15" hidden="false" customHeight="false" outlineLevel="0" collapsed="false">
      <c r="A3641" s="31" t="n">
        <v>42887.625</v>
      </c>
      <c r="B3641" s="32" t="n">
        <v>192.593</v>
      </c>
      <c r="D3641" s="33" t="n">
        <f aca="false">WEEKDAY(A3641,2)</f>
        <v>4</v>
      </c>
      <c r="E3641" s="33" t="n">
        <f aca="false">HOUR(A3641)+MINUTE(A3641)/60</f>
        <v>15</v>
      </c>
      <c r="F3641" s="33" t="n">
        <f aca="false">IF(OR(D3641&gt;5,E3641&lt;8,E3641&gt;=18,COUNTIF($K$2:$K$10,INT(A3641))&gt;0),1,0)</f>
        <v>0</v>
      </c>
      <c r="G3641" s="34" t="n">
        <f aca="false">B3641/1</f>
        <v>192.593</v>
      </c>
      <c r="H3641" s="34" t="str">
        <f aca="false">IF(F3641=1,G3641,"")</f>
        <v/>
      </c>
    </row>
    <row r="3642" customFormat="false" ht="15" hidden="false" customHeight="false" outlineLevel="0" collapsed="false">
      <c r="A3642" s="31" t="n">
        <v>42887.6666666667</v>
      </c>
      <c r="B3642" s="32" t="n">
        <v>189.39</v>
      </c>
      <c r="D3642" s="33" t="n">
        <f aca="false">WEEKDAY(A3642,2)</f>
        <v>4</v>
      </c>
      <c r="E3642" s="33" t="n">
        <f aca="false">HOUR(A3642)+MINUTE(A3642)/60</f>
        <v>16</v>
      </c>
      <c r="F3642" s="33" t="n">
        <f aca="false">IF(OR(D3642&gt;5,E3642&lt;8,E3642&gt;=18,COUNTIF($K$2:$K$10,INT(A3642))&gt;0),1,0)</f>
        <v>0</v>
      </c>
      <c r="G3642" s="34" t="n">
        <f aca="false">B3642/1</f>
        <v>189.39</v>
      </c>
      <c r="H3642" s="34" t="str">
        <f aca="false">IF(F3642=1,G3642,"")</f>
        <v/>
      </c>
    </row>
    <row r="3643" customFormat="false" ht="15" hidden="false" customHeight="false" outlineLevel="0" collapsed="false">
      <c r="A3643" s="31" t="n">
        <v>42887.7083333333</v>
      </c>
      <c r="B3643" s="32" t="n">
        <v>177.742</v>
      </c>
      <c r="D3643" s="33" t="n">
        <f aca="false">WEEKDAY(A3643,2)</f>
        <v>4</v>
      </c>
      <c r="E3643" s="33" t="n">
        <f aca="false">HOUR(A3643)+MINUTE(A3643)/60</f>
        <v>17</v>
      </c>
      <c r="F3643" s="33" t="n">
        <f aca="false">IF(OR(D3643&gt;5,E3643&lt;8,E3643&gt;=18,COUNTIF($K$2:$K$10,INT(A3643))&gt;0),1,0)</f>
        <v>0</v>
      </c>
      <c r="G3643" s="34" t="n">
        <f aca="false">B3643/1</f>
        <v>177.742</v>
      </c>
      <c r="H3643" s="34" t="str">
        <f aca="false">IF(F3643=1,G3643,"")</f>
        <v/>
      </c>
    </row>
    <row r="3644" customFormat="false" ht="15" hidden="false" customHeight="false" outlineLevel="0" collapsed="false">
      <c r="A3644" s="31" t="n">
        <v>42887.75</v>
      </c>
      <c r="B3644" s="32" t="n">
        <v>165.001</v>
      </c>
      <c r="D3644" s="33" t="n">
        <f aca="false">WEEKDAY(A3644,2)</f>
        <v>4</v>
      </c>
      <c r="E3644" s="33" t="n">
        <f aca="false">HOUR(A3644)+MINUTE(A3644)/60</f>
        <v>18</v>
      </c>
      <c r="F3644" s="33" t="n">
        <f aca="false">IF(OR(D3644&gt;5,E3644&lt;8,E3644&gt;=18,COUNTIF($K$2:$K$10,INT(A3644))&gt;0),1,0)</f>
        <v>1</v>
      </c>
      <c r="G3644" s="34" t="n">
        <f aca="false">B3644/1</f>
        <v>165.001</v>
      </c>
      <c r="H3644" s="34" t="n">
        <f aca="false">IF(F3644=1,G3644,"")</f>
        <v>165.001</v>
      </c>
    </row>
    <row r="3645" customFormat="false" ht="15" hidden="false" customHeight="false" outlineLevel="0" collapsed="false">
      <c r="A3645" s="31" t="n">
        <v>42887.7916666667</v>
      </c>
      <c r="B3645" s="32" t="n">
        <v>162.445</v>
      </c>
      <c r="D3645" s="33" t="n">
        <f aca="false">WEEKDAY(A3645,2)</f>
        <v>4</v>
      </c>
      <c r="E3645" s="33" t="n">
        <f aca="false">HOUR(A3645)+MINUTE(A3645)/60</f>
        <v>19</v>
      </c>
      <c r="F3645" s="33" t="n">
        <f aca="false">IF(OR(D3645&gt;5,E3645&lt;8,E3645&gt;=18,COUNTIF($K$2:$K$10,INT(A3645))&gt;0),1,0)</f>
        <v>1</v>
      </c>
      <c r="G3645" s="34" t="n">
        <f aca="false">B3645/1</f>
        <v>162.445</v>
      </c>
      <c r="H3645" s="34" t="n">
        <f aca="false">IF(F3645=1,G3645,"")</f>
        <v>162.445</v>
      </c>
    </row>
    <row r="3646" customFormat="false" ht="15" hidden="false" customHeight="false" outlineLevel="0" collapsed="false">
      <c r="A3646" s="31" t="n">
        <v>42887.8333333333</v>
      </c>
      <c r="B3646" s="32" t="n">
        <v>154.648</v>
      </c>
      <c r="D3646" s="33" t="n">
        <f aca="false">WEEKDAY(A3646,2)</f>
        <v>4</v>
      </c>
      <c r="E3646" s="33" t="n">
        <f aca="false">HOUR(A3646)+MINUTE(A3646)/60</f>
        <v>20</v>
      </c>
      <c r="F3646" s="33" t="n">
        <f aca="false">IF(OR(D3646&gt;5,E3646&lt;8,E3646&gt;=18,COUNTIF($K$2:$K$10,INT(A3646))&gt;0),1,0)</f>
        <v>1</v>
      </c>
      <c r="G3646" s="34" t="n">
        <f aca="false">B3646/1</f>
        <v>154.648</v>
      </c>
      <c r="H3646" s="34" t="n">
        <f aca="false">IF(F3646=1,G3646,"")</f>
        <v>154.648</v>
      </c>
    </row>
    <row r="3647" customFormat="false" ht="15" hidden="false" customHeight="false" outlineLevel="0" collapsed="false">
      <c r="A3647" s="31" t="n">
        <v>42887.875</v>
      </c>
      <c r="B3647" s="32" t="n">
        <v>150.777</v>
      </c>
      <c r="D3647" s="33" t="n">
        <f aca="false">WEEKDAY(A3647,2)</f>
        <v>4</v>
      </c>
      <c r="E3647" s="33" t="n">
        <f aca="false">HOUR(A3647)+MINUTE(A3647)/60</f>
        <v>21</v>
      </c>
      <c r="F3647" s="33" t="n">
        <f aca="false">IF(OR(D3647&gt;5,E3647&lt;8,E3647&gt;=18,COUNTIF($K$2:$K$10,INT(A3647))&gt;0),1,0)</f>
        <v>1</v>
      </c>
      <c r="G3647" s="34" t="n">
        <f aca="false">B3647/1</f>
        <v>150.777</v>
      </c>
      <c r="H3647" s="34" t="n">
        <f aca="false">IF(F3647=1,G3647,"")</f>
        <v>150.777</v>
      </c>
    </row>
    <row r="3648" customFormat="false" ht="15" hidden="false" customHeight="false" outlineLevel="0" collapsed="false">
      <c r="A3648" s="31" t="n">
        <v>42887.9166666667</v>
      </c>
      <c r="B3648" s="32" t="n">
        <v>107.881</v>
      </c>
      <c r="D3648" s="33" t="n">
        <f aca="false">WEEKDAY(A3648,2)</f>
        <v>4</v>
      </c>
      <c r="E3648" s="33" t="n">
        <f aca="false">HOUR(A3648)+MINUTE(A3648)/60</f>
        <v>22</v>
      </c>
      <c r="F3648" s="33" t="n">
        <f aca="false">IF(OR(D3648&gt;5,E3648&lt;8,E3648&gt;=18,COUNTIF($K$2:$K$10,INT(A3648))&gt;0),1,0)</f>
        <v>1</v>
      </c>
      <c r="G3648" s="34" t="n">
        <f aca="false">B3648/1</f>
        <v>107.881</v>
      </c>
      <c r="H3648" s="34" t="n">
        <f aca="false">IF(F3648=1,G3648,"")</f>
        <v>107.881</v>
      </c>
    </row>
    <row r="3649" customFormat="false" ht="15" hidden="false" customHeight="false" outlineLevel="0" collapsed="false">
      <c r="A3649" s="31" t="n">
        <v>42887.9583333333</v>
      </c>
      <c r="B3649" s="32" t="n">
        <v>63.819</v>
      </c>
      <c r="D3649" s="33" t="n">
        <f aca="false">WEEKDAY(A3649,2)</f>
        <v>4</v>
      </c>
      <c r="E3649" s="33" t="n">
        <f aca="false">HOUR(A3649)+MINUTE(A3649)/60</f>
        <v>23</v>
      </c>
      <c r="F3649" s="33" t="n">
        <f aca="false">IF(OR(D3649&gt;5,E3649&lt;8,E3649&gt;=18,COUNTIF($K$2:$K$10,INT(A3649))&gt;0),1,0)</f>
        <v>1</v>
      </c>
      <c r="G3649" s="34" t="n">
        <f aca="false">B3649/1</f>
        <v>63.819</v>
      </c>
      <c r="H3649" s="34" t="n">
        <f aca="false">IF(F3649=1,G3649,"")</f>
        <v>63.819</v>
      </c>
    </row>
    <row r="3650" customFormat="false" ht="15" hidden="false" customHeight="false" outlineLevel="0" collapsed="false">
      <c r="A3650" s="31" t="n">
        <v>42888</v>
      </c>
      <c r="B3650" s="32" t="n">
        <v>56.306</v>
      </c>
      <c r="D3650" s="33" t="n">
        <f aca="false">WEEKDAY(A3650,2)</f>
        <v>5</v>
      </c>
      <c r="E3650" s="33" t="n">
        <f aca="false">HOUR(A3650)+MINUTE(A3650)/60</f>
        <v>0</v>
      </c>
      <c r="F3650" s="33" t="n">
        <f aca="false">IF(OR(D3650&gt;5,E3650&lt;8,E3650&gt;=18,COUNTIF($K$2:$K$10,INT(A3650))&gt;0),1,0)</f>
        <v>1</v>
      </c>
      <c r="G3650" s="34" t="n">
        <f aca="false">B3650/1</f>
        <v>56.306</v>
      </c>
      <c r="H3650" s="34" t="n">
        <f aca="false">IF(F3650=1,G3650,"")</f>
        <v>56.306</v>
      </c>
    </row>
    <row r="3651" customFormat="false" ht="15" hidden="false" customHeight="false" outlineLevel="0" collapsed="false">
      <c r="A3651" s="31" t="n">
        <v>42888.0416666667</v>
      </c>
      <c r="B3651" s="32" t="n">
        <v>60.915</v>
      </c>
      <c r="D3651" s="33" t="n">
        <f aca="false">WEEKDAY(A3651,2)</f>
        <v>5</v>
      </c>
      <c r="E3651" s="33" t="n">
        <f aca="false">HOUR(A3651)+MINUTE(A3651)/60</f>
        <v>1</v>
      </c>
      <c r="F3651" s="33" t="n">
        <f aca="false">IF(OR(D3651&gt;5,E3651&lt;8,E3651&gt;=18,COUNTIF($K$2:$K$10,INT(A3651))&gt;0),1,0)</f>
        <v>1</v>
      </c>
      <c r="G3651" s="34" t="n">
        <f aca="false">B3651/1</f>
        <v>60.915</v>
      </c>
      <c r="H3651" s="34" t="n">
        <f aca="false">IF(F3651=1,G3651,"")</f>
        <v>60.915</v>
      </c>
    </row>
    <row r="3652" customFormat="false" ht="15" hidden="false" customHeight="false" outlineLevel="0" collapsed="false">
      <c r="A3652" s="31" t="n">
        <v>42888.0833333333</v>
      </c>
      <c r="B3652" s="32" t="n">
        <v>57.812</v>
      </c>
      <c r="D3652" s="33" t="n">
        <f aca="false">WEEKDAY(A3652,2)</f>
        <v>5</v>
      </c>
      <c r="E3652" s="33" t="n">
        <f aca="false">HOUR(A3652)+MINUTE(A3652)/60</f>
        <v>2</v>
      </c>
      <c r="F3652" s="33" t="n">
        <f aca="false">IF(OR(D3652&gt;5,E3652&lt;8,E3652&gt;=18,COUNTIF($K$2:$K$10,INT(A3652))&gt;0),1,0)</f>
        <v>1</v>
      </c>
      <c r="G3652" s="34" t="n">
        <f aca="false">B3652/1</f>
        <v>57.812</v>
      </c>
      <c r="H3652" s="34" t="n">
        <f aca="false">IF(F3652=1,G3652,"")</f>
        <v>57.812</v>
      </c>
    </row>
    <row r="3653" customFormat="false" ht="15" hidden="false" customHeight="false" outlineLevel="0" collapsed="false">
      <c r="A3653" s="31" t="n">
        <v>42888.125</v>
      </c>
      <c r="B3653" s="32" t="n">
        <v>55.878</v>
      </c>
      <c r="D3653" s="33" t="n">
        <f aca="false">WEEKDAY(A3653,2)</f>
        <v>5</v>
      </c>
      <c r="E3653" s="33" t="n">
        <f aca="false">HOUR(A3653)+MINUTE(A3653)/60</f>
        <v>3</v>
      </c>
      <c r="F3653" s="33" t="n">
        <f aca="false">IF(OR(D3653&gt;5,E3653&lt;8,E3653&gt;=18,COUNTIF($K$2:$K$10,INT(A3653))&gt;0),1,0)</f>
        <v>1</v>
      </c>
      <c r="G3653" s="34" t="n">
        <f aca="false">B3653/1</f>
        <v>55.878</v>
      </c>
      <c r="H3653" s="34" t="n">
        <f aca="false">IF(F3653=1,G3653,"")</f>
        <v>55.878</v>
      </c>
    </row>
    <row r="3654" customFormat="false" ht="15" hidden="false" customHeight="false" outlineLevel="0" collapsed="false">
      <c r="A3654" s="31" t="n">
        <v>42888.1666666667</v>
      </c>
      <c r="B3654" s="32" t="n">
        <v>57.041</v>
      </c>
      <c r="D3654" s="33" t="n">
        <f aca="false">WEEKDAY(A3654,2)</f>
        <v>5</v>
      </c>
      <c r="E3654" s="33" t="n">
        <f aca="false">HOUR(A3654)+MINUTE(A3654)/60</f>
        <v>4</v>
      </c>
      <c r="F3654" s="33" t="n">
        <f aca="false">IF(OR(D3654&gt;5,E3654&lt;8,E3654&gt;=18,COUNTIF($K$2:$K$10,INT(A3654))&gt;0),1,0)</f>
        <v>1</v>
      </c>
      <c r="G3654" s="34" t="n">
        <f aca="false">B3654/1</f>
        <v>57.041</v>
      </c>
      <c r="H3654" s="34" t="n">
        <f aca="false">IF(F3654=1,G3654,"")</f>
        <v>57.041</v>
      </c>
    </row>
    <row r="3655" customFormat="false" ht="15" hidden="false" customHeight="false" outlineLevel="0" collapsed="false">
      <c r="A3655" s="31" t="n">
        <v>42888.2083333333</v>
      </c>
      <c r="B3655" s="32" t="n">
        <v>56.278</v>
      </c>
      <c r="D3655" s="33" t="n">
        <f aca="false">WEEKDAY(A3655,2)</f>
        <v>5</v>
      </c>
      <c r="E3655" s="33" t="n">
        <f aca="false">HOUR(A3655)+MINUTE(A3655)/60</f>
        <v>5</v>
      </c>
      <c r="F3655" s="33" t="n">
        <f aca="false">IF(OR(D3655&gt;5,E3655&lt;8,E3655&gt;=18,COUNTIF($K$2:$K$10,INT(A3655))&gt;0),1,0)</f>
        <v>1</v>
      </c>
      <c r="G3655" s="34" t="n">
        <f aca="false">B3655/1</f>
        <v>56.278</v>
      </c>
      <c r="H3655" s="34" t="n">
        <f aca="false">IF(F3655=1,G3655,"")</f>
        <v>56.278</v>
      </c>
    </row>
    <row r="3656" customFormat="false" ht="15" hidden="false" customHeight="false" outlineLevel="0" collapsed="false">
      <c r="A3656" s="31" t="n">
        <v>42888.25</v>
      </c>
      <c r="B3656" s="32" t="n">
        <v>56.456</v>
      </c>
      <c r="D3656" s="33" t="n">
        <f aca="false">WEEKDAY(A3656,2)</f>
        <v>5</v>
      </c>
      <c r="E3656" s="33" t="n">
        <f aca="false">HOUR(A3656)+MINUTE(A3656)/60</f>
        <v>6</v>
      </c>
      <c r="F3656" s="33" t="n">
        <f aca="false">IF(OR(D3656&gt;5,E3656&lt;8,E3656&gt;=18,COUNTIF($K$2:$K$10,INT(A3656))&gt;0),1,0)</f>
        <v>1</v>
      </c>
      <c r="G3656" s="34" t="n">
        <f aca="false">B3656/1</f>
        <v>56.456</v>
      </c>
      <c r="H3656" s="34" t="n">
        <f aca="false">IF(F3656=1,G3656,"")</f>
        <v>56.456</v>
      </c>
    </row>
    <row r="3657" customFormat="false" ht="15" hidden="false" customHeight="false" outlineLevel="0" collapsed="false">
      <c r="A3657" s="31" t="n">
        <v>42888.2916666667</v>
      </c>
      <c r="B3657" s="32" t="n">
        <v>65.911</v>
      </c>
      <c r="D3657" s="33" t="n">
        <f aca="false">WEEKDAY(A3657,2)</f>
        <v>5</v>
      </c>
      <c r="E3657" s="33" t="n">
        <f aca="false">HOUR(A3657)+MINUTE(A3657)/60</f>
        <v>7</v>
      </c>
      <c r="F3657" s="33" t="n">
        <f aca="false">IF(OR(D3657&gt;5,E3657&lt;8,E3657&gt;=18,COUNTIF($K$2:$K$10,INT(A3657))&gt;0),1,0)</f>
        <v>1</v>
      </c>
      <c r="G3657" s="34" t="n">
        <f aca="false">B3657/1</f>
        <v>65.911</v>
      </c>
      <c r="H3657" s="34" t="n">
        <f aca="false">IF(F3657=1,G3657,"")</f>
        <v>65.911</v>
      </c>
    </row>
    <row r="3658" customFormat="false" ht="15" hidden="false" customHeight="false" outlineLevel="0" collapsed="false">
      <c r="A3658" s="31" t="n">
        <v>42888.3333333333</v>
      </c>
      <c r="B3658" s="32" t="n">
        <v>137.727</v>
      </c>
      <c r="D3658" s="33" t="n">
        <f aca="false">WEEKDAY(A3658,2)</f>
        <v>5</v>
      </c>
      <c r="E3658" s="33" t="n">
        <f aca="false">HOUR(A3658)+MINUTE(A3658)/60</f>
        <v>8</v>
      </c>
      <c r="F3658" s="33" t="n">
        <f aca="false">IF(OR(D3658&gt;5,E3658&lt;8,E3658&gt;=18,COUNTIF($K$2:$K$10,INT(A3658))&gt;0),1,0)</f>
        <v>0</v>
      </c>
      <c r="G3658" s="34" t="n">
        <f aca="false">B3658/1</f>
        <v>137.727</v>
      </c>
      <c r="H3658" s="34" t="str">
        <f aca="false">IF(F3658=1,G3658,"")</f>
        <v/>
      </c>
    </row>
    <row r="3659" customFormat="false" ht="15" hidden="false" customHeight="false" outlineLevel="0" collapsed="false">
      <c r="A3659" s="31" t="n">
        <v>42888.375</v>
      </c>
      <c r="B3659" s="32" t="n">
        <v>158.156</v>
      </c>
      <c r="D3659" s="33" t="n">
        <f aca="false">WEEKDAY(A3659,2)</f>
        <v>5</v>
      </c>
      <c r="E3659" s="33" t="n">
        <f aca="false">HOUR(A3659)+MINUTE(A3659)/60</f>
        <v>9</v>
      </c>
      <c r="F3659" s="33" t="n">
        <f aca="false">IF(OR(D3659&gt;5,E3659&lt;8,E3659&gt;=18,COUNTIF($K$2:$K$10,INT(A3659))&gt;0),1,0)</f>
        <v>0</v>
      </c>
      <c r="G3659" s="34" t="n">
        <f aca="false">B3659/1</f>
        <v>158.156</v>
      </c>
      <c r="H3659" s="34" t="str">
        <f aca="false">IF(F3659=1,G3659,"")</f>
        <v/>
      </c>
    </row>
    <row r="3660" customFormat="false" ht="15" hidden="false" customHeight="false" outlineLevel="0" collapsed="false">
      <c r="A3660" s="31" t="n">
        <v>42888.4166666667</v>
      </c>
      <c r="B3660" s="32" t="n">
        <v>165.121</v>
      </c>
      <c r="D3660" s="33" t="n">
        <f aca="false">WEEKDAY(A3660,2)</f>
        <v>5</v>
      </c>
      <c r="E3660" s="33" t="n">
        <f aca="false">HOUR(A3660)+MINUTE(A3660)/60</f>
        <v>10</v>
      </c>
      <c r="F3660" s="33" t="n">
        <f aca="false">IF(OR(D3660&gt;5,E3660&lt;8,E3660&gt;=18,COUNTIF($K$2:$K$10,INT(A3660))&gt;0),1,0)</f>
        <v>0</v>
      </c>
      <c r="G3660" s="34" t="n">
        <f aca="false">B3660/1</f>
        <v>165.121</v>
      </c>
      <c r="H3660" s="34" t="str">
        <f aca="false">IF(F3660=1,G3660,"")</f>
        <v/>
      </c>
    </row>
    <row r="3661" customFormat="false" ht="15" hidden="false" customHeight="false" outlineLevel="0" collapsed="false">
      <c r="A3661" s="31" t="n">
        <v>42888.4583333333</v>
      </c>
      <c r="B3661" s="32" t="n">
        <v>170.592</v>
      </c>
      <c r="D3661" s="33" t="n">
        <f aca="false">WEEKDAY(A3661,2)</f>
        <v>5</v>
      </c>
      <c r="E3661" s="33" t="n">
        <f aca="false">HOUR(A3661)+MINUTE(A3661)/60</f>
        <v>11</v>
      </c>
      <c r="F3661" s="33" t="n">
        <f aca="false">IF(OR(D3661&gt;5,E3661&lt;8,E3661&gt;=18,COUNTIF($K$2:$K$10,INT(A3661))&gt;0),1,0)</f>
        <v>0</v>
      </c>
      <c r="G3661" s="34" t="n">
        <f aca="false">B3661/1</f>
        <v>170.592</v>
      </c>
      <c r="H3661" s="34" t="str">
        <f aca="false">IF(F3661=1,G3661,"")</f>
        <v/>
      </c>
    </row>
    <row r="3662" customFormat="false" ht="15" hidden="false" customHeight="false" outlineLevel="0" collapsed="false">
      <c r="A3662" s="31" t="n">
        <v>42888.5</v>
      </c>
      <c r="B3662" s="32" t="n">
        <v>172.55</v>
      </c>
      <c r="D3662" s="33" t="n">
        <f aca="false">WEEKDAY(A3662,2)</f>
        <v>5</v>
      </c>
      <c r="E3662" s="33" t="n">
        <f aca="false">HOUR(A3662)+MINUTE(A3662)/60</f>
        <v>12</v>
      </c>
      <c r="F3662" s="33" t="n">
        <f aca="false">IF(OR(D3662&gt;5,E3662&lt;8,E3662&gt;=18,COUNTIF($K$2:$K$10,INT(A3662))&gt;0),1,0)</f>
        <v>0</v>
      </c>
      <c r="G3662" s="34" t="n">
        <f aca="false">B3662/1</f>
        <v>172.55</v>
      </c>
      <c r="H3662" s="34" t="str">
        <f aca="false">IF(F3662=1,G3662,"")</f>
        <v/>
      </c>
    </row>
    <row r="3663" customFormat="false" ht="15" hidden="false" customHeight="false" outlineLevel="0" collapsed="false">
      <c r="A3663" s="31" t="n">
        <v>42888.5416666667</v>
      </c>
      <c r="B3663" s="32" t="n">
        <v>173.461</v>
      </c>
      <c r="D3663" s="33" t="n">
        <f aca="false">WEEKDAY(A3663,2)</f>
        <v>5</v>
      </c>
      <c r="E3663" s="33" t="n">
        <f aca="false">HOUR(A3663)+MINUTE(A3663)/60</f>
        <v>13</v>
      </c>
      <c r="F3663" s="33" t="n">
        <f aca="false">IF(OR(D3663&gt;5,E3663&lt;8,E3663&gt;=18,COUNTIF($K$2:$K$10,INT(A3663))&gt;0),1,0)</f>
        <v>0</v>
      </c>
      <c r="G3663" s="34" t="n">
        <f aca="false">B3663/1</f>
        <v>173.461</v>
      </c>
      <c r="H3663" s="34" t="str">
        <f aca="false">IF(F3663=1,G3663,"")</f>
        <v/>
      </c>
    </row>
    <row r="3664" customFormat="false" ht="15" hidden="false" customHeight="false" outlineLevel="0" collapsed="false">
      <c r="A3664" s="31" t="n">
        <v>42888.5833333333</v>
      </c>
      <c r="B3664" s="32" t="n">
        <v>173.089</v>
      </c>
      <c r="D3664" s="33" t="n">
        <f aca="false">WEEKDAY(A3664,2)</f>
        <v>5</v>
      </c>
      <c r="E3664" s="33" t="n">
        <f aca="false">HOUR(A3664)+MINUTE(A3664)/60</f>
        <v>14</v>
      </c>
      <c r="F3664" s="33" t="n">
        <f aca="false">IF(OR(D3664&gt;5,E3664&lt;8,E3664&gt;=18,COUNTIF($K$2:$K$10,INT(A3664))&gt;0),1,0)</f>
        <v>0</v>
      </c>
      <c r="G3664" s="34" t="n">
        <f aca="false">B3664/1</f>
        <v>173.089</v>
      </c>
      <c r="H3664" s="34" t="str">
        <f aca="false">IF(F3664=1,G3664,"")</f>
        <v/>
      </c>
    </row>
    <row r="3665" customFormat="false" ht="15" hidden="false" customHeight="false" outlineLevel="0" collapsed="false">
      <c r="A3665" s="31" t="n">
        <v>42888.625</v>
      </c>
      <c r="B3665" s="32" t="n">
        <v>186.046</v>
      </c>
      <c r="D3665" s="33" t="n">
        <f aca="false">WEEKDAY(A3665,2)</f>
        <v>5</v>
      </c>
      <c r="E3665" s="33" t="n">
        <f aca="false">HOUR(A3665)+MINUTE(A3665)/60</f>
        <v>15</v>
      </c>
      <c r="F3665" s="33" t="n">
        <f aca="false">IF(OR(D3665&gt;5,E3665&lt;8,E3665&gt;=18,COUNTIF($K$2:$K$10,INT(A3665))&gt;0),1,0)</f>
        <v>0</v>
      </c>
      <c r="G3665" s="34" t="n">
        <f aca="false">B3665/1</f>
        <v>186.046</v>
      </c>
      <c r="H3665" s="34" t="str">
        <f aca="false">IF(F3665=1,G3665,"")</f>
        <v/>
      </c>
    </row>
    <row r="3666" customFormat="false" ht="15" hidden="false" customHeight="false" outlineLevel="0" collapsed="false">
      <c r="A3666" s="31" t="n">
        <v>42888.6666666667</v>
      </c>
      <c r="B3666" s="32" t="n">
        <v>190.632</v>
      </c>
      <c r="D3666" s="33" t="n">
        <f aca="false">WEEKDAY(A3666,2)</f>
        <v>5</v>
      </c>
      <c r="E3666" s="33" t="n">
        <f aca="false">HOUR(A3666)+MINUTE(A3666)/60</f>
        <v>16</v>
      </c>
      <c r="F3666" s="33" t="n">
        <f aca="false">IF(OR(D3666&gt;5,E3666&lt;8,E3666&gt;=18,COUNTIF($K$2:$K$10,INT(A3666))&gt;0),1,0)</f>
        <v>0</v>
      </c>
      <c r="G3666" s="34" t="n">
        <f aca="false">B3666/1</f>
        <v>190.632</v>
      </c>
      <c r="H3666" s="34" t="str">
        <f aca="false">IF(F3666=1,G3666,"")</f>
        <v/>
      </c>
    </row>
    <row r="3667" customFormat="false" ht="15" hidden="false" customHeight="false" outlineLevel="0" collapsed="false">
      <c r="A3667" s="31" t="n">
        <v>42888.7083333333</v>
      </c>
      <c r="B3667" s="32" t="n">
        <v>180.963</v>
      </c>
      <c r="D3667" s="33" t="n">
        <f aca="false">WEEKDAY(A3667,2)</f>
        <v>5</v>
      </c>
      <c r="E3667" s="33" t="n">
        <f aca="false">HOUR(A3667)+MINUTE(A3667)/60</f>
        <v>17</v>
      </c>
      <c r="F3667" s="33" t="n">
        <f aca="false">IF(OR(D3667&gt;5,E3667&lt;8,E3667&gt;=18,COUNTIF($K$2:$K$10,INT(A3667))&gt;0),1,0)</f>
        <v>0</v>
      </c>
      <c r="G3667" s="34" t="n">
        <f aca="false">B3667/1</f>
        <v>180.963</v>
      </c>
      <c r="H3667" s="34" t="str">
        <f aca="false">IF(F3667=1,G3667,"")</f>
        <v/>
      </c>
    </row>
    <row r="3668" customFormat="false" ht="15" hidden="false" customHeight="false" outlineLevel="0" collapsed="false">
      <c r="A3668" s="31" t="n">
        <v>42888.75</v>
      </c>
      <c r="B3668" s="32" t="n">
        <v>170.37</v>
      </c>
      <c r="D3668" s="33" t="n">
        <f aca="false">WEEKDAY(A3668,2)</f>
        <v>5</v>
      </c>
      <c r="E3668" s="33" t="n">
        <f aca="false">HOUR(A3668)+MINUTE(A3668)/60</f>
        <v>18</v>
      </c>
      <c r="F3668" s="33" t="n">
        <f aca="false">IF(OR(D3668&gt;5,E3668&lt;8,E3668&gt;=18,COUNTIF($K$2:$K$10,INT(A3668))&gt;0),1,0)</f>
        <v>1</v>
      </c>
      <c r="G3668" s="34" t="n">
        <f aca="false">B3668/1</f>
        <v>170.37</v>
      </c>
      <c r="H3668" s="34" t="n">
        <f aca="false">IF(F3668=1,G3668,"")</f>
        <v>170.37</v>
      </c>
    </row>
    <row r="3669" customFormat="false" ht="15" hidden="false" customHeight="false" outlineLevel="0" collapsed="false">
      <c r="A3669" s="31" t="n">
        <v>42888.7916666667</v>
      </c>
      <c r="B3669" s="32" t="n">
        <v>169.192</v>
      </c>
      <c r="D3669" s="33" t="n">
        <f aca="false">WEEKDAY(A3669,2)</f>
        <v>5</v>
      </c>
      <c r="E3669" s="33" t="n">
        <f aca="false">HOUR(A3669)+MINUTE(A3669)/60</f>
        <v>19</v>
      </c>
      <c r="F3669" s="33" t="n">
        <f aca="false">IF(OR(D3669&gt;5,E3669&lt;8,E3669&gt;=18,COUNTIF($K$2:$K$10,INT(A3669))&gt;0),1,0)</f>
        <v>1</v>
      </c>
      <c r="G3669" s="34" t="n">
        <f aca="false">B3669/1</f>
        <v>169.192</v>
      </c>
      <c r="H3669" s="34" t="n">
        <f aca="false">IF(F3669=1,G3669,"")</f>
        <v>169.192</v>
      </c>
    </row>
    <row r="3670" customFormat="false" ht="15" hidden="false" customHeight="false" outlineLevel="0" collapsed="false">
      <c r="A3670" s="31" t="n">
        <v>42888.8333333333</v>
      </c>
      <c r="B3670" s="32" t="n">
        <v>166.433</v>
      </c>
      <c r="D3670" s="33" t="n">
        <f aca="false">WEEKDAY(A3670,2)</f>
        <v>5</v>
      </c>
      <c r="E3670" s="33" t="n">
        <f aca="false">HOUR(A3670)+MINUTE(A3670)/60</f>
        <v>20</v>
      </c>
      <c r="F3670" s="33" t="n">
        <f aca="false">IF(OR(D3670&gt;5,E3670&lt;8,E3670&gt;=18,COUNTIF($K$2:$K$10,INT(A3670))&gt;0),1,0)</f>
        <v>1</v>
      </c>
      <c r="G3670" s="34" t="n">
        <f aca="false">B3670/1</f>
        <v>166.433</v>
      </c>
      <c r="H3670" s="34" t="n">
        <f aca="false">IF(F3670=1,G3670,"")</f>
        <v>166.433</v>
      </c>
    </row>
    <row r="3671" customFormat="false" ht="15" hidden="false" customHeight="false" outlineLevel="0" collapsed="false">
      <c r="A3671" s="31" t="n">
        <v>42888.875</v>
      </c>
      <c r="B3671" s="32" t="n">
        <v>163.05</v>
      </c>
      <c r="D3671" s="33" t="n">
        <f aca="false">WEEKDAY(A3671,2)</f>
        <v>5</v>
      </c>
      <c r="E3671" s="33" t="n">
        <f aca="false">HOUR(A3671)+MINUTE(A3671)/60</f>
        <v>21</v>
      </c>
      <c r="F3671" s="33" t="n">
        <f aca="false">IF(OR(D3671&gt;5,E3671&lt;8,E3671&gt;=18,COUNTIF($K$2:$K$10,INT(A3671))&gt;0),1,0)</f>
        <v>1</v>
      </c>
      <c r="G3671" s="34" t="n">
        <f aca="false">B3671/1</f>
        <v>163.05</v>
      </c>
      <c r="H3671" s="34" t="n">
        <f aca="false">IF(F3671=1,G3671,"")</f>
        <v>163.05</v>
      </c>
    </row>
    <row r="3672" customFormat="false" ht="15" hidden="false" customHeight="false" outlineLevel="0" collapsed="false">
      <c r="A3672" s="31" t="n">
        <v>42888.9166666667</v>
      </c>
      <c r="B3672" s="32" t="n">
        <v>113.558</v>
      </c>
      <c r="D3672" s="33" t="n">
        <f aca="false">WEEKDAY(A3672,2)</f>
        <v>5</v>
      </c>
      <c r="E3672" s="33" t="n">
        <f aca="false">HOUR(A3672)+MINUTE(A3672)/60</f>
        <v>22</v>
      </c>
      <c r="F3672" s="33" t="n">
        <f aca="false">IF(OR(D3672&gt;5,E3672&lt;8,E3672&gt;=18,COUNTIF($K$2:$K$10,INT(A3672))&gt;0),1,0)</f>
        <v>1</v>
      </c>
      <c r="G3672" s="34" t="n">
        <f aca="false">B3672/1</f>
        <v>113.558</v>
      </c>
      <c r="H3672" s="34" t="n">
        <f aca="false">IF(F3672=1,G3672,"")</f>
        <v>113.558</v>
      </c>
    </row>
    <row r="3673" customFormat="false" ht="15" hidden="false" customHeight="false" outlineLevel="0" collapsed="false">
      <c r="A3673" s="31" t="n">
        <v>42888.9583333333</v>
      </c>
      <c r="B3673" s="32" t="n">
        <v>54.505</v>
      </c>
      <c r="D3673" s="33" t="n">
        <f aca="false">WEEKDAY(A3673,2)</f>
        <v>5</v>
      </c>
      <c r="E3673" s="33" t="n">
        <f aca="false">HOUR(A3673)+MINUTE(A3673)/60</f>
        <v>23</v>
      </c>
      <c r="F3673" s="33" t="n">
        <f aca="false">IF(OR(D3673&gt;5,E3673&lt;8,E3673&gt;=18,COUNTIF($K$2:$K$10,INT(A3673))&gt;0),1,0)</f>
        <v>1</v>
      </c>
      <c r="G3673" s="34" t="n">
        <f aca="false">B3673/1</f>
        <v>54.505</v>
      </c>
      <c r="H3673" s="34" t="n">
        <f aca="false">IF(F3673=1,G3673,"")</f>
        <v>54.505</v>
      </c>
    </row>
    <row r="3674" customFormat="false" ht="15" hidden="false" customHeight="false" outlineLevel="0" collapsed="false">
      <c r="A3674" s="31" t="n">
        <v>42889</v>
      </c>
      <c r="B3674" s="32" t="n">
        <v>53.074</v>
      </c>
      <c r="D3674" s="33" t="n">
        <f aca="false">WEEKDAY(A3674,2)</f>
        <v>6</v>
      </c>
      <c r="E3674" s="33" t="n">
        <f aca="false">HOUR(A3674)+MINUTE(A3674)/60</f>
        <v>0</v>
      </c>
      <c r="F3674" s="33" t="n">
        <f aca="false">IF(OR(D3674&gt;5,E3674&lt;8,E3674&gt;=18,COUNTIF($K$2:$K$10,INT(A3674))&gt;0),1,0)</f>
        <v>1</v>
      </c>
      <c r="G3674" s="34" t="n">
        <f aca="false">B3674/1</f>
        <v>53.074</v>
      </c>
      <c r="H3674" s="34" t="n">
        <f aca="false">IF(F3674=1,G3674,"")</f>
        <v>53.074</v>
      </c>
    </row>
    <row r="3675" customFormat="false" ht="15" hidden="false" customHeight="false" outlineLevel="0" collapsed="false">
      <c r="A3675" s="31" t="n">
        <v>42889.0416666667</v>
      </c>
      <c r="B3675" s="32" t="n">
        <v>51.767</v>
      </c>
      <c r="D3675" s="33" t="n">
        <f aca="false">WEEKDAY(A3675,2)</f>
        <v>6</v>
      </c>
      <c r="E3675" s="33" t="n">
        <f aca="false">HOUR(A3675)+MINUTE(A3675)/60</f>
        <v>1</v>
      </c>
      <c r="F3675" s="33" t="n">
        <f aca="false">IF(OR(D3675&gt;5,E3675&lt;8,E3675&gt;=18,COUNTIF($K$2:$K$10,INT(A3675))&gt;0),1,0)</f>
        <v>1</v>
      </c>
      <c r="G3675" s="34" t="n">
        <f aca="false">B3675/1</f>
        <v>51.767</v>
      </c>
      <c r="H3675" s="34" t="n">
        <f aca="false">IF(F3675=1,G3675,"")</f>
        <v>51.767</v>
      </c>
    </row>
    <row r="3676" customFormat="false" ht="15" hidden="false" customHeight="false" outlineLevel="0" collapsed="false">
      <c r="A3676" s="31" t="n">
        <v>42889.0833333333</v>
      </c>
      <c r="B3676" s="32" t="n">
        <v>51.806</v>
      </c>
      <c r="D3676" s="33" t="n">
        <f aca="false">WEEKDAY(A3676,2)</f>
        <v>6</v>
      </c>
      <c r="E3676" s="33" t="n">
        <f aca="false">HOUR(A3676)+MINUTE(A3676)/60</f>
        <v>2</v>
      </c>
      <c r="F3676" s="33" t="n">
        <f aca="false">IF(OR(D3676&gt;5,E3676&lt;8,E3676&gt;=18,COUNTIF($K$2:$K$10,INT(A3676))&gt;0),1,0)</f>
        <v>1</v>
      </c>
      <c r="G3676" s="34" t="n">
        <f aca="false">B3676/1</f>
        <v>51.806</v>
      </c>
      <c r="H3676" s="34" t="n">
        <f aca="false">IF(F3676=1,G3676,"")</f>
        <v>51.806</v>
      </c>
    </row>
    <row r="3677" customFormat="false" ht="15" hidden="false" customHeight="false" outlineLevel="0" collapsed="false">
      <c r="A3677" s="31" t="n">
        <v>42889.125</v>
      </c>
      <c r="B3677" s="32" t="n">
        <v>52.866</v>
      </c>
      <c r="D3677" s="33" t="n">
        <f aca="false">WEEKDAY(A3677,2)</f>
        <v>6</v>
      </c>
      <c r="E3677" s="33" t="n">
        <f aca="false">HOUR(A3677)+MINUTE(A3677)/60</f>
        <v>3</v>
      </c>
      <c r="F3677" s="33" t="n">
        <f aca="false">IF(OR(D3677&gt;5,E3677&lt;8,E3677&gt;=18,COUNTIF($K$2:$K$10,INT(A3677))&gt;0),1,0)</f>
        <v>1</v>
      </c>
      <c r="G3677" s="34" t="n">
        <f aca="false">B3677/1</f>
        <v>52.866</v>
      </c>
      <c r="H3677" s="34" t="n">
        <f aca="false">IF(F3677=1,G3677,"")</f>
        <v>52.866</v>
      </c>
    </row>
    <row r="3678" customFormat="false" ht="15" hidden="false" customHeight="false" outlineLevel="0" collapsed="false">
      <c r="A3678" s="31" t="n">
        <v>42889.1666666667</v>
      </c>
      <c r="B3678" s="32" t="n">
        <v>51.864</v>
      </c>
      <c r="D3678" s="33" t="n">
        <f aca="false">WEEKDAY(A3678,2)</f>
        <v>6</v>
      </c>
      <c r="E3678" s="33" t="n">
        <f aca="false">HOUR(A3678)+MINUTE(A3678)/60</f>
        <v>4</v>
      </c>
      <c r="F3678" s="33" t="n">
        <f aca="false">IF(OR(D3678&gt;5,E3678&lt;8,E3678&gt;=18,COUNTIF($K$2:$K$10,INT(A3678))&gt;0),1,0)</f>
        <v>1</v>
      </c>
      <c r="G3678" s="34" t="n">
        <f aca="false">B3678/1</f>
        <v>51.864</v>
      </c>
      <c r="H3678" s="34" t="n">
        <f aca="false">IF(F3678=1,G3678,"")</f>
        <v>51.864</v>
      </c>
    </row>
    <row r="3679" customFormat="false" ht="15" hidden="false" customHeight="false" outlineLevel="0" collapsed="false">
      <c r="A3679" s="31" t="n">
        <v>42889.2083333333</v>
      </c>
      <c r="B3679" s="32" t="n">
        <v>52.422</v>
      </c>
      <c r="D3679" s="33" t="n">
        <f aca="false">WEEKDAY(A3679,2)</f>
        <v>6</v>
      </c>
      <c r="E3679" s="33" t="n">
        <f aca="false">HOUR(A3679)+MINUTE(A3679)/60</f>
        <v>5</v>
      </c>
      <c r="F3679" s="33" t="n">
        <f aca="false">IF(OR(D3679&gt;5,E3679&lt;8,E3679&gt;=18,COUNTIF($K$2:$K$10,INT(A3679))&gt;0),1,0)</f>
        <v>1</v>
      </c>
      <c r="G3679" s="34" t="n">
        <f aca="false">B3679/1</f>
        <v>52.422</v>
      </c>
      <c r="H3679" s="34" t="n">
        <f aca="false">IF(F3679=1,G3679,"")</f>
        <v>52.422</v>
      </c>
    </row>
    <row r="3680" customFormat="false" ht="15" hidden="false" customHeight="false" outlineLevel="0" collapsed="false">
      <c r="A3680" s="31" t="n">
        <v>42889.25</v>
      </c>
      <c r="B3680" s="32" t="n">
        <v>52.518</v>
      </c>
      <c r="D3680" s="33" t="n">
        <f aca="false">WEEKDAY(A3680,2)</f>
        <v>6</v>
      </c>
      <c r="E3680" s="33" t="n">
        <f aca="false">HOUR(A3680)+MINUTE(A3680)/60</f>
        <v>6</v>
      </c>
      <c r="F3680" s="33" t="n">
        <f aca="false">IF(OR(D3680&gt;5,E3680&lt;8,E3680&gt;=18,COUNTIF($K$2:$K$10,INT(A3680))&gt;0),1,0)</f>
        <v>1</v>
      </c>
      <c r="G3680" s="34" t="n">
        <f aca="false">B3680/1</f>
        <v>52.518</v>
      </c>
      <c r="H3680" s="34" t="n">
        <f aca="false">IF(F3680=1,G3680,"")</f>
        <v>52.518</v>
      </c>
    </row>
    <row r="3681" customFormat="false" ht="15" hidden="false" customHeight="false" outlineLevel="0" collapsed="false">
      <c r="A3681" s="31" t="n">
        <v>42889.2916666667</v>
      </c>
      <c r="B3681" s="32" t="n">
        <v>49.265</v>
      </c>
      <c r="D3681" s="33" t="n">
        <f aca="false">WEEKDAY(A3681,2)</f>
        <v>6</v>
      </c>
      <c r="E3681" s="33" t="n">
        <f aca="false">HOUR(A3681)+MINUTE(A3681)/60</f>
        <v>7</v>
      </c>
      <c r="F3681" s="33" t="n">
        <f aca="false">IF(OR(D3681&gt;5,E3681&lt;8,E3681&gt;=18,COUNTIF($K$2:$K$10,INT(A3681))&gt;0),1,0)</f>
        <v>1</v>
      </c>
      <c r="G3681" s="34" t="n">
        <f aca="false">B3681/1</f>
        <v>49.265</v>
      </c>
      <c r="H3681" s="34" t="n">
        <f aca="false">IF(F3681=1,G3681,"")</f>
        <v>49.265</v>
      </c>
    </row>
    <row r="3682" customFormat="false" ht="15" hidden="false" customHeight="false" outlineLevel="0" collapsed="false">
      <c r="A3682" s="31" t="n">
        <v>42889.3333333333</v>
      </c>
      <c r="B3682" s="32" t="n">
        <v>118.416</v>
      </c>
      <c r="D3682" s="33" t="n">
        <f aca="false">WEEKDAY(A3682,2)</f>
        <v>6</v>
      </c>
      <c r="E3682" s="33" t="n">
        <f aca="false">HOUR(A3682)+MINUTE(A3682)/60</f>
        <v>8</v>
      </c>
      <c r="F3682" s="33" t="n">
        <f aca="false">IF(OR(D3682&gt;5,E3682&lt;8,E3682&gt;=18,COUNTIF($K$2:$K$10,INT(A3682))&gt;0),1,0)</f>
        <v>1</v>
      </c>
      <c r="G3682" s="34" t="n">
        <f aca="false">B3682/1</f>
        <v>118.416</v>
      </c>
      <c r="H3682" s="34" t="n">
        <f aca="false">IF(F3682=1,G3682,"")</f>
        <v>118.416</v>
      </c>
    </row>
    <row r="3683" customFormat="false" ht="15" hidden="false" customHeight="false" outlineLevel="0" collapsed="false">
      <c r="A3683" s="31" t="n">
        <v>42889.375</v>
      </c>
      <c r="B3683" s="32" t="n">
        <v>161.154</v>
      </c>
      <c r="D3683" s="33" t="n">
        <f aca="false">WEEKDAY(A3683,2)</f>
        <v>6</v>
      </c>
      <c r="E3683" s="33" t="n">
        <f aca="false">HOUR(A3683)+MINUTE(A3683)/60</f>
        <v>9</v>
      </c>
      <c r="F3683" s="33" t="n">
        <f aca="false">IF(OR(D3683&gt;5,E3683&lt;8,E3683&gt;=18,COUNTIF($K$2:$K$10,INT(A3683))&gt;0),1,0)</f>
        <v>1</v>
      </c>
      <c r="G3683" s="34" t="n">
        <f aca="false">B3683/1</f>
        <v>161.154</v>
      </c>
      <c r="H3683" s="34" t="n">
        <f aca="false">IF(F3683=1,G3683,"")</f>
        <v>161.154</v>
      </c>
    </row>
    <row r="3684" customFormat="false" ht="15" hidden="false" customHeight="false" outlineLevel="0" collapsed="false">
      <c r="A3684" s="31" t="n">
        <v>42889.4166666667</v>
      </c>
      <c r="B3684" s="32" t="n">
        <v>161.782</v>
      </c>
      <c r="D3684" s="33" t="n">
        <f aca="false">WEEKDAY(A3684,2)</f>
        <v>6</v>
      </c>
      <c r="E3684" s="33" t="n">
        <f aca="false">HOUR(A3684)+MINUTE(A3684)/60</f>
        <v>10</v>
      </c>
      <c r="F3684" s="33" t="n">
        <f aca="false">IF(OR(D3684&gt;5,E3684&lt;8,E3684&gt;=18,COUNTIF($K$2:$K$10,INT(A3684))&gt;0),1,0)</f>
        <v>1</v>
      </c>
      <c r="G3684" s="34" t="n">
        <f aca="false">B3684/1</f>
        <v>161.782</v>
      </c>
      <c r="H3684" s="34" t="n">
        <f aca="false">IF(F3684=1,G3684,"")</f>
        <v>161.782</v>
      </c>
    </row>
    <row r="3685" customFormat="false" ht="15" hidden="false" customHeight="false" outlineLevel="0" collapsed="false">
      <c r="A3685" s="31" t="n">
        <v>42889.4583333333</v>
      </c>
      <c r="B3685" s="32" t="n">
        <v>163.597</v>
      </c>
      <c r="D3685" s="33" t="n">
        <f aca="false">WEEKDAY(A3685,2)</f>
        <v>6</v>
      </c>
      <c r="E3685" s="33" t="n">
        <f aca="false">HOUR(A3685)+MINUTE(A3685)/60</f>
        <v>11</v>
      </c>
      <c r="F3685" s="33" t="n">
        <f aca="false">IF(OR(D3685&gt;5,E3685&lt;8,E3685&gt;=18,COUNTIF($K$2:$K$10,INT(A3685))&gt;0),1,0)</f>
        <v>1</v>
      </c>
      <c r="G3685" s="34" t="n">
        <f aca="false">B3685/1</f>
        <v>163.597</v>
      </c>
      <c r="H3685" s="34" t="n">
        <f aca="false">IF(F3685=1,G3685,"")</f>
        <v>163.597</v>
      </c>
    </row>
    <row r="3686" customFormat="false" ht="15" hidden="false" customHeight="false" outlineLevel="0" collapsed="false">
      <c r="A3686" s="31" t="n">
        <v>42889.5</v>
      </c>
      <c r="B3686" s="32" t="n">
        <v>166.017</v>
      </c>
      <c r="D3686" s="33" t="n">
        <f aca="false">WEEKDAY(A3686,2)</f>
        <v>6</v>
      </c>
      <c r="E3686" s="33" t="n">
        <f aca="false">HOUR(A3686)+MINUTE(A3686)/60</f>
        <v>12</v>
      </c>
      <c r="F3686" s="33" t="n">
        <f aca="false">IF(OR(D3686&gt;5,E3686&lt;8,E3686&gt;=18,COUNTIF($K$2:$K$10,INT(A3686))&gt;0),1,0)</f>
        <v>1</v>
      </c>
      <c r="G3686" s="34" t="n">
        <f aca="false">B3686/1</f>
        <v>166.017</v>
      </c>
      <c r="H3686" s="34" t="n">
        <f aca="false">IF(F3686=1,G3686,"")</f>
        <v>166.017</v>
      </c>
    </row>
    <row r="3687" customFormat="false" ht="15" hidden="false" customHeight="false" outlineLevel="0" collapsed="false">
      <c r="A3687" s="31" t="n">
        <v>42889.5416666667</v>
      </c>
      <c r="B3687" s="32" t="n">
        <v>164.259</v>
      </c>
      <c r="D3687" s="33" t="n">
        <f aca="false">WEEKDAY(A3687,2)</f>
        <v>6</v>
      </c>
      <c r="E3687" s="33" t="n">
        <f aca="false">HOUR(A3687)+MINUTE(A3687)/60</f>
        <v>13</v>
      </c>
      <c r="F3687" s="33" t="n">
        <f aca="false">IF(OR(D3687&gt;5,E3687&lt;8,E3687&gt;=18,COUNTIF($K$2:$K$10,INT(A3687))&gt;0),1,0)</f>
        <v>1</v>
      </c>
      <c r="G3687" s="34" t="n">
        <f aca="false">B3687/1</f>
        <v>164.259</v>
      </c>
      <c r="H3687" s="34" t="n">
        <f aca="false">IF(F3687=1,G3687,"")</f>
        <v>164.259</v>
      </c>
    </row>
    <row r="3688" customFormat="false" ht="15" hidden="false" customHeight="false" outlineLevel="0" collapsed="false">
      <c r="A3688" s="31" t="n">
        <v>42889.5833333333</v>
      </c>
      <c r="B3688" s="32" t="n">
        <v>164.867</v>
      </c>
      <c r="D3688" s="33" t="n">
        <f aca="false">WEEKDAY(A3688,2)</f>
        <v>6</v>
      </c>
      <c r="E3688" s="33" t="n">
        <f aca="false">HOUR(A3688)+MINUTE(A3688)/60</f>
        <v>14</v>
      </c>
      <c r="F3688" s="33" t="n">
        <f aca="false">IF(OR(D3688&gt;5,E3688&lt;8,E3688&gt;=18,COUNTIF($K$2:$K$10,INT(A3688))&gt;0),1,0)</f>
        <v>1</v>
      </c>
      <c r="G3688" s="34" t="n">
        <f aca="false">B3688/1</f>
        <v>164.867</v>
      </c>
      <c r="H3688" s="34" t="n">
        <f aca="false">IF(F3688=1,G3688,"")</f>
        <v>164.867</v>
      </c>
    </row>
    <row r="3689" customFormat="false" ht="15" hidden="false" customHeight="false" outlineLevel="0" collapsed="false">
      <c r="A3689" s="31" t="n">
        <v>42889.625</v>
      </c>
      <c r="B3689" s="32" t="n">
        <v>163.958</v>
      </c>
      <c r="D3689" s="33" t="n">
        <f aca="false">WEEKDAY(A3689,2)</f>
        <v>6</v>
      </c>
      <c r="E3689" s="33" t="n">
        <f aca="false">HOUR(A3689)+MINUTE(A3689)/60</f>
        <v>15</v>
      </c>
      <c r="F3689" s="33" t="n">
        <f aca="false">IF(OR(D3689&gt;5,E3689&lt;8,E3689&gt;=18,COUNTIF($K$2:$K$10,INT(A3689))&gt;0),1,0)</f>
        <v>1</v>
      </c>
      <c r="G3689" s="34" t="n">
        <f aca="false">B3689/1</f>
        <v>163.958</v>
      </c>
      <c r="H3689" s="34" t="n">
        <f aca="false">IF(F3689=1,G3689,"")</f>
        <v>163.958</v>
      </c>
    </row>
    <row r="3690" customFormat="false" ht="15" hidden="false" customHeight="false" outlineLevel="0" collapsed="false">
      <c r="A3690" s="31" t="n">
        <v>42889.6666666667</v>
      </c>
      <c r="B3690" s="32" t="n">
        <v>162.954</v>
      </c>
      <c r="D3690" s="33" t="n">
        <f aca="false">WEEKDAY(A3690,2)</f>
        <v>6</v>
      </c>
      <c r="E3690" s="33" t="n">
        <f aca="false">HOUR(A3690)+MINUTE(A3690)/60</f>
        <v>16</v>
      </c>
      <c r="F3690" s="33" t="n">
        <f aca="false">IF(OR(D3690&gt;5,E3690&lt;8,E3690&gt;=18,COUNTIF($K$2:$K$10,INT(A3690))&gt;0),1,0)</f>
        <v>1</v>
      </c>
      <c r="G3690" s="34" t="n">
        <f aca="false">B3690/1</f>
        <v>162.954</v>
      </c>
      <c r="H3690" s="34" t="n">
        <f aca="false">IF(F3690=1,G3690,"")</f>
        <v>162.954</v>
      </c>
    </row>
    <row r="3691" customFormat="false" ht="15" hidden="false" customHeight="false" outlineLevel="0" collapsed="false">
      <c r="A3691" s="31" t="n">
        <v>42889.7083333333</v>
      </c>
      <c r="B3691" s="32" t="n">
        <v>164.647</v>
      </c>
      <c r="D3691" s="33" t="n">
        <f aca="false">WEEKDAY(A3691,2)</f>
        <v>6</v>
      </c>
      <c r="E3691" s="33" t="n">
        <f aca="false">HOUR(A3691)+MINUTE(A3691)/60</f>
        <v>17</v>
      </c>
      <c r="F3691" s="33" t="n">
        <f aca="false">IF(OR(D3691&gt;5,E3691&lt;8,E3691&gt;=18,COUNTIF($K$2:$K$10,INT(A3691))&gt;0),1,0)</f>
        <v>1</v>
      </c>
      <c r="G3691" s="34" t="n">
        <f aca="false">B3691/1</f>
        <v>164.647</v>
      </c>
      <c r="H3691" s="34" t="n">
        <f aca="false">IF(F3691=1,G3691,"")</f>
        <v>164.647</v>
      </c>
    </row>
    <row r="3692" customFormat="false" ht="15" hidden="false" customHeight="false" outlineLevel="0" collapsed="false">
      <c r="A3692" s="31" t="n">
        <v>42889.75</v>
      </c>
      <c r="B3692" s="32" t="n">
        <v>68.111</v>
      </c>
      <c r="D3692" s="33" t="n">
        <f aca="false">WEEKDAY(A3692,2)</f>
        <v>6</v>
      </c>
      <c r="E3692" s="33" t="n">
        <f aca="false">HOUR(A3692)+MINUTE(A3692)/60</f>
        <v>18</v>
      </c>
      <c r="F3692" s="33" t="n">
        <f aca="false">IF(OR(D3692&gt;5,E3692&lt;8,E3692&gt;=18,COUNTIF($K$2:$K$10,INT(A3692))&gt;0),1,0)</f>
        <v>1</v>
      </c>
      <c r="G3692" s="34" t="n">
        <f aca="false">B3692/1</f>
        <v>68.111</v>
      </c>
      <c r="H3692" s="34" t="n">
        <f aca="false">IF(F3692=1,G3692,"")</f>
        <v>68.111</v>
      </c>
    </row>
    <row r="3693" customFormat="false" ht="15" hidden="false" customHeight="false" outlineLevel="0" collapsed="false">
      <c r="A3693" s="31" t="n">
        <v>42889.7916666667</v>
      </c>
      <c r="B3693" s="32" t="n">
        <v>50.91</v>
      </c>
      <c r="D3693" s="33" t="n">
        <f aca="false">WEEKDAY(A3693,2)</f>
        <v>6</v>
      </c>
      <c r="E3693" s="33" t="n">
        <f aca="false">HOUR(A3693)+MINUTE(A3693)/60</f>
        <v>19</v>
      </c>
      <c r="F3693" s="33" t="n">
        <f aca="false">IF(OR(D3693&gt;5,E3693&lt;8,E3693&gt;=18,COUNTIF($K$2:$K$10,INT(A3693))&gt;0),1,0)</f>
        <v>1</v>
      </c>
      <c r="G3693" s="34" t="n">
        <f aca="false">B3693/1</f>
        <v>50.91</v>
      </c>
      <c r="H3693" s="34" t="n">
        <f aca="false">IF(F3693=1,G3693,"")</f>
        <v>50.91</v>
      </c>
    </row>
    <row r="3694" customFormat="false" ht="15" hidden="false" customHeight="false" outlineLevel="0" collapsed="false">
      <c r="A3694" s="31" t="n">
        <v>42889.8333333333</v>
      </c>
      <c r="B3694" s="32" t="n">
        <v>50.283</v>
      </c>
      <c r="D3694" s="33" t="n">
        <f aca="false">WEEKDAY(A3694,2)</f>
        <v>6</v>
      </c>
      <c r="E3694" s="33" t="n">
        <f aca="false">HOUR(A3694)+MINUTE(A3694)/60</f>
        <v>20</v>
      </c>
      <c r="F3694" s="33" t="n">
        <f aca="false">IF(OR(D3694&gt;5,E3694&lt;8,E3694&gt;=18,COUNTIF($K$2:$K$10,INT(A3694))&gt;0),1,0)</f>
        <v>1</v>
      </c>
      <c r="G3694" s="34" t="n">
        <f aca="false">B3694/1</f>
        <v>50.283</v>
      </c>
      <c r="H3694" s="34" t="n">
        <f aca="false">IF(F3694=1,G3694,"")</f>
        <v>50.283</v>
      </c>
    </row>
    <row r="3695" customFormat="false" ht="15" hidden="false" customHeight="false" outlineLevel="0" collapsed="false">
      <c r="A3695" s="31" t="n">
        <v>42889.875</v>
      </c>
      <c r="B3695" s="32" t="n">
        <v>50.002</v>
      </c>
      <c r="D3695" s="33" t="n">
        <f aca="false">WEEKDAY(A3695,2)</f>
        <v>6</v>
      </c>
      <c r="E3695" s="33" t="n">
        <f aca="false">HOUR(A3695)+MINUTE(A3695)/60</f>
        <v>21</v>
      </c>
      <c r="F3695" s="33" t="n">
        <f aca="false">IF(OR(D3695&gt;5,E3695&lt;8,E3695&gt;=18,COUNTIF($K$2:$K$10,INT(A3695))&gt;0),1,0)</f>
        <v>1</v>
      </c>
      <c r="G3695" s="34" t="n">
        <f aca="false">B3695/1</f>
        <v>50.002</v>
      </c>
      <c r="H3695" s="34" t="n">
        <f aca="false">IF(F3695=1,G3695,"")</f>
        <v>50.002</v>
      </c>
    </row>
    <row r="3696" customFormat="false" ht="15" hidden="false" customHeight="false" outlineLevel="0" collapsed="false">
      <c r="A3696" s="31" t="n">
        <v>42889.9166666667</v>
      </c>
      <c r="B3696" s="32" t="n">
        <v>52.99</v>
      </c>
      <c r="D3696" s="33" t="n">
        <f aca="false">WEEKDAY(A3696,2)</f>
        <v>6</v>
      </c>
      <c r="E3696" s="33" t="n">
        <f aca="false">HOUR(A3696)+MINUTE(A3696)/60</f>
        <v>22</v>
      </c>
      <c r="F3696" s="33" t="n">
        <f aca="false">IF(OR(D3696&gt;5,E3696&lt;8,E3696&gt;=18,COUNTIF($K$2:$K$10,INT(A3696))&gt;0),1,0)</f>
        <v>1</v>
      </c>
      <c r="G3696" s="34" t="n">
        <f aca="false">B3696/1</f>
        <v>52.99</v>
      </c>
      <c r="H3696" s="34" t="n">
        <f aca="false">IF(F3696=1,G3696,"")</f>
        <v>52.99</v>
      </c>
    </row>
    <row r="3697" customFormat="false" ht="15" hidden="false" customHeight="false" outlineLevel="0" collapsed="false">
      <c r="A3697" s="31" t="n">
        <v>42889.9583333333</v>
      </c>
      <c r="B3697" s="32" t="n">
        <v>53.189</v>
      </c>
      <c r="D3697" s="33" t="n">
        <f aca="false">WEEKDAY(A3697,2)</f>
        <v>6</v>
      </c>
      <c r="E3697" s="33" t="n">
        <f aca="false">HOUR(A3697)+MINUTE(A3697)/60</f>
        <v>23</v>
      </c>
      <c r="F3697" s="33" t="n">
        <f aca="false">IF(OR(D3697&gt;5,E3697&lt;8,E3697&gt;=18,COUNTIF($K$2:$K$10,INT(A3697))&gt;0),1,0)</f>
        <v>1</v>
      </c>
      <c r="G3697" s="34" t="n">
        <f aca="false">B3697/1</f>
        <v>53.189</v>
      </c>
      <c r="H3697" s="34" t="n">
        <f aca="false">IF(F3697=1,G3697,"")</f>
        <v>53.189</v>
      </c>
    </row>
    <row r="3698" customFormat="false" ht="15" hidden="false" customHeight="false" outlineLevel="0" collapsed="false">
      <c r="A3698" s="31" t="n">
        <v>42890</v>
      </c>
      <c r="B3698" s="32" t="n">
        <v>53.298</v>
      </c>
      <c r="D3698" s="33" t="n">
        <f aca="false">WEEKDAY(A3698,2)</f>
        <v>7</v>
      </c>
      <c r="E3698" s="33" t="n">
        <f aca="false">HOUR(A3698)+MINUTE(A3698)/60</f>
        <v>0</v>
      </c>
      <c r="F3698" s="33" t="n">
        <f aca="false">IF(OR(D3698&gt;5,E3698&lt;8,E3698&gt;=18,COUNTIF($K$2:$K$10,INT(A3698))&gt;0),1,0)</f>
        <v>1</v>
      </c>
      <c r="G3698" s="34" t="n">
        <f aca="false">B3698/1</f>
        <v>53.298</v>
      </c>
      <c r="H3698" s="34" t="n">
        <f aca="false">IF(F3698=1,G3698,"")</f>
        <v>53.298</v>
      </c>
    </row>
    <row r="3699" customFormat="false" ht="15" hidden="false" customHeight="false" outlineLevel="0" collapsed="false">
      <c r="A3699" s="31" t="n">
        <v>42890.0416666667</v>
      </c>
      <c r="B3699" s="32" t="n">
        <v>53.079</v>
      </c>
      <c r="D3699" s="33" t="n">
        <f aca="false">WEEKDAY(A3699,2)</f>
        <v>7</v>
      </c>
      <c r="E3699" s="33" t="n">
        <f aca="false">HOUR(A3699)+MINUTE(A3699)/60</f>
        <v>1</v>
      </c>
      <c r="F3699" s="33" t="n">
        <f aca="false">IF(OR(D3699&gt;5,E3699&lt;8,E3699&gt;=18,COUNTIF($K$2:$K$10,INT(A3699))&gt;0),1,0)</f>
        <v>1</v>
      </c>
      <c r="G3699" s="34" t="n">
        <f aca="false">B3699/1</f>
        <v>53.079</v>
      </c>
      <c r="H3699" s="34" t="n">
        <f aca="false">IF(F3699=1,G3699,"")</f>
        <v>53.079</v>
      </c>
    </row>
    <row r="3700" customFormat="false" ht="15" hidden="false" customHeight="false" outlineLevel="0" collapsed="false">
      <c r="A3700" s="31" t="n">
        <v>42890.0833333333</v>
      </c>
      <c r="B3700" s="32" t="n">
        <v>53.527</v>
      </c>
      <c r="D3700" s="33" t="n">
        <f aca="false">WEEKDAY(A3700,2)</f>
        <v>7</v>
      </c>
      <c r="E3700" s="33" t="n">
        <f aca="false">HOUR(A3700)+MINUTE(A3700)/60</f>
        <v>2</v>
      </c>
      <c r="F3700" s="33" t="n">
        <f aca="false">IF(OR(D3700&gt;5,E3700&lt;8,E3700&gt;=18,COUNTIF($K$2:$K$10,INT(A3700))&gt;0),1,0)</f>
        <v>1</v>
      </c>
      <c r="G3700" s="34" t="n">
        <f aca="false">B3700/1</f>
        <v>53.527</v>
      </c>
      <c r="H3700" s="34" t="n">
        <f aca="false">IF(F3700=1,G3700,"")</f>
        <v>53.527</v>
      </c>
    </row>
    <row r="3701" customFormat="false" ht="15" hidden="false" customHeight="false" outlineLevel="0" collapsed="false">
      <c r="A3701" s="31" t="n">
        <v>42890.125</v>
      </c>
      <c r="B3701" s="32" t="n">
        <v>52.896</v>
      </c>
      <c r="D3701" s="33" t="n">
        <f aca="false">WEEKDAY(A3701,2)</f>
        <v>7</v>
      </c>
      <c r="E3701" s="33" t="n">
        <f aca="false">HOUR(A3701)+MINUTE(A3701)/60</f>
        <v>3</v>
      </c>
      <c r="F3701" s="33" t="n">
        <f aca="false">IF(OR(D3701&gt;5,E3701&lt;8,E3701&gt;=18,COUNTIF($K$2:$K$10,INT(A3701))&gt;0),1,0)</f>
        <v>1</v>
      </c>
      <c r="G3701" s="34" t="n">
        <f aca="false">B3701/1</f>
        <v>52.896</v>
      </c>
      <c r="H3701" s="34" t="n">
        <f aca="false">IF(F3701=1,G3701,"")</f>
        <v>52.896</v>
      </c>
    </row>
    <row r="3702" customFormat="false" ht="15" hidden="false" customHeight="false" outlineLevel="0" collapsed="false">
      <c r="A3702" s="31" t="n">
        <v>42890.1666666667</v>
      </c>
      <c r="B3702" s="32" t="n">
        <v>53.44</v>
      </c>
      <c r="D3702" s="33" t="n">
        <f aca="false">WEEKDAY(A3702,2)</f>
        <v>7</v>
      </c>
      <c r="E3702" s="33" t="n">
        <f aca="false">HOUR(A3702)+MINUTE(A3702)/60</f>
        <v>4</v>
      </c>
      <c r="F3702" s="33" t="n">
        <f aca="false">IF(OR(D3702&gt;5,E3702&lt;8,E3702&gt;=18,COUNTIF($K$2:$K$10,INT(A3702))&gt;0),1,0)</f>
        <v>1</v>
      </c>
      <c r="G3702" s="34" t="n">
        <f aca="false">B3702/1</f>
        <v>53.44</v>
      </c>
      <c r="H3702" s="34" t="n">
        <f aca="false">IF(F3702=1,G3702,"")</f>
        <v>53.44</v>
      </c>
    </row>
    <row r="3703" customFormat="false" ht="15" hidden="false" customHeight="false" outlineLevel="0" collapsed="false">
      <c r="A3703" s="31" t="n">
        <v>42890.2083333333</v>
      </c>
      <c r="B3703" s="32" t="n">
        <v>52.081</v>
      </c>
      <c r="D3703" s="33" t="n">
        <f aca="false">WEEKDAY(A3703,2)</f>
        <v>7</v>
      </c>
      <c r="E3703" s="33" t="n">
        <f aca="false">HOUR(A3703)+MINUTE(A3703)/60</f>
        <v>5</v>
      </c>
      <c r="F3703" s="33" t="n">
        <f aca="false">IF(OR(D3703&gt;5,E3703&lt;8,E3703&gt;=18,COUNTIF($K$2:$K$10,INT(A3703))&gt;0),1,0)</f>
        <v>1</v>
      </c>
      <c r="G3703" s="34" t="n">
        <f aca="false">B3703/1</f>
        <v>52.081</v>
      </c>
      <c r="H3703" s="34" t="n">
        <f aca="false">IF(F3703=1,G3703,"")</f>
        <v>52.081</v>
      </c>
    </row>
    <row r="3704" customFormat="false" ht="15" hidden="false" customHeight="false" outlineLevel="0" collapsed="false">
      <c r="A3704" s="31" t="n">
        <v>42890.25</v>
      </c>
      <c r="B3704" s="32" t="n">
        <v>51.928</v>
      </c>
      <c r="D3704" s="33" t="n">
        <f aca="false">WEEKDAY(A3704,2)</f>
        <v>7</v>
      </c>
      <c r="E3704" s="33" t="n">
        <f aca="false">HOUR(A3704)+MINUTE(A3704)/60</f>
        <v>6</v>
      </c>
      <c r="F3704" s="33" t="n">
        <f aca="false">IF(OR(D3704&gt;5,E3704&lt;8,E3704&gt;=18,COUNTIF($K$2:$K$10,INT(A3704))&gt;0),1,0)</f>
        <v>1</v>
      </c>
      <c r="G3704" s="34" t="n">
        <f aca="false">B3704/1</f>
        <v>51.928</v>
      </c>
      <c r="H3704" s="34" t="n">
        <f aca="false">IF(F3704=1,G3704,"")</f>
        <v>51.928</v>
      </c>
    </row>
    <row r="3705" customFormat="false" ht="15" hidden="false" customHeight="false" outlineLevel="0" collapsed="false">
      <c r="A3705" s="31" t="n">
        <v>42890.2916666667</v>
      </c>
      <c r="B3705" s="32" t="n">
        <v>49.666</v>
      </c>
      <c r="D3705" s="33" t="n">
        <f aca="false">WEEKDAY(A3705,2)</f>
        <v>7</v>
      </c>
      <c r="E3705" s="33" t="n">
        <f aca="false">HOUR(A3705)+MINUTE(A3705)/60</f>
        <v>7</v>
      </c>
      <c r="F3705" s="33" t="n">
        <f aca="false">IF(OR(D3705&gt;5,E3705&lt;8,E3705&gt;=18,COUNTIF($K$2:$K$10,INT(A3705))&gt;0),1,0)</f>
        <v>1</v>
      </c>
      <c r="G3705" s="34" t="n">
        <f aca="false">B3705/1</f>
        <v>49.666</v>
      </c>
      <c r="H3705" s="34" t="n">
        <f aca="false">IF(F3705=1,G3705,"")</f>
        <v>49.666</v>
      </c>
    </row>
    <row r="3706" customFormat="false" ht="15" hidden="false" customHeight="false" outlineLevel="0" collapsed="false">
      <c r="A3706" s="31" t="n">
        <v>42890.3333333333</v>
      </c>
      <c r="B3706" s="32" t="n">
        <v>49.638</v>
      </c>
      <c r="D3706" s="33" t="n">
        <f aca="false">WEEKDAY(A3706,2)</f>
        <v>7</v>
      </c>
      <c r="E3706" s="33" t="n">
        <f aca="false">HOUR(A3706)+MINUTE(A3706)/60</f>
        <v>8</v>
      </c>
      <c r="F3706" s="33" t="n">
        <f aca="false">IF(OR(D3706&gt;5,E3706&lt;8,E3706&gt;=18,COUNTIF($K$2:$K$10,INT(A3706))&gt;0),1,0)</f>
        <v>1</v>
      </c>
      <c r="G3706" s="34" t="n">
        <f aca="false">B3706/1</f>
        <v>49.638</v>
      </c>
      <c r="H3706" s="34" t="n">
        <f aca="false">IF(F3706=1,G3706,"")</f>
        <v>49.638</v>
      </c>
    </row>
    <row r="3707" customFormat="false" ht="15" hidden="false" customHeight="false" outlineLevel="0" collapsed="false">
      <c r="A3707" s="31" t="n">
        <v>42890.375</v>
      </c>
      <c r="B3707" s="32" t="n">
        <v>50.338</v>
      </c>
      <c r="D3707" s="33" t="n">
        <f aca="false">WEEKDAY(A3707,2)</f>
        <v>7</v>
      </c>
      <c r="E3707" s="33" t="n">
        <f aca="false">HOUR(A3707)+MINUTE(A3707)/60</f>
        <v>9</v>
      </c>
      <c r="F3707" s="33" t="n">
        <f aca="false">IF(OR(D3707&gt;5,E3707&lt;8,E3707&gt;=18,COUNTIF($K$2:$K$10,INT(A3707))&gt;0),1,0)</f>
        <v>1</v>
      </c>
      <c r="G3707" s="34" t="n">
        <f aca="false">B3707/1</f>
        <v>50.338</v>
      </c>
      <c r="H3707" s="34" t="n">
        <f aca="false">IF(F3707=1,G3707,"")</f>
        <v>50.338</v>
      </c>
    </row>
    <row r="3708" customFormat="false" ht="15" hidden="false" customHeight="false" outlineLevel="0" collapsed="false">
      <c r="A3708" s="31" t="n">
        <v>42890.4166666667</v>
      </c>
      <c r="B3708" s="32" t="n">
        <v>49.902</v>
      </c>
      <c r="D3708" s="33" t="n">
        <f aca="false">WEEKDAY(A3708,2)</f>
        <v>7</v>
      </c>
      <c r="E3708" s="33" t="n">
        <f aca="false">HOUR(A3708)+MINUTE(A3708)/60</f>
        <v>10</v>
      </c>
      <c r="F3708" s="33" t="n">
        <f aca="false">IF(OR(D3708&gt;5,E3708&lt;8,E3708&gt;=18,COUNTIF($K$2:$K$10,INT(A3708))&gt;0),1,0)</f>
        <v>1</v>
      </c>
      <c r="G3708" s="34" t="n">
        <f aca="false">B3708/1</f>
        <v>49.902</v>
      </c>
      <c r="H3708" s="34" t="n">
        <f aca="false">IF(F3708=1,G3708,"")</f>
        <v>49.902</v>
      </c>
    </row>
    <row r="3709" customFormat="false" ht="15" hidden="false" customHeight="false" outlineLevel="0" collapsed="false">
      <c r="A3709" s="31" t="n">
        <v>42890.4583333333</v>
      </c>
      <c r="B3709" s="32" t="n">
        <v>49.064</v>
      </c>
      <c r="D3709" s="33" t="n">
        <f aca="false">WEEKDAY(A3709,2)</f>
        <v>7</v>
      </c>
      <c r="E3709" s="33" t="n">
        <f aca="false">HOUR(A3709)+MINUTE(A3709)/60</f>
        <v>11</v>
      </c>
      <c r="F3709" s="33" t="n">
        <f aca="false">IF(OR(D3709&gt;5,E3709&lt;8,E3709&gt;=18,COUNTIF($K$2:$K$10,INT(A3709))&gt;0),1,0)</f>
        <v>1</v>
      </c>
      <c r="G3709" s="34" t="n">
        <f aca="false">B3709/1</f>
        <v>49.064</v>
      </c>
      <c r="H3709" s="34" t="n">
        <f aca="false">IF(F3709=1,G3709,"")</f>
        <v>49.064</v>
      </c>
    </row>
    <row r="3710" customFormat="false" ht="15" hidden="false" customHeight="false" outlineLevel="0" collapsed="false">
      <c r="A3710" s="31" t="n">
        <v>42890.5</v>
      </c>
      <c r="B3710" s="32" t="n">
        <v>50.73</v>
      </c>
      <c r="D3710" s="33" t="n">
        <f aca="false">WEEKDAY(A3710,2)</f>
        <v>7</v>
      </c>
      <c r="E3710" s="33" t="n">
        <f aca="false">HOUR(A3710)+MINUTE(A3710)/60</f>
        <v>12</v>
      </c>
      <c r="F3710" s="33" t="n">
        <f aca="false">IF(OR(D3710&gt;5,E3710&lt;8,E3710&gt;=18,COUNTIF($K$2:$K$10,INT(A3710))&gt;0),1,0)</f>
        <v>1</v>
      </c>
      <c r="G3710" s="34" t="n">
        <f aca="false">B3710/1</f>
        <v>50.73</v>
      </c>
      <c r="H3710" s="34" t="n">
        <f aca="false">IF(F3710=1,G3710,"")</f>
        <v>50.73</v>
      </c>
    </row>
    <row r="3711" customFormat="false" ht="15" hidden="false" customHeight="false" outlineLevel="0" collapsed="false">
      <c r="A3711" s="31" t="n">
        <v>42890.5416666667</v>
      </c>
      <c r="B3711" s="32" t="n">
        <v>111.705</v>
      </c>
      <c r="D3711" s="33" t="n">
        <f aca="false">WEEKDAY(A3711,2)</f>
        <v>7</v>
      </c>
      <c r="E3711" s="33" t="n">
        <f aca="false">HOUR(A3711)+MINUTE(A3711)/60</f>
        <v>13</v>
      </c>
      <c r="F3711" s="33" t="n">
        <f aca="false">IF(OR(D3711&gt;5,E3711&lt;8,E3711&gt;=18,COUNTIF($K$2:$K$10,INT(A3711))&gt;0),1,0)</f>
        <v>1</v>
      </c>
      <c r="G3711" s="34" t="n">
        <f aca="false">B3711/1</f>
        <v>111.705</v>
      </c>
      <c r="H3711" s="34" t="n">
        <f aca="false">IF(F3711=1,G3711,"")</f>
        <v>111.705</v>
      </c>
    </row>
    <row r="3712" customFormat="false" ht="15" hidden="false" customHeight="false" outlineLevel="0" collapsed="false">
      <c r="A3712" s="31" t="n">
        <v>42890.5833333333</v>
      </c>
      <c r="B3712" s="32" t="n">
        <v>134.847</v>
      </c>
      <c r="D3712" s="33" t="n">
        <f aca="false">WEEKDAY(A3712,2)</f>
        <v>7</v>
      </c>
      <c r="E3712" s="33" t="n">
        <f aca="false">HOUR(A3712)+MINUTE(A3712)/60</f>
        <v>14</v>
      </c>
      <c r="F3712" s="33" t="n">
        <f aca="false">IF(OR(D3712&gt;5,E3712&lt;8,E3712&gt;=18,COUNTIF($K$2:$K$10,INT(A3712))&gt;0),1,0)</f>
        <v>1</v>
      </c>
      <c r="G3712" s="34" t="n">
        <f aca="false">B3712/1</f>
        <v>134.847</v>
      </c>
      <c r="H3712" s="34" t="n">
        <f aca="false">IF(F3712=1,G3712,"")</f>
        <v>134.847</v>
      </c>
    </row>
    <row r="3713" customFormat="false" ht="15" hidden="false" customHeight="false" outlineLevel="0" collapsed="false">
      <c r="A3713" s="31" t="n">
        <v>42890.625</v>
      </c>
      <c r="B3713" s="32" t="n">
        <v>133.585</v>
      </c>
      <c r="D3713" s="33" t="n">
        <f aca="false">WEEKDAY(A3713,2)</f>
        <v>7</v>
      </c>
      <c r="E3713" s="33" t="n">
        <f aca="false">HOUR(A3713)+MINUTE(A3713)/60</f>
        <v>15</v>
      </c>
      <c r="F3713" s="33" t="n">
        <f aca="false">IF(OR(D3713&gt;5,E3713&lt;8,E3713&gt;=18,COUNTIF($K$2:$K$10,INT(A3713))&gt;0),1,0)</f>
        <v>1</v>
      </c>
      <c r="G3713" s="34" t="n">
        <f aca="false">B3713/1</f>
        <v>133.585</v>
      </c>
      <c r="H3713" s="34" t="n">
        <f aca="false">IF(F3713=1,G3713,"")</f>
        <v>133.585</v>
      </c>
    </row>
    <row r="3714" customFormat="false" ht="15" hidden="false" customHeight="false" outlineLevel="0" collapsed="false">
      <c r="A3714" s="31" t="n">
        <v>42890.6666666667</v>
      </c>
      <c r="B3714" s="32" t="n">
        <v>134.646</v>
      </c>
      <c r="D3714" s="33" t="n">
        <f aca="false">WEEKDAY(A3714,2)</f>
        <v>7</v>
      </c>
      <c r="E3714" s="33" t="n">
        <f aca="false">HOUR(A3714)+MINUTE(A3714)/60</f>
        <v>16</v>
      </c>
      <c r="F3714" s="33" t="n">
        <f aca="false">IF(OR(D3714&gt;5,E3714&lt;8,E3714&gt;=18,COUNTIF($K$2:$K$10,INT(A3714))&gt;0),1,0)</f>
        <v>1</v>
      </c>
      <c r="G3714" s="34" t="n">
        <f aca="false">B3714/1</f>
        <v>134.646</v>
      </c>
      <c r="H3714" s="34" t="n">
        <f aca="false">IF(F3714=1,G3714,"")</f>
        <v>134.646</v>
      </c>
    </row>
    <row r="3715" customFormat="false" ht="15" hidden="false" customHeight="false" outlineLevel="0" collapsed="false">
      <c r="A3715" s="31" t="n">
        <v>42890.7083333333</v>
      </c>
      <c r="B3715" s="32" t="n">
        <v>131.136</v>
      </c>
      <c r="D3715" s="33" t="n">
        <f aca="false">WEEKDAY(A3715,2)</f>
        <v>7</v>
      </c>
      <c r="E3715" s="33" t="n">
        <f aca="false">HOUR(A3715)+MINUTE(A3715)/60</f>
        <v>17</v>
      </c>
      <c r="F3715" s="33" t="n">
        <f aca="false">IF(OR(D3715&gt;5,E3715&lt;8,E3715&gt;=18,COUNTIF($K$2:$K$10,INT(A3715))&gt;0),1,0)</f>
        <v>1</v>
      </c>
      <c r="G3715" s="34" t="n">
        <f aca="false">B3715/1</f>
        <v>131.136</v>
      </c>
      <c r="H3715" s="34" t="n">
        <f aca="false">IF(F3715=1,G3715,"")</f>
        <v>131.136</v>
      </c>
    </row>
    <row r="3716" customFormat="false" ht="15" hidden="false" customHeight="false" outlineLevel="0" collapsed="false">
      <c r="A3716" s="31" t="n">
        <v>42890.75</v>
      </c>
      <c r="B3716" s="32" t="n">
        <v>55.989</v>
      </c>
      <c r="D3716" s="33" t="n">
        <f aca="false">WEEKDAY(A3716,2)</f>
        <v>7</v>
      </c>
      <c r="E3716" s="33" t="n">
        <f aca="false">HOUR(A3716)+MINUTE(A3716)/60</f>
        <v>18</v>
      </c>
      <c r="F3716" s="33" t="n">
        <f aca="false">IF(OR(D3716&gt;5,E3716&lt;8,E3716&gt;=18,COUNTIF($K$2:$K$10,INT(A3716))&gt;0),1,0)</f>
        <v>1</v>
      </c>
      <c r="G3716" s="34" t="n">
        <f aca="false">B3716/1</f>
        <v>55.989</v>
      </c>
      <c r="H3716" s="34" t="n">
        <f aca="false">IF(F3716=1,G3716,"")</f>
        <v>55.989</v>
      </c>
    </row>
    <row r="3717" customFormat="false" ht="15" hidden="false" customHeight="false" outlineLevel="0" collapsed="false">
      <c r="A3717" s="31" t="n">
        <v>42890.7916666667</v>
      </c>
      <c r="B3717" s="32" t="n">
        <v>49.201</v>
      </c>
      <c r="D3717" s="33" t="n">
        <f aca="false">WEEKDAY(A3717,2)</f>
        <v>7</v>
      </c>
      <c r="E3717" s="33" t="n">
        <f aca="false">HOUR(A3717)+MINUTE(A3717)/60</f>
        <v>19</v>
      </c>
      <c r="F3717" s="33" t="n">
        <f aca="false">IF(OR(D3717&gt;5,E3717&lt;8,E3717&gt;=18,COUNTIF($K$2:$K$10,INT(A3717))&gt;0),1,0)</f>
        <v>1</v>
      </c>
      <c r="G3717" s="34" t="n">
        <f aca="false">B3717/1</f>
        <v>49.201</v>
      </c>
      <c r="H3717" s="34" t="n">
        <f aca="false">IF(F3717=1,G3717,"")</f>
        <v>49.201</v>
      </c>
    </row>
    <row r="3718" customFormat="false" ht="15" hidden="false" customHeight="false" outlineLevel="0" collapsed="false">
      <c r="A3718" s="31" t="n">
        <v>42890.8333333333</v>
      </c>
      <c r="B3718" s="32" t="n">
        <v>49.909</v>
      </c>
      <c r="D3718" s="33" t="n">
        <f aca="false">WEEKDAY(A3718,2)</f>
        <v>7</v>
      </c>
      <c r="E3718" s="33" t="n">
        <f aca="false">HOUR(A3718)+MINUTE(A3718)/60</f>
        <v>20</v>
      </c>
      <c r="F3718" s="33" t="n">
        <f aca="false">IF(OR(D3718&gt;5,E3718&lt;8,E3718&gt;=18,COUNTIF($K$2:$K$10,INT(A3718))&gt;0),1,0)</f>
        <v>1</v>
      </c>
      <c r="G3718" s="34" t="n">
        <f aca="false">B3718/1</f>
        <v>49.909</v>
      </c>
      <c r="H3718" s="34" t="n">
        <f aca="false">IF(F3718=1,G3718,"")</f>
        <v>49.909</v>
      </c>
    </row>
    <row r="3719" customFormat="false" ht="15" hidden="false" customHeight="false" outlineLevel="0" collapsed="false">
      <c r="A3719" s="31" t="n">
        <v>42890.875</v>
      </c>
      <c r="B3719" s="32" t="n">
        <v>49.432</v>
      </c>
      <c r="D3719" s="33" t="n">
        <f aca="false">WEEKDAY(A3719,2)</f>
        <v>7</v>
      </c>
      <c r="E3719" s="33" t="n">
        <f aca="false">HOUR(A3719)+MINUTE(A3719)/60</f>
        <v>21</v>
      </c>
      <c r="F3719" s="33" t="n">
        <f aca="false">IF(OR(D3719&gt;5,E3719&lt;8,E3719&gt;=18,COUNTIF($K$2:$K$10,INT(A3719))&gt;0),1,0)</f>
        <v>1</v>
      </c>
      <c r="G3719" s="34" t="n">
        <f aca="false">B3719/1</f>
        <v>49.432</v>
      </c>
      <c r="H3719" s="34" t="n">
        <f aca="false">IF(F3719=1,G3719,"")</f>
        <v>49.432</v>
      </c>
    </row>
    <row r="3720" customFormat="false" ht="15" hidden="false" customHeight="false" outlineLevel="0" collapsed="false">
      <c r="A3720" s="31" t="n">
        <v>42890.9166666667</v>
      </c>
      <c r="B3720" s="32" t="n">
        <v>52.512</v>
      </c>
      <c r="D3720" s="33" t="n">
        <f aca="false">WEEKDAY(A3720,2)</f>
        <v>7</v>
      </c>
      <c r="E3720" s="33" t="n">
        <f aca="false">HOUR(A3720)+MINUTE(A3720)/60</f>
        <v>22</v>
      </c>
      <c r="F3720" s="33" t="n">
        <f aca="false">IF(OR(D3720&gt;5,E3720&lt;8,E3720&gt;=18,COUNTIF($K$2:$K$10,INT(A3720))&gt;0),1,0)</f>
        <v>1</v>
      </c>
      <c r="G3720" s="34" t="n">
        <f aca="false">B3720/1</f>
        <v>52.512</v>
      </c>
      <c r="H3720" s="34" t="n">
        <f aca="false">IF(F3720=1,G3720,"")</f>
        <v>52.512</v>
      </c>
    </row>
    <row r="3721" customFormat="false" ht="15" hidden="false" customHeight="false" outlineLevel="0" collapsed="false">
      <c r="A3721" s="31" t="n">
        <v>42890.9583333333</v>
      </c>
      <c r="B3721" s="32" t="n">
        <v>52.786</v>
      </c>
      <c r="D3721" s="33" t="n">
        <f aca="false">WEEKDAY(A3721,2)</f>
        <v>7</v>
      </c>
      <c r="E3721" s="33" t="n">
        <f aca="false">HOUR(A3721)+MINUTE(A3721)/60</f>
        <v>23</v>
      </c>
      <c r="F3721" s="33" t="n">
        <f aca="false">IF(OR(D3721&gt;5,E3721&lt;8,E3721&gt;=18,COUNTIF($K$2:$K$10,INT(A3721))&gt;0),1,0)</f>
        <v>1</v>
      </c>
      <c r="G3721" s="34" t="n">
        <f aca="false">B3721/1</f>
        <v>52.786</v>
      </c>
      <c r="H3721" s="34" t="n">
        <f aca="false">IF(F3721=1,G3721,"")</f>
        <v>52.786</v>
      </c>
    </row>
    <row r="3722" customFormat="false" ht="15" hidden="false" customHeight="false" outlineLevel="0" collapsed="false">
      <c r="A3722" s="31" t="n">
        <v>42891</v>
      </c>
      <c r="B3722" s="32" t="n">
        <v>53.354</v>
      </c>
      <c r="D3722" s="33" t="n">
        <f aca="false">WEEKDAY(A3722,2)</f>
        <v>1</v>
      </c>
      <c r="E3722" s="33" t="n">
        <f aca="false">HOUR(A3722)+MINUTE(A3722)/60</f>
        <v>0</v>
      </c>
      <c r="F3722" s="33" t="n">
        <f aca="false">IF(OR(D3722&gt;5,E3722&lt;8,E3722&gt;=18,COUNTIF($K$2:$K$10,INT(A3722))&gt;0),1,0)</f>
        <v>1</v>
      </c>
      <c r="G3722" s="34" t="n">
        <f aca="false">B3722/1</f>
        <v>53.354</v>
      </c>
      <c r="H3722" s="34" t="n">
        <f aca="false">IF(F3722=1,G3722,"")</f>
        <v>53.354</v>
      </c>
    </row>
    <row r="3723" customFormat="false" ht="15" hidden="false" customHeight="false" outlineLevel="0" collapsed="false">
      <c r="A3723" s="31" t="n">
        <v>42891.0416666667</v>
      </c>
      <c r="B3723" s="32" t="n">
        <v>53.128</v>
      </c>
      <c r="D3723" s="33" t="n">
        <f aca="false">WEEKDAY(A3723,2)</f>
        <v>1</v>
      </c>
      <c r="E3723" s="33" t="n">
        <f aca="false">HOUR(A3723)+MINUTE(A3723)/60</f>
        <v>1</v>
      </c>
      <c r="F3723" s="33" t="n">
        <f aca="false">IF(OR(D3723&gt;5,E3723&lt;8,E3723&gt;=18,COUNTIF($K$2:$K$10,INT(A3723))&gt;0),1,0)</f>
        <v>1</v>
      </c>
      <c r="G3723" s="34" t="n">
        <f aca="false">B3723/1</f>
        <v>53.128</v>
      </c>
      <c r="H3723" s="34" t="n">
        <f aca="false">IF(F3723=1,G3723,"")</f>
        <v>53.128</v>
      </c>
    </row>
    <row r="3724" customFormat="false" ht="15" hidden="false" customHeight="false" outlineLevel="0" collapsed="false">
      <c r="A3724" s="31" t="n">
        <v>42891.0833333333</v>
      </c>
      <c r="B3724" s="32" t="n">
        <v>53.632</v>
      </c>
      <c r="D3724" s="33" t="n">
        <f aca="false">WEEKDAY(A3724,2)</f>
        <v>1</v>
      </c>
      <c r="E3724" s="33" t="n">
        <f aca="false">HOUR(A3724)+MINUTE(A3724)/60</f>
        <v>2</v>
      </c>
      <c r="F3724" s="33" t="n">
        <f aca="false">IF(OR(D3724&gt;5,E3724&lt;8,E3724&gt;=18,COUNTIF($K$2:$K$10,INT(A3724))&gt;0),1,0)</f>
        <v>1</v>
      </c>
      <c r="G3724" s="34" t="n">
        <f aca="false">B3724/1</f>
        <v>53.632</v>
      </c>
      <c r="H3724" s="34" t="n">
        <f aca="false">IF(F3724=1,G3724,"")</f>
        <v>53.632</v>
      </c>
    </row>
    <row r="3725" customFormat="false" ht="15" hidden="false" customHeight="false" outlineLevel="0" collapsed="false">
      <c r="A3725" s="31" t="n">
        <v>42891.125</v>
      </c>
      <c r="B3725" s="32" t="n">
        <v>53.518</v>
      </c>
      <c r="D3725" s="33" t="n">
        <f aca="false">WEEKDAY(A3725,2)</f>
        <v>1</v>
      </c>
      <c r="E3725" s="33" t="n">
        <f aca="false">HOUR(A3725)+MINUTE(A3725)/60</f>
        <v>3</v>
      </c>
      <c r="F3725" s="33" t="n">
        <f aca="false">IF(OR(D3725&gt;5,E3725&lt;8,E3725&gt;=18,COUNTIF($K$2:$K$10,INT(A3725))&gt;0),1,0)</f>
        <v>1</v>
      </c>
      <c r="G3725" s="34" t="n">
        <f aca="false">B3725/1</f>
        <v>53.518</v>
      </c>
      <c r="H3725" s="34" t="n">
        <f aca="false">IF(F3725=1,G3725,"")</f>
        <v>53.518</v>
      </c>
    </row>
    <row r="3726" customFormat="false" ht="15" hidden="false" customHeight="false" outlineLevel="0" collapsed="false">
      <c r="A3726" s="31" t="n">
        <v>42891.1666666667</v>
      </c>
      <c r="B3726" s="32" t="n">
        <v>53.043</v>
      </c>
      <c r="D3726" s="33" t="n">
        <f aca="false">WEEKDAY(A3726,2)</f>
        <v>1</v>
      </c>
      <c r="E3726" s="33" t="n">
        <f aca="false">HOUR(A3726)+MINUTE(A3726)/60</f>
        <v>4</v>
      </c>
      <c r="F3726" s="33" t="n">
        <f aca="false">IF(OR(D3726&gt;5,E3726&lt;8,E3726&gt;=18,COUNTIF($K$2:$K$10,INT(A3726))&gt;0),1,0)</f>
        <v>1</v>
      </c>
      <c r="G3726" s="34" t="n">
        <f aca="false">B3726/1</f>
        <v>53.043</v>
      </c>
      <c r="H3726" s="34" t="n">
        <f aca="false">IF(F3726=1,G3726,"")</f>
        <v>53.043</v>
      </c>
    </row>
    <row r="3727" customFormat="false" ht="15" hidden="false" customHeight="false" outlineLevel="0" collapsed="false">
      <c r="A3727" s="31" t="n">
        <v>42891.2083333333</v>
      </c>
      <c r="B3727" s="32" t="n">
        <v>52.995</v>
      </c>
      <c r="D3727" s="33" t="n">
        <f aca="false">WEEKDAY(A3727,2)</f>
        <v>1</v>
      </c>
      <c r="E3727" s="33" t="n">
        <f aca="false">HOUR(A3727)+MINUTE(A3727)/60</f>
        <v>5</v>
      </c>
      <c r="F3727" s="33" t="n">
        <f aca="false">IF(OR(D3727&gt;5,E3727&lt;8,E3727&gt;=18,COUNTIF($K$2:$K$10,INT(A3727))&gt;0),1,0)</f>
        <v>1</v>
      </c>
      <c r="G3727" s="34" t="n">
        <f aca="false">B3727/1</f>
        <v>52.995</v>
      </c>
      <c r="H3727" s="34" t="n">
        <f aca="false">IF(F3727=1,G3727,"")</f>
        <v>52.995</v>
      </c>
    </row>
    <row r="3728" customFormat="false" ht="15" hidden="false" customHeight="false" outlineLevel="0" collapsed="false">
      <c r="A3728" s="31" t="n">
        <v>42891.25</v>
      </c>
      <c r="B3728" s="32" t="n">
        <v>53.511</v>
      </c>
      <c r="D3728" s="33" t="n">
        <f aca="false">WEEKDAY(A3728,2)</f>
        <v>1</v>
      </c>
      <c r="E3728" s="33" t="n">
        <f aca="false">HOUR(A3728)+MINUTE(A3728)/60</f>
        <v>6</v>
      </c>
      <c r="F3728" s="33" t="n">
        <f aca="false">IF(OR(D3728&gt;5,E3728&lt;8,E3728&gt;=18,COUNTIF($K$2:$K$10,INT(A3728))&gt;0),1,0)</f>
        <v>1</v>
      </c>
      <c r="G3728" s="34" t="n">
        <f aca="false">B3728/1</f>
        <v>53.511</v>
      </c>
      <c r="H3728" s="34" t="n">
        <f aca="false">IF(F3728=1,G3728,"")</f>
        <v>53.511</v>
      </c>
    </row>
    <row r="3729" customFormat="false" ht="15" hidden="false" customHeight="false" outlineLevel="0" collapsed="false">
      <c r="A3729" s="31" t="n">
        <v>42891.2916666667</v>
      </c>
      <c r="B3729" s="32" t="n">
        <v>86.573</v>
      </c>
      <c r="D3729" s="33" t="n">
        <f aca="false">WEEKDAY(A3729,2)</f>
        <v>1</v>
      </c>
      <c r="E3729" s="33" t="n">
        <f aca="false">HOUR(A3729)+MINUTE(A3729)/60</f>
        <v>7</v>
      </c>
      <c r="F3729" s="33" t="n">
        <f aca="false">IF(OR(D3729&gt;5,E3729&lt;8,E3729&gt;=18,COUNTIF($K$2:$K$10,INT(A3729))&gt;0),1,0)</f>
        <v>1</v>
      </c>
      <c r="G3729" s="34" t="n">
        <f aca="false">B3729/1</f>
        <v>86.573</v>
      </c>
      <c r="H3729" s="34" t="n">
        <f aca="false">IF(F3729=1,G3729,"")</f>
        <v>86.573</v>
      </c>
    </row>
    <row r="3730" customFormat="false" ht="15" hidden="false" customHeight="false" outlineLevel="0" collapsed="false">
      <c r="A3730" s="31" t="n">
        <v>42891.3333333333</v>
      </c>
      <c r="B3730" s="32" t="n">
        <v>171.985</v>
      </c>
      <c r="D3730" s="33" t="n">
        <f aca="false">WEEKDAY(A3730,2)</f>
        <v>1</v>
      </c>
      <c r="E3730" s="33" t="n">
        <f aca="false">HOUR(A3730)+MINUTE(A3730)/60</f>
        <v>8</v>
      </c>
      <c r="F3730" s="33" t="n">
        <f aca="false">IF(OR(D3730&gt;5,E3730&lt;8,E3730&gt;=18,COUNTIF($K$2:$K$10,INT(A3730))&gt;0),1,0)</f>
        <v>0</v>
      </c>
      <c r="G3730" s="34" t="n">
        <f aca="false">B3730/1</f>
        <v>171.985</v>
      </c>
      <c r="H3730" s="34" t="str">
        <f aca="false">IF(F3730=1,G3730,"")</f>
        <v/>
      </c>
    </row>
    <row r="3731" customFormat="false" ht="15" hidden="false" customHeight="false" outlineLevel="0" collapsed="false">
      <c r="A3731" s="31" t="n">
        <v>42891.375</v>
      </c>
      <c r="B3731" s="32" t="n">
        <v>196.749</v>
      </c>
      <c r="D3731" s="33" t="n">
        <f aca="false">WEEKDAY(A3731,2)</f>
        <v>1</v>
      </c>
      <c r="E3731" s="33" t="n">
        <f aca="false">HOUR(A3731)+MINUTE(A3731)/60</f>
        <v>9</v>
      </c>
      <c r="F3731" s="33" t="n">
        <f aca="false">IF(OR(D3731&gt;5,E3731&lt;8,E3731&gt;=18,COUNTIF($K$2:$K$10,INT(A3731))&gt;0),1,0)</f>
        <v>0</v>
      </c>
      <c r="G3731" s="34" t="n">
        <f aca="false">B3731/1</f>
        <v>196.749</v>
      </c>
      <c r="H3731" s="34" t="str">
        <f aca="false">IF(F3731=1,G3731,"")</f>
        <v/>
      </c>
    </row>
    <row r="3732" customFormat="false" ht="15" hidden="false" customHeight="false" outlineLevel="0" collapsed="false">
      <c r="A3732" s="31" t="n">
        <v>42891.4166666667</v>
      </c>
      <c r="B3732" s="32" t="n">
        <v>207.165</v>
      </c>
      <c r="D3732" s="33" t="n">
        <f aca="false">WEEKDAY(A3732,2)</f>
        <v>1</v>
      </c>
      <c r="E3732" s="33" t="n">
        <f aca="false">HOUR(A3732)+MINUTE(A3732)/60</f>
        <v>10</v>
      </c>
      <c r="F3732" s="33" t="n">
        <f aca="false">IF(OR(D3732&gt;5,E3732&lt;8,E3732&gt;=18,COUNTIF($K$2:$K$10,INT(A3732))&gt;0),1,0)</f>
        <v>0</v>
      </c>
      <c r="G3732" s="34" t="n">
        <f aca="false">B3732/1</f>
        <v>207.165</v>
      </c>
      <c r="H3732" s="34" t="str">
        <f aca="false">IF(F3732=1,G3732,"")</f>
        <v/>
      </c>
    </row>
    <row r="3733" customFormat="false" ht="15" hidden="false" customHeight="false" outlineLevel="0" collapsed="false">
      <c r="A3733" s="31" t="n">
        <v>42891.4583333333</v>
      </c>
      <c r="B3733" s="32" t="n">
        <v>212.451</v>
      </c>
      <c r="D3733" s="33" t="n">
        <f aca="false">WEEKDAY(A3733,2)</f>
        <v>1</v>
      </c>
      <c r="E3733" s="33" t="n">
        <f aca="false">HOUR(A3733)+MINUTE(A3733)/60</f>
        <v>11</v>
      </c>
      <c r="F3733" s="33" t="n">
        <f aca="false">IF(OR(D3733&gt;5,E3733&lt;8,E3733&gt;=18,COUNTIF($K$2:$K$10,INT(A3733))&gt;0),1,0)</f>
        <v>0</v>
      </c>
      <c r="G3733" s="34" t="n">
        <f aca="false">B3733/1</f>
        <v>212.451</v>
      </c>
      <c r="H3733" s="34" t="str">
        <f aca="false">IF(F3733=1,G3733,"")</f>
        <v/>
      </c>
    </row>
    <row r="3734" customFormat="false" ht="15" hidden="false" customHeight="false" outlineLevel="0" collapsed="false">
      <c r="A3734" s="31" t="n">
        <v>42891.5</v>
      </c>
      <c r="B3734" s="32" t="n">
        <v>214.176</v>
      </c>
      <c r="D3734" s="33" t="n">
        <f aca="false">WEEKDAY(A3734,2)</f>
        <v>1</v>
      </c>
      <c r="E3734" s="33" t="n">
        <f aca="false">HOUR(A3734)+MINUTE(A3734)/60</f>
        <v>12</v>
      </c>
      <c r="F3734" s="33" t="n">
        <f aca="false">IF(OR(D3734&gt;5,E3734&lt;8,E3734&gt;=18,COUNTIF($K$2:$K$10,INT(A3734))&gt;0),1,0)</f>
        <v>0</v>
      </c>
      <c r="G3734" s="34" t="n">
        <f aca="false">B3734/1</f>
        <v>214.176</v>
      </c>
      <c r="H3734" s="34" t="str">
        <f aca="false">IF(F3734=1,G3734,"")</f>
        <v/>
      </c>
    </row>
    <row r="3735" customFormat="false" ht="15" hidden="false" customHeight="false" outlineLevel="0" collapsed="false">
      <c r="A3735" s="31" t="n">
        <v>42891.5416666667</v>
      </c>
      <c r="B3735" s="32" t="n">
        <v>207.413</v>
      </c>
      <c r="D3735" s="33" t="n">
        <f aca="false">WEEKDAY(A3735,2)</f>
        <v>1</v>
      </c>
      <c r="E3735" s="33" t="n">
        <f aca="false">HOUR(A3735)+MINUTE(A3735)/60</f>
        <v>13</v>
      </c>
      <c r="F3735" s="33" t="n">
        <f aca="false">IF(OR(D3735&gt;5,E3735&lt;8,E3735&gt;=18,COUNTIF($K$2:$K$10,INT(A3735))&gt;0),1,0)</f>
        <v>0</v>
      </c>
      <c r="G3735" s="34" t="n">
        <f aca="false">B3735/1</f>
        <v>207.413</v>
      </c>
      <c r="H3735" s="34" t="str">
        <f aca="false">IF(F3735=1,G3735,"")</f>
        <v/>
      </c>
    </row>
    <row r="3736" customFormat="false" ht="15" hidden="false" customHeight="false" outlineLevel="0" collapsed="false">
      <c r="A3736" s="31" t="n">
        <v>42891.5833333333</v>
      </c>
      <c r="B3736" s="32" t="n">
        <v>205.513</v>
      </c>
      <c r="D3736" s="33" t="n">
        <f aca="false">WEEKDAY(A3736,2)</f>
        <v>1</v>
      </c>
      <c r="E3736" s="33" t="n">
        <f aca="false">HOUR(A3736)+MINUTE(A3736)/60</f>
        <v>14</v>
      </c>
      <c r="F3736" s="33" t="n">
        <f aca="false">IF(OR(D3736&gt;5,E3736&lt;8,E3736&gt;=18,COUNTIF($K$2:$K$10,INT(A3736))&gt;0),1,0)</f>
        <v>0</v>
      </c>
      <c r="G3736" s="34" t="n">
        <f aca="false">B3736/1</f>
        <v>205.513</v>
      </c>
      <c r="H3736" s="34" t="str">
        <f aca="false">IF(F3736=1,G3736,"")</f>
        <v/>
      </c>
    </row>
    <row r="3737" customFormat="false" ht="15" hidden="false" customHeight="false" outlineLevel="0" collapsed="false">
      <c r="A3737" s="31" t="n">
        <v>42891.625</v>
      </c>
      <c r="B3737" s="32" t="n">
        <v>206.707</v>
      </c>
      <c r="D3737" s="33" t="n">
        <f aca="false">WEEKDAY(A3737,2)</f>
        <v>1</v>
      </c>
      <c r="E3737" s="33" t="n">
        <f aca="false">HOUR(A3737)+MINUTE(A3737)/60</f>
        <v>15</v>
      </c>
      <c r="F3737" s="33" t="n">
        <f aca="false">IF(OR(D3737&gt;5,E3737&lt;8,E3737&gt;=18,COUNTIF($K$2:$K$10,INT(A3737))&gt;0),1,0)</f>
        <v>0</v>
      </c>
      <c r="G3737" s="34" t="n">
        <f aca="false">B3737/1</f>
        <v>206.707</v>
      </c>
      <c r="H3737" s="34" t="str">
        <f aca="false">IF(F3737=1,G3737,"")</f>
        <v/>
      </c>
    </row>
    <row r="3738" customFormat="false" ht="15" hidden="false" customHeight="false" outlineLevel="0" collapsed="false">
      <c r="A3738" s="31" t="n">
        <v>42891.6666666667</v>
      </c>
      <c r="B3738" s="32" t="n">
        <v>202.169</v>
      </c>
      <c r="D3738" s="33" t="n">
        <f aca="false">WEEKDAY(A3738,2)</f>
        <v>1</v>
      </c>
      <c r="E3738" s="33" t="n">
        <f aca="false">HOUR(A3738)+MINUTE(A3738)/60</f>
        <v>16</v>
      </c>
      <c r="F3738" s="33" t="n">
        <f aca="false">IF(OR(D3738&gt;5,E3738&lt;8,E3738&gt;=18,COUNTIF($K$2:$K$10,INT(A3738))&gt;0),1,0)</f>
        <v>0</v>
      </c>
      <c r="G3738" s="34" t="n">
        <f aca="false">B3738/1</f>
        <v>202.169</v>
      </c>
      <c r="H3738" s="34" t="str">
        <f aca="false">IF(F3738=1,G3738,"")</f>
        <v/>
      </c>
    </row>
    <row r="3739" customFormat="false" ht="15" hidden="false" customHeight="false" outlineLevel="0" collapsed="false">
      <c r="A3739" s="31" t="n">
        <v>42891.7083333333</v>
      </c>
      <c r="B3739" s="32" t="n">
        <v>190.602</v>
      </c>
      <c r="D3739" s="33" t="n">
        <f aca="false">WEEKDAY(A3739,2)</f>
        <v>1</v>
      </c>
      <c r="E3739" s="33" t="n">
        <f aca="false">HOUR(A3739)+MINUTE(A3739)/60</f>
        <v>17</v>
      </c>
      <c r="F3739" s="33" t="n">
        <f aca="false">IF(OR(D3739&gt;5,E3739&lt;8,E3739&gt;=18,COUNTIF($K$2:$K$10,INT(A3739))&gt;0),1,0)</f>
        <v>0</v>
      </c>
      <c r="G3739" s="34" t="n">
        <f aca="false">B3739/1</f>
        <v>190.602</v>
      </c>
      <c r="H3739" s="34" t="str">
        <f aca="false">IF(F3739=1,G3739,"")</f>
        <v/>
      </c>
    </row>
    <row r="3740" customFormat="false" ht="15" hidden="false" customHeight="false" outlineLevel="0" collapsed="false">
      <c r="A3740" s="31" t="n">
        <v>42891.75</v>
      </c>
      <c r="B3740" s="32" t="n">
        <v>178.017</v>
      </c>
      <c r="D3740" s="33" t="n">
        <f aca="false">WEEKDAY(A3740,2)</f>
        <v>1</v>
      </c>
      <c r="E3740" s="33" t="n">
        <f aca="false">HOUR(A3740)+MINUTE(A3740)/60</f>
        <v>18</v>
      </c>
      <c r="F3740" s="33" t="n">
        <f aca="false">IF(OR(D3740&gt;5,E3740&lt;8,E3740&gt;=18,COUNTIF($K$2:$K$10,INT(A3740))&gt;0),1,0)</f>
        <v>1</v>
      </c>
      <c r="G3740" s="34" t="n">
        <f aca="false">B3740/1</f>
        <v>178.017</v>
      </c>
      <c r="H3740" s="34" t="n">
        <f aca="false">IF(F3740=1,G3740,"")</f>
        <v>178.017</v>
      </c>
    </row>
    <row r="3741" customFormat="false" ht="15" hidden="false" customHeight="false" outlineLevel="0" collapsed="false">
      <c r="A3741" s="31" t="n">
        <v>42891.7916666667</v>
      </c>
      <c r="B3741" s="32" t="n">
        <v>171.159</v>
      </c>
      <c r="D3741" s="33" t="n">
        <f aca="false">WEEKDAY(A3741,2)</f>
        <v>1</v>
      </c>
      <c r="E3741" s="33" t="n">
        <f aca="false">HOUR(A3741)+MINUTE(A3741)/60</f>
        <v>19</v>
      </c>
      <c r="F3741" s="33" t="n">
        <f aca="false">IF(OR(D3741&gt;5,E3741&lt;8,E3741&gt;=18,COUNTIF($K$2:$K$10,INT(A3741))&gt;0),1,0)</f>
        <v>1</v>
      </c>
      <c r="G3741" s="34" t="n">
        <f aca="false">B3741/1</f>
        <v>171.159</v>
      </c>
      <c r="H3741" s="34" t="n">
        <f aca="false">IF(F3741=1,G3741,"")</f>
        <v>171.159</v>
      </c>
    </row>
    <row r="3742" customFormat="false" ht="15" hidden="false" customHeight="false" outlineLevel="0" collapsed="false">
      <c r="A3742" s="31" t="n">
        <v>42891.8333333333</v>
      </c>
      <c r="B3742" s="32" t="n">
        <v>168.739</v>
      </c>
      <c r="D3742" s="33" t="n">
        <f aca="false">WEEKDAY(A3742,2)</f>
        <v>1</v>
      </c>
      <c r="E3742" s="33" t="n">
        <f aca="false">HOUR(A3742)+MINUTE(A3742)/60</f>
        <v>20</v>
      </c>
      <c r="F3742" s="33" t="n">
        <f aca="false">IF(OR(D3742&gt;5,E3742&lt;8,E3742&gt;=18,COUNTIF($K$2:$K$10,INT(A3742))&gt;0),1,0)</f>
        <v>1</v>
      </c>
      <c r="G3742" s="34" t="n">
        <f aca="false">B3742/1</f>
        <v>168.739</v>
      </c>
      <c r="H3742" s="34" t="n">
        <f aca="false">IF(F3742=1,G3742,"")</f>
        <v>168.739</v>
      </c>
    </row>
    <row r="3743" customFormat="false" ht="15" hidden="false" customHeight="false" outlineLevel="0" collapsed="false">
      <c r="A3743" s="31" t="n">
        <v>42891.875</v>
      </c>
      <c r="B3743" s="32" t="n">
        <v>165.387</v>
      </c>
      <c r="D3743" s="33" t="n">
        <f aca="false">WEEKDAY(A3743,2)</f>
        <v>1</v>
      </c>
      <c r="E3743" s="33" t="n">
        <f aca="false">HOUR(A3743)+MINUTE(A3743)/60</f>
        <v>21</v>
      </c>
      <c r="F3743" s="33" t="n">
        <f aca="false">IF(OR(D3743&gt;5,E3743&lt;8,E3743&gt;=18,COUNTIF($K$2:$K$10,INT(A3743))&gt;0),1,0)</f>
        <v>1</v>
      </c>
      <c r="G3743" s="34" t="n">
        <f aca="false">B3743/1</f>
        <v>165.387</v>
      </c>
      <c r="H3743" s="34" t="n">
        <f aca="false">IF(F3743=1,G3743,"")</f>
        <v>165.387</v>
      </c>
    </row>
    <row r="3744" customFormat="false" ht="15" hidden="false" customHeight="false" outlineLevel="0" collapsed="false">
      <c r="A3744" s="31" t="n">
        <v>42891.9166666667</v>
      </c>
      <c r="B3744" s="32" t="n">
        <v>118.481</v>
      </c>
      <c r="D3744" s="33" t="n">
        <f aca="false">WEEKDAY(A3744,2)</f>
        <v>1</v>
      </c>
      <c r="E3744" s="33" t="n">
        <f aca="false">HOUR(A3744)+MINUTE(A3744)/60</f>
        <v>22</v>
      </c>
      <c r="F3744" s="33" t="n">
        <f aca="false">IF(OR(D3744&gt;5,E3744&lt;8,E3744&gt;=18,COUNTIF($K$2:$K$10,INT(A3744))&gt;0),1,0)</f>
        <v>1</v>
      </c>
      <c r="G3744" s="34" t="n">
        <f aca="false">B3744/1</f>
        <v>118.481</v>
      </c>
      <c r="H3744" s="34" t="n">
        <f aca="false">IF(F3744=1,G3744,"")</f>
        <v>118.481</v>
      </c>
    </row>
    <row r="3745" customFormat="false" ht="15" hidden="false" customHeight="false" outlineLevel="0" collapsed="false">
      <c r="A3745" s="31" t="n">
        <v>42891.9583333333</v>
      </c>
      <c r="B3745" s="32" t="n">
        <v>58.518</v>
      </c>
      <c r="D3745" s="33" t="n">
        <f aca="false">WEEKDAY(A3745,2)</f>
        <v>1</v>
      </c>
      <c r="E3745" s="33" t="n">
        <f aca="false">HOUR(A3745)+MINUTE(A3745)/60</f>
        <v>23</v>
      </c>
      <c r="F3745" s="33" t="n">
        <f aca="false">IF(OR(D3745&gt;5,E3745&lt;8,E3745&gt;=18,COUNTIF($K$2:$K$10,INT(A3745))&gt;0),1,0)</f>
        <v>1</v>
      </c>
      <c r="G3745" s="34" t="n">
        <f aca="false">B3745/1</f>
        <v>58.518</v>
      </c>
      <c r="H3745" s="34" t="n">
        <f aca="false">IF(F3745=1,G3745,"")</f>
        <v>58.518</v>
      </c>
    </row>
    <row r="3746" customFormat="false" ht="15" hidden="false" customHeight="false" outlineLevel="0" collapsed="false">
      <c r="A3746" s="31" t="n">
        <v>42892</v>
      </c>
      <c r="B3746" s="32" t="n">
        <v>56.975</v>
      </c>
      <c r="D3746" s="33" t="n">
        <f aca="false">WEEKDAY(A3746,2)</f>
        <v>2</v>
      </c>
      <c r="E3746" s="33" t="n">
        <f aca="false">HOUR(A3746)+MINUTE(A3746)/60</f>
        <v>0</v>
      </c>
      <c r="F3746" s="33" t="n">
        <f aca="false">IF(OR(D3746&gt;5,E3746&lt;8,E3746&gt;=18,COUNTIF($K$2:$K$10,INT(A3746))&gt;0),1,0)</f>
        <v>1</v>
      </c>
      <c r="G3746" s="34" t="n">
        <f aca="false">B3746/1</f>
        <v>56.975</v>
      </c>
      <c r="H3746" s="34" t="n">
        <f aca="false">IF(F3746=1,G3746,"")</f>
        <v>56.975</v>
      </c>
    </row>
    <row r="3747" customFormat="false" ht="15" hidden="false" customHeight="false" outlineLevel="0" collapsed="false">
      <c r="A3747" s="31" t="n">
        <v>42892.0416666667</v>
      </c>
      <c r="B3747" s="32" t="n">
        <v>53.864</v>
      </c>
      <c r="D3747" s="33" t="n">
        <f aca="false">WEEKDAY(A3747,2)</f>
        <v>2</v>
      </c>
      <c r="E3747" s="33" t="n">
        <f aca="false">HOUR(A3747)+MINUTE(A3747)/60</f>
        <v>1</v>
      </c>
      <c r="F3747" s="33" t="n">
        <f aca="false">IF(OR(D3747&gt;5,E3747&lt;8,E3747&gt;=18,COUNTIF($K$2:$K$10,INT(A3747))&gt;0),1,0)</f>
        <v>1</v>
      </c>
      <c r="G3747" s="34" t="n">
        <f aca="false">B3747/1</f>
        <v>53.864</v>
      </c>
      <c r="H3747" s="34" t="n">
        <f aca="false">IF(F3747=1,G3747,"")</f>
        <v>53.864</v>
      </c>
    </row>
    <row r="3748" customFormat="false" ht="15" hidden="false" customHeight="false" outlineLevel="0" collapsed="false">
      <c r="A3748" s="31" t="n">
        <v>42892.0833333333</v>
      </c>
      <c r="B3748" s="32" t="n">
        <v>53.069</v>
      </c>
      <c r="D3748" s="33" t="n">
        <f aca="false">WEEKDAY(A3748,2)</f>
        <v>2</v>
      </c>
      <c r="E3748" s="33" t="n">
        <f aca="false">HOUR(A3748)+MINUTE(A3748)/60</f>
        <v>2</v>
      </c>
      <c r="F3748" s="33" t="n">
        <f aca="false">IF(OR(D3748&gt;5,E3748&lt;8,E3748&gt;=18,COUNTIF($K$2:$K$10,INT(A3748))&gt;0),1,0)</f>
        <v>1</v>
      </c>
      <c r="G3748" s="34" t="n">
        <f aca="false">B3748/1</f>
        <v>53.069</v>
      </c>
      <c r="H3748" s="34" t="n">
        <f aca="false">IF(F3748=1,G3748,"")</f>
        <v>53.069</v>
      </c>
    </row>
    <row r="3749" customFormat="false" ht="15" hidden="false" customHeight="false" outlineLevel="0" collapsed="false">
      <c r="A3749" s="31" t="n">
        <v>42892.125</v>
      </c>
      <c r="B3749" s="32" t="n">
        <v>52.328</v>
      </c>
      <c r="D3749" s="33" t="n">
        <f aca="false">WEEKDAY(A3749,2)</f>
        <v>2</v>
      </c>
      <c r="E3749" s="33" t="n">
        <f aca="false">HOUR(A3749)+MINUTE(A3749)/60</f>
        <v>3</v>
      </c>
      <c r="F3749" s="33" t="n">
        <f aca="false">IF(OR(D3749&gt;5,E3749&lt;8,E3749&gt;=18,COUNTIF($K$2:$K$10,INT(A3749))&gt;0),1,0)</f>
        <v>1</v>
      </c>
      <c r="G3749" s="34" t="n">
        <f aca="false">B3749/1</f>
        <v>52.328</v>
      </c>
      <c r="H3749" s="34" t="n">
        <f aca="false">IF(F3749=1,G3749,"")</f>
        <v>52.328</v>
      </c>
    </row>
    <row r="3750" customFormat="false" ht="15" hidden="false" customHeight="false" outlineLevel="0" collapsed="false">
      <c r="A3750" s="31" t="n">
        <v>42892.1666666667</v>
      </c>
      <c r="B3750" s="32" t="n">
        <v>52.536</v>
      </c>
      <c r="D3750" s="33" t="n">
        <f aca="false">WEEKDAY(A3750,2)</f>
        <v>2</v>
      </c>
      <c r="E3750" s="33" t="n">
        <f aca="false">HOUR(A3750)+MINUTE(A3750)/60</f>
        <v>4</v>
      </c>
      <c r="F3750" s="33" t="n">
        <f aca="false">IF(OR(D3750&gt;5,E3750&lt;8,E3750&gt;=18,COUNTIF($K$2:$K$10,INT(A3750))&gt;0),1,0)</f>
        <v>1</v>
      </c>
      <c r="G3750" s="34" t="n">
        <f aca="false">B3750/1</f>
        <v>52.536</v>
      </c>
      <c r="H3750" s="34" t="n">
        <f aca="false">IF(F3750=1,G3750,"")</f>
        <v>52.536</v>
      </c>
    </row>
    <row r="3751" customFormat="false" ht="15" hidden="false" customHeight="false" outlineLevel="0" collapsed="false">
      <c r="A3751" s="31" t="n">
        <v>42892.2083333333</v>
      </c>
      <c r="B3751" s="32" t="n">
        <v>52.209</v>
      </c>
      <c r="D3751" s="33" t="n">
        <f aca="false">WEEKDAY(A3751,2)</f>
        <v>2</v>
      </c>
      <c r="E3751" s="33" t="n">
        <f aca="false">HOUR(A3751)+MINUTE(A3751)/60</f>
        <v>5</v>
      </c>
      <c r="F3751" s="33" t="n">
        <f aca="false">IF(OR(D3751&gt;5,E3751&lt;8,E3751&gt;=18,COUNTIF($K$2:$K$10,INT(A3751))&gt;0),1,0)</f>
        <v>1</v>
      </c>
      <c r="G3751" s="34" t="n">
        <f aca="false">B3751/1</f>
        <v>52.209</v>
      </c>
      <c r="H3751" s="34" t="n">
        <f aca="false">IF(F3751=1,G3751,"")</f>
        <v>52.209</v>
      </c>
    </row>
    <row r="3752" customFormat="false" ht="15" hidden="false" customHeight="false" outlineLevel="0" collapsed="false">
      <c r="A3752" s="31" t="n">
        <v>42892.25</v>
      </c>
      <c r="B3752" s="32" t="n">
        <v>53.212</v>
      </c>
      <c r="D3752" s="33" t="n">
        <f aca="false">WEEKDAY(A3752,2)</f>
        <v>2</v>
      </c>
      <c r="E3752" s="33" t="n">
        <f aca="false">HOUR(A3752)+MINUTE(A3752)/60</f>
        <v>6</v>
      </c>
      <c r="F3752" s="33" t="n">
        <f aca="false">IF(OR(D3752&gt;5,E3752&lt;8,E3752&gt;=18,COUNTIF($K$2:$K$10,INT(A3752))&gt;0),1,0)</f>
        <v>1</v>
      </c>
      <c r="G3752" s="34" t="n">
        <f aca="false">B3752/1</f>
        <v>53.212</v>
      </c>
      <c r="H3752" s="34" t="n">
        <f aca="false">IF(F3752=1,G3752,"")</f>
        <v>53.212</v>
      </c>
    </row>
    <row r="3753" customFormat="false" ht="15" hidden="false" customHeight="false" outlineLevel="0" collapsed="false">
      <c r="A3753" s="31" t="n">
        <v>42892.2916666667</v>
      </c>
      <c r="B3753" s="32" t="n">
        <v>60.276</v>
      </c>
      <c r="D3753" s="33" t="n">
        <f aca="false">WEEKDAY(A3753,2)</f>
        <v>2</v>
      </c>
      <c r="E3753" s="33" t="n">
        <f aca="false">HOUR(A3753)+MINUTE(A3753)/60</f>
        <v>7</v>
      </c>
      <c r="F3753" s="33" t="n">
        <f aca="false">IF(OR(D3753&gt;5,E3753&lt;8,E3753&gt;=18,COUNTIF($K$2:$K$10,INT(A3753))&gt;0),1,0)</f>
        <v>1</v>
      </c>
      <c r="G3753" s="34" t="n">
        <f aca="false">B3753/1</f>
        <v>60.276</v>
      </c>
      <c r="H3753" s="34" t="n">
        <f aca="false">IF(F3753=1,G3753,"")</f>
        <v>60.276</v>
      </c>
    </row>
    <row r="3754" customFormat="false" ht="15" hidden="false" customHeight="false" outlineLevel="0" collapsed="false">
      <c r="A3754" s="31" t="n">
        <v>42892.3333333333</v>
      </c>
      <c r="B3754" s="32" t="n">
        <v>162.152</v>
      </c>
      <c r="D3754" s="33" t="n">
        <f aca="false">WEEKDAY(A3754,2)</f>
        <v>2</v>
      </c>
      <c r="E3754" s="33" t="n">
        <f aca="false">HOUR(A3754)+MINUTE(A3754)/60</f>
        <v>8</v>
      </c>
      <c r="F3754" s="33" t="n">
        <f aca="false">IF(OR(D3754&gt;5,E3754&lt;8,E3754&gt;=18,COUNTIF($K$2:$K$10,INT(A3754))&gt;0),1,0)</f>
        <v>0</v>
      </c>
      <c r="G3754" s="34" t="n">
        <f aca="false">B3754/1</f>
        <v>162.152</v>
      </c>
      <c r="H3754" s="34" t="str">
        <f aca="false">IF(F3754=1,G3754,"")</f>
        <v/>
      </c>
    </row>
    <row r="3755" customFormat="false" ht="15" hidden="false" customHeight="false" outlineLevel="0" collapsed="false">
      <c r="A3755" s="31" t="n">
        <v>42892.375</v>
      </c>
      <c r="B3755" s="32" t="n">
        <v>188.309</v>
      </c>
      <c r="D3755" s="33" t="n">
        <f aca="false">WEEKDAY(A3755,2)</f>
        <v>2</v>
      </c>
      <c r="E3755" s="33" t="n">
        <f aca="false">HOUR(A3755)+MINUTE(A3755)/60</f>
        <v>9</v>
      </c>
      <c r="F3755" s="33" t="n">
        <f aca="false">IF(OR(D3755&gt;5,E3755&lt;8,E3755&gt;=18,COUNTIF($K$2:$K$10,INT(A3755))&gt;0),1,0)</f>
        <v>0</v>
      </c>
      <c r="G3755" s="34" t="n">
        <f aca="false">B3755/1</f>
        <v>188.309</v>
      </c>
      <c r="H3755" s="34" t="str">
        <f aca="false">IF(F3755=1,G3755,"")</f>
        <v/>
      </c>
    </row>
    <row r="3756" customFormat="false" ht="15" hidden="false" customHeight="false" outlineLevel="0" collapsed="false">
      <c r="A3756" s="31" t="n">
        <v>42892.4166666667</v>
      </c>
      <c r="B3756" s="32" t="n">
        <v>195.624</v>
      </c>
      <c r="D3756" s="33" t="n">
        <f aca="false">WEEKDAY(A3756,2)</f>
        <v>2</v>
      </c>
      <c r="E3756" s="33" t="n">
        <f aca="false">HOUR(A3756)+MINUTE(A3756)/60</f>
        <v>10</v>
      </c>
      <c r="F3756" s="33" t="n">
        <f aca="false">IF(OR(D3756&gt;5,E3756&lt;8,E3756&gt;=18,COUNTIF($K$2:$K$10,INT(A3756))&gt;0),1,0)</f>
        <v>0</v>
      </c>
      <c r="G3756" s="34" t="n">
        <f aca="false">B3756/1</f>
        <v>195.624</v>
      </c>
      <c r="H3756" s="34" t="str">
        <f aca="false">IF(F3756=1,G3756,"")</f>
        <v/>
      </c>
    </row>
    <row r="3757" customFormat="false" ht="15" hidden="false" customHeight="false" outlineLevel="0" collapsed="false">
      <c r="A3757" s="31" t="n">
        <v>42892.4583333333</v>
      </c>
      <c r="B3757" s="32" t="n">
        <v>197.611</v>
      </c>
      <c r="D3757" s="33" t="n">
        <f aca="false">WEEKDAY(A3757,2)</f>
        <v>2</v>
      </c>
      <c r="E3757" s="33" t="n">
        <f aca="false">HOUR(A3757)+MINUTE(A3757)/60</f>
        <v>11</v>
      </c>
      <c r="F3757" s="33" t="n">
        <f aca="false">IF(OR(D3757&gt;5,E3757&lt;8,E3757&gt;=18,COUNTIF($K$2:$K$10,INT(A3757))&gt;0),1,0)</f>
        <v>0</v>
      </c>
      <c r="G3757" s="34" t="n">
        <f aca="false">B3757/1</f>
        <v>197.611</v>
      </c>
      <c r="H3757" s="34" t="str">
        <f aca="false">IF(F3757=1,G3757,"")</f>
        <v/>
      </c>
    </row>
    <row r="3758" customFormat="false" ht="15" hidden="false" customHeight="false" outlineLevel="0" collapsed="false">
      <c r="A3758" s="31" t="n">
        <v>42892.5</v>
      </c>
      <c r="B3758" s="32" t="n">
        <v>200.011</v>
      </c>
      <c r="D3758" s="33" t="n">
        <f aca="false">WEEKDAY(A3758,2)</f>
        <v>2</v>
      </c>
      <c r="E3758" s="33" t="n">
        <f aca="false">HOUR(A3758)+MINUTE(A3758)/60</f>
        <v>12</v>
      </c>
      <c r="F3758" s="33" t="n">
        <f aca="false">IF(OR(D3758&gt;5,E3758&lt;8,E3758&gt;=18,COUNTIF($K$2:$K$10,INT(A3758))&gt;0),1,0)</f>
        <v>0</v>
      </c>
      <c r="G3758" s="34" t="n">
        <f aca="false">B3758/1</f>
        <v>200.011</v>
      </c>
      <c r="H3758" s="34" t="str">
        <f aca="false">IF(F3758=1,G3758,"")</f>
        <v/>
      </c>
    </row>
    <row r="3759" customFormat="false" ht="15" hidden="false" customHeight="false" outlineLevel="0" collapsed="false">
      <c r="A3759" s="31" t="n">
        <v>42892.5416666667</v>
      </c>
      <c r="B3759" s="32" t="n">
        <v>202.406</v>
      </c>
      <c r="D3759" s="33" t="n">
        <f aca="false">WEEKDAY(A3759,2)</f>
        <v>2</v>
      </c>
      <c r="E3759" s="33" t="n">
        <f aca="false">HOUR(A3759)+MINUTE(A3759)/60</f>
        <v>13</v>
      </c>
      <c r="F3759" s="33" t="n">
        <f aca="false">IF(OR(D3759&gt;5,E3759&lt;8,E3759&gt;=18,COUNTIF($K$2:$K$10,INT(A3759))&gt;0),1,0)</f>
        <v>0</v>
      </c>
      <c r="G3759" s="34" t="n">
        <f aca="false">B3759/1</f>
        <v>202.406</v>
      </c>
      <c r="H3759" s="34" t="str">
        <f aca="false">IF(F3759=1,G3759,"")</f>
        <v/>
      </c>
    </row>
    <row r="3760" customFormat="false" ht="15" hidden="false" customHeight="false" outlineLevel="0" collapsed="false">
      <c r="A3760" s="31" t="n">
        <v>42892.5833333333</v>
      </c>
      <c r="B3760" s="32" t="n">
        <v>199.584</v>
      </c>
      <c r="D3760" s="33" t="n">
        <f aca="false">WEEKDAY(A3760,2)</f>
        <v>2</v>
      </c>
      <c r="E3760" s="33" t="n">
        <f aca="false">HOUR(A3760)+MINUTE(A3760)/60</f>
        <v>14</v>
      </c>
      <c r="F3760" s="33" t="n">
        <f aca="false">IF(OR(D3760&gt;5,E3760&lt;8,E3760&gt;=18,COUNTIF($K$2:$K$10,INT(A3760))&gt;0),1,0)</f>
        <v>0</v>
      </c>
      <c r="G3760" s="34" t="n">
        <f aca="false">B3760/1</f>
        <v>199.584</v>
      </c>
      <c r="H3760" s="34" t="str">
        <f aca="false">IF(F3760=1,G3760,"")</f>
        <v/>
      </c>
    </row>
    <row r="3761" customFormat="false" ht="15" hidden="false" customHeight="false" outlineLevel="0" collapsed="false">
      <c r="A3761" s="31" t="n">
        <v>42892.625</v>
      </c>
      <c r="B3761" s="32" t="n">
        <v>201.21</v>
      </c>
      <c r="D3761" s="33" t="n">
        <f aca="false">WEEKDAY(A3761,2)</f>
        <v>2</v>
      </c>
      <c r="E3761" s="33" t="n">
        <f aca="false">HOUR(A3761)+MINUTE(A3761)/60</f>
        <v>15</v>
      </c>
      <c r="F3761" s="33" t="n">
        <f aca="false">IF(OR(D3761&gt;5,E3761&lt;8,E3761&gt;=18,COUNTIF($K$2:$K$10,INT(A3761))&gt;0),1,0)</f>
        <v>0</v>
      </c>
      <c r="G3761" s="34" t="n">
        <f aca="false">B3761/1</f>
        <v>201.21</v>
      </c>
      <c r="H3761" s="34" t="str">
        <f aca="false">IF(F3761=1,G3761,"")</f>
        <v/>
      </c>
    </row>
    <row r="3762" customFormat="false" ht="15" hidden="false" customHeight="false" outlineLevel="0" collapsed="false">
      <c r="A3762" s="31" t="n">
        <v>42892.6666666667</v>
      </c>
      <c r="B3762" s="32" t="n">
        <v>197.795</v>
      </c>
      <c r="D3762" s="33" t="n">
        <f aca="false">WEEKDAY(A3762,2)</f>
        <v>2</v>
      </c>
      <c r="E3762" s="33" t="n">
        <f aca="false">HOUR(A3762)+MINUTE(A3762)/60</f>
        <v>16</v>
      </c>
      <c r="F3762" s="33" t="n">
        <f aca="false">IF(OR(D3762&gt;5,E3762&lt;8,E3762&gt;=18,COUNTIF($K$2:$K$10,INT(A3762))&gt;0),1,0)</f>
        <v>0</v>
      </c>
      <c r="G3762" s="34" t="n">
        <f aca="false">B3762/1</f>
        <v>197.795</v>
      </c>
      <c r="H3762" s="34" t="str">
        <f aca="false">IF(F3762=1,G3762,"")</f>
        <v/>
      </c>
    </row>
    <row r="3763" customFormat="false" ht="15" hidden="false" customHeight="false" outlineLevel="0" collapsed="false">
      <c r="A3763" s="31" t="n">
        <v>42892.7083333333</v>
      </c>
      <c r="B3763" s="32" t="n">
        <v>193.502</v>
      </c>
      <c r="D3763" s="33" t="n">
        <f aca="false">WEEKDAY(A3763,2)</f>
        <v>2</v>
      </c>
      <c r="E3763" s="33" t="n">
        <f aca="false">HOUR(A3763)+MINUTE(A3763)/60</f>
        <v>17</v>
      </c>
      <c r="F3763" s="33" t="n">
        <f aca="false">IF(OR(D3763&gt;5,E3763&lt;8,E3763&gt;=18,COUNTIF($K$2:$K$10,INT(A3763))&gt;0),1,0)</f>
        <v>0</v>
      </c>
      <c r="G3763" s="34" t="n">
        <f aca="false">B3763/1</f>
        <v>193.502</v>
      </c>
      <c r="H3763" s="34" t="str">
        <f aca="false">IF(F3763=1,G3763,"")</f>
        <v/>
      </c>
    </row>
    <row r="3764" customFormat="false" ht="15" hidden="false" customHeight="false" outlineLevel="0" collapsed="false">
      <c r="A3764" s="31" t="n">
        <v>42892.75</v>
      </c>
      <c r="B3764" s="32" t="n">
        <v>174.339</v>
      </c>
      <c r="D3764" s="33" t="n">
        <f aca="false">WEEKDAY(A3764,2)</f>
        <v>2</v>
      </c>
      <c r="E3764" s="33" t="n">
        <f aca="false">HOUR(A3764)+MINUTE(A3764)/60</f>
        <v>18</v>
      </c>
      <c r="F3764" s="33" t="n">
        <f aca="false">IF(OR(D3764&gt;5,E3764&lt;8,E3764&gt;=18,COUNTIF($K$2:$K$10,INT(A3764))&gt;0),1,0)</f>
        <v>1</v>
      </c>
      <c r="G3764" s="34" t="n">
        <f aca="false">B3764/1</f>
        <v>174.339</v>
      </c>
      <c r="H3764" s="34" t="n">
        <f aca="false">IF(F3764=1,G3764,"")</f>
        <v>174.339</v>
      </c>
    </row>
    <row r="3765" customFormat="false" ht="15" hidden="false" customHeight="false" outlineLevel="0" collapsed="false">
      <c r="A3765" s="31" t="n">
        <v>42892.7916666667</v>
      </c>
      <c r="B3765" s="32" t="n">
        <v>174.432</v>
      </c>
      <c r="D3765" s="33" t="n">
        <f aca="false">WEEKDAY(A3765,2)</f>
        <v>2</v>
      </c>
      <c r="E3765" s="33" t="n">
        <f aca="false">HOUR(A3765)+MINUTE(A3765)/60</f>
        <v>19</v>
      </c>
      <c r="F3765" s="33" t="n">
        <f aca="false">IF(OR(D3765&gt;5,E3765&lt;8,E3765&gt;=18,COUNTIF($K$2:$K$10,INT(A3765))&gt;0),1,0)</f>
        <v>1</v>
      </c>
      <c r="G3765" s="34" t="n">
        <f aca="false">B3765/1</f>
        <v>174.432</v>
      </c>
      <c r="H3765" s="34" t="n">
        <f aca="false">IF(F3765=1,G3765,"")</f>
        <v>174.432</v>
      </c>
    </row>
    <row r="3766" customFormat="false" ht="15" hidden="false" customHeight="false" outlineLevel="0" collapsed="false">
      <c r="A3766" s="31" t="n">
        <v>42892.8333333333</v>
      </c>
      <c r="B3766" s="32" t="n">
        <v>168.461</v>
      </c>
      <c r="D3766" s="33" t="n">
        <f aca="false">WEEKDAY(A3766,2)</f>
        <v>2</v>
      </c>
      <c r="E3766" s="33" t="n">
        <f aca="false">HOUR(A3766)+MINUTE(A3766)/60</f>
        <v>20</v>
      </c>
      <c r="F3766" s="33" t="n">
        <f aca="false">IF(OR(D3766&gt;5,E3766&lt;8,E3766&gt;=18,COUNTIF($K$2:$K$10,INT(A3766))&gt;0),1,0)</f>
        <v>1</v>
      </c>
      <c r="G3766" s="34" t="n">
        <f aca="false">B3766/1</f>
        <v>168.461</v>
      </c>
      <c r="H3766" s="34" t="n">
        <f aca="false">IF(F3766=1,G3766,"")</f>
        <v>168.461</v>
      </c>
    </row>
    <row r="3767" customFormat="false" ht="15" hidden="false" customHeight="false" outlineLevel="0" collapsed="false">
      <c r="A3767" s="31" t="n">
        <v>42892.875</v>
      </c>
      <c r="B3767" s="32" t="n">
        <v>168.081</v>
      </c>
      <c r="D3767" s="33" t="n">
        <f aca="false">WEEKDAY(A3767,2)</f>
        <v>2</v>
      </c>
      <c r="E3767" s="33" t="n">
        <f aca="false">HOUR(A3767)+MINUTE(A3767)/60</f>
        <v>21</v>
      </c>
      <c r="F3767" s="33" t="n">
        <f aca="false">IF(OR(D3767&gt;5,E3767&lt;8,E3767&gt;=18,COUNTIF($K$2:$K$10,INT(A3767))&gt;0),1,0)</f>
        <v>1</v>
      </c>
      <c r="G3767" s="34" t="n">
        <f aca="false">B3767/1</f>
        <v>168.081</v>
      </c>
      <c r="H3767" s="34" t="n">
        <f aca="false">IF(F3767=1,G3767,"")</f>
        <v>168.081</v>
      </c>
    </row>
    <row r="3768" customFormat="false" ht="15" hidden="false" customHeight="false" outlineLevel="0" collapsed="false">
      <c r="A3768" s="31" t="n">
        <v>42892.9166666667</v>
      </c>
      <c r="B3768" s="32" t="n">
        <v>116.715</v>
      </c>
      <c r="D3768" s="33" t="n">
        <f aca="false">WEEKDAY(A3768,2)</f>
        <v>2</v>
      </c>
      <c r="E3768" s="33" t="n">
        <f aca="false">HOUR(A3768)+MINUTE(A3768)/60</f>
        <v>22</v>
      </c>
      <c r="F3768" s="33" t="n">
        <f aca="false">IF(OR(D3768&gt;5,E3768&lt;8,E3768&gt;=18,COUNTIF($K$2:$K$10,INT(A3768))&gt;0),1,0)</f>
        <v>1</v>
      </c>
      <c r="G3768" s="34" t="n">
        <f aca="false">B3768/1</f>
        <v>116.715</v>
      </c>
      <c r="H3768" s="34" t="n">
        <f aca="false">IF(F3768=1,G3768,"")</f>
        <v>116.715</v>
      </c>
    </row>
    <row r="3769" customFormat="false" ht="15" hidden="false" customHeight="false" outlineLevel="0" collapsed="false">
      <c r="A3769" s="31" t="n">
        <v>42892.9583333333</v>
      </c>
      <c r="B3769" s="32" t="n">
        <v>55.483</v>
      </c>
      <c r="D3769" s="33" t="n">
        <f aca="false">WEEKDAY(A3769,2)</f>
        <v>2</v>
      </c>
      <c r="E3769" s="33" t="n">
        <f aca="false">HOUR(A3769)+MINUTE(A3769)/60</f>
        <v>23</v>
      </c>
      <c r="F3769" s="33" t="n">
        <f aca="false">IF(OR(D3769&gt;5,E3769&lt;8,E3769&gt;=18,COUNTIF($K$2:$K$10,INT(A3769))&gt;0),1,0)</f>
        <v>1</v>
      </c>
      <c r="G3769" s="34" t="n">
        <f aca="false">B3769/1</f>
        <v>55.483</v>
      </c>
      <c r="H3769" s="34" t="n">
        <f aca="false">IF(F3769=1,G3769,"")</f>
        <v>55.483</v>
      </c>
    </row>
    <row r="3770" customFormat="false" ht="15" hidden="false" customHeight="false" outlineLevel="0" collapsed="false">
      <c r="A3770" s="31" t="n">
        <v>42893</v>
      </c>
      <c r="B3770" s="32" t="n">
        <v>53.082</v>
      </c>
      <c r="D3770" s="33" t="n">
        <f aca="false">WEEKDAY(A3770,2)</f>
        <v>3</v>
      </c>
      <c r="E3770" s="33" t="n">
        <f aca="false">HOUR(A3770)+MINUTE(A3770)/60</f>
        <v>0</v>
      </c>
      <c r="F3770" s="33" t="n">
        <f aca="false">IF(OR(D3770&gt;5,E3770&lt;8,E3770&gt;=18,COUNTIF($K$2:$K$10,INT(A3770))&gt;0),1,0)</f>
        <v>1</v>
      </c>
      <c r="G3770" s="34" t="n">
        <f aca="false">B3770/1</f>
        <v>53.082</v>
      </c>
      <c r="H3770" s="34" t="n">
        <f aca="false">IF(F3770=1,G3770,"")</f>
        <v>53.082</v>
      </c>
    </row>
    <row r="3771" customFormat="false" ht="15" hidden="false" customHeight="false" outlineLevel="0" collapsed="false">
      <c r="A3771" s="31" t="n">
        <v>42893.0416666667</v>
      </c>
      <c r="B3771" s="32" t="n">
        <v>50.824</v>
      </c>
      <c r="D3771" s="33" t="n">
        <f aca="false">WEEKDAY(A3771,2)</f>
        <v>3</v>
      </c>
      <c r="E3771" s="33" t="n">
        <f aca="false">HOUR(A3771)+MINUTE(A3771)/60</f>
        <v>1</v>
      </c>
      <c r="F3771" s="33" t="n">
        <f aca="false">IF(OR(D3771&gt;5,E3771&lt;8,E3771&gt;=18,COUNTIF($K$2:$K$10,INT(A3771))&gt;0),1,0)</f>
        <v>1</v>
      </c>
      <c r="G3771" s="34" t="n">
        <f aca="false">B3771/1</f>
        <v>50.824</v>
      </c>
      <c r="H3771" s="34" t="n">
        <f aca="false">IF(F3771=1,G3771,"")</f>
        <v>50.824</v>
      </c>
    </row>
    <row r="3772" customFormat="false" ht="15" hidden="false" customHeight="false" outlineLevel="0" collapsed="false">
      <c r="A3772" s="31" t="n">
        <v>42893.0833333333</v>
      </c>
      <c r="B3772" s="32" t="n">
        <v>50.797</v>
      </c>
      <c r="D3772" s="33" t="n">
        <f aca="false">WEEKDAY(A3772,2)</f>
        <v>3</v>
      </c>
      <c r="E3772" s="33" t="n">
        <f aca="false">HOUR(A3772)+MINUTE(A3772)/60</f>
        <v>2</v>
      </c>
      <c r="F3772" s="33" t="n">
        <f aca="false">IF(OR(D3772&gt;5,E3772&lt;8,E3772&gt;=18,COUNTIF($K$2:$K$10,INT(A3772))&gt;0),1,0)</f>
        <v>1</v>
      </c>
      <c r="G3772" s="34" t="n">
        <f aca="false">B3772/1</f>
        <v>50.797</v>
      </c>
      <c r="H3772" s="34" t="n">
        <f aca="false">IF(F3772=1,G3772,"")</f>
        <v>50.797</v>
      </c>
    </row>
    <row r="3773" customFormat="false" ht="15" hidden="false" customHeight="false" outlineLevel="0" collapsed="false">
      <c r="A3773" s="31" t="n">
        <v>42893.125</v>
      </c>
      <c r="B3773" s="32" t="n">
        <v>52.528</v>
      </c>
      <c r="D3773" s="33" t="n">
        <f aca="false">WEEKDAY(A3773,2)</f>
        <v>3</v>
      </c>
      <c r="E3773" s="33" t="n">
        <f aca="false">HOUR(A3773)+MINUTE(A3773)/60</f>
        <v>3</v>
      </c>
      <c r="F3773" s="33" t="n">
        <f aca="false">IF(OR(D3773&gt;5,E3773&lt;8,E3773&gt;=18,COUNTIF($K$2:$K$10,INT(A3773))&gt;0),1,0)</f>
        <v>1</v>
      </c>
      <c r="G3773" s="34" t="n">
        <f aca="false">B3773/1</f>
        <v>52.528</v>
      </c>
      <c r="H3773" s="34" t="n">
        <f aca="false">IF(F3773=1,G3773,"")</f>
        <v>52.528</v>
      </c>
    </row>
    <row r="3774" customFormat="false" ht="15" hidden="false" customHeight="false" outlineLevel="0" collapsed="false">
      <c r="A3774" s="31" t="n">
        <v>42893.1666666667</v>
      </c>
      <c r="B3774" s="32" t="n">
        <v>51.281</v>
      </c>
      <c r="D3774" s="33" t="n">
        <f aca="false">WEEKDAY(A3774,2)</f>
        <v>3</v>
      </c>
      <c r="E3774" s="33" t="n">
        <f aca="false">HOUR(A3774)+MINUTE(A3774)/60</f>
        <v>4</v>
      </c>
      <c r="F3774" s="33" t="n">
        <f aca="false">IF(OR(D3774&gt;5,E3774&lt;8,E3774&gt;=18,COUNTIF($K$2:$K$10,INT(A3774))&gt;0),1,0)</f>
        <v>1</v>
      </c>
      <c r="G3774" s="34" t="n">
        <f aca="false">B3774/1</f>
        <v>51.281</v>
      </c>
      <c r="H3774" s="34" t="n">
        <f aca="false">IF(F3774=1,G3774,"")</f>
        <v>51.281</v>
      </c>
    </row>
    <row r="3775" customFormat="false" ht="15" hidden="false" customHeight="false" outlineLevel="0" collapsed="false">
      <c r="A3775" s="31" t="n">
        <v>42893.2083333333</v>
      </c>
      <c r="B3775" s="32" t="n">
        <v>51.644</v>
      </c>
      <c r="D3775" s="33" t="n">
        <f aca="false">WEEKDAY(A3775,2)</f>
        <v>3</v>
      </c>
      <c r="E3775" s="33" t="n">
        <f aca="false">HOUR(A3775)+MINUTE(A3775)/60</f>
        <v>5</v>
      </c>
      <c r="F3775" s="33" t="n">
        <f aca="false">IF(OR(D3775&gt;5,E3775&lt;8,E3775&gt;=18,COUNTIF($K$2:$K$10,INT(A3775))&gt;0),1,0)</f>
        <v>1</v>
      </c>
      <c r="G3775" s="34" t="n">
        <f aca="false">B3775/1</f>
        <v>51.644</v>
      </c>
      <c r="H3775" s="34" t="n">
        <f aca="false">IF(F3775=1,G3775,"")</f>
        <v>51.644</v>
      </c>
    </row>
    <row r="3776" customFormat="false" ht="15" hidden="false" customHeight="false" outlineLevel="0" collapsed="false">
      <c r="A3776" s="31" t="n">
        <v>42893.25</v>
      </c>
      <c r="B3776" s="32" t="n">
        <v>51.61</v>
      </c>
      <c r="D3776" s="33" t="n">
        <f aca="false">WEEKDAY(A3776,2)</f>
        <v>3</v>
      </c>
      <c r="E3776" s="33" t="n">
        <f aca="false">HOUR(A3776)+MINUTE(A3776)/60</f>
        <v>6</v>
      </c>
      <c r="F3776" s="33" t="n">
        <f aca="false">IF(OR(D3776&gt;5,E3776&lt;8,E3776&gt;=18,COUNTIF($K$2:$K$10,INT(A3776))&gt;0),1,0)</f>
        <v>1</v>
      </c>
      <c r="G3776" s="34" t="n">
        <f aca="false">B3776/1</f>
        <v>51.61</v>
      </c>
      <c r="H3776" s="34" t="n">
        <f aca="false">IF(F3776=1,G3776,"")</f>
        <v>51.61</v>
      </c>
    </row>
    <row r="3777" customFormat="false" ht="15" hidden="false" customHeight="false" outlineLevel="0" collapsed="false">
      <c r="A3777" s="31" t="n">
        <v>42893.2916666667</v>
      </c>
      <c r="B3777" s="32" t="n">
        <v>60.768</v>
      </c>
      <c r="D3777" s="33" t="n">
        <f aca="false">WEEKDAY(A3777,2)</f>
        <v>3</v>
      </c>
      <c r="E3777" s="33" t="n">
        <f aca="false">HOUR(A3777)+MINUTE(A3777)/60</f>
        <v>7</v>
      </c>
      <c r="F3777" s="33" t="n">
        <f aca="false">IF(OR(D3777&gt;5,E3777&lt;8,E3777&gt;=18,COUNTIF($K$2:$K$10,INT(A3777))&gt;0),1,0)</f>
        <v>1</v>
      </c>
      <c r="G3777" s="34" t="n">
        <f aca="false">B3777/1</f>
        <v>60.768</v>
      </c>
      <c r="H3777" s="34" t="n">
        <f aca="false">IF(F3777=1,G3777,"")</f>
        <v>60.768</v>
      </c>
    </row>
    <row r="3778" customFormat="false" ht="15" hidden="false" customHeight="false" outlineLevel="0" collapsed="false">
      <c r="A3778" s="31" t="n">
        <v>42893.3333333333</v>
      </c>
      <c r="B3778" s="32" t="n">
        <v>164.316</v>
      </c>
      <c r="D3778" s="33" t="n">
        <f aca="false">WEEKDAY(A3778,2)</f>
        <v>3</v>
      </c>
      <c r="E3778" s="33" t="n">
        <f aca="false">HOUR(A3778)+MINUTE(A3778)/60</f>
        <v>8</v>
      </c>
      <c r="F3778" s="33" t="n">
        <f aca="false">IF(OR(D3778&gt;5,E3778&lt;8,E3778&gt;=18,COUNTIF($K$2:$K$10,INT(A3778))&gt;0),1,0)</f>
        <v>0</v>
      </c>
      <c r="G3778" s="34" t="n">
        <f aca="false">B3778/1</f>
        <v>164.316</v>
      </c>
      <c r="H3778" s="34" t="str">
        <f aca="false">IF(F3778=1,G3778,"")</f>
        <v/>
      </c>
    </row>
    <row r="3779" customFormat="false" ht="15" hidden="false" customHeight="false" outlineLevel="0" collapsed="false">
      <c r="A3779" s="31" t="n">
        <v>42893.375</v>
      </c>
      <c r="B3779" s="32" t="n">
        <v>187.307</v>
      </c>
      <c r="D3779" s="33" t="n">
        <f aca="false">WEEKDAY(A3779,2)</f>
        <v>3</v>
      </c>
      <c r="E3779" s="33" t="n">
        <f aca="false">HOUR(A3779)+MINUTE(A3779)/60</f>
        <v>9</v>
      </c>
      <c r="F3779" s="33" t="n">
        <f aca="false">IF(OR(D3779&gt;5,E3779&lt;8,E3779&gt;=18,COUNTIF($K$2:$K$10,INT(A3779))&gt;0),1,0)</f>
        <v>0</v>
      </c>
      <c r="G3779" s="34" t="n">
        <f aca="false">B3779/1</f>
        <v>187.307</v>
      </c>
      <c r="H3779" s="34" t="str">
        <f aca="false">IF(F3779=1,G3779,"")</f>
        <v/>
      </c>
    </row>
    <row r="3780" customFormat="false" ht="15" hidden="false" customHeight="false" outlineLevel="0" collapsed="false">
      <c r="A3780" s="31" t="n">
        <v>42893.4166666667</v>
      </c>
      <c r="B3780" s="32" t="n">
        <v>198.635</v>
      </c>
      <c r="D3780" s="33" t="n">
        <f aca="false">WEEKDAY(A3780,2)</f>
        <v>3</v>
      </c>
      <c r="E3780" s="33" t="n">
        <f aca="false">HOUR(A3780)+MINUTE(A3780)/60</f>
        <v>10</v>
      </c>
      <c r="F3780" s="33" t="n">
        <f aca="false">IF(OR(D3780&gt;5,E3780&lt;8,E3780&gt;=18,COUNTIF($K$2:$K$10,INT(A3780))&gt;0),1,0)</f>
        <v>0</v>
      </c>
      <c r="G3780" s="34" t="n">
        <f aca="false">B3780/1</f>
        <v>198.635</v>
      </c>
      <c r="H3780" s="34" t="str">
        <f aca="false">IF(F3780=1,G3780,"")</f>
        <v/>
      </c>
    </row>
    <row r="3781" customFormat="false" ht="15" hidden="false" customHeight="false" outlineLevel="0" collapsed="false">
      <c r="A3781" s="31" t="n">
        <v>42893.4583333333</v>
      </c>
      <c r="B3781" s="32" t="n">
        <v>205.185</v>
      </c>
      <c r="D3781" s="33" t="n">
        <f aca="false">WEEKDAY(A3781,2)</f>
        <v>3</v>
      </c>
      <c r="E3781" s="33" t="n">
        <f aca="false">HOUR(A3781)+MINUTE(A3781)/60</f>
        <v>11</v>
      </c>
      <c r="F3781" s="33" t="n">
        <f aca="false">IF(OR(D3781&gt;5,E3781&lt;8,E3781&gt;=18,COUNTIF($K$2:$K$10,INT(A3781))&gt;0),1,0)</f>
        <v>0</v>
      </c>
      <c r="G3781" s="34" t="n">
        <f aca="false">B3781/1</f>
        <v>205.185</v>
      </c>
      <c r="H3781" s="34" t="str">
        <f aca="false">IF(F3781=1,G3781,"")</f>
        <v/>
      </c>
    </row>
    <row r="3782" customFormat="false" ht="15" hidden="false" customHeight="false" outlineLevel="0" collapsed="false">
      <c r="A3782" s="31" t="n">
        <v>42893.5</v>
      </c>
      <c r="B3782" s="32" t="n">
        <v>208.503</v>
      </c>
      <c r="D3782" s="33" t="n">
        <f aca="false">WEEKDAY(A3782,2)</f>
        <v>3</v>
      </c>
      <c r="E3782" s="33" t="n">
        <f aca="false">HOUR(A3782)+MINUTE(A3782)/60</f>
        <v>12</v>
      </c>
      <c r="F3782" s="33" t="n">
        <f aca="false">IF(OR(D3782&gt;5,E3782&lt;8,E3782&gt;=18,COUNTIF($K$2:$K$10,INT(A3782))&gt;0),1,0)</f>
        <v>0</v>
      </c>
      <c r="G3782" s="34" t="n">
        <f aca="false">B3782/1</f>
        <v>208.503</v>
      </c>
      <c r="H3782" s="34" t="str">
        <f aca="false">IF(F3782=1,G3782,"")</f>
        <v/>
      </c>
    </row>
    <row r="3783" customFormat="false" ht="15" hidden="false" customHeight="false" outlineLevel="0" collapsed="false">
      <c r="A3783" s="31" t="n">
        <v>42893.5416666667</v>
      </c>
      <c r="B3783" s="32" t="n">
        <v>208.315</v>
      </c>
      <c r="D3783" s="33" t="n">
        <f aca="false">WEEKDAY(A3783,2)</f>
        <v>3</v>
      </c>
      <c r="E3783" s="33" t="n">
        <f aca="false">HOUR(A3783)+MINUTE(A3783)/60</f>
        <v>13</v>
      </c>
      <c r="F3783" s="33" t="n">
        <f aca="false">IF(OR(D3783&gt;5,E3783&lt;8,E3783&gt;=18,COUNTIF($K$2:$K$10,INT(A3783))&gt;0),1,0)</f>
        <v>0</v>
      </c>
      <c r="G3783" s="34" t="n">
        <f aca="false">B3783/1</f>
        <v>208.315</v>
      </c>
      <c r="H3783" s="34" t="str">
        <f aca="false">IF(F3783=1,G3783,"")</f>
        <v/>
      </c>
    </row>
    <row r="3784" customFormat="false" ht="15" hidden="false" customHeight="false" outlineLevel="0" collapsed="false">
      <c r="A3784" s="31" t="n">
        <v>42893.5833333333</v>
      </c>
      <c r="B3784" s="32" t="n">
        <v>208.475</v>
      </c>
      <c r="D3784" s="33" t="n">
        <f aca="false">WEEKDAY(A3784,2)</f>
        <v>3</v>
      </c>
      <c r="E3784" s="33" t="n">
        <f aca="false">HOUR(A3784)+MINUTE(A3784)/60</f>
        <v>14</v>
      </c>
      <c r="F3784" s="33" t="n">
        <f aca="false">IF(OR(D3784&gt;5,E3784&lt;8,E3784&gt;=18,COUNTIF($K$2:$K$10,INT(A3784))&gt;0),1,0)</f>
        <v>0</v>
      </c>
      <c r="G3784" s="34" t="n">
        <f aca="false">B3784/1</f>
        <v>208.475</v>
      </c>
      <c r="H3784" s="34" t="str">
        <f aca="false">IF(F3784=1,G3784,"")</f>
        <v/>
      </c>
    </row>
    <row r="3785" customFormat="false" ht="15" hidden="false" customHeight="false" outlineLevel="0" collapsed="false">
      <c r="A3785" s="31" t="n">
        <v>42893.625</v>
      </c>
      <c r="B3785" s="32" t="n">
        <v>205.189</v>
      </c>
      <c r="D3785" s="33" t="n">
        <f aca="false">WEEKDAY(A3785,2)</f>
        <v>3</v>
      </c>
      <c r="E3785" s="33" t="n">
        <f aca="false">HOUR(A3785)+MINUTE(A3785)/60</f>
        <v>15</v>
      </c>
      <c r="F3785" s="33" t="n">
        <f aca="false">IF(OR(D3785&gt;5,E3785&lt;8,E3785&gt;=18,COUNTIF($K$2:$K$10,INT(A3785))&gt;0),1,0)</f>
        <v>0</v>
      </c>
      <c r="G3785" s="34" t="n">
        <f aca="false">B3785/1</f>
        <v>205.189</v>
      </c>
      <c r="H3785" s="34" t="str">
        <f aca="false">IF(F3785=1,G3785,"")</f>
        <v/>
      </c>
    </row>
    <row r="3786" customFormat="false" ht="15" hidden="false" customHeight="false" outlineLevel="0" collapsed="false">
      <c r="A3786" s="31" t="n">
        <v>42893.6666666667</v>
      </c>
      <c r="B3786" s="32" t="n">
        <v>203.988</v>
      </c>
      <c r="D3786" s="33" t="n">
        <f aca="false">WEEKDAY(A3786,2)</f>
        <v>3</v>
      </c>
      <c r="E3786" s="33" t="n">
        <f aca="false">HOUR(A3786)+MINUTE(A3786)/60</f>
        <v>16</v>
      </c>
      <c r="F3786" s="33" t="n">
        <f aca="false">IF(OR(D3786&gt;5,E3786&lt;8,E3786&gt;=18,COUNTIF($K$2:$K$10,INT(A3786))&gt;0),1,0)</f>
        <v>0</v>
      </c>
      <c r="G3786" s="34" t="n">
        <f aca="false">B3786/1</f>
        <v>203.988</v>
      </c>
      <c r="H3786" s="34" t="str">
        <f aca="false">IF(F3786=1,G3786,"")</f>
        <v/>
      </c>
    </row>
    <row r="3787" customFormat="false" ht="15" hidden="false" customHeight="false" outlineLevel="0" collapsed="false">
      <c r="A3787" s="31" t="n">
        <v>42893.7083333333</v>
      </c>
      <c r="B3787" s="32" t="n">
        <v>198.897</v>
      </c>
      <c r="D3787" s="33" t="n">
        <f aca="false">WEEKDAY(A3787,2)</f>
        <v>3</v>
      </c>
      <c r="E3787" s="33" t="n">
        <f aca="false">HOUR(A3787)+MINUTE(A3787)/60</f>
        <v>17</v>
      </c>
      <c r="F3787" s="33" t="n">
        <f aca="false">IF(OR(D3787&gt;5,E3787&lt;8,E3787&gt;=18,COUNTIF($K$2:$K$10,INT(A3787))&gt;0),1,0)</f>
        <v>0</v>
      </c>
      <c r="G3787" s="34" t="n">
        <f aca="false">B3787/1</f>
        <v>198.897</v>
      </c>
      <c r="H3787" s="34" t="str">
        <f aca="false">IF(F3787=1,G3787,"")</f>
        <v/>
      </c>
    </row>
    <row r="3788" customFormat="false" ht="15" hidden="false" customHeight="false" outlineLevel="0" collapsed="false">
      <c r="A3788" s="31" t="n">
        <v>42893.75</v>
      </c>
      <c r="B3788" s="32" t="n">
        <v>183.292</v>
      </c>
      <c r="D3788" s="33" t="n">
        <f aca="false">WEEKDAY(A3788,2)</f>
        <v>3</v>
      </c>
      <c r="E3788" s="33" t="n">
        <f aca="false">HOUR(A3788)+MINUTE(A3788)/60</f>
        <v>18</v>
      </c>
      <c r="F3788" s="33" t="n">
        <f aca="false">IF(OR(D3788&gt;5,E3788&lt;8,E3788&gt;=18,COUNTIF($K$2:$K$10,INT(A3788))&gt;0),1,0)</f>
        <v>1</v>
      </c>
      <c r="G3788" s="34" t="n">
        <f aca="false">B3788/1</f>
        <v>183.292</v>
      </c>
      <c r="H3788" s="34" t="n">
        <f aca="false">IF(F3788=1,G3788,"")</f>
        <v>183.292</v>
      </c>
    </row>
    <row r="3789" customFormat="false" ht="15" hidden="false" customHeight="false" outlineLevel="0" collapsed="false">
      <c r="A3789" s="31" t="n">
        <v>42893.7916666667</v>
      </c>
      <c r="B3789" s="32" t="n">
        <v>173.947</v>
      </c>
      <c r="D3789" s="33" t="n">
        <f aca="false">WEEKDAY(A3789,2)</f>
        <v>3</v>
      </c>
      <c r="E3789" s="33" t="n">
        <f aca="false">HOUR(A3789)+MINUTE(A3789)/60</f>
        <v>19</v>
      </c>
      <c r="F3789" s="33" t="n">
        <f aca="false">IF(OR(D3789&gt;5,E3789&lt;8,E3789&gt;=18,COUNTIF($K$2:$K$10,INT(A3789))&gt;0),1,0)</f>
        <v>1</v>
      </c>
      <c r="G3789" s="34" t="n">
        <f aca="false">B3789/1</f>
        <v>173.947</v>
      </c>
      <c r="H3789" s="34" t="n">
        <f aca="false">IF(F3789=1,G3789,"")</f>
        <v>173.947</v>
      </c>
    </row>
    <row r="3790" customFormat="false" ht="15" hidden="false" customHeight="false" outlineLevel="0" collapsed="false">
      <c r="A3790" s="31" t="n">
        <v>42893.8333333333</v>
      </c>
      <c r="B3790" s="32" t="n">
        <v>168.455</v>
      </c>
      <c r="D3790" s="33" t="n">
        <f aca="false">WEEKDAY(A3790,2)</f>
        <v>3</v>
      </c>
      <c r="E3790" s="33" t="n">
        <f aca="false">HOUR(A3790)+MINUTE(A3790)/60</f>
        <v>20</v>
      </c>
      <c r="F3790" s="33" t="n">
        <f aca="false">IF(OR(D3790&gt;5,E3790&lt;8,E3790&gt;=18,COUNTIF($K$2:$K$10,INT(A3790))&gt;0),1,0)</f>
        <v>1</v>
      </c>
      <c r="G3790" s="34" t="n">
        <f aca="false">B3790/1</f>
        <v>168.455</v>
      </c>
      <c r="H3790" s="34" t="n">
        <f aca="false">IF(F3790=1,G3790,"")</f>
        <v>168.455</v>
      </c>
    </row>
    <row r="3791" customFormat="false" ht="15" hidden="false" customHeight="false" outlineLevel="0" collapsed="false">
      <c r="A3791" s="31" t="n">
        <v>42893.875</v>
      </c>
      <c r="B3791" s="32" t="n">
        <v>166.879</v>
      </c>
      <c r="D3791" s="33" t="n">
        <f aca="false">WEEKDAY(A3791,2)</f>
        <v>3</v>
      </c>
      <c r="E3791" s="33" t="n">
        <f aca="false">HOUR(A3791)+MINUTE(A3791)/60</f>
        <v>21</v>
      </c>
      <c r="F3791" s="33" t="n">
        <f aca="false">IF(OR(D3791&gt;5,E3791&lt;8,E3791&gt;=18,COUNTIF($K$2:$K$10,INT(A3791))&gt;0),1,0)</f>
        <v>1</v>
      </c>
      <c r="G3791" s="34" t="n">
        <f aca="false">B3791/1</f>
        <v>166.879</v>
      </c>
      <c r="H3791" s="34" t="n">
        <f aca="false">IF(F3791=1,G3791,"")</f>
        <v>166.879</v>
      </c>
    </row>
    <row r="3792" customFormat="false" ht="15" hidden="false" customHeight="false" outlineLevel="0" collapsed="false">
      <c r="A3792" s="31" t="n">
        <v>42893.9166666667</v>
      </c>
      <c r="B3792" s="32" t="n">
        <v>118.819</v>
      </c>
      <c r="D3792" s="33" t="n">
        <f aca="false">WEEKDAY(A3792,2)</f>
        <v>3</v>
      </c>
      <c r="E3792" s="33" t="n">
        <f aca="false">HOUR(A3792)+MINUTE(A3792)/60</f>
        <v>22</v>
      </c>
      <c r="F3792" s="33" t="n">
        <f aca="false">IF(OR(D3792&gt;5,E3792&lt;8,E3792&gt;=18,COUNTIF($K$2:$K$10,INT(A3792))&gt;0),1,0)</f>
        <v>1</v>
      </c>
      <c r="G3792" s="34" t="n">
        <f aca="false">B3792/1</f>
        <v>118.819</v>
      </c>
      <c r="H3792" s="34" t="n">
        <f aca="false">IF(F3792=1,G3792,"")</f>
        <v>118.819</v>
      </c>
    </row>
    <row r="3793" customFormat="false" ht="15" hidden="false" customHeight="false" outlineLevel="0" collapsed="false">
      <c r="A3793" s="31" t="n">
        <v>42893.9583333333</v>
      </c>
      <c r="B3793" s="32" t="n">
        <v>58.287</v>
      </c>
      <c r="D3793" s="33" t="n">
        <f aca="false">WEEKDAY(A3793,2)</f>
        <v>3</v>
      </c>
      <c r="E3793" s="33" t="n">
        <f aca="false">HOUR(A3793)+MINUTE(A3793)/60</f>
        <v>23</v>
      </c>
      <c r="F3793" s="33" t="n">
        <f aca="false">IF(OR(D3793&gt;5,E3793&lt;8,E3793&gt;=18,COUNTIF($K$2:$K$10,INT(A3793))&gt;0),1,0)</f>
        <v>1</v>
      </c>
      <c r="G3793" s="34" t="n">
        <f aca="false">B3793/1</f>
        <v>58.287</v>
      </c>
      <c r="H3793" s="34" t="n">
        <f aca="false">IF(F3793=1,G3793,"")</f>
        <v>58.287</v>
      </c>
    </row>
    <row r="3794" customFormat="false" ht="15" hidden="false" customHeight="false" outlineLevel="0" collapsed="false">
      <c r="A3794" s="31" t="n">
        <v>42894</v>
      </c>
      <c r="B3794" s="32" t="n">
        <v>56.71</v>
      </c>
      <c r="D3794" s="33" t="n">
        <f aca="false">WEEKDAY(A3794,2)</f>
        <v>4</v>
      </c>
      <c r="E3794" s="33" t="n">
        <f aca="false">HOUR(A3794)+MINUTE(A3794)/60</f>
        <v>0</v>
      </c>
      <c r="F3794" s="33" t="n">
        <f aca="false">IF(OR(D3794&gt;5,E3794&lt;8,E3794&gt;=18,COUNTIF($K$2:$K$10,INT(A3794))&gt;0),1,0)</f>
        <v>1</v>
      </c>
      <c r="G3794" s="34" t="n">
        <f aca="false">B3794/1</f>
        <v>56.71</v>
      </c>
      <c r="H3794" s="34" t="n">
        <f aca="false">IF(F3794=1,G3794,"")</f>
        <v>56.71</v>
      </c>
    </row>
    <row r="3795" customFormat="false" ht="15" hidden="false" customHeight="false" outlineLevel="0" collapsed="false">
      <c r="A3795" s="31" t="n">
        <v>42894.0416666667</v>
      </c>
      <c r="B3795" s="32" t="n">
        <v>54.772</v>
      </c>
      <c r="D3795" s="33" t="n">
        <f aca="false">WEEKDAY(A3795,2)</f>
        <v>4</v>
      </c>
      <c r="E3795" s="33" t="n">
        <f aca="false">HOUR(A3795)+MINUTE(A3795)/60</f>
        <v>1</v>
      </c>
      <c r="F3795" s="33" t="n">
        <f aca="false">IF(OR(D3795&gt;5,E3795&lt;8,E3795&gt;=18,COUNTIF($K$2:$K$10,INT(A3795))&gt;0),1,0)</f>
        <v>1</v>
      </c>
      <c r="G3795" s="34" t="n">
        <f aca="false">B3795/1</f>
        <v>54.772</v>
      </c>
      <c r="H3795" s="34" t="n">
        <f aca="false">IF(F3795=1,G3795,"")</f>
        <v>54.772</v>
      </c>
    </row>
    <row r="3796" customFormat="false" ht="15" hidden="false" customHeight="false" outlineLevel="0" collapsed="false">
      <c r="A3796" s="31" t="n">
        <v>42894.0833333333</v>
      </c>
      <c r="B3796" s="32" t="n">
        <v>53.922</v>
      </c>
      <c r="D3796" s="33" t="n">
        <f aca="false">WEEKDAY(A3796,2)</f>
        <v>4</v>
      </c>
      <c r="E3796" s="33" t="n">
        <f aca="false">HOUR(A3796)+MINUTE(A3796)/60</f>
        <v>2</v>
      </c>
      <c r="F3796" s="33" t="n">
        <f aca="false">IF(OR(D3796&gt;5,E3796&lt;8,E3796&gt;=18,COUNTIF($K$2:$K$10,INT(A3796))&gt;0),1,0)</f>
        <v>1</v>
      </c>
      <c r="G3796" s="34" t="n">
        <f aca="false">B3796/1</f>
        <v>53.922</v>
      </c>
      <c r="H3796" s="34" t="n">
        <f aca="false">IF(F3796=1,G3796,"")</f>
        <v>53.922</v>
      </c>
    </row>
    <row r="3797" customFormat="false" ht="15" hidden="false" customHeight="false" outlineLevel="0" collapsed="false">
      <c r="A3797" s="31" t="n">
        <v>42894.125</v>
      </c>
      <c r="B3797" s="32" t="n">
        <v>53.833</v>
      </c>
      <c r="D3797" s="33" t="n">
        <f aca="false">WEEKDAY(A3797,2)</f>
        <v>4</v>
      </c>
      <c r="E3797" s="33" t="n">
        <f aca="false">HOUR(A3797)+MINUTE(A3797)/60</f>
        <v>3</v>
      </c>
      <c r="F3797" s="33" t="n">
        <f aca="false">IF(OR(D3797&gt;5,E3797&lt;8,E3797&gt;=18,COUNTIF($K$2:$K$10,INT(A3797))&gt;0),1,0)</f>
        <v>1</v>
      </c>
      <c r="G3797" s="34" t="n">
        <f aca="false">B3797/1</f>
        <v>53.833</v>
      </c>
      <c r="H3797" s="34" t="n">
        <f aca="false">IF(F3797=1,G3797,"")</f>
        <v>53.833</v>
      </c>
    </row>
    <row r="3798" customFormat="false" ht="15" hidden="false" customHeight="false" outlineLevel="0" collapsed="false">
      <c r="A3798" s="31" t="n">
        <v>42894.1666666667</v>
      </c>
      <c r="B3798" s="32" t="n">
        <v>54.002</v>
      </c>
      <c r="D3798" s="33" t="n">
        <f aca="false">WEEKDAY(A3798,2)</f>
        <v>4</v>
      </c>
      <c r="E3798" s="33" t="n">
        <f aca="false">HOUR(A3798)+MINUTE(A3798)/60</f>
        <v>4</v>
      </c>
      <c r="F3798" s="33" t="n">
        <f aca="false">IF(OR(D3798&gt;5,E3798&lt;8,E3798&gt;=18,COUNTIF($K$2:$K$10,INT(A3798))&gt;0),1,0)</f>
        <v>1</v>
      </c>
      <c r="G3798" s="34" t="n">
        <f aca="false">B3798/1</f>
        <v>54.002</v>
      </c>
      <c r="H3798" s="34" t="n">
        <f aca="false">IF(F3798=1,G3798,"")</f>
        <v>54.002</v>
      </c>
    </row>
    <row r="3799" customFormat="false" ht="15" hidden="false" customHeight="false" outlineLevel="0" collapsed="false">
      <c r="A3799" s="31" t="n">
        <v>42894.2083333333</v>
      </c>
      <c r="B3799" s="32" t="n">
        <v>53.984</v>
      </c>
      <c r="D3799" s="33" t="n">
        <f aca="false">WEEKDAY(A3799,2)</f>
        <v>4</v>
      </c>
      <c r="E3799" s="33" t="n">
        <f aca="false">HOUR(A3799)+MINUTE(A3799)/60</f>
        <v>5</v>
      </c>
      <c r="F3799" s="33" t="n">
        <f aca="false">IF(OR(D3799&gt;5,E3799&lt;8,E3799&gt;=18,COUNTIF($K$2:$K$10,INT(A3799))&gt;0),1,0)</f>
        <v>1</v>
      </c>
      <c r="G3799" s="34" t="n">
        <f aca="false">B3799/1</f>
        <v>53.984</v>
      </c>
      <c r="H3799" s="34" t="n">
        <f aca="false">IF(F3799=1,G3799,"")</f>
        <v>53.984</v>
      </c>
    </row>
    <row r="3800" customFormat="false" ht="15" hidden="false" customHeight="false" outlineLevel="0" collapsed="false">
      <c r="A3800" s="31" t="n">
        <v>42894.25</v>
      </c>
      <c r="B3800" s="32" t="n">
        <v>54.535</v>
      </c>
      <c r="D3800" s="33" t="n">
        <f aca="false">WEEKDAY(A3800,2)</f>
        <v>4</v>
      </c>
      <c r="E3800" s="33" t="n">
        <f aca="false">HOUR(A3800)+MINUTE(A3800)/60</f>
        <v>6</v>
      </c>
      <c r="F3800" s="33" t="n">
        <f aca="false">IF(OR(D3800&gt;5,E3800&lt;8,E3800&gt;=18,COUNTIF($K$2:$K$10,INT(A3800))&gt;0),1,0)</f>
        <v>1</v>
      </c>
      <c r="G3800" s="34" t="n">
        <f aca="false">B3800/1</f>
        <v>54.535</v>
      </c>
      <c r="H3800" s="34" t="n">
        <f aca="false">IF(F3800=1,G3800,"")</f>
        <v>54.535</v>
      </c>
    </row>
    <row r="3801" customFormat="false" ht="15" hidden="false" customHeight="false" outlineLevel="0" collapsed="false">
      <c r="A3801" s="31" t="n">
        <v>42894.2916666667</v>
      </c>
      <c r="B3801" s="32" t="n">
        <v>65.458</v>
      </c>
      <c r="D3801" s="33" t="n">
        <f aca="false">WEEKDAY(A3801,2)</f>
        <v>4</v>
      </c>
      <c r="E3801" s="33" t="n">
        <f aca="false">HOUR(A3801)+MINUTE(A3801)/60</f>
        <v>7</v>
      </c>
      <c r="F3801" s="33" t="n">
        <f aca="false">IF(OR(D3801&gt;5,E3801&lt;8,E3801&gt;=18,COUNTIF($K$2:$K$10,INT(A3801))&gt;0),1,0)</f>
        <v>1</v>
      </c>
      <c r="G3801" s="34" t="n">
        <f aca="false">B3801/1</f>
        <v>65.458</v>
      </c>
      <c r="H3801" s="34" t="n">
        <f aca="false">IF(F3801=1,G3801,"")</f>
        <v>65.458</v>
      </c>
    </row>
    <row r="3802" customFormat="false" ht="15" hidden="false" customHeight="false" outlineLevel="0" collapsed="false">
      <c r="A3802" s="31" t="n">
        <v>42894.3333333333</v>
      </c>
      <c r="B3802" s="32" t="n">
        <v>171.828</v>
      </c>
      <c r="D3802" s="33" t="n">
        <f aca="false">WEEKDAY(A3802,2)</f>
        <v>4</v>
      </c>
      <c r="E3802" s="33" t="n">
        <f aca="false">HOUR(A3802)+MINUTE(A3802)/60</f>
        <v>8</v>
      </c>
      <c r="F3802" s="33" t="n">
        <f aca="false">IF(OR(D3802&gt;5,E3802&lt;8,E3802&gt;=18,COUNTIF($K$2:$K$10,INT(A3802))&gt;0),1,0)</f>
        <v>0</v>
      </c>
      <c r="G3802" s="34" t="n">
        <f aca="false">B3802/1</f>
        <v>171.828</v>
      </c>
      <c r="H3802" s="34" t="str">
        <f aca="false">IF(F3802=1,G3802,"")</f>
        <v/>
      </c>
    </row>
    <row r="3803" customFormat="false" ht="15" hidden="false" customHeight="false" outlineLevel="0" collapsed="false">
      <c r="A3803" s="31" t="n">
        <v>42894.375</v>
      </c>
      <c r="B3803" s="32" t="n">
        <v>192.979</v>
      </c>
      <c r="D3803" s="33" t="n">
        <f aca="false">WEEKDAY(A3803,2)</f>
        <v>4</v>
      </c>
      <c r="E3803" s="33" t="n">
        <f aca="false">HOUR(A3803)+MINUTE(A3803)/60</f>
        <v>9</v>
      </c>
      <c r="F3803" s="33" t="n">
        <f aca="false">IF(OR(D3803&gt;5,E3803&lt;8,E3803&gt;=18,COUNTIF($K$2:$K$10,INT(A3803))&gt;0),1,0)</f>
        <v>0</v>
      </c>
      <c r="G3803" s="34" t="n">
        <f aca="false">B3803/1</f>
        <v>192.979</v>
      </c>
      <c r="H3803" s="34" t="str">
        <f aca="false">IF(F3803=1,G3803,"")</f>
        <v/>
      </c>
    </row>
    <row r="3804" customFormat="false" ht="15" hidden="false" customHeight="false" outlineLevel="0" collapsed="false">
      <c r="A3804" s="31" t="n">
        <v>42894.4166666667</v>
      </c>
      <c r="B3804" s="32" t="n">
        <v>200.234</v>
      </c>
      <c r="D3804" s="33" t="n">
        <f aca="false">WEEKDAY(A3804,2)</f>
        <v>4</v>
      </c>
      <c r="E3804" s="33" t="n">
        <f aca="false">HOUR(A3804)+MINUTE(A3804)/60</f>
        <v>10</v>
      </c>
      <c r="F3804" s="33" t="n">
        <f aca="false">IF(OR(D3804&gt;5,E3804&lt;8,E3804&gt;=18,COUNTIF($K$2:$K$10,INT(A3804))&gt;0),1,0)</f>
        <v>0</v>
      </c>
      <c r="G3804" s="34" t="n">
        <f aca="false">B3804/1</f>
        <v>200.234</v>
      </c>
      <c r="H3804" s="34" t="str">
        <f aca="false">IF(F3804=1,G3804,"")</f>
        <v/>
      </c>
    </row>
    <row r="3805" customFormat="false" ht="15" hidden="false" customHeight="false" outlineLevel="0" collapsed="false">
      <c r="A3805" s="31" t="n">
        <v>42894.4583333333</v>
      </c>
      <c r="B3805" s="32" t="n">
        <v>207.612</v>
      </c>
      <c r="D3805" s="33" t="n">
        <f aca="false">WEEKDAY(A3805,2)</f>
        <v>4</v>
      </c>
      <c r="E3805" s="33" t="n">
        <f aca="false">HOUR(A3805)+MINUTE(A3805)/60</f>
        <v>11</v>
      </c>
      <c r="F3805" s="33" t="n">
        <f aca="false">IF(OR(D3805&gt;5,E3805&lt;8,E3805&gt;=18,COUNTIF($K$2:$K$10,INT(A3805))&gt;0),1,0)</f>
        <v>0</v>
      </c>
      <c r="G3805" s="34" t="n">
        <f aca="false">B3805/1</f>
        <v>207.612</v>
      </c>
      <c r="H3805" s="34" t="str">
        <f aca="false">IF(F3805=1,G3805,"")</f>
        <v/>
      </c>
    </row>
    <row r="3806" customFormat="false" ht="15" hidden="false" customHeight="false" outlineLevel="0" collapsed="false">
      <c r="A3806" s="31" t="n">
        <v>42894.5</v>
      </c>
      <c r="B3806" s="32" t="n">
        <v>207.455</v>
      </c>
      <c r="D3806" s="33" t="n">
        <f aca="false">WEEKDAY(A3806,2)</f>
        <v>4</v>
      </c>
      <c r="E3806" s="33" t="n">
        <f aca="false">HOUR(A3806)+MINUTE(A3806)/60</f>
        <v>12</v>
      </c>
      <c r="F3806" s="33" t="n">
        <f aca="false">IF(OR(D3806&gt;5,E3806&lt;8,E3806&gt;=18,COUNTIF($K$2:$K$10,INT(A3806))&gt;0),1,0)</f>
        <v>0</v>
      </c>
      <c r="G3806" s="34" t="n">
        <f aca="false">B3806/1</f>
        <v>207.455</v>
      </c>
      <c r="H3806" s="34" t="str">
        <f aca="false">IF(F3806=1,G3806,"")</f>
        <v/>
      </c>
    </row>
    <row r="3807" customFormat="false" ht="15" hidden="false" customHeight="false" outlineLevel="0" collapsed="false">
      <c r="A3807" s="31" t="n">
        <v>42894.5416666667</v>
      </c>
      <c r="B3807" s="32" t="n">
        <v>205.969</v>
      </c>
      <c r="D3807" s="33" t="n">
        <f aca="false">WEEKDAY(A3807,2)</f>
        <v>4</v>
      </c>
      <c r="E3807" s="33" t="n">
        <f aca="false">HOUR(A3807)+MINUTE(A3807)/60</f>
        <v>13</v>
      </c>
      <c r="F3807" s="33" t="n">
        <f aca="false">IF(OR(D3807&gt;5,E3807&lt;8,E3807&gt;=18,COUNTIF($K$2:$K$10,INT(A3807))&gt;0),1,0)</f>
        <v>0</v>
      </c>
      <c r="G3807" s="34" t="n">
        <f aca="false">B3807/1</f>
        <v>205.969</v>
      </c>
      <c r="H3807" s="34" t="str">
        <f aca="false">IF(F3807=1,G3807,"")</f>
        <v/>
      </c>
    </row>
    <row r="3808" customFormat="false" ht="15" hidden="false" customHeight="false" outlineLevel="0" collapsed="false">
      <c r="A3808" s="31" t="n">
        <v>42894.5833333333</v>
      </c>
      <c r="B3808" s="32" t="n">
        <v>203.856</v>
      </c>
      <c r="D3808" s="33" t="n">
        <f aca="false">WEEKDAY(A3808,2)</f>
        <v>4</v>
      </c>
      <c r="E3808" s="33" t="n">
        <f aca="false">HOUR(A3808)+MINUTE(A3808)/60</f>
        <v>14</v>
      </c>
      <c r="F3808" s="33" t="n">
        <f aca="false">IF(OR(D3808&gt;5,E3808&lt;8,E3808&gt;=18,COUNTIF($K$2:$K$10,INT(A3808))&gt;0),1,0)</f>
        <v>0</v>
      </c>
      <c r="G3808" s="34" t="n">
        <f aca="false">B3808/1</f>
        <v>203.856</v>
      </c>
      <c r="H3808" s="34" t="str">
        <f aca="false">IF(F3808=1,G3808,"")</f>
        <v/>
      </c>
    </row>
    <row r="3809" customFormat="false" ht="15" hidden="false" customHeight="false" outlineLevel="0" collapsed="false">
      <c r="A3809" s="31" t="n">
        <v>42894.625</v>
      </c>
      <c r="B3809" s="32" t="n">
        <v>204.965</v>
      </c>
      <c r="D3809" s="33" t="n">
        <f aca="false">WEEKDAY(A3809,2)</f>
        <v>4</v>
      </c>
      <c r="E3809" s="33" t="n">
        <f aca="false">HOUR(A3809)+MINUTE(A3809)/60</f>
        <v>15</v>
      </c>
      <c r="F3809" s="33" t="n">
        <f aca="false">IF(OR(D3809&gt;5,E3809&lt;8,E3809&gt;=18,COUNTIF($K$2:$K$10,INT(A3809))&gt;0),1,0)</f>
        <v>0</v>
      </c>
      <c r="G3809" s="34" t="n">
        <f aca="false">B3809/1</f>
        <v>204.965</v>
      </c>
      <c r="H3809" s="34" t="str">
        <f aca="false">IF(F3809=1,G3809,"")</f>
        <v/>
      </c>
    </row>
    <row r="3810" customFormat="false" ht="15" hidden="false" customHeight="false" outlineLevel="0" collapsed="false">
      <c r="A3810" s="31" t="n">
        <v>42894.6666666667</v>
      </c>
      <c r="B3810" s="32" t="n">
        <v>205.245</v>
      </c>
      <c r="D3810" s="33" t="n">
        <f aca="false">WEEKDAY(A3810,2)</f>
        <v>4</v>
      </c>
      <c r="E3810" s="33" t="n">
        <f aca="false">HOUR(A3810)+MINUTE(A3810)/60</f>
        <v>16</v>
      </c>
      <c r="F3810" s="33" t="n">
        <f aca="false">IF(OR(D3810&gt;5,E3810&lt;8,E3810&gt;=18,COUNTIF($K$2:$K$10,INT(A3810))&gt;0),1,0)</f>
        <v>0</v>
      </c>
      <c r="G3810" s="34" t="n">
        <f aca="false">B3810/1</f>
        <v>205.245</v>
      </c>
      <c r="H3810" s="34" t="str">
        <f aca="false">IF(F3810=1,G3810,"")</f>
        <v/>
      </c>
    </row>
    <row r="3811" customFormat="false" ht="15" hidden="false" customHeight="false" outlineLevel="0" collapsed="false">
      <c r="A3811" s="31" t="n">
        <v>42894.7083333333</v>
      </c>
      <c r="B3811" s="32" t="n">
        <v>196.952</v>
      </c>
      <c r="D3811" s="33" t="n">
        <f aca="false">WEEKDAY(A3811,2)</f>
        <v>4</v>
      </c>
      <c r="E3811" s="33" t="n">
        <f aca="false">HOUR(A3811)+MINUTE(A3811)/60</f>
        <v>17</v>
      </c>
      <c r="F3811" s="33" t="n">
        <f aca="false">IF(OR(D3811&gt;5,E3811&lt;8,E3811&gt;=18,COUNTIF($K$2:$K$10,INT(A3811))&gt;0),1,0)</f>
        <v>0</v>
      </c>
      <c r="G3811" s="34" t="n">
        <f aca="false">B3811/1</f>
        <v>196.952</v>
      </c>
      <c r="H3811" s="34" t="str">
        <f aca="false">IF(F3811=1,G3811,"")</f>
        <v/>
      </c>
    </row>
    <row r="3812" customFormat="false" ht="15" hidden="false" customHeight="false" outlineLevel="0" collapsed="false">
      <c r="A3812" s="31" t="n">
        <v>42894.75</v>
      </c>
      <c r="B3812" s="32" t="n">
        <v>184.678</v>
      </c>
      <c r="D3812" s="33" t="n">
        <f aca="false">WEEKDAY(A3812,2)</f>
        <v>4</v>
      </c>
      <c r="E3812" s="33" t="n">
        <f aca="false">HOUR(A3812)+MINUTE(A3812)/60</f>
        <v>18</v>
      </c>
      <c r="F3812" s="33" t="n">
        <f aca="false">IF(OR(D3812&gt;5,E3812&lt;8,E3812&gt;=18,COUNTIF($K$2:$K$10,INT(A3812))&gt;0),1,0)</f>
        <v>1</v>
      </c>
      <c r="G3812" s="34" t="n">
        <f aca="false">B3812/1</f>
        <v>184.678</v>
      </c>
      <c r="H3812" s="34" t="n">
        <f aca="false">IF(F3812=1,G3812,"")</f>
        <v>184.678</v>
      </c>
    </row>
    <row r="3813" customFormat="false" ht="15" hidden="false" customHeight="false" outlineLevel="0" collapsed="false">
      <c r="A3813" s="31" t="n">
        <v>42894.7916666667</v>
      </c>
      <c r="B3813" s="32" t="n">
        <v>177.869</v>
      </c>
      <c r="D3813" s="33" t="n">
        <f aca="false">WEEKDAY(A3813,2)</f>
        <v>4</v>
      </c>
      <c r="E3813" s="33" t="n">
        <f aca="false">HOUR(A3813)+MINUTE(A3813)/60</f>
        <v>19</v>
      </c>
      <c r="F3813" s="33" t="n">
        <f aca="false">IF(OR(D3813&gt;5,E3813&lt;8,E3813&gt;=18,COUNTIF($K$2:$K$10,INT(A3813))&gt;0),1,0)</f>
        <v>1</v>
      </c>
      <c r="G3813" s="34" t="n">
        <f aca="false">B3813/1</f>
        <v>177.869</v>
      </c>
      <c r="H3813" s="34" t="n">
        <f aca="false">IF(F3813=1,G3813,"")</f>
        <v>177.869</v>
      </c>
    </row>
    <row r="3814" customFormat="false" ht="15" hidden="false" customHeight="false" outlineLevel="0" collapsed="false">
      <c r="A3814" s="31" t="n">
        <v>42894.8333333333</v>
      </c>
      <c r="B3814" s="32" t="n">
        <v>173.959</v>
      </c>
      <c r="D3814" s="33" t="n">
        <f aca="false">WEEKDAY(A3814,2)</f>
        <v>4</v>
      </c>
      <c r="E3814" s="33" t="n">
        <f aca="false">HOUR(A3814)+MINUTE(A3814)/60</f>
        <v>20</v>
      </c>
      <c r="F3814" s="33" t="n">
        <f aca="false">IF(OR(D3814&gt;5,E3814&lt;8,E3814&gt;=18,COUNTIF($K$2:$K$10,INT(A3814))&gt;0),1,0)</f>
        <v>1</v>
      </c>
      <c r="G3814" s="34" t="n">
        <f aca="false">B3814/1</f>
        <v>173.959</v>
      </c>
      <c r="H3814" s="34" t="n">
        <f aca="false">IF(F3814=1,G3814,"")</f>
        <v>173.959</v>
      </c>
    </row>
    <row r="3815" customFormat="false" ht="15" hidden="false" customHeight="false" outlineLevel="0" collapsed="false">
      <c r="A3815" s="31" t="n">
        <v>42894.875</v>
      </c>
      <c r="B3815" s="32" t="n">
        <v>170.748</v>
      </c>
      <c r="D3815" s="33" t="n">
        <f aca="false">WEEKDAY(A3815,2)</f>
        <v>4</v>
      </c>
      <c r="E3815" s="33" t="n">
        <f aca="false">HOUR(A3815)+MINUTE(A3815)/60</f>
        <v>21</v>
      </c>
      <c r="F3815" s="33" t="n">
        <f aca="false">IF(OR(D3815&gt;5,E3815&lt;8,E3815&gt;=18,COUNTIF($K$2:$K$10,INT(A3815))&gt;0),1,0)</f>
        <v>1</v>
      </c>
      <c r="G3815" s="34" t="n">
        <f aca="false">B3815/1</f>
        <v>170.748</v>
      </c>
      <c r="H3815" s="34" t="n">
        <f aca="false">IF(F3815=1,G3815,"")</f>
        <v>170.748</v>
      </c>
    </row>
    <row r="3816" customFormat="false" ht="15" hidden="false" customHeight="false" outlineLevel="0" collapsed="false">
      <c r="A3816" s="31" t="n">
        <v>42894.9166666667</v>
      </c>
      <c r="B3816" s="32" t="n">
        <v>122.228</v>
      </c>
      <c r="D3816" s="33" t="n">
        <f aca="false">WEEKDAY(A3816,2)</f>
        <v>4</v>
      </c>
      <c r="E3816" s="33" t="n">
        <f aca="false">HOUR(A3816)+MINUTE(A3816)/60</f>
        <v>22</v>
      </c>
      <c r="F3816" s="33" t="n">
        <f aca="false">IF(OR(D3816&gt;5,E3816&lt;8,E3816&gt;=18,COUNTIF($K$2:$K$10,INT(A3816))&gt;0),1,0)</f>
        <v>1</v>
      </c>
      <c r="G3816" s="34" t="n">
        <f aca="false">B3816/1</f>
        <v>122.228</v>
      </c>
      <c r="H3816" s="34" t="n">
        <f aca="false">IF(F3816=1,G3816,"")</f>
        <v>122.228</v>
      </c>
    </row>
    <row r="3817" customFormat="false" ht="15" hidden="false" customHeight="false" outlineLevel="0" collapsed="false">
      <c r="A3817" s="31" t="n">
        <v>42894.9583333333</v>
      </c>
      <c r="B3817" s="32" t="n">
        <v>61.212</v>
      </c>
      <c r="D3817" s="33" t="n">
        <f aca="false">WEEKDAY(A3817,2)</f>
        <v>4</v>
      </c>
      <c r="E3817" s="33" t="n">
        <f aca="false">HOUR(A3817)+MINUTE(A3817)/60</f>
        <v>23</v>
      </c>
      <c r="F3817" s="33" t="n">
        <f aca="false">IF(OR(D3817&gt;5,E3817&lt;8,E3817&gt;=18,COUNTIF($K$2:$K$10,INT(A3817))&gt;0),1,0)</f>
        <v>1</v>
      </c>
      <c r="G3817" s="34" t="n">
        <f aca="false">B3817/1</f>
        <v>61.212</v>
      </c>
      <c r="H3817" s="34" t="n">
        <f aca="false">IF(F3817=1,G3817,"")</f>
        <v>61.212</v>
      </c>
    </row>
    <row r="3818" customFormat="false" ht="15" hidden="false" customHeight="false" outlineLevel="0" collapsed="false">
      <c r="A3818" s="31" t="n">
        <v>42895</v>
      </c>
      <c r="B3818" s="32" t="n">
        <v>58.914</v>
      </c>
      <c r="D3818" s="33" t="n">
        <f aca="false">WEEKDAY(A3818,2)</f>
        <v>5</v>
      </c>
      <c r="E3818" s="33" t="n">
        <f aca="false">HOUR(A3818)+MINUTE(A3818)/60</f>
        <v>0</v>
      </c>
      <c r="F3818" s="33" t="n">
        <f aca="false">IF(OR(D3818&gt;5,E3818&lt;8,E3818&gt;=18,COUNTIF($K$2:$K$10,INT(A3818))&gt;0),1,0)</f>
        <v>1</v>
      </c>
      <c r="G3818" s="34" t="n">
        <f aca="false">B3818/1</f>
        <v>58.914</v>
      </c>
      <c r="H3818" s="34" t="n">
        <f aca="false">IF(F3818=1,G3818,"")</f>
        <v>58.914</v>
      </c>
    </row>
    <row r="3819" customFormat="false" ht="15" hidden="false" customHeight="false" outlineLevel="0" collapsed="false">
      <c r="A3819" s="31" t="n">
        <v>42895.0416666667</v>
      </c>
      <c r="B3819" s="32" t="n">
        <v>57.058</v>
      </c>
      <c r="D3819" s="33" t="n">
        <f aca="false">WEEKDAY(A3819,2)</f>
        <v>5</v>
      </c>
      <c r="E3819" s="33" t="n">
        <f aca="false">HOUR(A3819)+MINUTE(A3819)/60</f>
        <v>1</v>
      </c>
      <c r="F3819" s="33" t="n">
        <f aca="false">IF(OR(D3819&gt;5,E3819&lt;8,E3819&gt;=18,COUNTIF($K$2:$K$10,INT(A3819))&gt;0),1,0)</f>
        <v>1</v>
      </c>
      <c r="G3819" s="34" t="n">
        <f aca="false">B3819/1</f>
        <v>57.058</v>
      </c>
      <c r="H3819" s="34" t="n">
        <f aca="false">IF(F3819=1,G3819,"")</f>
        <v>57.058</v>
      </c>
    </row>
    <row r="3820" customFormat="false" ht="15" hidden="false" customHeight="false" outlineLevel="0" collapsed="false">
      <c r="A3820" s="31" t="n">
        <v>42895.0833333333</v>
      </c>
      <c r="B3820" s="32" t="n">
        <v>57.027</v>
      </c>
      <c r="D3820" s="33" t="n">
        <f aca="false">WEEKDAY(A3820,2)</f>
        <v>5</v>
      </c>
      <c r="E3820" s="33" t="n">
        <f aca="false">HOUR(A3820)+MINUTE(A3820)/60</f>
        <v>2</v>
      </c>
      <c r="F3820" s="33" t="n">
        <f aca="false">IF(OR(D3820&gt;5,E3820&lt;8,E3820&gt;=18,COUNTIF($K$2:$K$10,INT(A3820))&gt;0),1,0)</f>
        <v>1</v>
      </c>
      <c r="G3820" s="34" t="n">
        <f aca="false">B3820/1</f>
        <v>57.027</v>
      </c>
      <c r="H3820" s="34" t="n">
        <f aca="false">IF(F3820=1,G3820,"")</f>
        <v>57.027</v>
      </c>
    </row>
    <row r="3821" customFormat="false" ht="15" hidden="false" customHeight="false" outlineLevel="0" collapsed="false">
      <c r="A3821" s="31" t="n">
        <v>42895.125</v>
      </c>
      <c r="B3821" s="32" t="n">
        <v>57.076</v>
      </c>
      <c r="D3821" s="33" t="n">
        <f aca="false">WEEKDAY(A3821,2)</f>
        <v>5</v>
      </c>
      <c r="E3821" s="33" t="n">
        <f aca="false">HOUR(A3821)+MINUTE(A3821)/60</f>
        <v>3</v>
      </c>
      <c r="F3821" s="33" t="n">
        <f aca="false">IF(OR(D3821&gt;5,E3821&lt;8,E3821&gt;=18,COUNTIF($K$2:$K$10,INT(A3821))&gt;0),1,0)</f>
        <v>1</v>
      </c>
      <c r="G3821" s="34" t="n">
        <f aca="false">B3821/1</f>
        <v>57.076</v>
      </c>
      <c r="H3821" s="34" t="n">
        <f aca="false">IF(F3821=1,G3821,"")</f>
        <v>57.076</v>
      </c>
    </row>
    <row r="3822" customFormat="false" ht="15" hidden="false" customHeight="false" outlineLevel="0" collapsed="false">
      <c r="A3822" s="31" t="n">
        <v>42895.1666666667</v>
      </c>
      <c r="B3822" s="32" t="n">
        <v>56.932</v>
      </c>
      <c r="D3822" s="33" t="n">
        <f aca="false">WEEKDAY(A3822,2)</f>
        <v>5</v>
      </c>
      <c r="E3822" s="33" t="n">
        <f aca="false">HOUR(A3822)+MINUTE(A3822)/60</f>
        <v>4</v>
      </c>
      <c r="F3822" s="33" t="n">
        <f aca="false">IF(OR(D3822&gt;5,E3822&lt;8,E3822&gt;=18,COUNTIF($K$2:$K$10,INT(A3822))&gt;0),1,0)</f>
        <v>1</v>
      </c>
      <c r="G3822" s="34" t="n">
        <f aca="false">B3822/1</f>
        <v>56.932</v>
      </c>
      <c r="H3822" s="34" t="n">
        <f aca="false">IF(F3822=1,G3822,"")</f>
        <v>56.932</v>
      </c>
    </row>
    <row r="3823" customFormat="false" ht="15" hidden="false" customHeight="false" outlineLevel="0" collapsed="false">
      <c r="A3823" s="31" t="n">
        <v>42895.2083333333</v>
      </c>
      <c r="B3823" s="32" t="n">
        <v>56.959</v>
      </c>
      <c r="D3823" s="33" t="n">
        <f aca="false">WEEKDAY(A3823,2)</f>
        <v>5</v>
      </c>
      <c r="E3823" s="33" t="n">
        <f aca="false">HOUR(A3823)+MINUTE(A3823)/60</f>
        <v>5</v>
      </c>
      <c r="F3823" s="33" t="n">
        <f aca="false">IF(OR(D3823&gt;5,E3823&lt;8,E3823&gt;=18,COUNTIF($K$2:$K$10,INT(A3823))&gt;0),1,0)</f>
        <v>1</v>
      </c>
      <c r="G3823" s="34" t="n">
        <f aca="false">B3823/1</f>
        <v>56.959</v>
      </c>
      <c r="H3823" s="34" t="n">
        <f aca="false">IF(F3823=1,G3823,"")</f>
        <v>56.959</v>
      </c>
    </row>
    <row r="3824" customFormat="false" ht="15" hidden="false" customHeight="false" outlineLevel="0" collapsed="false">
      <c r="A3824" s="31" t="n">
        <v>42895.25</v>
      </c>
      <c r="B3824" s="32" t="n">
        <v>57.517</v>
      </c>
      <c r="D3824" s="33" t="n">
        <f aca="false">WEEKDAY(A3824,2)</f>
        <v>5</v>
      </c>
      <c r="E3824" s="33" t="n">
        <f aca="false">HOUR(A3824)+MINUTE(A3824)/60</f>
        <v>6</v>
      </c>
      <c r="F3824" s="33" t="n">
        <f aca="false">IF(OR(D3824&gt;5,E3824&lt;8,E3824&gt;=18,COUNTIF($K$2:$K$10,INT(A3824))&gt;0),1,0)</f>
        <v>1</v>
      </c>
      <c r="G3824" s="34" t="n">
        <f aca="false">B3824/1</f>
        <v>57.517</v>
      </c>
      <c r="H3824" s="34" t="n">
        <f aca="false">IF(F3824=1,G3824,"")</f>
        <v>57.517</v>
      </c>
    </row>
    <row r="3825" customFormat="false" ht="15" hidden="false" customHeight="false" outlineLevel="0" collapsed="false">
      <c r="A3825" s="31" t="n">
        <v>42895.2916666667</v>
      </c>
      <c r="B3825" s="32" t="n">
        <v>68.258</v>
      </c>
      <c r="D3825" s="33" t="n">
        <f aca="false">WEEKDAY(A3825,2)</f>
        <v>5</v>
      </c>
      <c r="E3825" s="33" t="n">
        <f aca="false">HOUR(A3825)+MINUTE(A3825)/60</f>
        <v>7</v>
      </c>
      <c r="F3825" s="33" t="n">
        <f aca="false">IF(OR(D3825&gt;5,E3825&lt;8,E3825&gt;=18,COUNTIF($K$2:$K$10,INT(A3825))&gt;0),1,0)</f>
        <v>1</v>
      </c>
      <c r="G3825" s="34" t="n">
        <f aca="false">B3825/1</f>
        <v>68.258</v>
      </c>
      <c r="H3825" s="34" t="n">
        <f aca="false">IF(F3825=1,G3825,"")</f>
        <v>68.258</v>
      </c>
    </row>
    <row r="3826" customFormat="false" ht="15" hidden="false" customHeight="false" outlineLevel="0" collapsed="false">
      <c r="A3826" s="31" t="n">
        <v>42895.3333333333</v>
      </c>
      <c r="B3826" s="32" t="n">
        <v>177.512</v>
      </c>
      <c r="D3826" s="33" t="n">
        <f aca="false">WEEKDAY(A3826,2)</f>
        <v>5</v>
      </c>
      <c r="E3826" s="33" t="n">
        <f aca="false">HOUR(A3826)+MINUTE(A3826)/60</f>
        <v>8</v>
      </c>
      <c r="F3826" s="33" t="n">
        <f aca="false">IF(OR(D3826&gt;5,E3826&lt;8,E3826&gt;=18,COUNTIF($K$2:$K$10,INT(A3826))&gt;0),1,0)</f>
        <v>0</v>
      </c>
      <c r="G3826" s="34" t="n">
        <f aca="false">B3826/1</f>
        <v>177.512</v>
      </c>
      <c r="H3826" s="34" t="str">
        <f aca="false">IF(F3826=1,G3826,"")</f>
        <v/>
      </c>
    </row>
    <row r="3827" customFormat="false" ht="15" hidden="false" customHeight="false" outlineLevel="0" collapsed="false">
      <c r="A3827" s="31" t="n">
        <v>42895.375</v>
      </c>
      <c r="B3827" s="32" t="n">
        <v>194.999</v>
      </c>
      <c r="D3827" s="33" t="n">
        <f aca="false">WEEKDAY(A3827,2)</f>
        <v>5</v>
      </c>
      <c r="E3827" s="33" t="n">
        <f aca="false">HOUR(A3827)+MINUTE(A3827)/60</f>
        <v>9</v>
      </c>
      <c r="F3827" s="33" t="n">
        <f aca="false">IF(OR(D3827&gt;5,E3827&lt;8,E3827&gt;=18,COUNTIF($K$2:$K$10,INT(A3827))&gt;0),1,0)</f>
        <v>0</v>
      </c>
      <c r="G3827" s="34" t="n">
        <f aca="false">B3827/1</f>
        <v>194.999</v>
      </c>
      <c r="H3827" s="34" t="str">
        <f aca="false">IF(F3827=1,G3827,"")</f>
        <v/>
      </c>
    </row>
    <row r="3828" customFormat="false" ht="15" hidden="false" customHeight="false" outlineLevel="0" collapsed="false">
      <c r="A3828" s="31" t="n">
        <v>42895.4166666667</v>
      </c>
      <c r="B3828" s="32" t="n">
        <v>203.126</v>
      </c>
      <c r="D3828" s="33" t="n">
        <f aca="false">WEEKDAY(A3828,2)</f>
        <v>5</v>
      </c>
      <c r="E3828" s="33" t="n">
        <f aca="false">HOUR(A3828)+MINUTE(A3828)/60</f>
        <v>10</v>
      </c>
      <c r="F3828" s="33" t="n">
        <f aca="false">IF(OR(D3828&gt;5,E3828&lt;8,E3828&gt;=18,COUNTIF($K$2:$K$10,INT(A3828))&gt;0),1,0)</f>
        <v>0</v>
      </c>
      <c r="G3828" s="34" t="n">
        <f aca="false">B3828/1</f>
        <v>203.126</v>
      </c>
      <c r="H3828" s="34" t="str">
        <f aca="false">IF(F3828=1,G3828,"")</f>
        <v/>
      </c>
    </row>
    <row r="3829" customFormat="false" ht="15" hidden="false" customHeight="false" outlineLevel="0" collapsed="false">
      <c r="A3829" s="31" t="n">
        <v>42895.4583333333</v>
      </c>
      <c r="B3829" s="32" t="n">
        <v>206.295</v>
      </c>
      <c r="D3829" s="33" t="n">
        <f aca="false">WEEKDAY(A3829,2)</f>
        <v>5</v>
      </c>
      <c r="E3829" s="33" t="n">
        <f aca="false">HOUR(A3829)+MINUTE(A3829)/60</f>
        <v>11</v>
      </c>
      <c r="F3829" s="33" t="n">
        <f aca="false">IF(OR(D3829&gt;5,E3829&lt;8,E3829&gt;=18,COUNTIF($K$2:$K$10,INT(A3829))&gt;0),1,0)</f>
        <v>0</v>
      </c>
      <c r="G3829" s="34" t="n">
        <f aca="false">B3829/1</f>
        <v>206.295</v>
      </c>
      <c r="H3829" s="34" t="str">
        <f aca="false">IF(F3829=1,G3829,"")</f>
        <v/>
      </c>
    </row>
    <row r="3830" customFormat="false" ht="15" hidden="false" customHeight="false" outlineLevel="0" collapsed="false">
      <c r="A3830" s="31" t="n">
        <v>42895.5</v>
      </c>
      <c r="B3830" s="32" t="n">
        <v>206.27</v>
      </c>
      <c r="D3830" s="33" t="n">
        <f aca="false">WEEKDAY(A3830,2)</f>
        <v>5</v>
      </c>
      <c r="E3830" s="33" t="n">
        <f aca="false">HOUR(A3830)+MINUTE(A3830)/60</f>
        <v>12</v>
      </c>
      <c r="F3830" s="33" t="n">
        <f aca="false">IF(OR(D3830&gt;5,E3830&lt;8,E3830&gt;=18,COUNTIF($K$2:$K$10,INT(A3830))&gt;0),1,0)</f>
        <v>0</v>
      </c>
      <c r="G3830" s="34" t="n">
        <f aca="false">B3830/1</f>
        <v>206.27</v>
      </c>
      <c r="H3830" s="34" t="str">
        <f aca="false">IF(F3830=1,G3830,"")</f>
        <v/>
      </c>
    </row>
    <row r="3831" customFormat="false" ht="15" hidden="false" customHeight="false" outlineLevel="0" collapsed="false">
      <c r="A3831" s="31" t="n">
        <v>42895.5416666667</v>
      </c>
      <c r="B3831" s="32" t="n">
        <v>205.66</v>
      </c>
      <c r="D3831" s="33" t="n">
        <f aca="false">WEEKDAY(A3831,2)</f>
        <v>5</v>
      </c>
      <c r="E3831" s="33" t="n">
        <f aca="false">HOUR(A3831)+MINUTE(A3831)/60</f>
        <v>13</v>
      </c>
      <c r="F3831" s="33" t="n">
        <f aca="false">IF(OR(D3831&gt;5,E3831&lt;8,E3831&gt;=18,COUNTIF($K$2:$K$10,INT(A3831))&gt;0),1,0)</f>
        <v>0</v>
      </c>
      <c r="G3831" s="34" t="n">
        <f aca="false">B3831/1</f>
        <v>205.66</v>
      </c>
      <c r="H3831" s="34" t="str">
        <f aca="false">IF(F3831=1,G3831,"")</f>
        <v/>
      </c>
    </row>
    <row r="3832" customFormat="false" ht="15" hidden="false" customHeight="false" outlineLevel="0" collapsed="false">
      <c r="A3832" s="31" t="n">
        <v>42895.5833333333</v>
      </c>
      <c r="B3832" s="32" t="n">
        <v>202.331</v>
      </c>
      <c r="D3832" s="33" t="n">
        <f aca="false">WEEKDAY(A3832,2)</f>
        <v>5</v>
      </c>
      <c r="E3832" s="33" t="n">
        <f aca="false">HOUR(A3832)+MINUTE(A3832)/60</f>
        <v>14</v>
      </c>
      <c r="F3832" s="33" t="n">
        <f aca="false">IF(OR(D3832&gt;5,E3832&lt;8,E3832&gt;=18,COUNTIF($K$2:$K$10,INT(A3832))&gt;0),1,0)</f>
        <v>0</v>
      </c>
      <c r="G3832" s="34" t="n">
        <f aca="false">B3832/1</f>
        <v>202.331</v>
      </c>
      <c r="H3832" s="34" t="str">
        <f aca="false">IF(F3832=1,G3832,"")</f>
        <v/>
      </c>
    </row>
    <row r="3833" customFormat="false" ht="15" hidden="false" customHeight="false" outlineLevel="0" collapsed="false">
      <c r="A3833" s="31" t="n">
        <v>42895.625</v>
      </c>
      <c r="B3833" s="32" t="n">
        <v>201.586</v>
      </c>
      <c r="D3833" s="33" t="n">
        <f aca="false">WEEKDAY(A3833,2)</f>
        <v>5</v>
      </c>
      <c r="E3833" s="33" t="n">
        <f aca="false">HOUR(A3833)+MINUTE(A3833)/60</f>
        <v>15</v>
      </c>
      <c r="F3833" s="33" t="n">
        <f aca="false">IF(OR(D3833&gt;5,E3833&lt;8,E3833&gt;=18,COUNTIF($K$2:$K$10,INT(A3833))&gt;0),1,0)</f>
        <v>0</v>
      </c>
      <c r="G3833" s="34" t="n">
        <f aca="false">B3833/1</f>
        <v>201.586</v>
      </c>
      <c r="H3833" s="34" t="str">
        <f aca="false">IF(F3833=1,G3833,"")</f>
        <v/>
      </c>
    </row>
    <row r="3834" customFormat="false" ht="15" hidden="false" customHeight="false" outlineLevel="0" collapsed="false">
      <c r="A3834" s="31" t="n">
        <v>42895.6666666667</v>
      </c>
      <c r="B3834" s="32" t="n">
        <v>202.258</v>
      </c>
      <c r="D3834" s="33" t="n">
        <f aca="false">WEEKDAY(A3834,2)</f>
        <v>5</v>
      </c>
      <c r="E3834" s="33" t="n">
        <f aca="false">HOUR(A3834)+MINUTE(A3834)/60</f>
        <v>16</v>
      </c>
      <c r="F3834" s="33" t="n">
        <f aca="false">IF(OR(D3834&gt;5,E3834&lt;8,E3834&gt;=18,COUNTIF($K$2:$K$10,INT(A3834))&gt;0),1,0)</f>
        <v>0</v>
      </c>
      <c r="G3834" s="34" t="n">
        <f aca="false">B3834/1</f>
        <v>202.258</v>
      </c>
      <c r="H3834" s="34" t="str">
        <f aca="false">IF(F3834=1,G3834,"")</f>
        <v/>
      </c>
    </row>
    <row r="3835" customFormat="false" ht="15" hidden="false" customHeight="false" outlineLevel="0" collapsed="false">
      <c r="A3835" s="31" t="n">
        <v>42895.7083333333</v>
      </c>
      <c r="B3835" s="32" t="n">
        <v>192.477</v>
      </c>
      <c r="D3835" s="33" t="n">
        <f aca="false">WEEKDAY(A3835,2)</f>
        <v>5</v>
      </c>
      <c r="E3835" s="33" t="n">
        <f aca="false">HOUR(A3835)+MINUTE(A3835)/60</f>
        <v>17</v>
      </c>
      <c r="F3835" s="33" t="n">
        <f aca="false">IF(OR(D3835&gt;5,E3835&lt;8,E3835&gt;=18,COUNTIF($K$2:$K$10,INT(A3835))&gt;0),1,0)</f>
        <v>0</v>
      </c>
      <c r="G3835" s="34" t="n">
        <f aca="false">B3835/1</f>
        <v>192.477</v>
      </c>
      <c r="H3835" s="34" t="str">
        <f aca="false">IF(F3835=1,G3835,"")</f>
        <v/>
      </c>
    </row>
    <row r="3836" customFormat="false" ht="15" hidden="false" customHeight="false" outlineLevel="0" collapsed="false">
      <c r="A3836" s="31" t="n">
        <v>42895.75</v>
      </c>
      <c r="B3836" s="32" t="n">
        <v>177.887</v>
      </c>
      <c r="D3836" s="33" t="n">
        <f aca="false">WEEKDAY(A3836,2)</f>
        <v>5</v>
      </c>
      <c r="E3836" s="33" t="n">
        <f aca="false">HOUR(A3836)+MINUTE(A3836)/60</f>
        <v>18</v>
      </c>
      <c r="F3836" s="33" t="n">
        <f aca="false">IF(OR(D3836&gt;5,E3836&lt;8,E3836&gt;=18,COUNTIF($K$2:$K$10,INT(A3836))&gt;0),1,0)</f>
        <v>1</v>
      </c>
      <c r="G3836" s="34" t="n">
        <f aca="false">B3836/1</f>
        <v>177.887</v>
      </c>
      <c r="H3836" s="34" t="n">
        <f aca="false">IF(F3836=1,G3836,"")</f>
        <v>177.887</v>
      </c>
    </row>
    <row r="3837" customFormat="false" ht="15" hidden="false" customHeight="false" outlineLevel="0" collapsed="false">
      <c r="A3837" s="31" t="n">
        <v>42895.7916666667</v>
      </c>
      <c r="B3837" s="32" t="n">
        <v>173.287</v>
      </c>
      <c r="D3837" s="33" t="n">
        <f aca="false">WEEKDAY(A3837,2)</f>
        <v>5</v>
      </c>
      <c r="E3837" s="33" t="n">
        <f aca="false">HOUR(A3837)+MINUTE(A3837)/60</f>
        <v>19</v>
      </c>
      <c r="F3837" s="33" t="n">
        <f aca="false">IF(OR(D3837&gt;5,E3837&lt;8,E3837&gt;=18,COUNTIF($K$2:$K$10,INT(A3837))&gt;0),1,0)</f>
        <v>1</v>
      </c>
      <c r="G3837" s="34" t="n">
        <f aca="false">B3837/1</f>
        <v>173.287</v>
      </c>
      <c r="H3837" s="34" t="n">
        <f aca="false">IF(F3837=1,G3837,"")</f>
        <v>173.287</v>
      </c>
    </row>
    <row r="3838" customFormat="false" ht="15" hidden="false" customHeight="false" outlineLevel="0" collapsed="false">
      <c r="A3838" s="31" t="n">
        <v>42895.8333333333</v>
      </c>
      <c r="B3838" s="32" t="n">
        <v>171.629</v>
      </c>
      <c r="D3838" s="33" t="n">
        <f aca="false">WEEKDAY(A3838,2)</f>
        <v>5</v>
      </c>
      <c r="E3838" s="33" t="n">
        <f aca="false">HOUR(A3838)+MINUTE(A3838)/60</f>
        <v>20</v>
      </c>
      <c r="F3838" s="33" t="n">
        <f aca="false">IF(OR(D3838&gt;5,E3838&lt;8,E3838&gt;=18,COUNTIF($K$2:$K$10,INT(A3838))&gt;0),1,0)</f>
        <v>1</v>
      </c>
      <c r="G3838" s="34" t="n">
        <f aca="false">B3838/1</f>
        <v>171.629</v>
      </c>
      <c r="H3838" s="34" t="n">
        <f aca="false">IF(F3838=1,G3838,"")</f>
        <v>171.629</v>
      </c>
    </row>
    <row r="3839" customFormat="false" ht="15" hidden="false" customHeight="false" outlineLevel="0" collapsed="false">
      <c r="A3839" s="31" t="n">
        <v>42895.875</v>
      </c>
      <c r="B3839" s="32" t="n">
        <v>168.882</v>
      </c>
      <c r="D3839" s="33" t="n">
        <f aca="false">WEEKDAY(A3839,2)</f>
        <v>5</v>
      </c>
      <c r="E3839" s="33" t="n">
        <f aca="false">HOUR(A3839)+MINUTE(A3839)/60</f>
        <v>21</v>
      </c>
      <c r="F3839" s="33" t="n">
        <f aca="false">IF(OR(D3839&gt;5,E3839&lt;8,E3839&gt;=18,COUNTIF($K$2:$K$10,INT(A3839))&gt;0),1,0)</f>
        <v>1</v>
      </c>
      <c r="G3839" s="34" t="n">
        <f aca="false">B3839/1</f>
        <v>168.882</v>
      </c>
      <c r="H3839" s="34" t="n">
        <f aca="false">IF(F3839=1,G3839,"")</f>
        <v>168.882</v>
      </c>
    </row>
    <row r="3840" customFormat="false" ht="15" hidden="false" customHeight="false" outlineLevel="0" collapsed="false">
      <c r="A3840" s="31" t="n">
        <v>42895.9166666667</v>
      </c>
      <c r="B3840" s="32" t="n">
        <v>119.178</v>
      </c>
      <c r="D3840" s="33" t="n">
        <f aca="false">WEEKDAY(A3840,2)</f>
        <v>5</v>
      </c>
      <c r="E3840" s="33" t="n">
        <f aca="false">HOUR(A3840)+MINUTE(A3840)/60</f>
        <v>22</v>
      </c>
      <c r="F3840" s="33" t="n">
        <f aca="false">IF(OR(D3840&gt;5,E3840&lt;8,E3840&gt;=18,COUNTIF($K$2:$K$10,INT(A3840))&gt;0),1,0)</f>
        <v>1</v>
      </c>
      <c r="G3840" s="34" t="n">
        <f aca="false">B3840/1</f>
        <v>119.178</v>
      </c>
      <c r="H3840" s="34" t="n">
        <f aca="false">IF(F3840=1,G3840,"")</f>
        <v>119.178</v>
      </c>
    </row>
    <row r="3841" customFormat="false" ht="15" hidden="false" customHeight="false" outlineLevel="0" collapsed="false">
      <c r="A3841" s="31" t="n">
        <v>42895.9583333333</v>
      </c>
      <c r="B3841" s="32" t="n">
        <v>58.939</v>
      </c>
      <c r="D3841" s="33" t="n">
        <f aca="false">WEEKDAY(A3841,2)</f>
        <v>5</v>
      </c>
      <c r="E3841" s="33" t="n">
        <f aca="false">HOUR(A3841)+MINUTE(A3841)/60</f>
        <v>23</v>
      </c>
      <c r="F3841" s="33" t="n">
        <f aca="false">IF(OR(D3841&gt;5,E3841&lt;8,E3841&gt;=18,COUNTIF($K$2:$K$10,INT(A3841))&gt;0),1,0)</f>
        <v>1</v>
      </c>
      <c r="G3841" s="34" t="n">
        <f aca="false">B3841/1</f>
        <v>58.939</v>
      </c>
      <c r="H3841" s="34" t="n">
        <f aca="false">IF(F3841=1,G3841,"")</f>
        <v>58.939</v>
      </c>
    </row>
    <row r="3842" customFormat="false" ht="15" hidden="false" customHeight="false" outlineLevel="0" collapsed="false">
      <c r="A3842" s="31" t="n">
        <v>42896</v>
      </c>
      <c r="B3842" s="32" t="n">
        <v>56.471</v>
      </c>
      <c r="D3842" s="33" t="n">
        <f aca="false">WEEKDAY(A3842,2)</f>
        <v>6</v>
      </c>
      <c r="E3842" s="33" t="n">
        <f aca="false">HOUR(A3842)+MINUTE(A3842)/60</f>
        <v>0</v>
      </c>
      <c r="F3842" s="33" t="n">
        <f aca="false">IF(OR(D3842&gt;5,E3842&lt;8,E3842&gt;=18,COUNTIF($K$2:$K$10,INT(A3842))&gt;0),1,0)</f>
        <v>1</v>
      </c>
      <c r="G3842" s="34" t="n">
        <f aca="false">B3842/1</f>
        <v>56.471</v>
      </c>
      <c r="H3842" s="34" t="n">
        <f aca="false">IF(F3842=1,G3842,"")</f>
        <v>56.471</v>
      </c>
    </row>
    <row r="3843" customFormat="false" ht="15" hidden="false" customHeight="false" outlineLevel="0" collapsed="false">
      <c r="A3843" s="31" t="n">
        <v>42896.0416666667</v>
      </c>
      <c r="B3843" s="32" t="n">
        <v>54.95</v>
      </c>
      <c r="D3843" s="33" t="n">
        <f aca="false">WEEKDAY(A3843,2)</f>
        <v>6</v>
      </c>
      <c r="E3843" s="33" t="n">
        <f aca="false">HOUR(A3843)+MINUTE(A3843)/60</f>
        <v>1</v>
      </c>
      <c r="F3843" s="33" t="n">
        <f aca="false">IF(OR(D3843&gt;5,E3843&lt;8,E3843&gt;=18,COUNTIF($K$2:$K$10,INT(A3843))&gt;0),1,0)</f>
        <v>1</v>
      </c>
      <c r="G3843" s="34" t="n">
        <f aca="false">B3843/1</f>
        <v>54.95</v>
      </c>
      <c r="H3843" s="34" t="n">
        <f aca="false">IF(F3843=1,G3843,"")</f>
        <v>54.95</v>
      </c>
    </row>
    <row r="3844" customFormat="false" ht="15" hidden="false" customHeight="false" outlineLevel="0" collapsed="false">
      <c r="A3844" s="31" t="n">
        <v>42896.0833333333</v>
      </c>
      <c r="B3844" s="32" t="n">
        <v>54.941</v>
      </c>
      <c r="D3844" s="33" t="n">
        <f aca="false">WEEKDAY(A3844,2)</f>
        <v>6</v>
      </c>
      <c r="E3844" s="33" t="n">
        <f aca="false">HOUR(A3844)+MINUTE(A3844)/60</f>
        <v>2</v>
      </c>
      <c r="F3844" s="33" t="n">
        <f aca="false">IF(OR(D3844&gt;5,E3844&lt;8,E3844&gt;=18,COUNTIF($K$2:$K$10,INT(A3844))&gt;0),1,0)</f>
        <v>1</v>
      </c>
      <c r="G3844" s="34" t="n">
        <f aca="false">B3844/1</f>
        <v>54.941</v>
      </c>
      <c r="H3844" s="34" t="n">
        <f aca="false">IF(F3844=1,G3844,"")</f>
        <v>54.941</v>
      </c>
    </row>
    <row r="3845" customFormat="false" ht="15" hidden="false" customHeight="false" outlineLevel="0" collapsed="false">
      <c r="A3845" s="31" t="n">
        <v>42896.125</v>
      </c>
      <c r="B3845" s="32" t="n">
        <v>54.862</v>
      </c>
      <c r="D3845" s="33" t="n">
        <f aca="false">WEEKDAY(A3845,2)</f>
        <v>6</v>
      </c>
      <c r="E3845" s="33" t="n">
        <f aca="false">HOUR(A3845)+MINUTE(A3845)/60</f>
        <v>3</v>
      </c>
      <c r="F3845" s="33" t="n">
        <f aca="false">IF(OR(D3845&gt;5,E3845&lt;8,E3845&gt;=18,COUNTIF($K$2:$K$10,INT(A3845))&gt;0),1,0)</f>
        <v>1</v>
      </c>
      <c r="G3845" s="34" t="n">
        <f aca="false">B3845/1</f>
        <v>54.862</v>
      </c>
      <c r="H3845" s="34" t="n">
        <f aca="false">IF(F3845=1,G3845,"")</f>
        <v>54.862</v>
      </c>
    </row>
    <row r="3846" customFormat="false" ht="15" hidden="false" customHeight="false" outlineLevel="0" collapsed="false">
      <c r="A3846" s="31" t="n">
        <v>42896.1666666667</v>
      </c>
      <c r="B3846" s="32" t="n">
        <v>54.01</v>
      </c>
      <c r="D3846" s="33" t="n">
        <f aca="false">WEEKDAY(A3846,2)</f>
        <v>6</v>
      </c>
      <c r="E3846" s="33" t="n">
        <f aca="false">HOUR(A3846)+MINUTE(A3846)/60</f>
        <v>4</v>
      </c>
      <c r="F3846" s="33" t="n">
        <f aca="false">IF(OR(D3846&gt;5,E3846&lt;8,E3846&gt;=18,COUNTIF($K$2:$K$10,INT(A3846))&gt;0),1,0)</f>
        <v>1</v>
      </c>
      <c r="G3846" s="34" t="n">
        <f aca="false">B3846/1</f>
        <v>54.01</v>
      </c>
      <c r="H3846" s="34" t="n">
        <f aca="false">IF(F3846=1,G3846,"")</f>
        <v>54.01</v>
      </c>
    </row>
    <row r="3847" customFormat="false" ht="15" hidden="false" customHeight="false" outlineLevel="0" collapsed="false">
      <c r="A3847" s="31" t="n">
        <v>42896.2083333333</v>
      </c>
      <c r="B3847" s="32" t="n">
        <v>54.452</v>
      </c>
      <c r="D3847" s="33" t="n">
        <f aca="false">WEEKDAY(A3847,2)</f>
        <v>6</v>
      </c>
      <c r="E3847" s="33" t="n">
        <f aca="false">HOUR(A3847)+MINUTE(A3847)/60</f>
        <v>5</v>
      </c>
      <c r="F3847" s="33" t="n">
        <f aca="false">IF(OR(D3847&gt;5,E3847&lt;8,E3847&gt;=18,COUNTIF($K$2:$K$10,INT(A3847))&gt;0),1,0)</f>
        <v>1</v>
      </c>
      <c r="G3847" s="34" t="n">
        <f aca="false">B3847/1</f>
        <v>54.452</v>
      </c>
      <c r="H3847" s="34" t="n">
        <f aca="false">IF(F3847=1,G3847,"")</f>
        <v>54.452</v>
      </c>
    </row>
    <row r="3848" customFormat="false" ht="15" hidden="false" customHeight="false" outlineLevel="0" collapsed="false">
      <c r="A3848" s="31" t="n">
        <v>42896.25</v>
      </c>
      <c r="B3848" s="32" t="n">
        <v>54.07</v>
      </c>
      <c r="D3848" s="33" t="n">
        <f aca="false">WEEKDAY(A3848,2)</f>
        <v>6</v>
      </c>
      <c r="E3848" s="33" t="n">
        <f aca="false">HOUR(A3848)+MINUTE(A3848)/60</f>
        <v>6</v>
      </c>
      <c r="F3848" s="33" t="n">
        <f aca="false">IF(OR(D3848&gt;5,E3848&lt;8,E3848&gt;=18,COUNTIF($K$2:$K$10,INT(A3848))&gt;0),1,0)</f>
        <v>1</v>
      </c>
      <c r="G3848" s="34" t="n">
        <f aca="false">B3848/1</f>
        <v>54.07</v>
      </c>
      <c r="H3848" s="34" t="n">
        <f aca="false">IF(F3848=1,G3848,"")</f>
        <v>54.07</v>
      </c>
    </row>
    <row r="3849" customFormat="false" ht="15" hidden="false" customHeight="false" outlineLevel="0" collapsed="false">
      <c r="A3849" s="31" t="n">
        <v>42896.2916666667</v>
      </c>
      <c r="B3849" s="32" t="n">
        <v>51.696</v>
      </c>
      <c r="D3849" s="33" t="n">
        <f aca="false">WEEKDAY(A3849,2)</f>
        <v>6</v>
      </c>
      <c r="E3849" s="33" t="n">
        <f aca="false">HOUR(A3849)+MINUTE(A3849)/60</f>
        <v>7</v>
      </c>
      <c r="F3849" s="33" t="n">
        <f aca="false">IF(OR(D3849&gt;5,E3849&lt;8,E3849&gt;=18,COUNTIF($K$2:$K$10,INT(A3849))&gt;0),1,0)</f>
        <v>1</v>
      </c>
      <c r="G3849" s="34" t="n">
        <f aca="false">B3849/1</f>
        <v>51.696</v>
      </c>
      <c r="H3849" s="34" t="n">
        <f aca="false">IF(F3849=1,G3849,"")</f>
        <v>51.696</v>
      </c>
    </row>
    <row r="3850" customFormat="false" ht="15" hidden="false" customHeight="false" outlineLevel="0" collapsed="false">
      <c r="A3850" s="31" t="n">
        <v>42896.3333333333</v>
      </c>
      <c r="B3850" s="32" t="n">
        <v>121.092</v>
      </c>
      <c r="D3850" s="33" t="n">
        <f aca="false">WEEKDAY(A3850,2)</f>
        <v>6</v>
      </c>
      <c r="E3850" s="33" t="n">
        <f aca="false">HOUR(A3850)+MINUTE(A3850)/60</f>
        <v>8</v>
      </c>
      <c r="F3850" s="33" t="n">
        <f aca="false">IF(OR(D3850&gt;5,E3850&lt;8,E3850&gt;=18,COUNTIF($K$2:$K$10,INT(A3850))&gt;0),1,0)</f>
        <v>1</v>
      </c>
      <c r="G3850" s="34" t="n">
        <f aca="false">B3850/1</f>
        <v>121.092</v>
      </c>
      <c r="H3850" s="34" t="n">
        <f aca="false">IF(F3850=1,G3850,"")</f>
        <v>121.092</v>
      </c>
    </row>
    <row r="3851" customFormat="false" ht="15" hidden="false" customHeight="false" outlineLevel="0" collapsed="false">
      <c r="A3851" s="31" t="n">
        <v>42896.375</v>
      </c>
      <c r="B3851" s="32" t="n">
        <v>167.648</v>
      </c>
      <c r="D3851" s="33" t="n">
        <f aca="false">WEEKDAY(A3851,2)</f>
        <v>6</v>
      </c>
      <c r="E3851" s="33" t="n">
        <f aca="false">HOUR(A3851)+MINUTE(A3851)/60</f>
        <v>9</v>
      </c>
      <c r="F3851" s="33" t="n">
        <f aca="false">IF(OR(D3851&gt;5,E3851&lt;8,E3851&gt;=18,COUNTIF($K$2:$K$10,INT(A3851))&gt;0),1,0)</f>
        <v>1</v>
      </c>
      <c r="G3851" s="34" t="n">
        <f aca="false">B3851/1</f>
        <v>167.648</v>
      </c>
      <c r="H3851" s="34" t="n">
        <f aca="false">IF(F3851=1,G3851,"")</f>
        <v>167.648</v>
      </c>
    </row>
    <row r="3852" customFormat="false" ht="15" hidden="false" customHeight="false" outlineLevel="0" collapsed="false">
      <c r="A3852" s="31" t="n">
        <v>42896.4166666667</v>
      </c>
      <c r="B3852" s="32" t="n">
        <v>168.799</v>
      </c>
      <c r="D3852" s="33" t="n">
        <f aca="false">WEEKDAY(A3852,2)</f>
        <v>6</v>
      </c>
      <c r="E3852" s="33" t="n">
        <f aca="false">HOUR(A3852)+MINUTE(A3852)/60</f>
        <v>10</v>
      </c>
      <c r="F3852" s="33" t="n">
        <f aca="false">IF(OR(D3852&gt;5,E3852&lt;8,E3852&gt;=18,COUNTIF($K$2:$K$10,INT(A3852))&gt;0),1,0)</f>
        <v>1</v>
      </c>
      <c r="G3852" s="34" t="n">
        <f aca="false">B3852/1</f>
        <v>168.799</v>
      </c>
      <c r="H3852" s="34" t="n">
        <f aca="false">IF(F3852=1,G3852,"")</f>
        <v>168.799</v>
      </c>
    </row>
    <row r="3853" customFormat="false" ht="15" hidden="false" customHeight="false" outlineLevel="0" collapsed="false">
      <c r="A3853" s="31" t="n">
        <v>42896.4583333333</v>
      </c>
      <c r="B3853" s="32" t="n">
        <v>171.024</v>
      </c>
      <c r="D3853" s="33" t="n">
        <f aca="false">WEEKDAY(A3853,2)</f>
        <v>6</v>
      </c>
      <c r="E3853" s="33" t="n">
        <f aca="false">HOUR(A3853)+MINUTE(A3853)/60</f>
        <v>11</v>
      </c>
      <c r="F3853" s="33" t="n">
        <f aca="false">IF(OR(D3853&gt;5,E3853&lt;8,E3853&gt;=18,COUNTIF($K$2:$K$10,INT(A3853))&gt;0),1,0)</f>
        <v>1</v>
      </c>
      <c r="G3853" s="34" t="n">
        <f aca="false">B3853/1</f>
        <v>171.024</v>
      </c>
      <c r="H3853" s="34" t="n">
        <f aca="false">IF(F3853=1,G3853,"")</f>
        <v>171.024</v>
      </c>
    </row>
    <row r="3854" customFormat="false" ht="15" hidden="false" customHeight="false" outlineLevel="0" collapsed="false">
      <c r="A3854" s="31" t="n">
        <v>42896.5</v>
      </c>
      <c r="B3854" s="32" t="n">
        <v>172.112</v>
      </c>
      <c r="D3854" s="33" t="n">
        <f aca="false">WEEKDAY(A3854,2)</f>
        <v>6</v>
      </c>
      <c r="E3854" s="33" t="n">
        <f aca="false">HOUR(A3854)+MINUTE(A3854)/60</f>
        <v>12</v>
      </c>
      <c r="F3854" s="33" t="n">
        <f aca="false">IF(OR(D3854&gt;5,E3854&lt;8,E3854&gt;=18,COUNTIF($K$2:$K$10,INT(A3854))&gt;0),1,0)</f>
        <v>1</v>
      </c>
      <c r="G3854" s="34" t="n">
        <f aca="false">B3854/1</f>
        <v>172.112</v>
      </c>
      <c r="H3854" s="34" t="n">
        <f aca="false">IF(F3854=1,G3854,"")</f>
        <v>172.112</v>
      </c>
    </row>
    <row r="3855" customFormat="false" ht="15" hidden="false" customHeight="false" outlineLevel="0" collapsed="false">
      <c r="A3855" s="31" t="n">
        <v>42896.5416666667</v>
      </c>
      <c r="B3855" s="32" t="n">
        <v>172.391</v>
      </c>
      <c r="D3855" s="33" t="n">
        <f aca="false">WEEKDAY(A3855,2)</f>
        <v>6</v>
      </c>
      <c r="E3855" s="33" t="n">
        <f aca="false">HOUR(A3855)+MINUTE(A3855)/60</f>
        <v>13</v>
      </c>
      <c r="F3855" s="33" t="n">
        <f aca="false">IF(OR(D3855&gt;5,E3855&lt;8,E3855&gt;=18,COUNTIF($K$2:$K$10,INT(A3855))&gt;0),1,0)</f>
        <v>1</v>
      </c>
      <c r="G3855" s="34" t="n">
        <f aca="false">B3855/1</f>
        <v>172.391</v>
      </c>
      <c r="H3855" s="34" t="n">
        <f aca="false">IF(F3855=1,G3855,"")</f>
        <v>172.391</v>
      </c>
    </row>
    <row r="3856" customFormat="false" ht="15" hidden="false" customHeight="false" outlineLevel="0" collapsed="false">
      <c r="A3856" s="31" t="n">
        <v>42896.5833333333</v>
      </c>
      <c r="B3856" s="32" t="n">
        <v>172.224</v>
      </c>
      <c r="D3856" s="33" t="n">
        <f aca="false">WEEKDAY(A3856,2)</f>
        <v>6</v>
      </c>
      <c r="E3856" s="33" t="n">
        <f aca="false">HOUR(A3856)+MINUTE(A3856)/60</f>
        <v>14</v>
      </c>
      <c r="F3856" s="33" t="n">
        <f aca="false">IF(OR(D3856&gt;5,E3856&lt;8,E3856&gt;=18,COUNTIF($K$2:$K$10,INT(A3856))&gt;0),1,0)</f>
        <v>1</v>
      </c>
      <c r="G3856" s="34" t="n">
        <f aca="false">B3856/1</f>
        <v>172.224</v>
      </c>
      <c r="H3856" s="34" t="n">
        <f aca="false">IF(F3856=1,G3856,"")</f>
        <v>172.224</v>
      </c>
    </row>
    <row r="3857" customFormat="false" ht="15" hidden="false" customHeight="false" outlineLevel="0" collapsed="false">
      <c r="A3857" s="31" t="n">
        <v>42896.625</v>
      </c>
      <c r="B3857" s="32" t="n">
        <v>173.312</v>
      </c>
      <c r="D3857" s="33" t="n">
        <f aca="false">WEEKDAY(A3857,2)</f>
        <v>6</v>
      </c>
      <c r="E3857" s="33" t="n">
        <f aca="false">HOUR(A3857)+MINUTE(A3857)/60</f>
        <v>15</v>
      </c>
      <c r="F3857" s="33" t="n">
        <f aca="false">IF(OR(D3857&gt;5,E3857&lt;8,E3857&gt;=18,COUNTIF($K$2:$K$10,INT(A3857))&gt;0),1,0)</f>
        <v>1</v>
      </c>
      <c r="G3857" s="34" t="n">
        <f aca="false">B3857/1</f>
        <v>173.312</v>
      </c>
      <c r="H3857" s="34" t="n">
        <f aca="false">IF(F3857=1,G3857,"")</f>
        <v>173.312</v>
      </c>
    </row>
    <row r="3858" customFormat="false" ht="15" hidden="false" customHeight="false" outlineLevel="0" collapsed="false">
      <c r="A3858" s="31" t="n">
        <v>42896.6666666667</v>
      </c>
      <c r="B3858" s="32" t="n">
        <v>171.066</v>
      </c>
      <c r="D3858" s="33" t="n">
        <f aca="false">WEEKDAY(A3858,2)</f>
        <v>6</v>
      </c>
      <c r="E3858" s="33" t="n">
        <f aca="false">HOUR(A3858)+MINUTE(A3858)/60</f>
        <v>16</v>
      </c>
      <c r="F3858" s="33" t="n">
        <f aca="false">IF(OR(D3858&gt;5,E3858&lt;8,E3858&gt;=18,COUNTIF($K$2:$K$10,INT(A3858))&gt;0),1,0)</f>
        <v>1</v>
      </c>
      <c r="G3858" s="34" t="n">
        <f aca="false">B3858/1</f>
        <v>171.066</v>
      </c>
      <c r="H3858" s="34" t="n">
        <f aca="false">IF(F3858=1,G3858,"")</f>
        <v>171.066</v>
      </c>
    </row>
    <row r="3859" customFormat="false" ht="15" hidden="false" customHeight="false" outlineLevel="0" collapsed="false">
      <c r="A3859" s="31" t="n">
        <v>42896.7083333333</v>
      </c>
      <c r="B3859" s="32" t="n">
        <v>170.031</v>
      </c>
      <c r="D3859" s="33" t="n">
        <f aca="false">WEEKDAY(A3859,2)</f>
        <v>6</v>
      </c>
      <c r="E3859" s="33" t="n">
        <f aca="false">HOUR(A3859)+MINUTE(A3859)/60</f>
        <v>17</v>
      </c>
      <c r="F3859" s="33" t="n">
        <f aca="false">IF(OR(D3859&gt;5,E3859&lt;8,E3859&gt;=18,COUNTIF($K$2:$K$10,INT(A3859))&gt;0),1,0)</f>
        <v>1</v>
      </c>
      <c r="G3859" s="34" t="n">
        <f aca="false">B3859/1</f>
        <v>170.031</v>
      </c>
      <c r="H3859" s="34" t="n">
        <f aca="false">IF(F3859=1,G3859,"")</f>
        <v>170.031</v>
      </c>
    </row>
    <row r="3860" customFormat="false" ht="15" hidden="false" customHeight="false" outlineLevel="0" collapsed="false">
      <c r="A3860" s="31" t="n">
        <v>42896.75</v>
      </c>
      <c r="B3860" s="32" t="n">
        <v>169.282</v>
      </c>
      <c r="D3860" s="33" t="n">
        <f aca="false">WEEKDAY(A3860,2)</f>
        <v>6</v>
      </c>
      <c r="E3860" s="33" t="n">
        <f aca="false">HOUR(A3860)+MINUTE(A3860)/60</f>
        <v>18</v>
      </c>
      <c r="F3860" s="33" t="n">
        <f aca="false">IF(OR(D3860&gt;5,E3860&lt;8,E3860&gt;=18,COUNTIF($K$2:$K$10,INT(A3860))&gt;0),1,0)</f>
        <v>1</v>
      </c>
      <c r="G3860" s="34" t="n">
        <f aca="false">B3860/1</f>
        <v>169.282</v>
      </c>
      <c r="H3860" s="34" t="n">
        <f aca="false">IF(F3860=1,G3860,"")</f>
        <v>169.282</v>
      </c>
    </row>
    <row r="3861" customFormat="false" ht="15" hidden="false" customHeight="false" outlineLevel="0" collapsed="false">
      <c r="A3861" s="31" t="n">
        <v>42896.7916666667</v>
      </c>
      <c r="B3861" s="32" t="n">
        <v>165.918</v>
      </c>
      <c r="D3861" s="33" t="n">
        <f aca="false">WEEKDAY(A3861,2)</f>
        <v>6</v>
      </c>
      <c r="E3861" s="33" t="n">
        <f aca="false">HOUR(A3861)+MINUTE(A3861)/60</f>
        <v>19</v>
      </c>
      <c r="F3861" s="33" t="n">
        <f aca="false">IF(OR(D3861&gt;5,E3861&lt;8,E3861&gt;=18,COUNTIF($K$2:$K$10,INT(A3861))&gt;0),1,0)</f>
        <v>1</v>
      </c>
      <c r="G3861" s="34" t="n">
        <f aca="false">B3861/1</f>
        <v>165.918</v>
      </c>
      <c r="H3861" s="34" t="n">
        <f aca="false">IF(F3861=1,G3861,"")</f>
        <v>165.918</v>
      </c>
    </row>
    <row r="3862" customFormat="false" ht="15" hidden="false" customHeight="false" outlineLevel="0" collapsed="false">
      <c r="A3862" s="31" t="n">
        <v>42896.8333333333</v>
      </c>
      <c r="B3862" s="32" t="n">
        <v>165.076</v>
      </c>
      <c r="D3862" s="33" t="n">
        <f aca="false">WEEKDAY(A3862,2)</f>
        <v>6</v>
      </c>
      <c r="E3862" s="33" t="n">
        <f aca="false">HOUR(A3862)+MINUTE(A3862)/60</f>
        <v>20</v>
      </c>
      <c r="F3862" s="33" t="n">
        <f aca="false">IF(OR(D3862&gt;5,E3862&lt;8,E3862&gt;=18,COUNTIF($K$2:$K$10,INT(A3862))&gt;0),1,0)</f>
        <v>1</v>
      </c>
      <c r="G3862" s="34" t="n">
        <f aca="false">B3862/1</f>
        <v>165.076</v>
      </c>
      <c r="H3862" s="34" t="n">
        <f aca="false">IF(F3862=1,G3862,"")</f>
        <v>165.076</v>
      </c>
    </row>
    <row r="3863" customFormat="false" ht="15" hidden="false" customHeight="false" outlineLevel="0" collapsed="false">
      <c r="A3863" s="31" t="n">
        <v>42896.875</v>
      </c>
      <c r="B3863" s="32" t="n">
        <v>141.315</v>
      </c>
      <c r="D3863" s="33" t="n">
        <f aca="false">WEEKDAY(A3863,2)</f>
        <v>6</v>
      </c>
      <c r="E3863" s="33" t="n">
        <f aca="false">HOUR(A3863)+MINUTE(A3863)/60</f>
        <v>21</v>
      </c>
      <c r="F3863" s="33" t="n">
        <f aca="false">IF(OR(D3863&gt;5,E3863&lt;8,E3863&gt;=18,COUNTIF($K$2:$K$10,INT(A3863))&gt;0),1,0)</f>
        <v>1</v>
      </c>
      <c r="G3863" s="34" t="n">
        <f aca="false">B3863/1</f>
        <v>141.315</v>
      </c>
      <c r="H3863" s="34" t="n">
        <f aca="false">IF(F3863=1,G3863,"")</f>
        <v>141.315</v>
      </c>
    </row>
    <row r="3864" customFormat="false" ht="15" hidden="false" customHeight="false" outlineLevel="0" collapsed="false">
      <c r="A3864" s="31" t="n">
        <v>42896.9166666667</v>
      </c>
      <c r="B3864" s="32" t="n">
        <v>54.15</v>
      </c>
      <c r="D3864" s="33" t="n">
        <f aca="false">WEEKDAY(A3864,2)</f>
        <v>6</v>
      </c>
      <c r="E3864" s="33" t="n">
        <f aca="false">HOUR(A3864)+MINUTE(A3864)/60</f>
        <v>22</v>
      </c>
      <c r="F3864" s="33" t="n">
        <f aca="false">IF(OR(D3864&gt;5,E3864&lt;8,E3864&gt;=18,COUNTIF($K$2:$K$10,INT(A3864))&gt;0),1,0)</f>
        <v>1</v>
      </c>
      <c r="G3864" s="34" t="n">
        <f aca="false">B3864/1</f>
        <v>54.15</v>
      </c>
      <c r="H3864" s="34" t="n">
        <f aca="false">IF(F3864=1,G3864,"")</f>
        <v>54.15</v>
      </c>
    </row>
    <row r="3865" customFormat="false" ht="15" hidden="false" customHeight="false" outlineLevel="0" collapsed="false">
      <c r="A3865" s="31" t="n">
        <v>42896.9583333333</v>
      </c>
      <c r="B3865" s="32" t="n">
        <v>54.189</v>
      </c>
      <c r="D3865" s="33" t="n">
        <f aca="false">WEEKDAY(A3865,2)</f>
        <v>6</v>
      </c>
      <c r="E3865" s="33" t="n">
        <f aca="false">HOUR(A3865)+MINUTE(A3865)/60</f>
        <v>23</v>
      </c>
      <c r="F3865" s="33" t="n">
        <f aca="false">IF(OR(D3865&gt;5,E3865&lt;8,E3865&gt;=18,COUNTIF($K$2:$K$10,INT(A3865))&gt;0),1,0)</f>
        <v>1</v>
      </c>
      <c r="G3865" s="34" t="n">
        <f aca="false">B3865/1</f>
        <v>54.189</v>
      </c>
      <c r="H3865" s="34" t="n">
        <f aca="false">IF(F3865=1,G3865,"")</f>
        <v>54.189</v>
      </c>
    </row>
    <row r="3866" customFormat="false" ht="15" hidden="false" customHeight="false" outlineLevel="0" collapsed="false">
      <c r="A3866" s="31" t="n">
        <v>42897</v>
      </c>
      <c r="B3866" s="32" t="n">
        <v>54.015</v>
      </c>
      <c r="D3866" s="33" t="n">
        <f aca="false">WEEKDAY(A3866,2)</f>
        <v>7</v>
      </c>
      <c r="E3866" s="33" t="n">
        <f aca="false">HOUR(A3866)+MINUTE(A3866)/60</f>
        <v>0</v>
      </c>
      <c r="F3866" s="33" t="n">
        <f aca="false">IF(OR(D3866&gt;5,E3866&lt;8,E3866&gt;=18,COUNTIF($K$2:$K$10,INT(A3866))&gt;0),1,0)</f>
        <v>1</v>
      </c>
      <c r="G3866" s="34" t="n">
        <f aca="false">B3866/1</f>
        <v>54.015</v>
      </c>
      <c r="H3866" s="34" t="n">
        <f aca="false">IF(F3866=1,G3866,"")</f>
        <v>54.015</v>
      </c>
    </row>
    <row r="3867" customFormat="false" ht="15" hidden="false" customHeight="false" outlineLevel="0" collapsed="false">
      <c r="A3867" s="31" t="n">
        <v>42897.0416666667</v>
      </c>
      <c r="B3867" s="32" t="n">
        <v>54.07</v>
      </c>
      <c r="D3867" s="33" t="n">
        <f aca="false">WEEKDAY(A3867,2)</f>
        <v>7</v>
      </c>
      <c r="E3867" s="33" t="n">
        <f aca="false">HOUR(A3867)+MINUTE(A3867)/60</f>
        <v>1</v>
      </c>
      <c r="F3867" s="33" t="n">
        <f aca="false">IF(OR(D3867&gt;5,E3867&lt;8,E3867&gt;=18,COUNTIF($K$2:$K$10,INT(A3867))&gt;0),1,0)</f>
        <v>1</v>
      </c>
      <c r="G3867" s="34" t="n">
        <f aca="false">B3867/1</f>
        <v>54.07</v>
      </c>
      <c r="H3867" s="34" t="n">
        <f aca="false">IF(F3867=1,G3867,"")</f>
        <v>54.07</v>
      </c>
    </row>
    <row r="3868" customFormat="false" ht="15" hidden="false" customHeight="false" outlineLevel="0" collapsed="false">
      <c r="A3868" s="31" t="n">
        <v>42897.0833333333</v>
      </c>
      <c r="B3868" s="32" t="n">
        <v>53.559</v>
      </c>
      <c r="D3868" s="33" t="n">
        <f aca="false">WEEKDAY(A3868,2)</f>
        <v>7</v>
      </c>
      <c r="E3868" s="33" t="n">
        <f aca="false">HOUR(A3868)+MINUTE(A3868)/60</f>
        <v>2</v>
      </c>
      <c r="F3868" s="33" t="n">
        <f aca="false">IF(OR(D3868&gt;5,E3868&lt;8,E3868&gt;=18,COUNTIF($K$2:$K$10,INT(A3868))&gt;0),1,0)</f>
        <v>1</v>
      </c>
      <c r="G3868" s="34" t="n">
        <f aca="false">B3868/1</f>
        <v>53.559</v>
      </c>
      <c r="H3868" s="34" t="n">
        <f aca="false">IF(F3868=1,G3868,"")</f>
        <v>53.559</v>
      </c>
    </row>
    <row r="3869" customFormat="false" ht="15" hidden="false" customHeight="false" outlineLevel="0" collapsed="false">
      <c r="A3869" s="31" t="n">
        <v>42897.125</v>
      </c>
      <c r="B3869" s="32" t="n">
        <v>54.012</v>
      </c>
      <c r="D3869" s="33" t="n">
        <f aca="false">WEEKDAY(A3869,2)</f>
        <v>7</v>
      </c>
      <c r="E3869" s="33" t="n">
        <f aca="false">HOUR(A3869)+MINUTE(A3869)/60</f>
        <v>3</v>
      </c>
      <c r="F3869" s="33" t="n">
        <f aca="false">IF(OR(D3869&gt;5,E3869&lt;8,E3869&gt;=18,COUNTIF($K$2:$K$10,INT(A3869))&gt;0),1,0)</f>
        <v>1</v>
      </c>
      <c r="G3869" s="34" t="n">
        <f aca="false">B3869/1</f>
        <v>54.012</v>
      </c>
      <c r="H3869" s="34" t="n">
        <f aca="false">IF(F3869=1,G3869,"")</f>
        <v>54.012</v>
      </c>
    </row>
    <row r="3870" customFormat="false" ht="15" hidden="false" customHeight="false" outlineLevel="0" collapsed="false">
      <c r="A3870" s="31" t="n">
        <v>42897.1666666667</v>
      </c>
      <c r="B3870" s="32" t="n">
        <v>53.833</v>
      </c>
      <c r="D3870" s="33" t="n">
        <f aca="false">WEEKDAY(A3870,2)</f>
        <v>7</v>
      </c>
      <c r="E3870" s="33" t="n">
        <f aca="false">HOUR(A3870)+MINUTE(A3870)/60</f>
        <v>4</v>
      </c>
      <c r="F3870" s="33" t="n">
        <f aca="false">IF(OR(D3870&gt;5,E3870&lt;8,E3870&gt;=18,COUNTIF($K$2:$K$10,INT(A3870))&gt;0),1,0)</f>
        <v>1</v>
      </c>
      <c r="G3870" s="34" t="n">
        <f aca="false">B3870/1</f>
        <v>53.833</v>
      </c>
      <c r="H3870" s="34" t="n">
        <f aca="false">IF(F3870=1,G3870,"")</f>
        <v>53.833</v>
      </c>
    </row>
    <row r="3871" customFormat="false" ht="15" hidden="false" customHeight="false" outlineLevel="0" collapsed="false">
      <c r="A3871" s="31" t="n">
        <v>42897.2083333333</v>
      </c>
      <c r="B3871" s="32" t="n">
        <v>54.068</v>
      </c>
      <c r="D3871" s="33" t="n">
        <f aca="false">WEEKDAY(A3871,2)</f>
        <v>7</v>
      </c>
      <c r="E3871" s="33" t="n">
        <f aca="false">HOUR(A3871)+MINUTE(A3871)/60</f>
        <v>5</v>
      </c>
      <c r="F3871" s="33" t="n">
        <f aca="false">IF(OR(D3871&gt;5,E3871&lt;8,E3871&gt;=18,COUNTIF($K$2:$K$10,INT(A3871))&gt;0),1,0)</f>
        <v>1</v>
      </c>
      <c r="G3871" s="34" t="n">
        <f aca="false">B3871/1</f>
        <v>54.068</v>
      </c>
      <c r="H3871" s="34" t="n">
        <f aca="false">IF(F3871=1,G3871,"")</f>
        <v>54.068</v>
      </c>
    </row>
    <row r="3872" customFormat="false" ht="15" hidden="false" customHeight="false" outlineLevel="0" collapsed="false">
      <c r="A3872" s="31" t="n">
        <v>42897.25</v>
      </c>
      <c r="B3872" s="32" t="n">
        <v>53.288</v>
      </c>
      <c r="D3872" s="33" t="n">
        <f aca="false">WEEKDAY(A3872,2)</f>
        <v>7</v>
      </c>
      <c r="E3872" s="33" t="n">
        <f aca="false">HOUR(A3872)+MINUTE(A3872)/60</f>
        <v>6</v>
      </c>
      <c r="F3872" s="33" t="n">
        <f aca="false">IF(OR(D3872&gt;5,E3872&lt;8,E3872&gt;=18,COUNTIF($K$2:$K$10,INT(A3872))&gt;0),1,0)</f>
        <v>1</v>
      </c>
      <c r="G3872" s="34" t="n">
        <f aca="false">B3872/1</f>
        <v>53.288</v>
      </c>
      <c r="H3872" s="34" t="n">
        <f aca="false">IF(F3872=1,G3872,"")</f>
        <v>53.288</v>
      </c>
    </row>
    <row r="3873" customFormat="false" ht="15" hidden="false" customHeight="false" outlineLevel="0" collapsed="false">
      <c r="A3873" s="31" t="n">
        <v>42897.2916666667</v>
      </c>
      <c r="B3873" s="32" t="n">
        <v>51.109</v>
      </c>
      <c r="D3873" s="33" t="n">
        <f aca="false">WEEKDAY(A3873,2)</f>
        <v>7</v>
      </c>
      <c r="E3873" s="33" t="n">
        <f aca="false">HOUR(A3873)+MINUTE(A3873)/60</f>
        <v>7</v>
      </c>
      <c r="F3873" s="33" t="n">
        <f aca="false">IF(OR(D3873&gt;5,E3873&lt;8,E3873&gt;=18,COUNTIF($K$2:$K$10,INT(A3873))&gt;0),1,0)</f>
        <v>1</v>
      </c>
      <c r="G3873" s="34" t="n">
        <f aca="false">B3873/1</f>
        <v>51.109</v>
      </c>
      <c r="H3873" s="34" t="n">
        <f aca="false">IF(F3873=1,G3873,"")</f>
        <v>51.109</v>
      </c>
    </row>
    <row r="3874" customFormat="false" ht="15" hidden="false" customHeight="false" outlineLevel="0" collapsed="false">
      <c r="A3874" s="31" t="n">
        <v>42897.3333333333</v>
      </c>
      <c r="B3874" s="32" t="n">
        <v>51.105</v>
      </c>
      <c r="D3874" s="33" t="n">
        <f aca="false">WEEKDAY(A3874,2)</f>
        <v>7</v>
      </c>
      <c r="E3874" s="33" t="n">
        <f aca="false">HOUR(A3874)+MINUTE(A3874)/60</f>
        <v>8</v>
      </c>
      <c r="F3874" s="33" t="n">
        <f aca="false">IF(OR(D3874&gt;5,E3874&lt;8,E3874&gt;=18,COUNTIF($K$2:$K$10,INT(A3874))&gt;0),1,0)</f>
        <v>1</v>
      </c>
      <c r="G3874" s="34" t="n">
        <f aca="false">B3874/1</f>
        <v>51.105</v>
      </c>
      <c r="H3874" s="34" t="n">
        <f aca="false">IF(F3874=1,G3874,"")</f>
        <v>51.105</v>
      </c>
    </row>
    <row r="3875" customFormat="false" ht="15" hidden="false" customHeight="false" outlineLevel="0" collapsed="false">
      <c r="A3875" s="31" t="n">
        <v>42897.375</v>
      </c>
      <c r="B3875" s="32" t="n">
        <v>53.239</v>
      </c>
      <c r="D3875" s="33" t="n">
        <f aca="false">WEEKDAY(A3875,2)</f>
        <v>7</v>
      </c>
      <c r="E3875" s="33" t="n">
        <f aca="false">HOUR(A3875)+MINUTE(A3875)/60</f>
        <v>9</v>
      </c>
      <c r="F3875" s="33" t="n">
        <f aca="false">IF(OR(D3875&gt;5,E3875&lt;8,E3875&gt;=18,COUNTIF($K$2:$K$10,INT(A3875))&gt;0),1,0)</f>
        <v>1</v>
      </c>
      <c r="G3875" s="34" t="n">
        <f aca="false">B3875/1</f>
        <v>53.239</v>
      </c>
      <c r="H3875" s="34" t="n">
        <f aca="false">IF(F3875=1,G3875,"")</f>
        <v>53.239</v>
      </c>
    </row>
    <row r="3876" customFormat="false" ht="15" hidden="false" customHeight="false" outlineLevel="0" collapsed="false">
      <c r="A3876" s="31" t="n">
        <v>42897.4166666667</v>
      </c>
      <c r="B3876" s="32" t="n">
        <v>54.385</v>
      </c>
      <c r="D3876" s="33" t="n">
        <f aca="false">WEEKDAY(A3876,2)</f>
        <v>7</v>
      </c>
      <c r="E3876" s="33" t="n">
        <f aca="false">HOUR(A3876)+MINUTE(A3876)/60</f>
        <v>10</v>
      </c>
      <c r="F3876" s="33" t="n">
        <f aca="false">IF(OR(D3876&gt;5,E3876&lt;8,E3876&gt;=18,COUNTIF($K$2:$K$10,INT(A3876))&gt;0),1,0)</f>
        <v>1</v>
      </c>
      <c r="G3876" s="34" t="n">
        <f aca="false">B3876/1</f>
        <v>54.385</v>
      </c>
      <c r="H3876" s="34" t="n">
        <f aca="false">IF(F3876=1,G3876,"")</f>
        <v>54.385</v>
      </c>
    </row>
    <row r="3877" customFormat="false" ht="15" hidden="false" customHeight="false" outlineLevel="0" collapsed="false">
      <c r="A3877" s="31" t="n">
        <v>42897.4583333333</v>
      </c>
      <c r="B3877" s="32" t="n">
        <v>54.408</v>
      </c>
      <c r="D3877" s="33" t="n">
        <f aca="false">WEEKDAY(A3877,2)</f>
        <v>7</v>
      </c>
      <c r="E3877" s="33" t="n">
        <f aca="false">HOUR(A3877)+MINUTE(A3877)/60</f>
        <v>11</v>
      </c>
      <c r="F3877" s="33" t="n">
        <f aca="false">IF(OR(D3877&gt;5,E3877&lt;8,E3877&gt;=18,COUNTIF($K$2:$K$10,INT(A3877))&gt;0),1,0)</f>
        <v>1</v>
      </c>
      <c r="G3877" s="34" t="n">
        <f aca="false">B3877/1</f>
        <v>54.408</v>
      </c>
      <c r="H3877" s="34" t="n">
        <f aca="false">IF(F3877=1,G3877,"")</f>
        <v>54.408</v>
      </c>
    </row>
    <row r="3878" customFormat="false" ht="15" hidden="false" customHeight="false" outlineLevel="0" collapsed="false">
      <c r="A3878" s="31" t="n">
        <v>42897.5</v>
      </c>
      <c r="B3878" s="32" t="n">
        <v>53.818</v>
      </c>
      <c r="D3878" s="33" t="n">
        <f aca="false">WEEKDAY(A3878,2)</f>
        <v>7</v>
      </c>
      <c r="E3878" s="33" t="n">
        <f aca="false">HOUR(A3878)+MINUTE(A3878)/60</f>
        <v>12</v>
      </c>
      <c r="F3878" s="33" t="n">
        <f aca="false">IF(OR(D3878&gt;5,E3878&lt;8,E3878&gt;=18,COUNTIF($K$2:$K$10,INT(A3878))&gt;0),1,0)</f>
        <v>1</v>
      </c>
      <c r="G3878" s="34" t="n">
        <f aca="false">B3878/1</f>
        <v>53.818</v>
      </c>
      <c r="H3878" s="34" t="n">
        <f aca="false">IF(F3878=1,G3878,"")</f>
        <v>53.818</v>
      </c>
    </row>
    <row r="3879" customFormat="false" ht="15" hidden="false" customHeight="false" outlineLevel="0" collapsed="false">
      <c r="A3879" s="31" t="n">
        <v>42897.5416666667</v>
      </c>
      <c r="B3879" s="32" t="n">
        <v>115.91</v>
      </c>
      <c r="D3879" s="33" t="n">
        <f aca="false">WEEKDAY(A3879,2)</f>
        <v>7</v>
      </c>
      <c r="E3879" s="33" t="n">
        <f aca="false">HOUR(A3879)+MINUTE(A3879)/60</f>
        <v>13</v>
      </c>
      <c r="F3879" s="33" t="n">
        <f aca="false">IF(OR(D3879&gt;5,E3879&lt;8,E3879&gt;=18,COUNTIF($K$2:$K$10,INT(A3879))&gt;0),1,0)</f>
        <v>1</v>
      </c>
      <c r="G3879" s="34" t="n">
        <f aca="false">B3879/1</f>
        <v>115.91</v>
      </c>
      <c r="H3879" s="34" t="n">
        <f aca="false">IF(F3879=1,G3879,"")</f>
        <v>115.91</v>
      </c>
    </row>
    <row r="3880" customFormat="false" ht="15" hidden="false" customHeight="false" outlineLevel="0" collapsed="false">
      <c r="A3880" s="31" t="n">
        <v>42897.5833333333</v>
      </c>
      <c r="B3880" s="32" t="n">
        <v>137.769</v>
      </c>
      <c r="D3880" s="33" t="n">
        <f aca="false">WEEKDAY(A3880,2)</f>
        <v>7</v>
      </c>
      <c r="E3880" s="33" t="n">
        <f aca="false">HOUR(A3880)+MINUTE(A3880)/60</f>
        <v>14</v>
      </c>
      <c r="F3880" s="33" t="n">
        <f aca="false">IF(OR(D3880&gt;5,E3880&lt;8,E3880&gt;=18,COUNTIF($K$2:$K$10,INT(A3880))&gt;0),1,0)</f>
        <v>1</v>
      </c>
      <c r="G3880" s="34" t="n">
        <f aca="false">B3880/1</f>
        <v>137.769</v>
      </c>
      <c r="H3880" s="34" t="n">
        <f aca="false">IF(F3880=1,G3880,"")</f>
        <v>137.769</v>
      </c>
    </row>
    <row r="3881" customFormat="false" ht="15" hidden="false" customHeight="false" outlineLevel="0" collapsed="false">
      <c r="A3881" s="31" t="n">
        <v>42897.625</v>
      </c>
      <c r="B3881" s="32" t="n">
        <v>133.951</v>
      </c>
      <c r="D3881" s="33" t="n">
        <f aca="false">WEEKDAY(A3881,2)</f>
        <v>7</v>
      </c>
      <c r="E3881" s="33" t="n">
        <f aca="false">HOUR(A3881)+MINUTE(A3881)/60</f>
        <v>15</v>
      </c>
      <c r="F3881" s="33" t="n">
        <f aca="false">IF(OR(D3881&gt;5,E3881&lt;8,E3881&gt;=18,COUNTIF($K$2:$K$10,INT(A3881))&gt;0),1,0)</f>
        <v>1</v>
      </c>
      <c r="G3881" s="34" t="n">
        <f aca="false">B3881/1</f>
        <v>133.951</v>
      </c>
      <c r="H3881" s="34" t="n">
        <f aca="false">IF(F3881=1,G3881,"")</f>
        <v>133.951</v>
      </c>
    </row>
    <row r="3882" customFormat="false" ht="15" hidden="false" customHeight="false" outlineLevel="0" collapsed="false">
      <c r="A3882" s="31" t="n">
        <v>42897.6666666667</v>
      </c>
      <c r="B3882" s="32" t="n">
        <v>132.519</v>
      </c>
      <c r="D3882" s="33" t="n">
        <f aca="false">WEEKDAY(A3882,2)</f>
        <v>7</v>
      </c>
      <c r="E3882" s="33" t="n">
        <f aca="false">HOUR(A3882)+MINUTE(A3882)/60</f>
        <v>16</v>
      </c>
      <c r="F3882" s="33" t="n">
        <f aca="false">IF(OR(D3882&gt;5,E3882&lt;8,E3882&gt;=18,COUNTIF($K$2:$K$10,INT(A3882))&gt;0),1,0)</f>
        <v>1</v>
      </c>
      <c r="G3882" s="34" t="n">
        <f aca="false">B3882/1</f>
        <v>132.519</v>
      </c>
      <c r="H3882" s="34" t="n">
        <f aca="false">IF(F3882=1,G3882,"")</f>
        <v>132.519</v>
      </c>
    </row>
    <row r="3883" customFormat="false" ht="15" hidden="false" customHeight="false" outlineLevel="0" collapsed="false">
      <c r="A3883" s="31" t="n">
        <v>42897.7083333333</v>
      </c>
      <c r="B3883" s="32" t="n">
        <v>131.176</v>
      </c>
      <c r="D3883" s="33" t="n">
        <f aca="false">WEEKDAY(A3883,2)</f>
        <v>7</v>
      </c>
      <c r="E3883" s="33" t="n">
        <f aca="false">HOUR(A3883)+MINUTE(A3883)/60</f>
        <v>17</v>
      </c>
      <c r="F3883" s="33" t="n">
        <f aca="false">IF(OR(D3883&gt;5,E3883&lt;8,E3883&gt;=18,COUNTIF($K$2:$K$10,INT(A3883))&gt;0),1,0)</f>
        <v>1</v>
      </c>
      <c r="G3883" s="34" t="n">
        <f aca="false">B3883/1</f>
        <v>131.176</v>
      </c>
      <c r="H3883" s="34" t="n">
        <f aca="false">IF(F3883=1,G3883,"")</f>
        <v>131.176</v>
      </c>
    </row>
    <row r="3884" customFormat="false" ht="15" hidden="false" customHeight="false" outlineLevel="0" collapsed="false">
      <c r="A3884" s="31" t="n">
        <v>42897.75</v>
      </c>
      <c r="B3884" s="32" t="n">
        <v>140.741</v>
      </c>
      <c r="D3884" s="33" t="n">
        <f aca="false">WEEKDAY(A3884,2)</f>
        <v>7</v>
      </c>
      <c r="E3884" s="33" t="n">
        <f aca="false">HOUR(A3884)+MINUTE(A3884)/60</f>
        <v>18</v>
      </c>
      <c r="F3884" s="33" t="n">
        <f aca="false">IF(OR(D3884&gt;5,E3884&lt;8,E3884&gt;=18,COUNTIF($K$2:$K$10,INT(A3884))&gt;0),1,0)</f>
        <v>1</v>
      </c>
      <c r="G3884" s="34" t="n">
        <f aca="false">B3884/1</f>
        <v>140.741</v>
      </c>
      <c r="H3884" s="34" t="n">
        <f aca="false">IF(F3884=1,G3884,"")</f>
        <v>140.741</v>
      </c>
    </row>
    <row r="3885" customFormat="false" ht="15" hidden="false" customHeight="false" outlineLevel="0" collapsed="false">
      <c r="A3885" s="31" t="n">
        <v>42897.7916666667</v>
      </c>
      <c r="B3885" s="32" t="n">
        <v>163.346</v>
      </c>
      <c r="D3885" s="33" t="n">
        <f aca="false">WEEKDAY(A3885,2)</f>
        <v>7</v>
      </c>
      <c r="E3885" s="33" t="n">
        <f aca="false">HOUR(A3885)+MINUTE(A3885)/60</f>
        <v>19</v>
      </c>
      <c r="F3885" s="33" t="n">
        <f aca="false">IF(OR(D3885&gt;5,E3885&lt;8,E3885&gt;=18,COUNTIF($K$2:$K$10,INT(A3885))&gt;0),1,0)</f>
        <v>1</v>
      </c>
      <c r="G3885" s="34" t="n">
        <f aca="false">B3885/1</f>
        <v>163.346</v>
      </c>
      <c r="H3885" s="34" t="n">
        <f aca="false">IF(F3885=1,G3885,"")</f>
        <v>163.346</v>
      </c>
    </row>
    <row r="3886" customFormat="false" ht="15" hidden="false" customHeight="false" outlineLevel="0" collapsed="false">
      <c r="A3886" s="31" t="n">
        <v>42897.8333333333</v>
      </c>
      <c r="B3886" s="32" t="n">
        <v>163.096</v>
      </c>
      <c r="D3886" s="33" t="n">
        <f aca="false">WEEKDAY(A3886,2)</f>
        <v>7</v>
      </c>
      <c r="E3886" s="33" t="n">
        <f aca="false">HOUR(A3886)+MINUTE(A3886)/60</f>
        <v>20</v>
      </c>
      <c r="F3886" s="33" t="n">
        <f aca="false">IF(OR(D3886&gt;5,E3886&lt;8,E3886&gt;=18,COUNTIF($K$2:$K$10,INT(A3886))&gt;0),1,0)</f>
        <v>1</v>
      </c>
      <c r="G3886" s="34" t="n">
        <f aca="false">B3886/1</f>
        <v>163.096</v>
      </c>
      <c r="H3886" s="34" t="n">
        <f aca="false">IF(F3886=1,G3886,"")</f>
        <v>163.096</v>
      </c>
    </row>
    <row r="3887" customFormat="false" ht="15" hidden="false" customHeight="false" outlineLevel="0" collapsed="false">
      <c r="A3887" s="31" t="n">
        <v>42897.875</v>
      </c>
      <c r="B3887" s="32" t="n">
        <v>85.554</v>
      </c>
      <c r="D3887" s="33" t="n">
        <f aca="false">WEEKDAY(A3887,2)</f>
        <v>7</v>
      </c>
      <c r="E3887" s="33" t="n">
        <f aca="false">HOUR(A3887)+MINUTE(A3887)/60</f>
        <v>21</v>
      </c>
      <c r="F3887" s="33" t="n">
        <f aca="false">IF(OR(D3887&gt;5,E3887&lt;8,E3887&gt;=18,COUNTIF($K$2:$K$10,INT(A3887))&gt;0),1,0)</f>
        <v>1</v>
      </c>
      <c r="G3887" s="34" t="n">
        <f aca="false">B3887/1</f>
        <v>85.554</v>
      </c>
      <c r="H3887" s="34" t="n">
        <f aca="false">IF(F3887=1,G3887,"")</f>
        <v>85.554</v>
      </c>
    </row>
    <row r="3888" customFormat="false" ht="15" hidden="false" customHeight="false" outlineLevel="0" collapsed="false">
      <c r="A3888" s="31" t="n">
        <v>42897.9166666667</v>
      </c>
      <c r="B3888" s="32" t="n">
        <v>54.381</v>
      </c>
      <c r="D3888" s="33" t="n">
        <f aca="false">WEEKDAY(A3888,2)</f>
        <v>7</v>
      </c>
      <c r="E3888" s="33" t="n">
        <f aca="false">HOUR(A3888)+MINUTE(A3888)/60</f>
        <v>22</v>
      </c>
      <c r="F3888" s="33" t="n">
        <f aca="false">IF(OR(D3888&gt;5,E3888&lt;8,E3888&gt;=18,COUNTIF($K$2:$K$10,INT(A3888))&gt;0),1,0)</f>
        <v>1</v>
      </c>
      <c r="G3888" s="34" t="n">
        <f aca="false">B3888/1</f>
        <v>54.381</v>
      </c>
      <c r="H3888" s="34" t="n">
        <f aca="false">IF(F3888=1,G3888,"")</f>
        <v>54.381</v>
      </c>
    </row>
    <row r="3889" customFormat="false" ht="15" hidden="false" customHeight="false" outlineLevel="0" collapsed="false">
      <c r="A3889" s="31" t="n">
        <v>42897.9583333333</v>
      </c>
      <c r="B3889" s="32" t="n">
        <v>54.482</v>
      </c>
      <c r="D3889" s="33" t="n">
        <f aca="false">WEEKDAY(A3889,2)</f>
        <v>7</v>
      </c>
      <c r="E3889" s="33" t="n">
        <f aca="false">HOUR(A3889)+MINUTE(A3889)/60</f>
        <v>23</v>
      </c>
      <c r="F3889" s="33" t="n">
        <f aca="false">IF(OR(D3889&gt;5,E3889&lt;8,E3889&gt;=18,COUNTIF($K$2:$K$10,INT(A3889))&gt;0),1,0)</f>
        <v>1</v>
      </c>
      <c r="G3889" s="34" t="n">
        <f aca="false">B3889/1</f>
        <v>54.482</v>
      </c>
      <c r="H3889" s="34" t="n">
        <f aca="false">IF(F3889=1,G3889,"")</f>
        <v>54.482</v>
      </c>
    </row>
    <row r="3890" customFormat="false" ht="15" hidden="false" customHeight="false" outlineLevel="0" collapsed="false">
      <c r="A3890" s="31" t="n">
        <v>42898</v>
      </c>
      <c r="B3890" s="32" t="n">
        <v>54.198</v>
      </c>
      <c r="D3890" s="33" t="n">
        <f aca="false">WEEKDAY(A3890,2)</f>
        <v>1</v>
      </c>
      <c r="E3890" s="33" t="n">
        <f aca="false">HOUR(A3890)+MINUTE(A3890)/60</f>
        <v>0</v>
      </c>
      <c r="F3890" s="33" t="n">
        <f aca="false">IF(OR(D3890&gt;5,E3890&lt;8,E3890&gt;=18,COUNTIF($K$2:$K$10,INT(A3890))&gt;0),1,0)</f>
        <v>1</v>
      </c>
      <c r="G3890" s="34" t="n">
        <f aca="false">B3890/1</f>
        <v>54.198</v>
      </c>
      <c r="H3890" s="34" t="n">
        <f aca="false">IF(F3890=1,G3890,"")</f>
        <v>54.198</v>
      </c>
    </row>
    <row r="3891" customFormat="false" ht="15" hidden="false" customHeight="false" outlineLevel="0" collapsed="false">
      <c r="A3891" s="31" t="n">
        <v>42898.0416666667</v>
      </c>
      <c r="B3891" s="32" t="n">
        <v>54.988</v>
      </c>
      <c r="D3891" s="33" t="n">
        <f aca="false">WEEKDAY(A3891,2)</f>
        <v>1</v>
      </c>
      <c r="E3891" s="33" t="n">
        <f aca="false">HOUR(A3891)+MINUTE(A3891)/60</f>
        <v>1</v>
      </c>
      <c r="F3891" s="33" t="n">
        <f aca="false">IF(OR(D3891&gt;5,E3891&lt;8,E3891&gt;=18,COUNTIF($K$2:$K$10,INT(A3891))&gt;0),1,0)</f>
        <v>1</v>
      </c>
      <c r="G3891" s="34" t="n">
        <f aca="false">B3891/1</f>
        <v>54.988</v>
      </c>
      <c r="H3891" s="34" t="n">
        <f aca="false">IF(F3891=1,G3891,"")</f>
        <v>54.988</v>
      </c>
    </row>
    <row r="3892" customFormat="false" ht="15" hidden="false" customHeight="false" outlineLevel="0" collapsed="false">
      <c r="A3892" s="31" t="n">
        <v>42898.0833333333</v>
      </c>
      <c r="B3892" s="32" t="n">
        <v>54.844</v>
      </c>
      <c r="D3892" s="33" t="n">
        <f aca="false">WEEKDAY(A3892,2)</f>
        <v>1</v>
      </c>
      <c r="E3892" s="33" t="n">
        <f aca="false">HOUR(A3892)+MINUTE(A3892)/60</f>
        <v>2</v>
      </c>
      <c r="F3892" s="33" t="n">
        <f aca="false">IF(OR(D3892&gt;5,E3892&lt;8,E3892&gt;=18,COUNTIF($K$2:$K$10,INT(A3892))&gt;0),1,0)</f>
        <v>1</v>
      </c>
      <c r="G3892" s="34" t="n">
        <f aca="false">B3892/1</f>
        <v>54.844</v>
      </c>
      <c r="H3892" s="34" t="n">
        <f aca="false">IF(F3892=1,G3892,"")</f>
        <v>54.844</v>
      </c>
    </row>
    <row r="3893" customFormat="false" ht="15" hidden="false" customHeight="false" outlineLevel="0" collapsed="false">
      <c r="A3893" s="31" t="n">
        <v>42898.125</v>
      </c>
      <c r="B3893" s="32" t="n">
        <v>55.21</v>
      </c>
      <c r="D3893" s="33" t="n">
        <f aca="false">WEEKDAY(A3893,2)</f>
        <v>1</v>
      </c>
      <c r="E3893" s="33" t="n">
        <f aca="false">HOUR(A3893)+MINUTE(A3893)/60</f>
        <v>3</v>
      </c>
      <c r="F3893" s="33" t="n">
        <f aca="false">IF(OR(D3893&gt;5,E3893&lt;8,E3893&gt;=18,COUNTIF($K$2:$K$10,INT(A3893))&gt;0),1,0)</f>
        <v>1</v>
      </c>
      <c r="G3893" s="34" t="n">
        <f aca="false">B3893/1</f>
        <v>55.21</v>
      </c>
      <c r="H3893" s="34" t="n">
        <f aca="false">IF(F3893=1,G3893,"")</f>
        <v>55.21</v>
      </c>
    </row>
    <row r="3894" customFormat="false" ht="15" hidden="false" customHeight="false" outlineLevel="0" collapsed="false">
      <c r="A3894" s="31" t="n">
        <v>42898.1666666667</v>
      </c>
      <c r="B3894" s="32" t="n">
        <v>55.489</v>
      </c>
      <c r="D3894" s="33" t="n">
        <f aca="false">WEEKDAY(A3894,2)</f>
        <v>1</v>
      </c>
      <c r="E3894" s="33" t="n">
        <f aca="false">HOUR(A3894)+MINUTE(A3894)/60</f>
        <v>4</v>
      </c>
      <c r="F3894" s="33" t="n">
        <f aca="false">IF(OR(D3894&gt;5,E3894&lt;8,E3894&gt;=18,COUNTIF($K$2:$K$10,INT(A3894))&gt;0),1,0)</f>
        <v>1</v>
      </c>
      <c r="G3894" s="34" t="n">
        <f aca="false">B3894/1</f>
        <v>55.489</v>
      </c>
      <c r="H3894" s="34" t="n">
        <f aca="false">IF(F3894=1,G3894,"")</f>
        <v>55.489</v>
      </c>
    </row>
    <row r="3895" customFormat="false" ht="15" hidden="false" customHeight="false" outlineLevel="0" collapsed="false">
      <c r="A3895" s="31" t="n">
        <v>42898.2083333333</v>
      </c>
      <c r="B3895" s="32" t="n">
        <v>55.181</v>
      </c>
      <c r="D3895" s="33" t="n">
        <f aca="false">WEEKDAY(A3895,2)</f>
        <v>1</v>
      </c>
      <c r="E3895" s="33" t="n">
        <f aca="false">HOUR(A3895)+MINUTE(A3895)/60</f>
        <v>5</v>
      </c>
      <c r="F3895" s="33" t="n">
        <f aca="false">IF(OR(D3895&gt;5,E3895&lt;8,E3895&gt;=18,COUNTIF($K$2:$K$10,INT(A3895))&gt;0),1,0)</f>
        <v>1</v>
      </c>
      <c r="G3895" s="34" t="n">
        <f aca="false">B3895/1</f>
        <v>55.181</v>
      </c>
      <c r="H3895" s="34" t="n">
        <f aca="false">IF(F3895=1,G3895,"")</f>
        <v>55.181</v>
      </c>
    </row>
    <row r="3896" customFormat="false" ht="15" hidden="false" customHeight="false" outlineLevel="0" collapsed="false">
      <c r="A3896" s="31" t="n">
        <v>42898.25</v>
      </c>
      <c r="B3896" s="32" t="n">
        <v>55.927</v>
      </c>
      <c r="D3896" s="33" t="n">
        <f aca="false">WEEKDAY(A3896,2)</f>
        <v>1</v>
      </c>
      <c r="E3896" s="33" t="n">
        <f aca="false">HOUR(A3896)+MINUTE(A3896)/60</f>
        <v>6</v>
      </c>
      <c r="F3896" s="33" t="n">
        <f aca="false">IF(OR(D3896&gt;5,E3896&lt;8,E3896&gt;=18,COUNTIF($K$2:$K$10,INT(A3896))&gt;0),1,0)</f>
        <v>1</v>
      </c>
      <c r="G3896" s="34" t="n">
        <f aca="false">B3896/1</f>
        <v>55.927</v>
      </c>
      <c r="H3896" s="34" t="n">
        <f aca="false">IF(F3896=1,G3896,"")</f>
        <v>55.927</v>
      </c>
    </row>
    <row r="3897" customFormat="false" ht="15" hidden="false" customHeight="false" outlineLevel="0" collapsed="false">
      <c r="A3897" s="31" t="n">
        <v>42898.2916666667</v>
      </c>
      <c r="B3897" s="32" t="n">
        <v>89.241</v>
      </c>
      <c r="D3897" s="33" t="n">
        <f aca="false">WEEKDAY(A3897,2)</f>
        <v>1</v>
      </c>
      <c r="E3897" s="33" t="n">
        <f aca="false">HOUR(A3897)+MINUTE(A3897)/60</f>
        <v>7</v>
      </c>
      <c r="F3897" s="33" t="n">
        <f aca="false">IF(OR(D3897&gt;5,E3897&lt;8,E3897&gt;=18,COUNTIF($K$2:$K$10,INT(A3897))&gt;0),1,0)</f>
        <v>1</v>
      </c>
      <c r="G3897" s="34" t="n">
        <f aca="false">B3897/1</f>
        <v>89.241</v>
      </c>
      <c r="H3897" s="34" t="n">
        <f aca="false">IF(F3897=1,G3897,"")</f>
        <v>89.241</v>
      </c>
    </row>
    <row r="3898" customFormat="false" ht="15" hidden="false" customHeight="false" outlineLevel="0" collapsed="false">
      <c r="A3898" s="31" t="n">
        <v>42898.3333333333</v>
      </c>
      <c r="B3898" s="32" t="n">
        <v>173.136</v>
      </c>
      <c r="D3898" s="33" t="n">
        <f aca="false">WEEKDAY(A3898,2)</f>
        <v>1</v>
      </c>
      <c r="E3898" s="33" t="n">
        <f aca="false">HOUR(A3898)+MINUTE(A3898)/60</f>
        <v>8</v>
      </c>
      <c r="F3898" s="33" t="n">
        <f aca="false">IF(OR(D3898&gt;5,E3898&lt;8,E3898&gt;=18,COUNTIF($K$2:$K$10,INT(A3898))&gt;0),1,0)</f>
        <v>0</v>
      </c>
      <c r="G3898" s="34" t="n">
        <f aca="false">B3898/1</f>
        <v>173.136</v>
      </c>
      <c r="H3898" s="34" t="str">
        <f aca="false">IF(F3898=1,G3898,"")</f>
        <v/>
      </c>
    </row>
    <row r="3899" customFormat="false" ht="15" hidden="false" customHeight="false" outlineLevel="0" collapsed="false">
      <c r="A3899" s="31" t="n">
        <v>42898.375</v>
      </c>
      <c r="B3899" s="32" t="n">
        <v>192.862</v>
      </c>
      <c r="D3899" s="33" t="n">
        <f aca="false">WEEKDAY(A3899,2)</f>
        <v>1</v>
      </c>
      <c r="E3899" s="33" t="n">
        <f aca="false">HOUR(A3899)+MINUTE(A3899)/60</f>
        <v>9</v>
      </c>
      <c r="F3899" s="33" t="n">
        <f aca="false">IF(OR(D3899&gt;5,E3899&lt;8,E3899&gt;=18,COUNTIF($K$2:$K$10,INT(A3899))&gt;0),1,0)</f>
        <v>0</v>
      </c>
      <c r="G3899" s="34" t="n">
        <f aca="false">B3899/1</f>
        <v>192.862</v>
      </c>
      <c r="H3899" s="34" t="str">
        <f aca="false">IF(F3899=1,G3899,"")</f>
        <v/>
      </c>
    </row>
    <row r="3900" customFormat="false" ht="15" hidden="false" customHeight="false" outlineLevel="0" collapsed="false">
      <c r="A3900" s="31" t="n">
        <v>42898.4166666667</v>
      </c>
      <c r="B3900" s="32" t="n">
        <v>202.471</v>
      </c>
      <c r="D3900" s="33" t="n">
        <f aca="false">WEEKDAY(A3900,2)</f>
        <v>1</v>
      </c>
      <c r="E3900" s="33" t="n">
        <f aca="false">HOUR(A3900)+MINUTE(A3900)/60</f>
        <v>10</v>
      </c>
      <c r="F3900" s="33" t="n">
        <f aca="false">IF(OR(D3900&gt;5,E3900&lt;8,E3900&gt;=18,COUNTIF($K$2:$K$10,INT(A3900))&gt;0),1,0)</f>
        <v>0</v>
      </c>
      <c r="G3900" s="34" t="n">
        <f aca="false">B3900/1</f>
        <v>202.471</v>
      </c>
      <c r="H3900" s="34" t="str">
        <f aca="false">IF(F3900=1,G3900,"")</f>
        <v/>
      </c>
    </row>
    <row r="3901" customFormat="false" ht="15" hidden="false" customHeight="false" outlineLevel="0" collapsed="false">
      <c r="A3901" s="31" t="n">
        <v>42898.4583333333</v>
      </c>
      <c r="B3901" s="32" t="n">
        <v>210.083</v>
      </c>
      <c r="D3901" s="33" t="n">
        <f aca="false">WEEKDAY(A3901,2)</f>
        <v>1</v>
      </c>
      <c r="E3901" s="33" t="n">
        <f aca="false">HOUR(A3901)+MINUTE(A3901)/60</f>
        <v>11</v>
      </c>
      <c r="F3901" s="33" t="n">
        <f aca="false">IF(OR(D3901&gt;5,E3901&lt;8,E3901&gt;=18,COUNTIF($K$2:$K$10,INT(A3901))&gt;0),1,0)</f>
        <v>0</v>
      </c>
      <c r="G3901" s="34" t="n">
        <f aca="false">B3901/1</f>
        <v>210.083</v>
      </c>
      <c r="H3901" s="34" t="str">
        <f aca="false">IF(F3901=1,G3901,"")</f>
        <v/>
      </c>
    </row>
    <row r="3902" customFormat="false" ht="15" hidden="false" customHeight="false" outlineLevel="0" collapsed="false">
      <c r="A3902" s="31" t="n">
        <v>42898.5</v>
      </c>
      <c r="B3902" s="32" t="n">
        <v>214.077</v>
      </c>
      <c r="D3902" s="33" t="n">
        <f aca="false">WEEKDAY(A3902,2)</f>
        <v>1</v>
      </c>
      <c r="E3902" s="33" t="n">
        <f aca="false">HOUR(A3902)+MINUTE(A3902)/60</f>
        <v>12</v>
      </c>
      <c r="F3902" s="33" t="n">
        <f aca="false">IF(OR(D3902&gt;5,E3902&lt;8,E3902&gt;=18,COUNTIF($K$2:$K$10,INT(A3902))&gt;0),1,0)</f>
        <v>0</v>
      </c>
      <c r="G3902" s="34" t="n">
        <f aca="false">B3902/1</f>
        <v>214.077</v>
      </c>
      <c r="H3902" s="34" t="str">
        <f aca="false">IF(F3902=1,G3902,"")</f>
        <v/>
      </c>
    </row>
    <row r="3903" customFormat="false" ht="15" hidden="false" customHeight="false" outlineLevel="0" collapsed="false">
      <c r="A3903" s="31" t="n">
        <v>42898.5416666667</v>
      </c>
      <c r="B3903" s="32" t="n">
        <v>213.709</v>
      </c>
      <c r="D3903" s="33" t="n">
        <f aca="false">WEEKDAY(A3903,2)</f>
        <v>1</v>
      </c>
      <c r="E3903" s="33" t="n">
        <f aca="false">HOUR(A3903)+MINUTE(A3903)/60</f>
        <v>13</v>
      </c>
      <c r="F3903" s="33" t="n">
        <f aca="false">IF(OR(D3903&gt;5,E3903&lt;8,E3903&gt;=18,COUNTIF($K$2:$K$10,INT(A3903))&gt;0),1,0)</f>
        <v>0</v>
      </c>
      <c r="G3903" s="34" t="n">
        <f aca="false">B3903/1</f>
        <v>213.709</v>
      </c>
      <c r="H3903" s="34" t="str">
        <f aca="false">IF(F3903=1,G3903,"")</f>
        <v/>
      </c>
    </row>
    <row r="3904" customFormat="false" ht="15" hidden="false" customHeight="false" outlineLevel="0" collapsed="false">
      <c r="A3904" s="31" t="n">
        <v>42898.5833333333</v>
      </c>
      <c r="B3904" s="32" t="n">
        <v>210.337</v>
      </c>
      <c r="D3904" s="33" t="n">
        <f aca="false">WEEKDAY(A3904,2)</f>
        <v>1</v>
      </c>
      <c r="E3904" s="33" t="n">
        <f aca="false">HOUR(A3904)+MINUTE(A3904)/60</f>
        <v>14</v>
      </c>
      <c r="F3904" s="33" t="n">
        <f aca="false">IF(OR(D3904&gt;5,E3904&lt;8,E3904&gt;=18,COUNTIF($K$2:$K$10,INT(A3904))&gt;0),1,0)</f>
        <v>0</v>
      </c>
      <c r="G3904" s="34" t="n">
        <f aca="false">B3904/1</f>
        <v>210.337</v>
      </c>
      <c r="H3904" s="34" t="str">
        <f aca="false">IF(F3904=1,G3904,"")</f>
        <v/>
      </c>
    </row>
    <row r="3905" customFormat="false" ht="15" hidden="false" customHeight="false" outlineLevel="0" collapsed="false">
      <c r="A3905" s="31" t="n">
        <v>42898.625</v>
      </c>
      <c r="B3905" s="32" t="n">
        <v>208.347</v>
      </c>
      <c r="D3905" s="33" t="n">
        <f aca="false">WEEKDAY(A3905,2)</f>
        <v>1</v>
      </c>
      <c r="E3905" s="33" t="n">
        <f aca="false">HOUR(A3905)+MINUTE(A3905)/60</f>
        <v>15</v>
      </c>
      <c r="F3905" s="33" t="n">
        <f aca="false">IF(OR(D3905&gt;5,E3905&lt;8,E3905&gt;=18,COUNTIF($K$2:$K$10,INT(A3905))&gt;0),1,0)</f>
        <v>0</v>
      </c>
      <c r="G3905" s="34" t="n">
        <f aca="false">B3905/1</f>
        <v>208.347</v>
      </c>
      <c r="H3905" s="34" t="str">
        <f aca="false">IF(F3905=1,G3905,"")</f>
        <v/>
      </c>
    </row>
    <row r="3906" customFormat="false" ht="15" hidden="false" customHeight="false" outlineLevel="0" collapsed="false">
      <c r="A3906" s="31" t="n">
        <v>42898.6666666667</v>
      </c>
      <c r="B3906" s="32" t="n">
        <v>203.746</v>
      </c>
      <c r="D3906" s="33" t="n">
        <f aca="false">WEEKDAY(A3906,2)</f>
        <v>1</v>
      </c>
      <c r="E3906" s="33" t="n">
        <f aca="false">HOUR(A3906)+MINUTE(A3906)/60</f>
        <v>16</v>
      </c>
      <c r="F3906" s="33" t="n">
        <f aca="false">IF(OR(D3906&gt;5,E3906&lt;8,E3906&gt;=18,COUNTIF($K$2:$K$10,INT(A3906))&gt;0),1,0)</f>
        <v>0</v>
      </c>
      <c r="G3906" s="34" t="n">
        <f aca="false">B3906/1</f>
        <v>203.746</v>
      </c>
      <c r="H3906" s="34" t="str">
        <f aca="false">IF(F3906=1,G3906,"")</f>
        <v/>
      </c>
    </row>
    <row r="3907" customFormat="false" ht="15" hidden="false" customHeight="false" outlineLevel="0" collapsed="false">
      <c r="A3907" s="31" t="n">
        <v>42898.7083333333</v>
      </c>
      <c r="B3907" s="32" t="n">
        <v>196.782</v>
      </c>
      <c r="D3907" s="33" t="n">
        <f aca="false">WEEKDAY(A3907,2)</f>
        <v>1</v>
      </c>
      <c r="E3907" s="33" t="n">
        <f aca="false">HOUR(A3907)+MINUTE(A3907)/60</f>
        <v>17</v>
      </c>
      <c r="F3907" s="33" t="n">
        <f aca="false">IF(OR(D3907&gt;5,E3907&lt;8,E3907&gt;=18,COUNTIF($K$2:$K$10,INT(A3907))&gt;0),1,0)</f>
        <v>0</v>
      </c>
      <c r="G3907" s="34" t="n">
        <f aca="false">B3907/1</f>
        <v>196.782</v>
      </c>
      <c r="H3907" s="34" t="str">
        <f aca="false">IF(F3907=1,G3907,"")</f>
        <v/>
      </c>
    </row>
    <row r="3908" customFormat="false" ht="15" hidden="false" customHeight="false" outlineLevel="0" collapsed="false">
      <c r="A3908" s="31" t="n">
        <v>42898.75</v>
      </c>
      <c r="B3908" s="32" t="n">
        <v>186.584</v>
      </c>
      <c r="D3908" s="33" t="n">
        <f aca="false">WEEKDAY(A3908,2)</f>
        <v>1</v>
      </c>
      <c r="E3908" s="33" t="n">
        <f aca="false">HOUR(A3908)+MINUTE(A3908)/60</f>
        <v>18</v>
      </c>
      <c r="F3908" s="33" t="n">
        <f aca="false">IF(OR(D3908&gt;5,E3908&lt;8,E3908&gt;=18,COUNTIF($K$2:$K$10,INT(A3908))&gt;0),1,0)</f>
        <v>1</v>
      </c>
      <c r="G3908" s="34" t="n">
        <f aca="false">B3908/1</f>
        <v>186.584</v>
      </c>
      <c r="H3908" s="34" t="n">
        <f aca="false">IF(F3908=1,G3908,"")</f>
        <v>186.584</v>
      </c>
    </row>
    <row r="3909" customFormat="false" ht="15" hidden="false" customHeight="false" outlineLevel="0" collapsed="false">
      <c r="A3909" s="31" t="n">
        <v>42898.7916666667</v>
      </c>
      <c r="B3909" s="32" t="n">
        <v>175.008</v>
      </c>
      <c r="D3909" s="33" t="n">
        <f aca="false">WEEKDAY(A3909,2)</f>
        <v>1</v>
      </c>
      <c r="E3909" s="33" t="n">
        <f aca="false">HOUR(A3909)+MINUTE(A3909)/60</f>
        <v>19</v>
      </c>
      <c r="F3909" s="33" t="n">
        <f aca="false">IF(OR(D3909&gt;5,E3909&lt;8,E3909&gt;=18,COUNTIF($K$2:$K$10,INT(A3909))&gt;0),1,0)</f>
        <v>1</v>
      </c>
      <c r="G3909" s="34" t="n">
        <f aca="false">B3909/1</f>
        <v>175.008</v>
      </c>
      <c r="H3909" s="34" t="n">
        <f aca="false">IF(F3909=1,G3909,"")</f>
        <v>175.008</v>
      </c>
    </row>
    <row r="3910" customFormat="false" ht="15" hidden="false" customHeight="false" outlineLevel="0" collapsed="false">
      <c r="A3910" s="31" t="n">
        <v>42898.8333333333</v>
      </c>
      <c r="B3910" s="32" t="n">
        <v>177.155</v>
      </c>
      <c r="D3910" s="33" t="n">
        <f aca="false">WEEKDAY(A3910,2)</f>
        <v>1</v>
      </c>
      <c r="E3910" s="33" t="n">
        <f aca="false">HOUR(A3910)+MINUTE(A3910)/60</f>
        <v>20</v>
      </c>
      <c r="F3910" s="33" t="n">
        <f aca="false">IF(OR(D3910&gt;5,E3910&lt;8,E3910&gt;=18,COUNTIF($K$2:$K$10,INT(A3910))&gt;0),1,0)</f>
        <v>1</v>
      </c>
      <c r="G3910" s="34" t="n">
        <f aca="false">B3910/1</f>
        <v>177.155</v>
      </c>
      <c r="H3910" s="34" t="n">
        <f aca="false">IF(F3910=1,G3910,"")</f>
        <v>177.155</v>
      </c>
    </row>
    <row r="3911" customFormat="false" ht="15" hidden="false" customHeight="false" outlineLevel="0" collapsed="false">
      <c r="A3911" s="31" t="n">
        <v>42898.875</v>
      </c>
      <c r="B3911" s="32" t="n">
        <v>175.122</v>
      </c>
      <c r="D3911" s="33" t="n">
        <f aca="false">WEEKDAY(A3911,2)</f>
        <v>1</v>
      </c>
      <c r="E3911" s="33" t="n">
        <f aca="false">HOUR(A3911)+MINUTE(A3911)/60</f>
        <v>21</v>
      </c>
      <c r="F3911" s="33" t="n">
        <f aca="false">IF(OR(D3911&gt;5,E3911&lt;8,E3911&gt;=18,COUNTIF($K$2:$K$10,INT(A3911))&gt;0),1,0)</f>
        <v>1</v>
      </c>
      <c r="G3911" s="34" t="n">
        <f aca="false">B3911/1</f>
        <v>175.122</v>
      </c>
      <c r="H3911" s="34" t="n">
        <f aca="false">IF(F3911=1,G3911,"")</f>
        <v>175.122</v>
      </c>
    </row>
    <row r="3912" customFormat="false" ht="15" hidden="false" customHeight="false" outlineLevel="0" collapsed="false">
      <c r="A3912" s="31" t="n">
        <v>42898.9166666667</v>
      </c>
      <c r="B3912" s="32" t="n">
        <v>126.573</v>
      </c>
      <c r="D3912" s="33" t="n">
        <f aca="false">WEEKDAY(A3912,2)</f>
        <v>1</v>
      </c>
      <c r="E3912" s="33" t="n">
        <f aca="false">HOUR(A3912)+MINUTE(A3912)/60</f>
        <v>22</v>
      </c>
      <c r="F3912" s="33" t="n">
        <f aca="false">IF(OR(D3912&gt;5,E3912&lt;8,E3912&gt;=18,COUNTIF($K$2:$K$10,INT(A3912))&gt;0),1,0)</f>
        <v>1</v>
      </c>
      <c r="G3912" s="34" t="n">
        <f aca="false">B3912/1</f>
        <v>126.573</v>
      </c>
      <c r="H3912" s="34" t="n">
        <f aca="false">IF(F3912=1,G3912,"")</f>
        <v>126.573</v>
      </c>
    </row>
    <row r="3913" customFormat="false" ht="15" hidden="false" customHeight="false" outlineLevel="0" collapsed="false">
      <c r="A3913" s="31" t="n">
        <v>42898.9583333333</v>
      </c>
      <c r="B3913" s="32" t="n">
        <v>61.681</v>
      </c>
      <c r="D3913" s="33" t="n">
        <f aca="false">WEEKDAY(A3913,2)</f>
        <v>1</v>
      </c>
      <c r="E3913" s="33" t="n">
        <f aca="false">HOUR(A3913)+MINUTE(A3913)/60</f>
        <v>23</v>
      </c>
      <c r="F3913" s="33" t="n">
        <f aca="false">IF(OR(D3913&gt;5,E3913&lt;8,E3913&gt;=18,COUNTIF($K$2:$K$10,INT(A3913))&gt;0),1,0)</f>
        <v>1</v>
      </c>
      <c r="G3913" s="34" t="n">
        <f aca="false">B3913/1</f>
        <v>61.681</v>
      </c>
      <c r="H3913" s="34" t="n">
        <f aca="false">IF(F3913=1,G3913,"")</f>
        <v>61.681</v>
      </c>
    </row>
    <row r="3914" customFormat="false" ht="15" hidden="false" customHeight="false" outlineLevel="0" collapsed="false">
      <c r="A3914" s="31" t="n">
        <v>42899</v>
      </c>
      <c r="B3914" s="32" t="n">
        <v>60.097</v>
      </c>
      <c r="D3914" s="33" t="n">
        <f aca="false">WEEKDAY(A3914,2)</f>
        <v>2</v>
      </c>
      <c r="E3914" s="33" t="n">
        <f aca="false">HOUR(A3914)+MINUTE(A3914)/60</f>
        <v>0</v>
      </c>
      <c r="F3914" s="33" t="n">
        <f aca="false">IF(OR(D3914&gt;5,E3914&lt;8,E3914&gt;=18,COUNTIF($K$2:$K$10,INT(A3914))&gt;0),1,0)</f>
        <v>1</v>
      </c>
      <c r="G3914" s="34" t="n">
        <f aca="false">B3914/1</f>
        <v>60.097</v>
      </c>
      <c r="H3914" s="34" t="n">
        <f aca="false">IF(F3914=1,G3914,"")</f>
        <v>60.097</v>
      </c>
    </row>
    <row r="3915" customFormat="false" ht="15" hidden="false" customHeight="false" outlineLevel="0" collapsed="false">
      <c r="A3915" s="31" t="n">
        <v>42899.0416666667</v>
      </c>
      <c r="B3915" s="32" t="n">
        <v>48.988</v>
      </c>
      <c r="D3915" s="33" t="n">
        <f aca="false">WEEKDAY(A3915,2)</f>
        <v>2</v>
      </c>
      <c r="E3915" s="33" t="n">
        <f aca="false">HOUR(A3915)+MINUTE(A3915)/60</f>
        <v>1</v>
      </c>
      <c r="F3915" s="33" t="n">
        <f aca="false">IF(OR(D3915&gt;5,E3915&lt;8,E3915&gt;=18,COUNTIF($K$2:$K$10,INT(A3915))&gt;0),1,0)</f>
        <v>1</v>
      </c>
      <c r="G3915" s="34" t="n">
        <f aca="false">B3915/1</f>
        <v>48.988</v>
      </c>
      <c r="H3915" s="34" t="n">
        <f aca="false">IF(F3915=1,G3915,"")</f>
        <v>48.988</v>
      </c>
    </row>
    <row r="3916" customFormat="false" ht="15" hidden="false" customHeight="false" outlineLevel="0" collapsed="false">
      <c r="A3916" s="31" t="n">
        <v>42899.0833333333</v>
      </c>
      <c r="B3916" s="32" t="n">
        <v>48.115</v>
      </c>
      <c r="D3916" s="33" t="n">
        <f aca="false">WEEKDAY(A3916,2)</f>
        <v>2</v>
      </c>
      <c r="E3916" s="33" t="n">
        <f aca="false">HOUR(A3916)+MINUTE(A3916)/60</f>
        <v>2</v>
      </c>
      <c r="F3916" s="33" t="n">
        <f aca="false">IF(OR(D3916&gt;5,E3916&lt;8,E3916&gt;=18,COUNTIF($K$2:$K$10,INT(A3916))&gt;0),1,0)</f>
        <v>1</v>
      </c>
      <c r="G3916" s="34" t="n">
        <f aca="false">B3916/1</f>
        <v>48.115</v>
      </c>
      <c r="H3916" s="34" t="n">
        <f aca="false">IF(F3916=1,G3916,"")</f>
        <v>48.115</v>
      </c>
    </row>
    <row r="3917" customFormat="false" ht="15" hidden="false" customHeight="false" outlineLevel="0" collapsed="false">
      <c r="A3917" s="31" t="n">
        <v>42899.125</v>
      </c>
      <c r="B3917" s="32" t="n">
        <v>47.938</v>
      </c>
      <c r="D3917" s="33" t="n">
        <f aca="false">WEEKDAY(A3917,2)</f>
        <v>2</v>
      </c>
      <c r="E3917" s="33" t="n">
        <f aca="false">HOUR(A3917)+MINUTE(A3917)/60</f>
        <v>3</v>
      </c>
      <c r="F3917" s="33" t="n">
        <f aca="false">IF(OR(D3917&gt;5,E3917&lt;8,E3917&gt;=18,COUNTIF($K$2:$K$10,INT(A3917))&gt;0),1,0)</f>
        <v>1</v>
      </c>
      <c r="G3917" s="34" t="n">
        <f aca="false">B3917/1</f>
        <v>47.938</v>
      </c>
      <c r="H3917" s="34" t="n">
        <f aca="false">IF(F3917=1,G3917,"")</f>
        <v>47.938</v>
      </c>
    </row>
    <row r="3918" customFormat="false" ht="15" hidden="false" customHeight="false" outlineLevel="0" collapsed="false">
      <c r="A3918" s="31" t="n">
        <v>42899.1666666667</v>
      </c>
      <c r="B3918" s="32" t="n">
        <v>48.142</v>
      </c>
      <c r="D3918" s="33" t="n">
        <f aca="false">WEEKDAY(A3918,2)</f>
        <v>2</v>
      </c>
      <c r="E3918" s="33" t="n">
        <f aca="false">HOUR(A3918)+MINUTE(A3918)/60</f>
        <v>4</v>
      </c>
      <c r="F3918" s="33" t="n">
        <f aca="false">IF(OR(D3918&gt;5,E3918&lt;8,E3918&gt;=18,COUNTIF($K$2:$K$10,INT(A3918))&gt;0),1,0)</f>
        <v>1</v>
      </c>
      <c r="G3918" s="34" t="n">
        <f aca="false">B3918/1</f>
        <v>48.142</v>
      </c>
      <c r="H3918" s="34" t="n">
        <f aca="false">IF(F3918=1,G3918,"")</f>
        <v>48.142</v>
      </c>
    </row>
    <row r="3919" customFormat="false" ht="15" hidden="false" customHeight="false" outlineLevel="0" collapsed="false">
      <c r="A3919" s="31" t="n">
        <v>42899.2083333333</v>
      </c>
      <c r="B3919" s="32" t="n">
        <v>48.276</v>
      </c>
      <c r="D3919" s="33" t="n">
        <f aca="false">WEEKDAY(A3919,2)</f>
        <v>2</v>
      </c>
      <c r="E3919" s="33" t="n">
        <f aca="false">HOUR(A3919)+MINUTE(A3919)/60</f>
        <v>5</v>
      </c>
      <c r="F3919" s="33" t="n">
        <f aca="false">IF(OR(D3919&gt;5,E3919&lt;8,E3919&gt;=18,COUNTIF($K$2:$K$10,INT(A3919))&gt;0),1,0)</f>
        <v>1</v>
      </c>
      <c r="G3919" s="34" t="n">
        <f aca="false">B3919/1</f>
        <v>48.276</v>
      </c>
      <c r="H3919" s="34" t="n">
        <f aca="false">IF(F3919=1,G3919,"")</f>
        <v>48.276</v>
      </c>
    </row>
    <row r="3920" customFormat="false" ht="15" hidden="false" customHeight="false" outlineLevel="0" collapsed="false">
      <c r="A3920" s="31" t="n">
        <v>42899.25</v>
      </c>
      <c r="B3920" s="32" t="n">
        <v>48.968</v>
      </c>
      <c r="D3920" s="33" t="n">
        <f aca="false">WEEKDAY(A3920,2)</f>
        <v>2</v>
      </c>
      <c r="E3920" s="33" t="n">
        <f aca="false">HOUR(A3920)+MINUTE(A3920)/60</f>
        <v>6</v>
      </c>
      <c r="F3920" s="33" t="n">
        <f aca="false">IF(OR(D3920&gt;5,E3920&lt;8,E3920&gt;=18,COUNTIF($K$2:$K$10,INT(A3920))&gt;0),1,0)</f>
        <v>1</v>
      </c>
      <c r="G3920" s="34" t="n">
        <f aca="false">B3920/1</f>
        <v>48.968</v>
      </c>
      <c r="H3920" s="34" t="n">
        <f aca="false">IF(F3920=1,G3920,"")</f>
        <v>48.968</v>
      </c>
    </row>
    <row r="3921" customFormat="false" ht="15" hidden="false" customHeight="false" outlineLevel="0" collapsed="false">
      <c r="A3921" s="31" t="n">
        <v>42899.2916666667</v>
      </c>
      <c r="B3921" s="32" t="n">
        <v>57.16</v>
      </c>
      <c r="D3921" s="33" t="n">
        <f aca="false">WEEKDAY(A3921,2)</f>
        <v>2</v>
      </c>
      <c r="E3921" s="33" t="n">
        <f aca="false">HOUR(A3921)+MINUTE(A3921)/60</f>
        <v>7</v>
      </c>
      <c r="F3921" s="33" t="n">
        <f aca="false">IF(OR(D3921&gt;5,E3921&lt;8,E3921&gt;=18,COUNTIF($K$2:$K$10,INT(A3921))&gt;0),1,0)</f>
        <v>1</v>
      </c>
      <c r="G3921" s="34" t="n">
        <f aca="false">B3921/1</f>
        <v>57.16</v>
      </c>
      <c r="H3921" s="34" t="n">
        <f aca="false">IF(F3921=1,G3921,"")</f>
        <v>57.16</v>
      </c>
    </row>
    <row r="3922" customFormat="false" ht="15" hidden="false" customHeight="false" outlineLevel="0" collapsed="false">
      <c r="A3922" s="31" t="n">
        <v>42899.3333333333</v>
      </c>
      <c r="B3922" s="32" t="n">
        <v>168.306</v>
      </c>
      <c r="D3922" s="33" t="n">
        <f aca="false">WEEKDAY(A3922,2)</f>
        <v>2</v>
      </c>
      <c r="E3922" s="33" t="n">
        <f aca="false">HOUR(A3922)+MINUTE(A3922)/60</f>
        <v>8</v>
      </c>
      <c r="F3922" s="33" t="n">
        <f aca="false">IF(OR(D3922&gt;5,E3922&lt;8,E3922&gt;=18,COUNTIF($K$2:$K$10,INT(A3922))&gt;0),1,0)</f>
        <v>0</v>
      </c>
      <c r="G3922" s="34" t="n">
        <f aca="false">B3922/1</f>
        <v>168.306</v>
      </c>
      <c r="H3922" s="34" t="str">
        <f aca="false">IF(F3922=1,G3922,"")</f>
        <v/>
      </c>
    </row>
    <row r="3923" customFormat="false" ht="15" hidden="false" customHeight="false" outlineLevel="0" collapsed="false">
      <c r="A3923" s="31" t="n">
        <v>42899.375</v>
      </c>
      <c r="B3923" s="32" t="n">
        <v>192.043</v>
      </c>
      <c r="D3923" s="33" t="n">
        <f aca="false">WEEKDAY(A3923,2)</f>
        <v>2</v>
      </c>
      <c r="E3923" s="33" t="n">
        <f aca="false">HOUR(A3923)+MINUTE(A3923)/60</f>
        <v>9</v>
      </c>
      <c r="F3923" s="33" t="n">
        <f aca="false">IF(OR(D3923&gt;5,E3923&lt;8,E3923&gt;=18,COUNTIF($K$2:$K$10,INT(A3923))&gt;0),1,0)</f>
        <v>0</v>
      </c>
      <c r="G3923" s="34" t="n">
        <f aca="false">B3923/1</f>
        <v>192.043</v>
      </c>
      <c r="H3923" s="34" t="str">
        <f aca="false">IF(F3923=1,G3923,"")</f>
        <v/>
      </c>
    </row>
    <row r="3924" customFormat="false" ht="15" hidden="false" customHeight="false" outlineLevel="0" collapsed="false">
      <c r="A3924" s="31" t="n">
        <v>42899.4166666667</v>
      </c>
      <c r="B3924" s="32" t="n">
        <v>204.357</v>
      </c>
      <c r="D3924" s="33" t="n">
        <f aca="false">WEEKDAY(A3924,2)</f>
        <v>2</v>
      </c>
      <c r="E3924" s="33" t="n">
        <f aca="false">HOUR(A3924)+MINUTE(A3924)/60</f>
        <v>10</v>
      </c>
      <c r="F3924" s="33" t="n">
        <f aca="false">IF(OR(D3924&gt;5,E3924&lt;8,E3924&gt;=18,COUNTIF($K$2:$K$10,INT(A3924))&gt;0),1,0)</f>
        <v>0</v>
      </c>
      <c r="G3924" s="34" t="n">
        <f aca="false">B3924/1</f>
        <v>204.357</v>
      </c>
      <c r="H3924" s="34" t="str">
        <f aca="false">IF(F3924=1,G3924,"")</f>
        <v/>
      </c>
    </row>
    <row r="3925" customFormat="false" ht="15" hidden="false" customHeight="false" outlineLevel="0" collapsed="false">
      <c r="A3925" s="31" t="n">
        <v>42899.4583333333</v>
      </c>
      <c r="B3925" s="32" t="n">
        <v>212.391</v>
      </c>
      <c r="D3925" s="33" t="n">
        <f aca="false">WEEKDAY(A3925,2)</f>
        <v>2</v>
      </c>
      <c r="E3925" s="33" t="n">
        <f aca="false">HOUR(A3925)+MINUTE(A3925)/60</f>
        <v>11</v>
      </c>
      <c r="F3925" s="33" t="n">
        <f aca="false">IF(OR(D3925&gt;5,E3925&lt;8,E3925&gt;=18,COUNTIF($K$2:$K$10,INT(A3925))&gt;0),1,0)</f>
        <v>0</v>
      </c>
      <c r="G3925" s="34" t="n">
        <f aca="false">B3925/1</f>
        <v>212.391</v>
      </c>
      <c r="H3925" s="34" t="str">
        <f aca="false">IF(F3925=1,G3925,"")</f>
        <v/>
      </c>
    </row>
    <row r="3926" customFormat="false" ht="15" hidden="false" customHeight="false" outlineLevel="0" collapsed="false">
      <c r="A3926" s="31" t="n">
        <v>42899.5</v>
      </c>
      <c r="B3926" s="32" t="n">
        <v>214.365</v>
      </c>
      <c r="D3926" s="33" t="n">
        <f aca="false">WEEKDAY(A3926,2)</f>
        <v>2</v>
      </c>
      <c r="E3926" s="33" t="n">
        <f aca="false">HOUR(A3926)+MINUTE(A3926)/60</f>
        <v>12</v>
      </c>
      <c r="F3926" s="33" t="n">
        <f aca="false">IF(OR(D3926&gt;5,E3926&lt;8,E3926&gt;=18,COUNTIF($K$2:$K$10,INT(A3926))&gt;0),1,0)</f>
        <v>0</v>
      </c>
      <c r="G3926" s="34" t="n">
        <f aca="false">B3926/1</f>
        <v>214.365</v>
      </c>
      <c r="H3926" s="34" t="str">
        <f aca="false">IF(F3926=1,G3926,"")</f>
        <v/>
      </c>
    </row>
    <row r="3927" customFormat="false" ht="15" hidden="false" customHeight="false" outlineLevel="0" collapsed="false">
      <c r="A3927" s="31" t="n">
        <v>42899.5416666667</v>
      </c>
      <c r="B3927" s="32" t="n">
        <v>215.823</v>
      </c>
      <c r="D3927" s="33" t="n">
        <f aca="false">WEEKDAY(A3927,2)</f>
        <v>2</v>
      </c>
      <c r="E3927" s="33" t="n">
        <f aca="false">HOUR(A3927)+MINUTE(A3927)/60</f>
        <v>13</v>
      </c>
      <c r="F3927" s="33" t="n">
        <f aca="false">IF(OR(D3927&gt;5,E3927&lt;8,E3927&gt;=18,COUNTIF($K$2:$K$10,INT(A3927))&gt;0),1,0)</f>
        <v>0</v>
      </c>
      <c r="G3927" s="34" t="n">
        <f aca="false">B3927/1</f>
        <v>215.823</v>
      </c>
      <c r="H3927" s="34" t="str">
        <f aca="false">IF(F3927=1,G3927,"")</f>
        <v/>
      </c>
    </row>
    <row r="3928" customFormat="false" ht="15" hidden="false" customHeight="false" outlineLevel="0" collapsed="false">
      <c r="A3928" s="31" t="n">
        <v>42899.5833333333</v>
      </c>
      <c r="B3928" s="32" t="n">
        <v>216.678</v>
      </c>
      <c r="D3928" s="33" t="n">
        <f aca="false">WEEKDAY(A3928,2)</f>
        <v>2</v>
      </c>
      <c r="E3928" s="33" t="n">
        <f aca="false">HOUR(A3928)+MINUTE(A3928)/60</f>
        <v>14</v>
      </c>
      <c r="F3928" s="33" t="n">
        <f aca="false">IF(OR(D3928&gt;5,E3928&lt;8,E3928&gt;=18,COUNTIF($K$2:$K$10,INT(A3928))&gt;0),1,0)</f>
        <v>0</v>
      </c>
      <c r="G3928" s="34" t="n">
        <f aca="false">B3928/1</f>
        <v>216.678</v>
      </c>
      <c r="H3928" s="34" t="str">
        <f aca="false">IF(F3928=1,G3928,"")</f>
        <v/>
      </c>
    </row>
    <row r="3929" customFormat="false" ht="15" hidden="false" customHeight="false" outlineLevel="0" collapsed="false">
      <c r="A3929" s="31" t="n">
        <v>42899.625</v>
      </c>
      <c r="B3929" s="32" t="n">
        <v>215.64</v>
      </c>
      <c r="D3929" s="33" t="n">
        <f aca="false">WEEKDAY(A3929,2)</f>
        <v>2</v>
      </c>
      <c r="E3929" s="33" t="n">
        <f aca="false">HOUR(A3929)+MINUTE(A3929)/60</f>
        <v>15</v>
      </c>
      <c r="F3929" s="33" t="n">
        <f aca="false">IF(OR(D3929&gt;5,E3929&lt;8,E3929&gt;=18,COUNTIF($K$2:$K$10,INT(A3929))&gt;0),1,0)</f>
        <v>0</v>
      </c>
      <c r="G3929" s="34" t="n">
        <f aca="false">B3929/1</f>
        <v>215.64</v>
      </c>
      <c r="H3929" s="34" t="str">
        <f aca="false">IF(F3929=1,G3929,"")</f>
        <v/>
      </c>
    </row>
    <row r="3930" customFormat="false" ht="15" hidden="false" customHeight="false" outlineLevel="0" collapsed="false">
      <c r="A3930" s="31" t="n">
        <v>42899.6666666667</v>
      </c>
      <c r="B3930" s="32" t="n">
        <v>212.706</v>
      </c>
      <c r="D3930" s="33" t="n">
        <f aca="false">WEEKDAY(A3930,2)</f>
        <v>2</v>
      </c>
      <c r="E3930" s="33" t="n">
        <f aca="false">HOUR(A3930)+MINUTE(A3930)/60</f>
        <v>16</v>
      </c>
      <c r="F3930" s="33" t="n">
        <f aca="false">IF(OR(D3930&gt;5,E3930&lt;8,E3930&gt;=18,COUNTIF($K$2:$K$10,INT(A3930))&gt;0),1,0)</f>
        <v>0</v>
      </c>
      <c r="G3930" s="34" t="n">
        <f aca="false">B3930/1</f>
        <v>212.706</v>
      </c>
      <c r="H3930" s="34" t="str">
        <f aca="false">IF(F3930=1,G3930,"")</f>
        <v/>
      </c>
    </row>
    <row r="3931" customFormat="false" ht="15" hidden="false" customHeight="false" outlineLevel="0" collapsed="false">
      <c r="A3931" s="31" t="n">
        <v>42899.7083333333</v>
      </c>
      <c r="B3931" s="32" t="n">
        <v>203.138</v>
      </c>
      <c r="D3931" s="33" t="n">
        <f aca="false">WEEKDAY(A3931,2)</f>
        <v>2</v>
      </c>
      <c r="E3931" s="33" t="n">
        <f aca="false">HOUR(A3931)+MINUTE(A3931)/60</f>
        <v>17</v>
      </c>
      <c r="F3931" s="33" t="n">
        <f aca="false">IF(OR(D3931&gt;5,E3931&lt;8,E3931&gt;=18,COUNTIF($K$2:$K$10,INT(A3931))&gt;0),1,0)</f>
        <v>0</v>
      </c>
      <c r="G3931" s="34" t="n">
        <f aca="false">B3931/1</f>
        <v>203.138</v>
      </c>
      <c r="H3931" s="34" t="str">
        <f aca="false">IF(F3931=1,G3931,"")</f>
        <v/>
      </c>
    </row>
    <row r="3932" customFormat="false" ht="15" hidden="false" customHeight="false" outlineLevel="0" collapsed="false">
      <c r="A3932" s="31" t="n">
        <v>42899.75</v>
      </c>
      <c r="B3932" s="32" t="n">
        <v>188.733</v>
      </c>
      <c r="D3932" s="33" t="n">
        <f aca="false">WEEKDAY(A3932,2)</f>
        <v>2</v>
      </c>
      <c r="E3932" s="33" t="n">
        <f aca="false">HOUR(A3932)+MINUTE(A3932)/60</f>
        <v>18</v>
      </c>
      <c r="F3932" s="33" t="n">
        <f aca="false">IF(OR(D3932&gt;5,E3932&lt;8,E3932&gt;=18,COUNTIF($K$2:$K$10,INT(A3932))&gt;0),1,0)</f>
        <v>1</v>
      </c>
      <c r="G3932" s="34" t="n">
        <f aca="false">B3932/1</f>
        <v>188.733</v>
      </c>
      <c r="H3932" s="34" t="n">
        <f aca="false">IF(F3932=1,G3932,"")</f>
        <v>188.733</v>
      </c>
    </row>
    <row r="3933" customFormat="false" ht="15" hidden="false" customHeight="false" outlineLevel="0" collapsed="false">
      <c r="A3933" s="31" t="n">
        <v>42899.7916666667</v>
      </c>
      <c r="B3933" s="32" t="n">
        <v>184.45</v>
      </c>
      <c r="D3933" s="33" t="n">
        <f aca="false">WEEKDAY(A3933,2)</f>
        <v>2</v>
      </c>
      <c r="E3933" s="33" t="n">
        <f aca="false">HOUR(A3933)+MINUTE(A3933)/60</f>
        <v>19</v>
      </c>
      <c r="F3933" s="33" t="n">
        <f aca="false">IF(OR(D3933&gt;5,E3933&lt;8,E3933&gt;=18,COUNTIF($K$2:$K$10,INT(A3933))&gt;0),1,0)</f>
        <v>1</v>
      </c>
      <c r="G3933" s="34" t="n">
        <f aca="false">B3933/1</f>
        <v>184.45</v>
      </c>
      <c r="H3933" s="34" t="n">
        <f aca="false">IF(F3933=1,G3933,"")</f>
        <v>184.45</v>
      </c>
    </row>
    <row r="3934" customFormat="false" ht="15" hidden="false" customHeight="false" outlineLevel="0" collapsed="false">
      <c r="A3934" s="31" t="n">
        <v>42899.8333333333</v>
      </c>
      <c r="B3934" s="32" t="n">
        <v>183.738</v>
      </c>
      <c r="D3934" s="33" t="n">
        <f aca="false">WEEKDAY(A3934,2)</f>
        <v>2</v>
      </c>
      <c r="E3934" s="33" t="n">
        <f aca="false">HOUR(A3934)+MINUTE(A3934)/60</f>
        <v>20</v>
      </c>
      <c r="F3934" s="33" t="n">
        <f aca="false">IF(OR(D3934&gt;5,E3934&lt;8,E3934&gt;=18,COUNTIF($K$2:$K$10,INT(A3934))&gt;0),1,0)</f>
        <v>1</v>
      </c>
      <c r="G3934" s="34" t="n">
        <f aca="false">B3934/1</f>
        <v>183.738</v>
      </c>
      <c r="H3934" s="34" t="n">
        <f aca="false">IF(F3934=1,G3934,"")</f>
        <v>183.738</v>
      </c>
    </row>
    <row r="3935" customFormat="false" ht="15" hidden="false" customHeight="false" outlineLevel="0" collapsed="false">
      <c r="A3935" s="31" t="n">
        <v>42899.875</v>
      </c>
      <c r="B3935" s="32" t="n">
        <v>182.286</v>
      </c>
      <c r="D3935" s="33" t="n">
        <f aca="false">WEEKDAY(A3935,2)</f>
        <v>2</v>
      </c>
      <c r="E3935" s="33" t="n">
        <f aca="false">HOUR(A3935)+MINUTE(A3935)/60</f>
        <v>21</v>
      </c>
      <c r="F3935" s="33" t="n">
        <f aca="false">IF(OR(D3935&gt;5,E3935&lt;8,E3935&gt;=18,COUNTIF($K$2:$K$10,INT(A3935))&gt;0),1,0)</f>
        <v>1</v>
      </c>
      <c r="G3935" s="34" t="n">
        <f aca="false">B3935/1</f>
        <v>182.286</v>
      </c>
      <c r="H3935" s="34" t="n">
        <f aca="false">IF(F3935=1,G3935,"")</f>
        <v>182.286</v>
      </c>
    </row>
    <row r="3936" customFormat="false" ht="15" hidden="false" customHeight="false" outlineLevel="0" collapsed="false">
      <c r="A3936" s="31" t="n">
        <v>42899.9166666667</v>
      </c>
      <c r="B3936" s="32" t="n">
        <v>182.558</v>
      </c>
      <c r="D3936" s="33" t="n">
        <f aca="false">WEEKDAY(A3936,2)</f>
        <v>2</v>
      </c>
      <c r="E3936" s="33" t="n">
        <f aca="false">HOUR(A3936)+MINUTE(A3936)/60</f>
        <v>22</v>
      </c>
      <c r="F3936" s="33" t="n">
        <f aca="false">IF(OR(D3936&gt;5,E3936&lt;8,E3936&gt;=18,COUNTIF($K$2:$K$10,INT(A3936))&gt;0),1,0)</f>
        <v>1</v>
      </c>
      <c r="G3936" s="34" t="n">
        <f aca="false">B3936/1</f>
        <v>182.558</v>
      </c>
      <c r="H3936" s="34" t="n">
        <f aca="false">IF(F3936=1,G3936,"")</f>
        <v>182.558</v>
      </c>
    </row>
    <row r="3937" customFormat="false" ht="15" hidden="false" customHeight="false" outlineLevel="0" collapsed="false">
      <c r="A3937" s="31" t="n">
        <v>42899.9583333333</v>
      </c>
      <c r="B3937" s="32" t="n">
        <v>178.079</v>
      </c>
      <c r="D3937" s="33" t="n">
        <f aca="false">WEEKDAY(A3937,2)</f>
        <v>2</v>
      </c>
      <c r="E3937" s="33" t="n">
        <f aca="false">HOUR(A3937)+MINUTE(A3937)/60</f>
        <v>23</v>
      </c>
      <c r="F3937" s="33" t="n">
        <f aca="false">IF(OR(D3937&gt;5,E3937&lt;8,E3937&gt;=18,COUNTIF($K$2:$K$10,INT(A3937))&gt;0),1,0)</f>
        <v>1</v>
      </c>
      <c r="G3937" s="34" t="n">
        <f aca="false">B3937/1</f>
        <v>178.079</v>
      </c>
      <c r="H3937" s="34" t="n">
        <f aca="false">IF(F3937=1,G3937,"")</f>
        <v>178.079</v>
      </c>
    </row>
    <row r="3938" customFormat="false" ht="15" hidden="false" customHeight="false" outlineLevel="0" collapsed="false">
      <c r="A3938" s="31" t="n">
        <v>42900</v>
      </c>
      <c r="B3938" s="32" t="n">
        <v>181.683</v>
      </c>
      <c r="D3938" s="33" t="n">
        <f aca="false">WEEKDAY(A3938,2)</f>
        <v>3</v>
      </c>
      <c r="E3938" s="33" t="n">
        <f aca="false">HOUR(A3938)+MINUTE(A3938)/60</f>
        <v>0</v>
      </c>
      <c r="F3938" s="33" t="n">
        <f aca="false">IF(OR(D3938&gt;5,E3938&lt;8,E3938&gt;=18,COUNTIF($K$2:$K$10,INT(A3938))&gt;0),1,0)</f>
        <v>1</v>
      </c>
      <c r="G3938" s="34" t="n">
        <f aca="false">B3938/1</f>
        <v>181.683</v>
      </c>
      <c r="H3938" s="34" t="n">
        <f aca="false">IF(F3938=1,G3938,"")</f>
        <v>181.683</v>
      </c>
    </row>
    <row r="3939" customFormat="false" ht="15" hidden="false" customHeight="false" outlineLevel="0" collapsed="false">
      <c r="A3939" s="31" t="n">
        <v>42900.0416666667</v>
      </c>
      <c r="B3939" s="32" t="n">
        <v>140.87</v>
      </c>
      <c r="D3939" s="33" t="n">
        <f aca="false">WEEKDAY(A3939,2)</f>
        <v>3</v>
      </c>
      <c r="E3939" s="33" t="n">
        <f aca="false">HOUR(A3939)+MINUTE(A3939)/60</f>
        <v>1</v>
      </c>
      <c r="F3939" s="33" t="n">
        <f aca="false">IF(OR(D3939&gt;5,E3939&lt;8,E3939&gt;=18,COUNTIF($K$2:$K$10,INT(A3939))&gt;0),1,0)</f>
        <v>1</v>
      </c>
      <c r="G3939" s="34" t="n">
        <f aca="false">B3939/1</f>
        <v>140.87</v>
      </c>
      <c r="H3939" s="34" t="n">
        <f aca="false">IF(F3939=1,G3939,"")</f>
        <v>140.87</v>
      </c>
    </row>
    <row r="3940" customFormat="false" ht="15" hidden="false" customHeight="false" outlineLevel="0" collapsed="false">
      <c r="A3940" s="31" t="n">
        <v>42900.0833333333</v>
      </c>
      <c r="B3940" s="32" t="n">
        <v>49.029</v>
      </c>
      <c r="D3940" s="33" t="n">
        <f aca="false">WEEKDAY(A3940,2)</f>
        <v>3</v>
      </c>
      <c r="E3940" s="33" t="n">
        <f aca="false">HOUR(A3940)+MINUTE(A3940)/60</f>
        <v>2</v>
      </c>
      <c r="F3940" s="33" t="n">
        <f aca="false">IF(OR(D3940&gt;5,E3940&lt;8,E3940&gt;=18,COUNTIF($K$2:$K$10,INT(A3940))&gt;0),1,0)</f>
        <v>1</v>
      </c>
      <c r="G3940" s="34" t="n">
        <f aca="false">B3940/1</f>
        <v>49.029</v>
      </c>
      <c r="H3940" s="34" t="n">
        <f aca="false">IF(F3940=1,G3940,"")</f>
        <v>49.029</v>
      </c>
    </row>
    <row r="3941" customFormat="false" ht="15" hidden="false" customHeight="false" outlineLevel="0" collapsed="false">
      <c r="A3941" s="31" t="n">
        <v>42900.125</v>
      </c>
      <c r="B3941" s="32" t="n">
        <v>50.721</v>
      </c>
      <c r="D3941" s="33" t="n">
        <f aca="false">WEEKDAY(A3941,2)</f>
        <v>3</v>
      </c>
      <c r="E3941" s="33" t="n">
        <f aca="false">HOUR(A3941)+MINUTE(A3941)/60</f>
        <v>3</v>
      </c>
      <c r="F3941" s="33" t="n">
        <f aca="false">IF(OR(D3941&gt;5,E3941&lt;8,E3941&gt;=18,COUNTIF($K$2:$K$10,INT(A3941))&gt;0),1,0)</f>
        <v>1</v>
      </c>
      <c r="G3941" s="34" t="n">
        <f aca="false">B3941/1</f>
        <v>50.721</v>
      </c>
      <c r="H3941" s="34" t="n">
        <f aca="false">IF(F3941=1,G3941,"")</f>
        <v>50.721</v>
      </c>
    </row>
    <row r="3942" customFormat="false" ht="15" hidden="false" customHeight="false" outlineLevel="0" collapsed="false">
      <c r="A3942" s="31" t="n">
        <v>42900.1666666667</v>
      </c>
      <c r="B3942" s="32" t="n">
        <v>50.832</v>
      </c>
      <c r="D3942" s="33" t="n">
        <f aca="false">WEEKDAY(A3942,2)</f>
        <v>3</v>
      </c>
      <c r="E3942" s="33" t="n">
        <f aca="false">HOUR(A3942)+MINUTE(A3942)/60</f>
        <v>4</v>
      </c>
      <c r="F3942" s="33" t="n">
        <f aca="false">IF(OR(D3942&gt;5,E3942&lt;8,E3942&gt;=18,COUNTIF($K$2:$K$10,INT(A3942))&gt;0),1,0)</f>
        <v>1</v>
      </c>
      <c r="G3942" s="34" t="n">
        <f aca="false">B3942/1</f>
        <v>50.832</v>
      </c>
      <c r="H3942" s="34" t="n">
        <f aca="false">IF(F3942=1,G3942,"")</f>
        <v>50.832</v>
      </c>
    </row>
    <row r="3943" customFormat="false" ht="15" hidden="false" customHeight="false" outlineLevel="0" collapsed="false">
      <c r="A3943" s="31" t="n">
        <v>42900.2083333333</v>
      </c>
      <c r="B3943" s="32" t="n">
        <v>49.894</v>
      </c>
      <c r="D3943" s="33" t="n">
        <f aca="false">WEEKDAY(A3943,2)</f>
        <v>3</v>
      </c>
      <c r="E3943" s="33" t="n">
        <f aca="false">HOUR(A3943)+MINUTE(A3943)/60</f>
        <v>5</v>
      </c>
      <c r="F3943" s="33" t="n">
        <f aca="false">IF(OR(D3943&gt;5,E3943&lt;8,E3943&gt;=18,COUNTIF($K$2:$K$10,INT(A3943))&gt;0),1,0)</f>
        <v>1</v>
      </c>
      <c r="G3943" s="34" t="n">
        <f aca="false">B3943/1</f>
        <v>49.894</v>
      </c>
      <c r="H3943" s="34" t="n">
        <f aca="false">IF(F3943=1,G3943,"")</f>
        <v>49.894</v>
      </c>
    </row>
    <row r="3944" customFormat="false" ht="15" hidden="false" customHeight="false" outlineLevel="0" collapsed="false">
      <c r="A3944" s="31" t="n">
        <v>42900.25</v>
      </c>
      <c r="B3944" s="32" t="n">
        <v>51.227</v>
      </c>
      <c r="D3944" s="33" t="n">
        <f aca="false">WEEKDAY(A3944,2)</f>
        <v>3</v>
      </c>
      <c r="E3944" s="33" t="n">
        <f aca="false">HOUR(A3944)+MINUTE(A3944)/60</f>
        <v>6</v>
      </c>
      <c r="F3944" s="33" t="n">
        <f aca="false">IF(OR(D3944&gt;5,E3944&lt;8,E3944&gt;=18,COUNTIF($K$2:$K$10,INT(A3944))&gt;0),1,0)</f>
        <v>1</v>
      </c>
      <c r="G3944" s="34" t="n">
        <f aca="false">B3944/1</f>
        <v>51.227</v>
      </c>
      <c r="H3944" s="34" t="n">
        <f aca="false">IF(F3944=1,G3944,"")</f>
        <v>51.227</v>
      </c>
    </row>
    <row r="3945" customFormat="false" ht="15" hidden="false" customHeight="false" outlineLevel="0" collapsed="false">
      <c r="A3945" s="31" t="n">
        <v>42900.2916666667</v>
      </c>
      <c r="B3945" s="32" t="n">
        <v>60.103</v>
      </c>
      <c r="D3945" s="33" t="n">
        <f aca="false">WEEKDAY(A3945,2)</f>
        <v>3</v>
      </c>
      <c r="E3945" s="33" t="n">
        <f aca="false">HOUR(A3945)+MINUTE(A3945)/60</f>
        <v>7</v>
      </c>
      <c r="F3945" s="33" t="n">
        <f aca="false">IF(OR(D3945&gt;5,E3945&lt;8,E3945&gt;=18,COUNTIF($K$2:$K$10,INT(A3945))&gt;0),1,0)</f>
        <v>1</v>
      </c>
      <c r="G3945" s="34" t="n">
        <f aca="false">B3945/1</f>
        <v>60.103</v>
      </c>
      <c r="H3945" s="34" t="n">
        <f aca="false">IF(F3945=1,G3945,"")</f>
        <v>60.103</v>
      </c>
    </row>
    <row r="3946" customFormat="false" ht="15" hidden="false" customHeight="false" outlineLevel="0" collapsed="false">
      <c r="A3946" s="31" t="n">
        <v>42900.3333333333</v>
      </c>
      <c r="B3946" s="32" t="n">
        <v>171.433</v>
      </c>
      <c r="D3946" s="33" t="n">
        <f aca="false">WEEKDAY(A3946,2)</f>
        <v>3</v>
      </c>
      <c r="E3946" s="33" t="n">
        <f aca="false">HOUR(A3946)+MINUTE(A3946)/60</f>
        <v>8</v>
      </c>
      <c r="F3946" s="33" t="n">
        <f aca="false">IF(OR(D3946&gt;5,E3946&lt;8,E3946&gt;=18,COUNTIF($K$2:$K$10,INT(A3946))&gt;0),1,0)</f>
        <v>0</v>
      </c>
      <c r="G3946" s="34" t="n">
        <f aca="false">B3946/1</f>
        <v>171.433</v>
      </c>
      <c r="H3946" s="34" t="str">
        <f aca="false">IF(F3946=1,G3946,"")</f>
        <v/>
      </c>
    </row>
    <row r="3947" customFormat="false" ht="15" hidden="false" customHeight="false" outlineLevel="0" collapsed="false">
      <c r="A3947" s="31" t="n">
        <v>42900.375</v>
      </c>
      <c r="B3947" s="32" t="n">
        <v>193.581</v>
      </c>
      <c r="D3947" s="33" t="n">
        <f aca="false">WEEKDAY(A3947,2)</f>
        <v>3</v>
      </c>
      <c r="E3947" s="33" t="n">
        <f aca="false">HOUR(A3947)+MINUTE(A3947)/60</f>
        <v>9</v>
      </c>
      <c r="F3947" s="33" t="n">
        <f aca="false">IF(OR(D3947&gt;5,E3947&lt;8,E3947&gt;=18,COUNTIF($K$2:$K$10,INT(A3947))&gt;0),1,0)</f>
        <v>0</v>
      </c>
      <c r="G3947" s="34" t="n">
        <f aca="false">B3947/1</f>
        <v>193.581</v>
      </c>
      <c r="H3947" s="34" t="str">
        <f aca="false">IF(F3947=1,G3947,"")</f>
        <v/>
      </c>
    </row>
    <row r="3948" customFormat="false" ht="15" hidden="false" customHeight="false" outlineLevel="0" collapsed="false">
      <c r="A3948" s="31" t="n">
        <v>42900.4166666667</v>
      </c>
      <c r="B3948" s="32" t="n">
        <v>206.477</v>
      </c>
      <c r="D3948" s="33" t="n">
        <f aca="false">WEEKDAY(A3948,2)</f>
        <v>3</v>
      </c>
      <c r="E3948" s="33" t="n">
        <f aca="false">HOUR(A3948)+MINUTE(A3948)/60</f>
        <v>10</v>
      </c>
      <c r="F3948" s="33" t="n">
        <f aca="false">IF(OR(D3948&gt;5,E3948&lt;8,E3948&gt;=18,COUNTIF($K$2:$K$10,INT(A3948))&gt;0),1,0)</f>
        <v>0</v>
      </c>
      <c r="G3948" s="34" t="n">
        <f aca="false">B3948/1</f>
        <v>206.477</v>
      </c>
      <c r="H3948" s="34" t="str">
        <f aca="false">IF(F3948=1,G3948,"")</f>
        <v/>
      </c>
    </row>
    <row r="3949" customFormat="false" ht="15" hidden="false" customHeight="false" outlineLevel="0" collapsed="false">
      <c r="A3949" s="31" t="n">
        <v>42900.4583333333</v>
      </c>
      <c r="B3949" s="32" t="n">
        <v>206.976</v>
      </c>
      <c r="D3949" s="33" t="n">
        <f aca="false">WEEKDAY(A3949,2)</f>
        <v>3</v>
      </c>
      <c r="E3949" s="33" t="n">
        <f aca="false">HOUR(A3949)+MINUTE(A3949)/60</f>
        <v>11</v>
      </c>
      <c r="F3949" s="33" t="n">
        <f aca="false">IF(OR(D3949&gt;5,E3949&lt;8,E3949&gt;=18,COUNTIF($K$2:$K$10,INT(A3949))&gt;0),1,0)</f>
        <v>0</v>
      </c>
      <c r="G3949" s="34" t="n">
        <f aca="false">B3949/1</f>
        <v>206.976</v>
      </c>
      <c r="H3949" s="34" t="str">
        <f aca="false">IF(F3949=1,G3949,"")</f>
        <v/>
      </c>
    </row>
    <row r="3950" customFormat="false" ht="15" hidden="false" customHeight="false" outlineLevel="0" collapsed="false">
      <c r="A3950" s="31" t="n">
        <v>42900.5</v>
      </c>
      <c r="B3950" s="32" t="n">
        <v>218.28</v>
      </c>
      <c r="D3950" s="33" t="n">
        <f aca="false">WEEKDAY(A3950,2)</f>
        <v>3</v>
      </c>
      <c r="E3950" s="33" t="n">
        <f aca="false">HOUR(A3950)+MINUTE(A3950)/60</f>
        <v>12</v>
      </c>
      <c r="F3950" s="33" t="n">
        <f aca="false">IF(OR(D3950&gt;5,E3950&lt;8,E3950&gt;=18,COUNTIF($K$2:$K$10,INT(A3950))&gt;0),1,0)</f>
        <v>0</v>
      </c>
      <c r="G3950" s="34" t="n">
        <f aca="false">B3950/1</f>
        <v>218.28</v>
      </c>
      <c r="H3950" s="34" t="str">
        <f aca="false">IF(F3950=1,G3950,"")</f>
        <v/>
      </c>
    </row>
    <row r="3951" customFormat="false" ht="15" hidden="false" customHeight="false" outlineLevel="0" collapsed="false">
      <c r="A3951" s="31" t="n">
        <v>42900.5416666667</v>
      </c>
      <c r="B3951" s="32" t="n">
        <v>211.065</v>
      </c>
      <c r="D3951" s="33" t="n">
        <f aca="false">WEEKDAY(A3951,2)</f>
        <v>3</v>
      </c>
      <c r="E3951" s="33" t="n">
        <f aca="false">HOUR(A3951)+MINUTE(A3951)/60</f>
        <v>13</v>
      </c>
      <c r="F3951" s="33" t="n">
        <f aca="false">IF(OR(D3951&gt;5,E3951&lt;8,E3951&gt;=18,COUNTIF($K$2:$K$10,INT(A3951))&gt;0),1,0)</f>
        <v>0</v>
      </c>
      <c r="G3951" s="34" t="n">
        <f aca="false">B3951/1</f>
        <v>211.065</v>
      </c>
      <c r="H3951" s="34" t="str">
        <f aca="false">IF(F3951=1,G3951,"")</f>
        <v/>
      </c>
    </row>
    <row r="3952" customFormat="false" ht="15" hidden="false" customHeight="false" outlineLevel="0" collapsed="false">
      <c r="A3952" s="31" t="n">
        <v>42900.5833333333</v>
      </c>
      <c r="B3952" s="32" t="n">
        <v>219.027</v>
      </c>
      <c r="D3952" s="33" t="n">
        <f aca="false">WEEKDAY(A3952,2)</f>
        <v>3</v>
      </c>
      <c r="E3952" s="33" t="n">
        <f aca="false">HOUR(A3952)+MINUTE(A3952)/60</f>
        <v>14</v>
      </c>
      <c r="F3952" s="33" t="n">
        <f aca="false">IF(OR(D3952&gt;5,E3952&lt;8,E3952&gt;=18,COUNTIF($K$2:$K$10,INT(A3952))&gt;0),1,0)</f>
        <v>0</v>
      </c>
      <c r="G3952" s="34" t="n">
        <f aca="false">B3952/1</f>
        <v>219.027</v>
      </c>
      <c r="H3952" s="34" t="str">
        <f aca="false">IF(F3952=1,G3952,"")</f>
        <v/>
      </c>
    </row>
    <row r="3953" customFormat="false" ht="15" hidden="false" customHeight="false" outlineLevel="0" collapsed="false">
      <c r="A3953" s="31" t="n">
        <v>42900.625</v>
      </c>
      <c r="B3953" s="32" t="n">
        <v>212.85</v>
      </c>
      <c r="D3953" s="33" t="n">
        <f aca="false">WEEKDAY(A3953,2)</f>
        <v>3</v>
      </c>
      <c r="E3953" s="33" t="n">
        <f aca="false">HOUR(A3953)+MINUTE(A3953)/60</f>
        <v>15</v>
      </c>
      <c r="F3953" s="33" t="n">
        <f aca="false">IF(OR(D3953&gt;5,E3953&lt;8,E3953&gt;=18,COUNTIF($K$2:$K$10,INT(A3953))&gt;0),1,0)</f>
        <v>0</v>
      </c>
      <c r="G3953" s="34" t="n">
        <f aca="false">B3953/1</f>
        <v>212.85</v>
      </c>
      <c r="H3953" s="34" t="str">
        <f aca="false">IF(F3953=1,G3953,"")</f>
        <v/>
      </c>
    </row>
    <row r="3954" customFormat="false" ht="15" hidden="false" customHeight="false" outlineLevel="0" collapsed="false">
      <c r="A3954" s="31" t="n">
        <v>42900.6666666667</v>
      </c>
      <c r="B3954" s="32" t="n">
        <v>211.01</v>
      </c>
      <c r="D3954" s="33" t="n">
        <f aca="false">WEEKDAY(A3954,2)</f>
        <v>3</v>
      </c>
      <c r="E3954" s="33" t="n">
        <f aca="false">HOUR(A3954)+MINUTE(A3954)/60</f>
        <v>16</v>
      </c>
      <c r="F3954" s="33" t="n">
        <f aca="false">IF(OR(D3954&gt;5,E3954&lt;8,E3954&gt;=18,COUNTIF($K$2:$K$10,INT(A3954))&gt;0),1,0)</f>
        <v>0</v>
      </c>
      <c r="G3954" s="34" t="n">
        <f aca="false">B3954/1</f>
        <v>211.01</v>
      </c>
      <c r="H3954" s="34" t="str">
        <f aca="false">IF(F3954=1,G3954,"")</f>
        <v/>
      </c>
    </row>
    <row r="3955" customFormat="false" ht="15" hidden="false" customHeight="false" outlineLevel="0" collapsed="false">
      <c r="A3955" s="31" t="n">
        <v>42900.7083333333</v>
      </c>
      <c r="B3955" s="32" t="n">
        <v>211.722</v>
      </c>
      <c r="D3955" s="33" t="n">
        <f aca="false">WEEKDAY(A3955,2)</f>
        <v>3</v>
      </c>
      <c r="E3955" s="33" t="n">
        <f aca="false">HOUR(A3955)+MINUTE(A3955)/60</f>
        <v>17</v>
      </c>
      <c r="F3955" s="33" t="n">
        <f aca="false">IF(OR(D3955&gt;5,E3955&lt;8,E3955&gt;=18,COUNTIF($K$2:$K$10,INT(A3955))&gt;0),1,0)</f>
        <v>0</v>
      </c>
      <c r="G3955" s="34" t="n">
        <f aca="false">B3955/1</f>
        <v>211.722</v>
      </c>
      <c r="H3955" s="34" t="str">
        <f aca="false">IF(F3955=1,G3955,"")</f>
        <v/>
      </c>
    </row>
    <row r="3956" customFormat="false" ht="15" hidden="false" customHeight="false" outlineLevel="0" collapsed="false">
      <c r="A3956" s="31" t="n">
        <v>42900.75</v>
      </c>
      <c r="B3956" s="32" t="n">
        <v>199.211</v>
      </c>
      <c r="D3956" s="33" t="n">
        <f aca="false">WEEKDAY(A3956,2)</f>
        <v>3</v>
      </c>
      <c r="E3956" s="33" t="n">
        <f aca="false">HOUR(A3956)+MINUTE(A3956)/60</f>
        <v>18</v>
      </c>
      <c r="F3956" s="33" t="n">
        <f aca="false">IF(OR(D3956&gt;5,E3956&lt;8,E3956&gt;=18,COUNTIF($K$2:$K$10,INT(A3956))&gt;0),1,0)</f>
        <v>1</v>
      </c>
      <c r="G3956" s="34" t="n">
        <f aca="false">B3956/1</f>
        <v>199.211</v>
      </c>
      <c r="H3956" s="34" t="n">
        <f aca="false">IF(F3956=1,G3956,"")</f>
        <v>199.211</v>
      </c>
    </row>
    <row r="3957" customFormat="false" ht="15" hidden="false" customHeight="false" outlineLevel="0" collapsed="false">
      <c r="A3957" s="31" t="n">
        <v>42900.7916666667</v>
      </c>
      <c r="B3957" s="32" t="n">
        <v>190.608</v>
      </c>
      <c r="D3957" s="33" t="n">
        <f aca="false">WEEKDAY(A3957,2)</f>
        <v>3</v>
      </c>
      <c r="E3957" s="33" t="n">
        <f aca="false">HOUR(A3957)+MINUTE(A3957)/60</f>
        <v>19</v>
      </c>
      <c r="F3957" s="33" t="n">
        <f aca="false">IF(OR(D3957&gt;5,E3957&lt;8,E3957&gt;=18,COUNTIF($K$2:$K$10,INT(A3957))&gt;0),1,0)</f>
        <v>1</v>
      </c>
      <c r="G3957" s="34" t="n">
        <f aca="false">B3957/1</f>
        <v>190.608</v>
      </c>
      <c r="H3957" s="34" t="n">
        <f aca="false">IF(F3957=1,G3957,"")</f>
        <v>190.608</v>
      </c>
    </row>
    <row r="3958" customFormat="false" ht="15" hidden="false" customHeight="false" outlineLevel="0" collapsed="false">
      <c r="A3958" s="31" t="n">
        <v>42900.8333333333</v>
      </c>
      <c r="B3958" s="32" t="n">
        <v>186.263</v>
      </c>
      <c r="D3958" s="33" t="n">
        <f aca="false">WEEKDAY(A3958,2)</f>
        <v>3</v>
      </c>
      <c r="E3958" s="33" t="n">
        <f aca="false">HOUR(A3958)+MINUTE(A3958)/60</f>
        <v>20</v>
      </c>
      <c r="F3958" s="33" t="n">
        <f aca="false">IF(OR(D3958&gt;5,E3958&lt;8,E3958&gt;=18,COUNTIF($K$2:$K$10,INT(A3958))&gt;0),1,0)</f>
        <v>1</v>
      </c>
      <c r="G3958" s="34" t="n">
        <f aca="false">B3958/1</f>
        <v>186.263</v>
      </c>
      <c r="H3958" s="34" t="n">
        <f aca="false">IF(F3958=1,G3958,"")</f>
        <v>186.263</v>
      </c>
    </row>
    <row r="3959" customFormat="false" ht="15" hidden="false" customHeight="false" outlineLevel="0" collapsed="false">
      <c r="A3959" s="31" t="n">
        <v>42900.875</v>
      </c>
      <c r="B3959" s="32" t="n">
        <v>182.412</v>
      </c>
      <c r="D3959" s="33" t="n">
        <f aca="false">WEEKDAY(A3959,2)</f>
        <v>3</v>
      </c>
      <c r="E3959" s="33" t="n">
        <f aca="false">HOUR(A3959)+MINUTE(A3959)/60</f>
        <v>21</v>
      </c>
      <c r="F3959" s="33" t="n">
        <f aca="false">IF(OR(D3959&gt;5,E3959&lt;8,E3959&gt;=18,COUNTIF($K$2:$K$10,INT(A3959))&gt;0),1,0)</f>
        <v>1</v>
      </c>
      <c r="G3959" s="34" t="n">
        <f aca="false">B3959/1</f>
        <v>182.412</v>
      </c>
      <c r="H3959" s="34" t="n">
        <f aca="false">IF(F3959=1,G3959,"")</f>
        <v>182.412</v>
      </c>
    </row>
    <row r="3960" customFormat="false" ht="15" hidden="false" customHeight="false" outlineLevel="0" collapsed="false">
      <c r="A3960" s="31" t="n">
        <v>42900.9166666667</v>
      </c>
      <c r="B3960" s="32" t="n">
        <v>120.581</v>
      </c>
      <c r="D3960" s="33" t="n">
        <f aca="false">WEEKDAY(A3960,2)</f>
        <v>3</v>
      </c>
      <c r="E3960" s="33" t="n">
        <f aca="false">HOUR(A3960)+MINUTE(A3960)/60</f>
        <v>22</v>
      </c>
      <c r="F3960" s="33" t="n">
        <f aca="false">IF(OR(D3960&gt;5,E3960&lt;8,E3960&gt;=18,COUNTIF($K$2:$K$10,INT(A3960))&gt;0),1,0)</f>
        <v>1</v>
      </c>
      <c r="G3960" s="34" t="n">
        <f aca="false">B3960/1</f>
        <v>120.581</v>
      </c>
      <c r="H3960" s="34" t="n">
        <f aca="false">IF(F3960=1,G3960,"")</f>
        <v>120.581</v>
      </c>
    </row>
    <row r="3961" customFormat="false" ht="15" hidden="false" customHeight="false" outlineLevel="0" collapsed="false">
      <c r="A3961" s="31" t="n">
        <v>42900.9583333333</v>
      </c>
      <c r="B3961" s="32" t="n">
        <v>56.123</v>
      </c>
      <c r="D3961" s="33" t="n">
        <f aca="false">WEEKDAY(A3961,2)</f>
        <v>3</v>
      </c>
      <c r="E3961" s="33" t="n">
        <f aca="false">HOUR(A3961)+MINUTE(A3961)/60</f>
        <v>23</v>
      </c>
      <c r="F3961" s="33" t="n">
        <f aca="false">IF(OR(D3961&gt;5,E3961&lt;8,E3961&gt;=18,COUNTIF($K$2:$K$10,INT(A3961))&gt;0),1,0)</f>
        <v>1</v>
      </c>
      <c r="G3961" s="34" t="n">
        <f aca="false">B3961/1</f>
        <v>56.123</v>
      </c>
      <c r="H3961" s="34" t="n">
        <f aca="false">IF(F3961=1,G3961,"")</f>
        <v>56.123</v>
      </c>
    </row>
    <row r="3962" customFormat="false" ht="15" hidden="false" customHeight="false" outlineLevel="0" collapsed="false">
      <c r="A3962" s="31" t="n">
        <v>42901</v>
      </c>
      <c r="B3962" s="32" t="n">
        <v>53.006</v>
      </c>
      <c r="D3962" s="33" t="n">
        <f aca="false">WEEKDAY(A3962,2)</f>
        <v>4</v>
      </c>
      <c r="E3962" s="33" t="n">
        <f aca="false">HOUR(A3962)+MINUTE(A3962)/60</f>
        <v>0</v>
      </c>
      <c r="F3962" s="33" t="n">
        <f aca="false">IF(OR(D3962&gt;5,E3962&lt;8,E3962&gt;=18,COUNTIF($K$2:$K$10,INT(A3962))&gt;0),1,0)</f>
        <v>1</v>
      </c>
      <c r="G3962" s="34" t="n">
        <f aca="false">B3962/1</f>
        <v>53.006</v>
      </c>
      <c r="H3962" s="34" t="n">
        <f aca="false">IF(F3962=1,G3962,"")</f>
        <v>53.006</v>
      </c>
    </row>
    <row r="3963" customFormat="false" ht="15" hidden="false" customHeight="false" outlineLevel="0" collapsed="false">
      <c r="A3963" s="31" t="n">
        <v>42901.0416666667</v>
      </c>
      <c r="B3963" s="32" t="n">
        <v>51.484</v>
      </c>
      <c r="D3963" s="33" t="n">
        <f aca="false">WEEKDAY(A3963,2)</f>
        <v>4</v>
      </c>
      <c r="E3963" s="33" t="n">
        <f aca="false">HOUR(A3963)+MINUTE(A3963)/60</f>
        <v>1</v>
      </c>
      <c r="F3963" s="33" t="n">
        <f aca="false">IF(OR(D3963&gt;5,E3963&lt;8,E3963&gt;=18,COUNTIF($K$2:$K$10,INT(A3963))&gt;0),1,0)</f>
        <v>1</v>
      </c>
      <c r="G3963" s="34" t="n">
        <f aca="false">B3963/1</f>
        <v>51.484</v>
      </c>
      <c r="H3963" s="34" t="n">
        <f aca="false">IF(F3963=1,G3963,"")</f>
        <v>51.484</v>
      </c>
    </row>
    <row r="3964" customFormat="false" ht="15" hidden="false" customHeight="false" outlineLevel="0" collapsed="false">
      <c r="A3964" s="31" t="n">
        <v>42901.0833333333</v>
      </c>
      <c r="B3964" s="32" t="n">
        <v>51.34</v>
      </c>
      <c r="D3964" s="33" t="n">
        <f aca="false">WEEKDAY(A3964,2)</f>
        <v>4</v>
      </c>
      <c r="E3964" s="33" t="n">
        <f aca="false">HOUR(A3964)+MINUTE(A3964)/60</f>
        <v>2</v>
      </c>
      <c r="F3964" s="33" t="n">
        <f aca="false">IF(OR(D3964&gt;5,E3964&lt;8,E3964&gt;=18,COUNTIF($K$2:$K$10,INT(A3964))&gt;0),1,0)</f>
        <v>1</v>
      </c>
      <c r="G3964" s="34" t="n">
        <f aca="false">B3964/1</f>
        <v>51.34</v>
      </c>
      <c r="H3964" s="34" t="n">
        <f aca="false">IF(F3964=1,G3964,"")</f>
        <v>51.34</v>
      </c>
    </row>
    <row r="3965" customFormat="false" ht="15" hidden="false" customHeight="false" outlineLevel="0" collapsed="false">
      <c r="A3965" s="31" t="n">
        <v>42901.125</v>
      </c>
      <c r="B3965" s="32" t="n">
        <v>51.445</v>
      </c>
      <c r="D3965" s="33" t="n">
        <f aca="false">WEEKDAY(A3965,2)</f>
        <v>4</v>
      </c>
      <c r="E3965" s="33" t="n">
        <f aca="false">HOUR(A3965)+MINUTE(A3965)/60</f>
        <v>3</v>
      </c>
      <c r="F3965" s="33" t="n">
        <f aca="false">IF(OR(D3965&gt;5,E3965&lt;8,E3965&gt;=18,COUNTIF($K$2:$K$10,INT(A3965))&gt;0),1,0)</f>
        <v>1</v>
      </c>
      <c r="G3965" s="34" t="n">
        <f aca="false">B3965/1</f>
        <v>51.445</v>
      </c>
      <c r="H3965" s="34" t="n">
        <f aca="false">IF(F3965=1,G3965,"")</f>
        <v>51.445</v>
      </c>
    </row>
    <row r="3966" customFormat="false" ht="15" hidden="false" customHeight="false" outlineLevel="0" collapsed="false">
      <c r="A3966" s="31" t="n">
        <v>42901.1666666667</v>
      </c>
      <c r="B3966" s="32" t="n">
        <v>51.607</v>
      </c>
      <c r="D3966" s="33" t="n">
        <f aca="false">WEEKDAY(A3966,2)</f>
        <v>4</v>
      </c>
      <c r="E3966" s="33" t="n">
        <f aca="false">HOUR(A3966)+MINUTE(A3966)/60</f>
        <v>4</v>
      </c>
      <c r="F3966" s="33" t="n">
        <f aca="false">IF(OR(D3966&gt;5,E3966&lt;8,E3966&gt;=18,COUNTIF($K$2:$K$10,INT(A3966))&gt;0),1,0)</f>
        <v>1</v>
      </c>
      <c r="G3966" s="34" t="n">
        <f aca="false">B3966/1</f>
        <v>51.607</v>
      </c>
      <c r="H3966" s="34" t="n">
        <f aca="false">IF(F3966=1,G3966,"")</f>
        <v>51.607</v>
      </c>
    </row>
    <row r="3967" customFormat="false" ht="15" hidden="false" customHeight="false" outlineLevel="0" collapsed="false">
      <c r="A3967" s="31" t="n">
        <v>42901.2083333333</v>
      </c>
      <c r="B3967" s="32" t="n">
        <v>51.755</v>
      </c>
      <c r="D3967" s="33" t="n">
        <f aca="false">WEEKDAY(A3967,2)</f>
        <v>4</v>
      </c>
      <c r="E3967" s="33" t="n">
        <f aca="false">HOUR(A3967)+MINUTE(A3967)/60</f>
        <v>5</v>
      </c>
      <c r="F3967" s="33" t="n">
        <f aca="false">IF(OR(D3967&gt;5,E3967&lt;8,E3967&gt;=18,COUNTIF($K$2:$K$10,INT(A3967))&gt;0),1,0)</f>
        <v>1</v>
      </c>
      <c r="G3967" s="34" t="n">
        <f aca="false">B3967/1</f>
        <v>51.755</v>
      </c>
      <c r="H3967" s="34" t="n">
        <f aca="false">IF(F3967=1,G3967,"")</f>
        <v>51.755</v>
      </c>
    </row>
    <row r="3968" customFormat="false" ht="15" hidden="false" customHeight="false" outlineLevel="0" collapsed="false">
      <c r="A3968" s="31" t="n">
        <v>42901.25</v>
      </c>
      <c r="B3968" s="32" t="n">
        <v>51.734</v>
      </c>
      <c r="D3968" s="33" t="n">
        <f aca="false">WEEKDAY(A3968,2)</f>
        <v>4</v>
      </c>
      <c r="E3968" s="33" t="n">
        <f aca="false">HOUR(A3968)+MINUTE(A3968)/60</f>
        <v>6</v>
      </c>
      <c r="F3968" s="33" t="n">
        <f aca="false">IF(OR(D3968&gt;5,E3968&lt;8,E3968&gt;=18,COUNTIF($K$2:$K$10,INT(A3968))&gt;0),1,0)</f>
        <v>1</v>
      </c>
      <c r="G3968" s="34" t="n">
        <f aca="false">B3968/1</f>
        <v>51.734</v>
      </c>
      <c r="H3968" s="34" t="n">
        <f aca="false">IF(F3968=1,G3968,"")</f>
        <v>51.734</v>
      </c>
    </row>
    <row r="3969" customFormat="false" ht="15" hidden="false" customHeight="false" outlineLevel="0" collapsed="false">
      <c r="A3969" s="31" t="n">
        <v>42901.2916666667</v>
      </c>
      <c r="B3969" s="32" t="n">
        <v>59.599</v>
      </c>
      <c r="D3969" s="33" t="n">
        <f aca="false">WEEKDAY(A3969,2)</f>
        <v>4</v>
      </c>
      <c r="E3969" s="33" t="n">
        <f aca="false">HOUR(A3969)+MINUTE(A3969)/60</f>
        <v>7</v>
      </c>
      <c r="F3969" s="33" t="n">
        <f aca="false">IF(OR(D3969&gt;5,E3969&lt;8,E3969&gt;=18,COUNTIF($K$2:$K$10,INT(A3969))&gt;0),1,0)</f>
        <v>1</v>
      </c>
      <c r="G3969" s="34" t="n">
        <f aca="false">B3969/1</f>
        <v>59.599</v>
      </c>
      <c r="H3969" s="34" t="n">
        <f aca="false">IF(F3969=1,G3969,"")</f>
        <v>59.599</v>
      </c>
    </row>
    <row r="3970" customFormat="false" ht="15" hidden="false" customHeight="false" outlineLevel="0" collapsed="false">
      <c r="A3970" s="31" t="n">
        <v>42901.3333333333</v>
      </c>
      <c r="B3970" s="32" t="n">
        <v>168.527</v>
      </c>
      <c r="D3970" s="33" t="n">
        <f aca="false">WEEKDAY(A3970,2)</f>
        <v>4</v>
      </c>
      <c r="E3970" s="33" t="n">
        <f aca="false">HOUR(A3970)+MINUTE(A3970)/60</f>
        <v>8</v>
      </c>
      <c r="F3970" s="33" t="n">
        <f aca="false">IF(OR(D3970&gt;5,E3970&lt;8,E3970&gt;=18,COUNTIF($K$2:$K$10,INT(A3970))&gt;0),1,0)</f>
        <v>0</v>
      </c>
      <c r="G3970" s="34" t="n">
        <f aca="false">B3970/1</f>
        <v>168.527</v>
      </c>
      <c r="H3970" s="34" t="str">
        <f aca="false">IF(F3970=1,G3970,"")</f>
        <v/>
      </c>
    </row>
    <row r="3971" customFormat="false" ht="15" hidden="false" customHeight="false" outlineLevel="0" collapsed="false">
      <c r="A3971" s="31" t="n">
        <v>42901.375</v>
      </c>
      <c r="B3971" s="32" t="n">
        <v>194.635</v>
      </c>
      <c r="D3971" s="33" t="n">
        <f aca="false">WEEKDAY(A3971,2)</f>
        <v>4</v>
      </c>
      <c r="E3971" s="33" t="n">
        <f aca="false">HOUR(A3971)+MINUTE(A3971)/60</f>
        <v>9</v>
      </c>
      <c r="F3971" s="33" t="n">
        <f aca="false">IF(OR(D3971&gt;5,E3971&lt;8,E3971&gt;=18,COUNTIF($K$2:$K$10,INT(A3971))&gt;0),1,0)</f>
        <v>0</v>
      </c>
      <c r="G3971" s="34" t="n">
        <f aca="false">B3971/1</f>
        <v>194.635</v>
      </c>
      <c r="H3971" s="34" t="str">
        <f aca="false">IF(F3971=1,G3971,"")</f>
        <v/>
      </c>
    </row>
    <row r="3972" customFormat="false" ht="15" hidden="false" customHeight="false" outlineLevel="0" collapsed="false">
      <c r="A3972" s="31" t="n">
        <v>42901.4166666667</v>
      </c>
      <c r="B3972" s="32" t="n">
        <v>205.415</v>
      </c>
      <c r="D3972" s="33" t="n">
        <f aca="false">WEEKDAY(A3972,2)</f>
        <v>4</v>
      </c>
      <c r="E3972" s="33" t="n">
        <f aca="false">HOUR(A3972)+MINUTE(A3972)/60</f>
        <v>10</v>
      </c>
      <c r="F3972" s="33" t="n">
        <f aca="false">IF(OR(D3972&gt;5,E3972&lt;8,E3972&gt;=18,COUNTIF($K$2:$K$10,INT(A3972))&gt;0),1,0)</f>
        <v>0</v>
      </c>
      <c r="G3972" s="34" t="n">
        <f aca="false">B3972/1</f>
        <v>205.415</v>
      </c>
      <c r="H3972" s="34" t="str">
        <f aca="false">IF(F3972=1,G3972,"")</f>
        <v/>
      </c>
    </row>
    <row r="3973" customFormat="false" ht="15" hidden="false" customHeight="false" outlineLevel="0" collapsed="false">
      <c r="A3973" s="31" t="n">
        <v>42901.4583333333</v>
      </c>
      <c r="B3973" s="32" t="n">
        <v>217.539</v>
      </c>
      <c r="D3973" s="33" t="n">
        <f aca="false">WEEKDAY(A3973,2)</f>
        <v>4</v>
      </c>
      <c r="E3973" s="33" t="n">
        <f aca="false">HOUR(A3973)+MINUTE(A3973)/60</f>
        <v>11</v>
      </c>
      <c r="F3973" s="33" t="n">
        <f aca="false">IF(OR(D3973&gt;5,E3973&lt;8,E3973&gt;=18,COUNTIF($K$2:$K$10,INT(A3973))&gt;0),1,0)</f>
        <v>0</v>
      </c>
      <c r="G3973" s="34" t="n">
        <f aca="false">B3973/1</f>
        <v>217.539</v>
      </c>
      <c r="H3973" s="34" t="str">
        <f aca="false">IF(F3973=1,G3973,"")</f>
        <v/>
      </c>
    </row>
    <row r="3974" customFormat="false" ht="15" hidden="false" customHeight="false" outlineLevel="0" collapsed="false">
      <c r="A3974" s="31" t="n">
        <v>42901.5</v>
      </c>
      <c r="B3974" s="32" t="n">
        <v>235.141</v>
      </c>
      <c r="D3974" s="33" t="n">
        <f aca="false">WEEKDAY(A3974,2)</f>
        <v>4</v>
      </c>
      <c r="E3974" s="33" t="n">
        <f aca="false">HOUR(A3974)+MINUTE(A3974)/60</f>
        <v>12</v>
      </c>
      <c r="F3974" s="33" t="n">
        <f aca="false">IF(OR(D3974&gt;5,E3974&lt;8,E3974&gt;=18,COUNTIF($K$2:$K$10,INT(A3974))&gt;0),1,0)</f>
        <v>0</v>
      </c>
      <c r="G3974" s="34" t="n">
        <f aca="false">B3974/1</f>
        <v>235.141</v>
      </c>
      <c r="H3974" s="34" t="str">
        <f aca="false">IF(F3974=1,G3974,"")</f>
        <v/>
      </c>
    </row>
    <row r="3975" customFormat="false" ht="15" hidden="false" customHeight="false" outlineLevel="0" collapsed="false">
      <c r="A3975" s="31" t="n">
        <v>42901.5416666667</v>
      </c>
      <c r="B3975" s="32" t="n">
        <v>233.686</v>
      </c>
      <c r="D3975" s="33" t="n">
        <f aca="false">WEEKDAY(A3975,2)</f>
        <v>4</v>
      </c>
      <c r="E3975" s="33" t="n">
        <f aca="false">HOUR(A3975)+MINUTE(A3975)/60</f>
        <v>13</v>
      </c>
      <c r="F3975" s="33" t="n">
        <f aca="false">IF(OR(D3975&gt;5,E3975&lt;8,E3975&gt;=18,COUNTIF($K$2:$K$10,INT(A3975))&gt;0),1,0)</f>
        <v>0</v>
      </c>
      <c r="G3975" s="34" t="n">
        <f aca="false">B3975/1</f>
        <v>233.686</v>
      </c>
      <c r="H3975" s="34" t="str">
        <f aca="false">IF(F3975=1,G3975,"")</f>
        <v/>
      </c>
    </row>
    <row r="3976" customFormat="false" ht="15" hidden="false" customHeight="false" outlineLevel="0" collapsed="false">
      <c r="A3976" s="31" t="n">
        <v>42901.5833333333</v>
      </c>
      <c r="B3976" s="32" t="n">
        <v>224.846</v>
      </c>
      <c r="D3976" s="33" t="n">
        <f aca="false">WEEKDAY(A3976,2)</f>
        <v>4</v>
      </c>
      <c r="E3976" s="33" t="n">
        <f aca="false">HOUR(A3976)+MINUTE(A3976)/60</f>
        <v>14</v>
      </c>
      <c r="F3976" s="33" t="n">
        <f aca="false">IF(OR(D3976&gt;5,E3976&lt;8,E3976&gt;=18,COUNTIF($K$2:$K$10,INT(A3976))&gt;0),1,0)</f>
        <v>0</v>
      </c>
      <c r="G3976" s="34" t="n">
        <f aca="false">B3976/1</f>
        <v>224.846</v>
      </c>
      <c r="H3976" s="34" t="str">
        <f aca="false">IF(F3976=1,G3976,"")</f>
        <v/>
      </c>
    </row>
    <row r="3977" customFormat="false" ht="15" hidden="false" customHeight="false" outlineLevel="0" collapsed="false">
      <c r="A3977" s="31" t="n">
        <v>42901.625</v>
      </c>
      <c r="B3977" s="32" t="n">
        <v>216.842</v>
      </c>
      <c r="D3977" s="33" t="n">
        <f aca="false">WEEKDAY(A3977,2)</f>
        <v>4</v>
      </c>
      <c r="E3977" s="33" t="n">
        <f aca="false">HOUR(A3977)+MINUTE(A3977)/60</f>
        <v>15</v>
      </c>
      <c r="F3977" s="33" t="n">
        <f aca="false">IF(OR(D3977&gt;5,E3977&lt;8,E3977&gt;=18,COUNTIF($K$2:$K$10,INT(A3977))&gt;0),1,0)</f>
        <v>0</v>
      </c>
      <c r="G3977" s="34" t="n">
        <f aca="false">B3977/1</f>
        <v>216.842</v>
      </c>
      <c r="H3977" s="34" t="str">
        <f aca="false">IF(F3977=1,G3977,"")</f>
        <v/>
      </c>
    </row>
    <row r="3978" customFormat="false" ht="15" hidden="false" customHeight="false" outlineLevel="0" collapsed="false">
      <c r="A3978" s="31" t="n">
        <v>42901.6666666667</v>
      </c>
      <c r="B3978" s="32" t="n">
        <v>202.628</v>
      </c>
      <c r="D3978" s="33" t="n">
        <f aca="false">WEEKDAY(A3978,2)</f>
        <v>4</v>
      </c>
      <c r="E3978" s="33" t="n">
        <f aca="false">HOUR(A3978)+MINUTE(A3978)/60</f>
        <v>16</v>
      </c>
      <c r="F3978" s="33" t="n">
        <f aca="false">IF(OR(D3978&gt;5,E3978&lt;8,E3978&gt;=18,COUNTIF($K$2:$K$10,INT(A3978))&gt;0),1,0)</f>
        <v>0</v>
      </c>
      <c r="G3978" s="34" t="n">
        <f aca="false">B3978/1</f>
        <v>202.628</v>
      </c>
      <c r="H3978" s="34" t="str">
        <f aca="false">IF(F3978=1,G3978,"")</f>
        <v/>
      </c>
    </row>
    <row r="3979" customFormat="false" ht="15" hidden="false" customHeight="false" outlineLevel="0" collapsed="false">
      <c r="A3979" s="31" t="n">
        <v>42901.7083333333</v>
      </c>
      <c r="B3979" s="32" t="n">
        <v>192.628</v>
      </c>
      <c r="D3979" s="33" t="n">
        <f aca="false">WEEKDAY(A3979,2)</f>
        <v>4</v>
      </c>
      <c r="E3979" s="33" t="n">
        <f aca="false">HOUR(A3979)+MINUTE(A3979)/60</f>
        <v>17</v>
      </c>
      <c r="F3979" s="33" t="n">
        <f aca="false">IF(OR(D3979&gt;5,E3979&lt;8,E3979&gt;=18,COUNTIF($K$2:$K$10,INT(A3979))&gt;0),1,0)</f>
        <v>0</v>
      </c>
      <c r="G3979" s="34" t="n">
        <f aca="false">B3979/1</f>
        <v>192.628</v>
      </c>
      <c r="H3979" s="34" t="str">
        <f aca="false">IF(F3979=1,G3979,"")</f>
        <v/>
      </c>
    </row>
    <row r="3980" customFormat="false" ht="15" hidden="false" customHeight="false" outlineLevel="0" collapsed="false">
      <c r="A3980" s="31" t="n">
        <v>42901.75</v>
      </c>
      <c r="B3980" s="32" t="n">
        <v>183.886</v>
      </c>
      <c r="D3980" s="33" t="n">
        <f aca="false">WEEKDAY(A3980,2)</f>
        <v>4</v>
      </c>
      <c r="E3980" s="33" t="n">
        <f aca="false">HOUR(A3980)+MINUTE(A3980)/60</f>
        <v>18</v>
      </c>
      <c r="F3980" s="33" t="n">
        <f aca="false">IF(OR(D3980&gt;5,E3980&lt;8,E3980&gt;=18,COUNTIF($K$2:$K$10,INT(A3980))&gt;0),1,0)</f>
        <v>1</v>
      </c>
      <c r="G3980" s="34" t="n">
        <f aca="false">B3980/1</f>
        <v>183.886</v>
      </c>
      <c r="H3980" s="34" t="n">
        <f aca="false">IF(F3980=1,G3980,"")</f>
        <v>183.886</v>
      </c>
    </row>
    <row r="3981" customFormat="false" ht="15" hidden="false" customHeight="false" outlineLevel="0" collapsed="false">
      <c r="A3981" s="31" t="n">
        <v>42901.7916666667</v>
      </c>
      <c r="B3981" s="32" t="n">
        <v>178.296</v>
      </c>
      <c r="D3981" s="33" t="n">
        <f aca="false">WEEKDAY(A3981,2)</f>
        <v>4</v>
      </c>
      <c r="E3981" s="33" t="n">
        <f aca="false">HOUR(A3981)+MINUTE(A3981)/60</f>
        <v>19</v>
      </c>
      <c r="F3981" s="33" t="n">
        <f aca="false">IF(OR(D3981&gt;5,E3981&lt;8,E3981&gt;=18,COUNTIF($K$2:$K$10,INT(A3981))&gt;0),1,0)</f>
        <v>1</v>
      </c>
      <c r="G3981" s="34" t="n">
        <f aca="false">B3981/1</f>
        <v>178.296</v>
      </c>
      <c r="H3981" s="34" t="n">
        <f aca="false">IF(F3981=1,G3981,"")</f>
        <v>178.296</v>
      </c>
    </row>
    <row r="3982" customFormat="false" ht="15" hidden="false" customHeight="false" outlineLevel="0" collapsed="false">
      <c r="A3982" s="31" t="n">
        <v>42901.8333333333</v>
      </c>
      <c r="B3982" s="32" t="n">
        <v>174.143</v>
      </c>
      <c r="D3982" s="33" t="n">
        <f aca="false">WEEKDAY(A3982,2)</f>
        <v>4</v>
      </c>
      <c r="E3982" s="33" t="n">
        <f aca="false">HOUR(A3982)+MINUTE(A3982)/60</f>
        <v>20</v>
      </c>
      <c r="F3982" s="33" t="n">
        <f aca="false">IF(OR(D3982&gt;5,E3982&lt;8,E3982&gt;=18,COUNTIF($K$2:$K$10,INT(A3982))&gt;0),1,0)</f>
        <v>1</v>
      </c>
      <c r="G3982" s="34" t="n">
        <f aca="false">B3982/1</f>
        <v>174.143</v>
      </c>
      <c r="H3982" s="34" t="n">
        <f aca="false">IF(F3982=1,G3982,"")</f>
        <v>174.143</v>
      </c>
    </row>
    <row r="3983" customFormat="false" ht="15" hidden="false" customHeight="false" outlineLevel="0" collapsed="false">
      <c r="A3983" s="31" t="n">
        <v>42901.875</v>
      </c>
      <c r="B3983" s="32" t="n">
        <v>171.775</v>
      </c>
      <c r="D3983" s="33" t="n">
        <f aca="false">WEEKDAY(A3983,2)</f>
        <v>4</v>
      </c>
      <c r="E3983" s="33" t="n">
        <f aca="false">HOUR(A3983)+MINUTE(A3983)/60</f>
        <v>21</v>
      </c>
      <c r="F3983" s="33" t="n">
        <f aca="false">IF(OR(D3983&gt;5,E3983&lt;8,E3983&gt;=18,COUNTIF($K$2:$K$10,INT(A3983))&gt;0),1,0)</f>
        <v>1</v>
      </c>
      <c r="G3983" s="34" t="n">
        <f aca="false">B3983/1</f>
        <v>171.775</v>
      </c>
      <c r="H3983" s="34" t="n">
        <f aca="false">IF(F3983=1,G3983,"")</f>
        <v>171.775</v>
      </c>
    </row>
    <row r="3984" customFormat="false" ht="15" hidden="false" customHeight="false" outlineLevel="0" collapsed="false">
      <c r="A3984" s="31" t="n">
        <v>42901.9166666667</v>
      </c>
      <c r="B3984" s="32" t="n">
        <v>118.458</v>
      </c>
      <c r="D3984" s="33" t="n">
        <f aca="false">WEEKDAY(A3984,2)</f>
        <v>4</v>
      </c>
      <c r="E3984" s="33" t="n">
        <f aca="false">HOUR(A3984)+MINUTE(A3984)/60</f>
        <v>22</v>
      </c>
      <c r="F3984" s="33" t="n">
        <f aca="false">IF(OR(D3984&gt;5,E3984&lt;8,E3984&gt;=18,COUNTIF($K$2:$K$10,INT(A3984))&gt;0),1,0)</f>
        <v>1</v>
      </c>
      <c r="G3984" s="34" t="n">
        <f aca="false">B3984/1</f>
        <v>118.458</v>
      </c>
      <c r="H3984" s="34" t="n">
        <f aca="false">IF(F3984=1,G3984,"")</f>
        <v>118.458</v>
      </c>
    </row>
    <row r="3985" customFormat="false" ht="15" hidden="false" customHeight="false" outlineLevel="0" collapsed="false">
      <c r="A3985" s="31" t="n">
        <v>42901.9583333333</v>
      </c>
      <c r="B3985" s="32" t="n">
        <v>57.777</v>
      </c>
      <c r="D3985" s="33" t="n">
        <f aca="false">WEEKDAY(A3985,2)</f>
        <v>4</v>
      </c>
      <c r="E3985" s="33" t="n">
        <f aca="false">HOUR(A3985)+MINUTE(A3985)/60</f>
        <v>23</v>
      </c>
      <c r="F3985" s="33" t="n">
        <f aca="false">IF(OR(D3985&gt;5,E3985&lt;8,E3985&gt;=18,COUNTIF($K$2:$K$10,INT(A3985))&gt;0),1,0)</f>
        <v>1</v>
      </c>
      <c r="G3985" s="34" t="n">
        <f aca="false">B3985/1</f>
        <v>57.777</v>
      </c>
      <c r="H3985" s="34" t="n">
        <f aca="false">IF(F3985=1,G3985,"")</f>
        <v>57.777</v>
      </c>
    </row>
    <row r="3986" customFormat="false" ht="15" hidden="false" customHeight="false" outlineLevel="0" collapsed="false">
      <c r="A3986" s="31" t="n">
        <v>42902</v>
      </c>
      <c r="B3986" s="32" t="n">
        <v>56.669</v>
      </c>
      <c r="D3986" s="33" t="n">
        <f aca="false">WEEKDAY(A3986,2)</f>
        <v>5</v>
      </c>
      <c r="E3986" s="33" t="n">
        <f aca="false">HOUR(A3986)+MINUTE(A3986)/60</f>
        <v>0</v>
      </c>
      <c r="F3986" s="33" t="n">
        <f aca="false">IF(OR(D3986&gt;5,E3986&lt;8,E3986&gt;=18,COUNTIF($K$2:$K$10,INT(A3986))&gt;0),1,0)</f>
        <v>1</v>
      </c>
      <c r="G3986" s="34" t="n">
        <f aca="false">B3986/1</f>
        <v>56.669</v>
      </c>
      <c r="H3986" s="34" t="n">
        <f aca="false">IF(F3986=1,G3986,"")</f>
        <v>56.669</v>
      </c>
    </row>
    <row r="3987" customFormat="false" ht="15" hidden="false" customHeight="false" outlineLevel="0" collapsed="false">
      <c r="A3987" s="31" t="n">
        <v>42902.0416666667</v>
      </c>
      <c r="B3987" s="32" t="n">
        <v>51.591</v>
      </c>
      <c r="D3987" s="33" t="n">
        <f aca="false">WEEKDAY(A3987,2)</f>
        <v>5</v>
      </c>
      <c r="E3987" s="33" t="n">
        <f aca="false">HOUR(A3987)+MINUTE(A3987)/60</f>
        <v>1</v>
      </c>
      <c r="F3987" s="33" t="n">
        <f aca="false">IF(OR(D3987&gt;5,E3987&lt;8,E3987&gt;=18,COUNTIF($K$2:$K$10,INT(A3987))&gt;0),1,0)</f>
        <v>1</v>
      </c>
      <c r="G3987" s="34" t="n">
        <f aca="false">B3987/1</f>
        <v>51.591</v>
      </c>
      <c r="H3987" s="34" t="n">
        <f aca="false">IF(F3987=1,G3987,"")</f>
        <v>51.591</v>
      </c>
    </row>
    <row r="3988" customFormat="false" ht="15" hidden="false" customHeight="false" outlineLevel="0" collapsed="false">
      <c r="A3988" s="31" t="n">
        <v>42902.0833333333</v>
      </c>
      <c r="B3988" s="32" t="n">
        <v>50.759</v>
      </c>
      <c r="D3988" s="33" t="n">
        <f aca="false">WEEKDAY(A3988,2)</f>
        <v>5</v>
      </c>
      <c r="E3988" s="33" t="n">
        <f aca="false">HOUR(A3988)+MINUTE(A3988)/60</f>
        <v>2</v>
      </c>
      <c r="F3988" s="33" t="n">
        <f aca="false">IF(OR(D3988&gt;5,E3988&lt;8,E3988&gt;=18,COUNTIF($K$2:$K$10,INT(A3988))&gt;0),1,0)</f>
        <v>1</v>
      </c>
      <c r="G3988" s="34" t="n">
        <f aca="false">B3988/1</f>
        <v>50.759</v>
      </c>
      <c r="H3988" s="34" t="n">
        <f aca="false">IF(F3988=1,G3988,"")</f>
        <v>50.759</v>
      </c>
    </row>
    <row r="3989" customFormat="false" ht="15" hidden="false" customHeight="false" outlineLevel="0" collapsed="false">
      <c r="A3989" s="31" t="n">
        <v>42902.125</v>
      </c>
      <c r="B3989" s="32" t="n">
        <v>50.821</v>
      </c>
      <c r="D3989" s="33" t="n">
        <f aca="false">WEEKDAY(A3989,2)</f>
        <v>5</v>
      </c>
      <c r="E3989" s="33" t="n">
        <f aca="false">HOUR(A3989)+MINUTE(A3989)/60</f>
        <v>3</v>
      </c>
      <c r="F3989" s="33" t="n">
        <f aca="false">IF(OR(D3989&gt;5,E3989&lt;8,E3989&gt;=18,COUNTIF($K$2:$K$10,INT(A3989))&gt;0),1,0)</f>
        <v>1</v>
      </c>
      <c r="G3989" s="34" t="n">
        <f aca="false">B3989/1</f>
        <v>50.821</v>
      </c>
      <c r="H3989" s="34" t="n">
        <f aca="false">IF(F3989=1,G3989,"")</f>
        <v>50.821</v>
      </c>
    </row>
    <row r="3990" customFormat="false" ht="15" hidden="false" customHeight="false" outlineLevel="0" collapsed="false">
      <c r="A3990" s="31" t="n">
        <v>42902.1666666667</v>
      </c>
      <c r="B3990" s="32" t="n">
        <v>50.286</v>
      </c>
      <c r="D3990" s="33" t="n">
        <f aca="false">WEEKDAY(A3990,2)</f>
        <v>5</v>
      </c>
      <c r="E3990" s="33" t="n">
        <f aca="false">HOUR(A3990)+MINUTE(A3990)/60</f>
        <v>4</v>
      </c>
      <c r="F3990" s="33" t="n">
        <f aca="false">IF(OR(D3990&gt;5,E3990&lt;8,E3990&gt;=18,COUNTIF($K$2:$K$10,INT(A3990))&gt;0),1,0)</f>
        <v>1</v>
      </c>
      <c r="G3990" s="34" t="n">
        <f aca="false">B3990/1</f>
        <v>50.286</v>
      </c>
      <c r="H3990" s="34" t="n">
        <f aca="false">IF(F3990=1,G3990,"")</f>
        <v>50.286</v>
      </c>
    </row>
    <row r="3991" customFormat="false" ht="15" hidden="false" customHeight="false" outlineLevel="0" collapsed="false">
      <c r="A3991" s="31" t="n">
        <v>42902.2083333333</v>
      </c>
      <c r="B3991" s="32" t="n">
        <v>50.992</v>
      </c>
      <c r="D3991" s="33" t="n">
        <f aca="false">WEEKDAY(A3991,2)</f>
        <v>5</v>
      </c>
      <c r="E3991" s="33" t="n">
        <f aca="false">HOUR(A3991)+MINUTE(A3991)/60</f>
        <v>5</v>
      </c>
      <c r="F3991" s="33" t="n">
        <f aca="false">IF(OR(D3991&gt;5,E3991&lt;8,E3991&gt;=18,COUNTIF($K$2:$K$10,INT(A3991))&gt;0),1,0)</f>
        <v>1</v>
      </c>
      <c r="G3991" s="34" t="n">
        <f aca="false">B3991/1</f>
        <v>50.992</v>
      </c>
      <c r="H3991" s="34" t="n">
        <f aca="false">IF(F3991=1,G3991,"")</f>
        <v>50.992</v>
      </c>
    </row>
    <row r="3992" customFormat="false" ht="15" hidden="false" customHeight="false" outlineLevel="0" collapsed="false">
      <c r="A3992" s="31" t="n">
        <v>42902.25</v>
      </c>
      <c r="B3992" s="32" t="n">
        <v>51.571</v>
      </c>
      <c r="D3992" s="33" t="n">
        <f aca="false">WEEKDAY(A3992,2)</f>
        <v>5</v>
      </c>
      <c r="E3992" s="33" t="n">
        <f aca="false">HOUR(A3992)+MINUTE(A3992)/60</f>
        <v>6</v>
      </c>
      <c r="F3992" s="33" t="n">
        <f aca="false">IF(OR(D3992&gt;5,E3992&lt;8,E3992&gt;=18,COUNTIF($K$2:$K$10,INT(A3992))&gt;0),1,0)</f>
        <v>1</v>
      </c>
      <c r="G3992" s="34" t="n">
        <f aca="false">B3992/1</f>
        <v>51.571</v>
      </c>
      <c r="H3992" s="34" t="n">
        <f aca="false">IF(F3992=1,G3992,"")</f>
        <v>51.571</v>
      </c>
    </row>
    <row r="3993" customFormat="false" ht="15" hidden="false" customHeight="false" outlineLevel="0" collapsed="false">
      <c r="A3993" s="31" t="n">
        <v>42902.2916666667</v>
      </c>
      <c r="B3993" s="32" t="n">
        <v>61.99</v>
      </c>
      <c r="D3993" s="33" t="n">
        <f aca="false">WEEKDAY(A3993,2)</f>
        <v>5</v>
      </c>
      <c r="E3993" s="33" t="n">
        <f aca="false">HOUR(A3993)+MINUTE(A3993)/60</f>
        <v>7</v>
      </c>
      <c r="F3993" s="33" t="n">
        <f aca="false">IF(OR(D3993&gt;5,E3993&lt;8,E3993&gt;=18,COUNTIF($K$2:$K$10,INT(A3993))&gt;0),1,0)</f>
        <v>1</v>
      </c>
      <c r="G3993" s="34" t="n">
        <f aca="false">B3993/1</f>
        <v>61.99</v>
      </c>
      <c r="H3993" s="34" t="n">
        <f aca="false">IF(F3993=1,G3993,"")</f>
        <v>61.99</v>
      </c>
    </row>
    <row r="3994" customFormat="false" ht="15" hidden="false" customHeight="false" outlineLevel="0" collapsed="false">
      <c r="A3994" s="31" t="n">
        <v>42902.3333333333</v>
      </c>
      <c r="B3994" s="32" t="n">
        <v>167.36</v>
      </c>
      <c r="D3994" s="33" t="n">
        <f aca="false">WEEKDAY(A3994,2)</f>
        <v>5</v>
      </c>
      <c r="E3994" s="33" t="n">
        <f aca="false">HOUR(A3994)+MINUTE(A3994)/60</f>
        <v>8</v>
      </c>
      <c r="F3994" s="33" t="n">
        <f aca="false">IF(OR(D3994&gt;5,E3994&lt;8,E3994&gt;=18,COUNTIF($K$2:$K$10,INT(A3994))&gt;0),1,0)</f>
        <v>0</v>
      </c>
      <c r="G3994" s="34" t="n">
        <f aca="false">B3994/1</f>
        <v>167.36</v>
      </c>
      <c r="H3994" s="34" t="str">
        <f aca="false">IF(F3994=1,G3994,"")</f>
        <v/>
      </c>
    </row>
    <row r="3995" customFormat="false" ht="15" hidden="false" customHeight="false" outlineLevel="0" collapsed="false">
      <c r="A3995" s="31" t="n">
        <v>42902.375</v>
      </c>
      <c r="B3995" s="32" t="n">
        <v>181.686</v>
      </c>
      <c r="D3995" s="33" t="n">
        <f aca="false">WEEKDAY(A3995,2)</f>
        <v>5</v>
      </c>
      <c r="E3995" s="33" t="n">
        <f aca="false">HOUR(A3995)+MINUTE(A3995)/60</f>
        <v>9</v>
      </c>
      <c r="F3995" s="33" t="n">
        <f aca="false">IF(OR(D3995&gt;5,E3995&lt;8,E3995&gt;=18,COUNTIF($K$2:$K$10,INT(A3995))&gt;0),1,0)</f>
        <v>0</v>
      </c>
      <c r="G3995" s="34" t="n">
        <f aca="false">B3995/1</f>
        <v>181.686</v>
      </c>
      <c r="H3995" s="34" t="str">
        <f aca="false">IF(F3995=1,G3995,"")</f>
        <v/>
      </c>
    </row>
    <row r="3996" customFormat="false" ht="15" hidden="false" customHeight="false" outlineLevel="0" collapsed="false">
      <c r="A3996" s="31" t="n">
        <v>42902.4166666667</v>
      </c>
      <c r="B3996" s="32" t="n">
        <v>192.419</v>
      </c>
      <c r="D3996" s="33" t="n">
        <f aca="false">WEEKDAY(A3996,2)</f>
        <v>5</v>
      </c>
      <c r="E3996" s="33" t="n">
        <f aca="false">HOUR(A3996)+MINUTE(A3996)/60</f>
        <v>10</v>
      </c>
      <c r="F3996" s="33" t="n">
        <f aca="false">IF(OR(D3996&gt;5,E3996&lt;8,E3996&gt;=18,COUNTIF($K$2:$K$10,INT(A3996))&gt;0),1,0)</f>
        <v>0</v>
      </c>
      <c r="G3996" s="34" t="n">
        <f aca="false">B3996/1</f>
        <v>192.419</v>
      </c>
      <c r="H3996" s="34" t="str">
        <f aca="false">IF(F3996=1,G3996,"")</f>
        <v/>
      </c>
    </row>
    <row r="3997" customFormat="false" ht="15" hidden="false" customHeight="false" outlineLevel="0" collapsed="false">
      <c r="A3997" s="31" t="n">
        <v>42902.4583333333</v>
      </c>
      <c r="B3997" s="32" t="n">
        <v>198.364</v>
      </c>
      <c r="D3997" s="33" t="n">
        <f aca="false">WEEKDAY(A3997,2)</f>
        <v>5</v>
      </c>
      <c r="E3997" s="33" t="n">
        <f aca="false">HOUR(A3997)+MINUTE(A3997)/60</f>
        <v>11</v>
      </c>
      <c r="F3997" s="33" t="n">
        <f aca="false">IF(OR(D3997&gt;5,E3997&lt;8,E3997&gt;=18,COUNTIF($K$2:$K$10,INT(A3997))&gt;0),1,0)</f>
        <v>0</v>
      </c>
      <c r="G3997" s="34" t="n">
        <f aca="false">B3997/1</f>
        <v>198.364</v>
      </c>
      <c r="H3997" s="34" t="str">
        <f aca="false">IF(F3997=1,G3997,"")</f>
        <v/>
      </c>
    </row>
    <row r="3998" customFormat="false" ht="15" hidden="false" customHeight="false" outlineLevel="0" collapsed="false">
      <c r="A3998" s="31" t="n">
        <v>42902.5</v>
      </c>
      <c r="B3998" s="32" t="n">
        <v>202.624</v>
      </c>
      <c r="D3998" s="33" t="n">
        <f aca="false">WEEKDAY(A3998,2)</f>
        <v>5</v>
      </c>
      <c r="E3998" s="33" t="n">
        <f aca="false">HOUR(A3998)+MINUTE(A3998)/60</f>
        <v>12</v>
      </c>
      <c r="F3998" s="33" t="n">
        <f aca="false">IF(OR(D3998&gt;5,E3998&lt;8,E3998&gt;=18,COUNTIF($K$2:$K$10,INT(A3998))&gt;0),1,0)</f>
        <v>0</v>
      </c>
      <c r="G3998" s="34" t="n">
        <f aca="false">B3998/1</f>
        <v>202.624</v>
      </c>
      <c r="H3998" s="34" t="str">
        <f aca="false">IF(F3998=1,G3998,"")</f>
        <v/>
      </c>
    </row>
    <row r="3999" customFormat="false" ht="15" hidden="false" customHeight="false" outlineLevel="0" collapsed="false">
      <c r="A3999" s="31" t="n">
        <v>42902.5416666667</v>
      </c>
      <c r="B3999" s="32" t="n">
        <v>202.464</v>
      </c>
      <c r="D3999" s="33" t="n">
        <f aca="false">WEEKDAY(A3999,2)</f>
        <v>5</v>
      </c>
      <c r="E3999" s="33" t="n">
        <f aca="false">HOUR(A3999)+MINUTE(A3999)/60</f>
        <v>13</v>
      </c>
      <c r="F3999" s="33" t="n">
        <f aca="false">IF(OR(D3999&gt;5,E3999&lt;8,E3999&gt;=18,COUNTIF($K$2:$K$10,INT(A3999))&gt;0),1,0)</f>
        <v>0</v>
      </c>
      <c r="G3999" s="34" t="n">
        <f aca="false">B3999/1</f>
        <v>202.464</v>
      </c>
      <c r="H3999" s="34" t="str">
        <f aca="false">IF(F3999=1,G3999,"")</f>
        <v/>
      </c>
    </row>
    <row r="4000" customFormat="false" ht="15" hidden="false" customHeight="false" outlineLevel="0" collapsed="false">
      <c r="A4000" s="31" t="n">
        <v>42902.5833333333</v>
      </c>
      <c r="B4000" s="32" t="n">
        <v>204.701</v>
      </c>
      <c r="D4000" s="33" t="n">
        <f aca="false">WEEKDAY(A4000,2)</f>
        <v>5</v>
      </c>
      <c r="E4000" s="33" t="n">
        <f aca="false">HOUR(A4000)+MINUTE(A4000)/60</f>
        <v>14</v>
      </c>
      <c r="F4000" s="33" t="n">
        <f aca="false">IF(OR(D4000&gt;5,E4000&lt;8,E4000&gt;=18,COUNTIF($K$2:$K$10,INT(A4000))&gt;0),1,0)</f>
        <v>0</v>
      </c>
      <c r="G4000" s="34" t="n">
        <f aca="false">B4000/1</f>
        <v>204.701</v>
      </c>
      <c r="H4000" s="34" t="str">
        <f aca="false">IF(F4000=1,G4000,"")</f>
        <v/>
      </c>
    </row>
    <row r="4001" customFormat="false" ht="15" hidden="false" customHeight="false" outlineLevel="0" collapsed="false">
      <c r="A4001" s="31" t="n">
        <v>42902.625</v>
      </c>
      <c r="B4001" s="32" t="n">
        <v>204.453</v>
      </c>
      <c r="D4001" s="33" t="n">
        <f aca="false">WEEKDAY(A4001,2)</f>
        <v>5</v>
      </c>
      <c r="E4001" s="33" t="n">
        <f aca="false">HOUR(A4001)+MINUTE(A4001)/60</f>
        <v>15</v>
      </c>
      <c r="F4001" s="33" t="n">
        <f aca="false">IF(OR(D4001&gt;5,E4001&lt;8,E4001&gt;=18,COUNTIF($K$2:$K$10,INT(A4001))&gt;0),1,0)</f>
        <v>0</v>
      </c>
      <c r="G4001" s="34" t="n">
        <f aca="false">B4001/1</f>
        <v>204.453</v>
      </c>
      <c r="H4001" s="34" t="str">
        <f aca="false">IF(F4001=1,G4001,"")</f>
        <v/>
      </c>
    </row>
    <row r="4002" customFormat="false" ht="15" hidden="false" customHeight="false" outlineLevel="0" collapsed="false">
      <c r="A4002" s="31" t="n">
        <v>42902.6666666667</v>
      </c>
      <c r="B4002" s="32" t="n">
        <v>199.761</v>
      </c>
      <c r="D4002" s="33" t="n">
        <f aca="false">WEEKDAY(A4002,2)</f>
        <v>5</v>
      </c>
      <c r="E4002" s="33" t="n">
        <f aca="false">HOUR(A4002)+MINUTE(A4002)/60</f>
        <v>16</v>
      </c>
      <c r="F4002" s="33" t="n">
        <f aca="false">IF(OR(D4002&gt;5,E4002&lt;8,E4002&gt;=18,COUNTIF($K$2:$K$10,INT(A4002))&gt;0),1,0)</f>
        <v>0</v>
      </c>
      <c r="G4002" s="34" t="n">
        <f aca="false">B4002/1</f>
        <v>199.761</v>
      </c>
      <c r="H4002" s="34" t="str">
        <f aca="false">IF(F4002=1,G4002,"")</f>
        <v/>
      </c>
    </row>
    <row r="4003" customFormat="false" ht="15" hidden="false" customHeight="false" outlineLevel="0" collapsed="false">
      <c r="A4003" s="31" t="n">
        <v>42902.7083333333</v>
      </c>
      <c r="B4003" s="32" t="n">
        <v>189.894</v>
      </c>
      <c r="D4003" s="33" t="n">
        <f aca="false">WEEKDAY(A4003,2)</f>
        <v>5</v>
      </c>
      <c r="E4003" s="33" t="n">
        <f aca="false">HOUR(A4003)+MINUTE(A4003)/60</f>
        <v>17</v>
      </c>
      <c r="F4003" s="33" t="n">
        <f aca="false">IF(OR(D4003&gt;5,E4003&lt;8,E4003&gt;=18,COUNTIF($K$2:$K$10,INT(A4003))&gt;0),1,0)</f>
        <v>0</v>
      </c>
      <c r="G4003" s="34" t="n">
        <f aca="false">B4003/1</f>
        <v>189.894</v>
      </c>
      <c r="H4003" s="34" t="str">
        <f aca="false">IF(F4003=1,G4003,"")</f>
        <v/>
      </c>
    </row>
    <row r="4004" customFormat="false" ht="15" hidden="false" customHeight="false" outlineLevel="0" collapsed="false">
      <c r="A4004" s="31" t="n">
        <v>42902.75</v>
      </c>
      <c r="B4004" s="32" t="n">
        <v>175.911</v>
      </c>
      <c r="D4004" s="33" t="n">
        <f aca="false">WEEKDAY(A4004,2)</f>
        <v>5</v>
      </c>
      <c r="E4004" s="33" t="n">
        <f aca="false">HOUR(A4004)+MINUTE(A4004)/60</f>
        <v>18</v>
      </c>
      <c r="F4004" s="33" t="n">
        <f aca="false">IF(OR(D4004&gt;5,E4004&lt;8,E4004&gt;=18,COUNTIF($K$2:$K$10,INT(A4004))&gt;0),1,0)</f>
        <v>1</v>
      </c>
      <c r="G4004" s="34" t="n">
        <f aca="false">B4004/1</f>
        <v>175.911</v>
      </c>
      <c r="H4004" s="34" t="n">
        <f aca="false">IF(F4004=1,G4004,"")</f>
        <v>175.911</v>
      </c>
    </row>
    <row r="4005" customFormat="false" ht="15" hidden="false" customHeight="false" outlineLevel="0" collapsed="false">
      <c r="A4005" s="31" t="n">
        <v>42902.7916666667</v>
      </c>
      <c r="B4005" s="32" t="n">
        <v>171.743</v>
      </c>
      <c r="D4005" s="33" t="n">
        <f aca="false">WEEKDAY(A4005,2)</f>
        <v>5</v>
      </c>
      <c r="E4005" s="33" t="n">
        <f aca="false">HOUR(A4005)+MINUTE(A4005)/60</f>
        <v>19</v>
      </c>
      <c r="F4005" s="33" t="n">
        <f aca="false">IF(OR(D4005&gt;5,E4005&lt;8,E4005&gt;=18,COUNTIF($K$2:$K$10,INT(A4005))&gt;0),1,0)</f>
        <v>1</v>
      </c>
      <c r="G4005" s="34" t="n">
        <f aca="false">B4005/1</f>
        <v>171.743</v>
      </c>
      <c r="H4005" s="34" t="n">
        <f aca="false">IF(F4005=1,G4005,"")</f>
        <v>171.743</v>
      </c>
    </row>
    <row r="4006" customFormat="false" ht="15" hidden="false" customHeight="false" outlineLevel="0" collapsed="false">
      <c r="A4006" s="31" t="n">
        <v>42902.8333333333</v>
      </c>
      <c r="B4006" s="32" t="n">
        <v>169.958</v>
      </c>
      <c r="D4006" s="33" t="n">
        <f aca="false">WEEKDAY(A4006,2)</f>
        <v>5</v>
      </c>
      <c r="E4006" s="33" t="n">
        <f aca="false">HOUR(A4006)+MINUTE(A4006)/60</f>
        <v>20</v>
      </c>
      <c r="F4006" s="33" t="n">
        <f aca="false">IF(OR(D4006&gt;5,E4006&lt;8,E4006&gt;=18,COUNTIF($K$2:$K$10,INT(A4006))&gt;0),1,0)</f>
        <v>1</v>
      </c>
      <c r="G4006" s="34" t="n">
        <f aca="false">B4006/1</f>
        <v>169.958</v>
      </c>
      <c r="H4006" s="34" t="n">
        <f aca="false">IF(F4006=1,G4006,"")</f>
        <v>169.958</v>
      </c>
    </row>
    <row r="4007" customFormat="false" ht="15" hidden="false" customHeight="false" outlineLevel="0" collapsed="false">
      <c r="A4007" s="31" t="n">
        <v>42902.875</v>
      </c>
      <c r="B4007" s="32" t="n">
        <v>167.301</v>
      </c>
      <c r="D4007" s="33" t="n">
        <f aca="false">WEEKDAY(A4007,2)</f>
        <v>5</v>
      </c>
      <c r="E4007" s="33" t="n">
        <f aca="false">HOUR(A4007)+MINUTE(A4007)/60</f>
        <v>21</v>
      </c>
      <c r="F4007" s="33" t="n">
        <f aca="false">IF(OR(D4007&gt;5,E4007&lt;8,E4007&gt;=18,COUNTIF($K$2:$K$10,INT(A4007))&gt;0),1,0)</f>
        <v>1</v>
      </c>
      <c r="G4007" s="34" t="n">
        <f aca="false">B4007/1</f>
        <v>167.301</v>
      </c>
      <c r="H4007" s="34" t="n">
        <f aca="false">IF(F4007=1,G4007,"")</f>
        <v>167.301</v>
      </c>
    </row>
    <row r="4008" customFormat="false" ht="15" hidden="false" customHeight="false" outlineLevel="0" collapsed="false">
      <c r="A4008" s="31" t="n">
        <v>42902.9166666667</v>
      </c>
      <c r="B4008" s="32" t="n">
        <v>113.179</v>
      </c>
      <c r="D4008" s="33" t="n">
        <f aca="false">WEEKDAY(A4008,2)</f>
        <v>5</v>
      </c>
      <c r="E4008" s="33" t="n">
        <f aca="false">HOUR(A4008)+MINUTE(A4008)/60</f>
        <v>22</v>
      </c>
      <c r="F4008" s="33" t="n">
        <f aca="false">IF(OR(D4008&gt;5,E4008&lt;8,E4008&gt;=18,COUNTIF($K$2:$K$10,INT(A4008))&gt;0),1,0)</f>
        <v>1</v>
      </c>
      <c r="G4008" s="34" t="n">
        <f aca="false">B4008/1</f>
        <v>113.179</v>
      </c>
      <c r="H4008" s="34" t="n">
        <f aca="false">IF(F4008=1,G4008,"")</f>
        <v>113.179</v>
      </c>
    </row>
    <row r="4009" customFormat="false" ht="15" hidden="false" customHeight="false" outlineLevel="0" collapsed="false">
      <c r="A4009" s="31" t="n">
        <v>42902.9583333333</v>
      </c>
      <c r="B4009" s="32" t="n">
        <v>55.213</v>
      </c>
      <c r="D4009" s="33" t="n">
        <f aca="false">WEEKDAY(A4009,2)</f>
        <v>5</v>
      </c>
      <c r="E4009" s="33" t="n">
        <f aca="false">HOUR(A4009)+MINUTE(A4009)/60</f>
        <v>23</v>
      </c>
      <c r="F4009" s="33" t="n">
        <f aca="false">IF(OR(D4009&gt;5,E4009&lt;8,E4009&gt;=18,COUNTIF($K$2:$K$10,INT(A4009))&gt;0),1,0)</f>
        <v>1</v>
      </c>
      <c r="G4009" s="34" t="n">
        <f aca="false">B4009/1</f>
        <v>55.213</v>
      </c>
      <c r="H4009" s="34" t="n">
        <f aca="false">IF(F4009=1,G4009,"")</f>
        <v>55.213</v>
      </c>
    </row>
    <row r="4010" customFormat="false" ht="15" hidden="false" customHeight="false" outlineLevel="0" collapsed="false">
      <c r="A4010" s="31" t="n">
        <v>42903</v>
      </c>
      <c r="B4010" s="32" t="n">
        <v>53.513</v>
      </c>
      <c r="D4010" s="33" t="n">
        <f aca="false">WEEKDAY(A4010,2)</f>
        <v>6</v>
      </c>
      <c r="E4010" s="33" t="n">
        <f aca="false">HOUR(A4010)+MINUTE(A4010)/60</f>
        <v>0</v>
      </c>
      <c r="F4010" s="33" t="n">
        <f aca="false">IF(OR(D4010&gt;5,E4010&lt;8,E4010&gt;=18,COUNTIF($K$2:$K$10,INT(A4010))&gt;0),1,0)</f>
        <v>1</v>
      </c>
      <c r="G4010" s="34" t="n">
        <f aca="false">B4010/1</f>
        <v>53.513</v>
      </c>
      <c r="H4010" s="34" t="n">
        <f aca="false">IF(F4010=1,G4010,"")</f>
        <v>53.513</v>
      </c>
    </row>
    <row r="4011" customFormat="false" ht="15" hidden="false" customHeight="false" outlineLevel="0" collapsed="false">
      <c r="A4011" s="31" t="n">
        <v>42903.0416666667</v>
      </c>
      <c r="B4011" s="32" t="n">
        <v>52.506</v>
      </c>
      <c r="D4011" s="33" t="n">
        <f aca="false">WEEKDAY(A4011,2)</f>
        <v>6</v>
      </c>
      <c r="E4011" s="33" t="n">
        <f aca="false">HOUR(A4011)+MINUTE(A4011)/60</f>
        <v>1</v>
      </c>
      <c r="F4011" s="33" t="n">
        <f aca="false">IF(OR(D4011&gt;5,E4011&lt;8,E4011&gt;=18,COUNTIF($K$2:$K$10,INT(A4011))&gt;0),1,0)</f>
        <v>1</v>
      </c>
      <c r="G4011" s="34" t="n">
        <f aca="false">B4011/1</f>
        <v>52.506</v>
      </c>
      <c r="H4011" s="34" t="n">
        <f aca="false">IF(F4011=1,G4011,"")</f>
        <v>52.506</v>
      </c>
    </row>
    <row r="4012" customFormat="false" ht="15" hidden="false" customHeight="false" outlineLevel="0" collapsed="false">
      <c r="A4012" s="31" t="n">
        <v>42903.0833333333</v>
      </c>
      <c r="B4012" s="32" t="n">
        <v>52.47</v>
      </c>
      <c r="D4012" s="33" t="n">
        <f aca="false">WEEKDAY(A4012,2)</f>
        <v>6</v>
      </c>
      <c r="E4012" s="33" t="n">
        <f aca="false">HOUR(A4012)+MINUTE(A4012)/60</f>
        <v>2</v>
      </c>
      <c r="F4012" s="33" t="n">
        <f aca="false">IF(OR(D4012&gt;5,E4012&lt;8,E4012&gt;=18,COUNTIF($K$2:$K$10,INT(A4012))&gt;0),1,0)</f>
        <v>1</v>
      </c>
      <c r="G4012" s="34" t="n">
        <f aca="false">B4012/1</f>
        <v>52.47</v>
      </c>
      <c r="H4012" s="34" t="n">
        <f aca="false">IF(F4012=1,G4012,"")</f>
        <v>52.47</v>
      </c>
    </row>
    <row r="4013" customFormat="false" ht="15" hidden="false" customHeight="false" outlineLevel="0" collapsed="false">
      <c r="A4013" s="31" t="n">
        <v>42903.125</v>
      </c>
      <c r="B4013" s="32" t="n">
        <v>53.053</v>
      </c>
      <c r="D4013" s="33" t="n">
        <f aca="false">WEEKDAY(A4013,2)</f>
        <v>6</v>
      </c>
      <c r="E4013" s="33" t="n">
        <f aca="false">HOUR(A4013)+MINUTE(A4013)/60</f>
        <v>3</v>
      </c>
      <c r="F4013" s="33" t="n">
        <f aca="false">IF(OR(D4013&gt;5,E4013&lt;8,E4013&gt;=18,COUNTIF($K$2:$K$10,INT(A4013))&gt;0),1,0)</f>
        <v>1</v>
      </c>
      <c r="G4013" s="34" t="n">
        <f aca="false">B4013/1</f>
        <v>53.053</v>
      </c>
      <c r="H4013" s="34" t="n">
        <f aca="false">IF(F4013=1,G4013,"")</f>
        <v>53.053</v>
      </c>
    </row>
    <row r="4014" customFormat="false" ht="15" hidden="false" customHeight="false" outlineLevel="0" collapsed="false">
      <c r="A4014" s="31" t="n">
        <v>42903.1666666667</v>
      </c>
      <c r="B4014" s="32" t="n">
        <v>52.287</v>
      </c>
      <c r="D4014" s="33" t="n">
        <f aca="false">WEEKDAY(A4014,2)</f>
        <v>6</v>
      </c>
      <c r="E4014" s="33" t="n">
        <f aca="false">HOUR(A4014)+MINUTE(A4014)/60</f>
        <v>4</v>
      </c>
      <c r="F4014" s="33" t="n">
        <f aca="false">IF(OR(D4014&gt;5,E4014&lt;8,E4014&gt;=18,COUNTIF($K$2:$K$10,INT(A4014))&gt;0),1,0)</f>
        <v>1</v>
      </c>
      <c r="G4014" s="34" t="n">
        <f aca="false">B4014/1</f>
        <v>52.287</v>
      </c>
      <c r="H4014" s="34" t="n">
        <f aca="false">IF(F4014=1,G4014,"")</f>
        <v>52.287</v>
      </c>
    </row>
    <row r="4015" customFormat="false" ht="15" hidden="false" customHeight="false" outlineLevel="0" collapsed="false">
      <c r="A4015" s="31" t="n">
        <v>42903.2083333333</v>
      </c>
      <c r="B4015" s="32" t="n">
        <v>51.65</v>
      </c>
      <c r="D4015" s="33" t="n">
        <f aca="false">WEEKDAY(A4015,2)</f>
        <v>6</v>
      </c>
      <c r="E4015" s="33" t="n">
        <f aca="false">HOUR(A4015)+MINUTE(A4015)/60</f>
        <v>5</v>
      </c>
      <c r="F4015" s="33" t="n">
        <f aca="false">IF(OR(D4015&gt;5,E4015&lt;8,E4015&gt;=18,COUNTIF($K$2:$K$10,INT(A4015))&gt;0),1,0)</f>
        <v>1</v>
      </c>
      <c r="G4015" s="34" t="n">
        <f aca="false">B4015/1</f>
        <v>51.65</v>
      </c>
      <c r="H4015" s="34" t="n">
        <f aca="false">IF(F4015=1,G4015,"")</f>
        <v>51.65</v>
      </c>
    </row>
    <row r="4016" customFormat="false" ht="15" hidden="false" customHeight="false" outlineLevel="0" collapsed="false">
      <c r="A4016" s="31" t="n">
        <v>42903.25</v>
      </c>
      <c r="B4016" s="32" t="n">
        <v>52.164</v>
      </c>
      <c r="D4016" s="33" t="n">
        <f aca="false">WEEKDAY(A4016,2)</f>
        <v>6</v>
      </c>
      <c r="E4016" s="33" t="n">
        <f aca="false">HOUR(A4016)+MINUTE(A4016)/60</f>
        <v>6</v>
      </c>
      <c r="F4016" s="33" t="n">
        <f aca="false">IF(OR(D4016&gt;5,E4016&lt;8,E4016&gt;=18,COUNTIF($K$2:$K$10,INT(A4016))&gt;0),1,0)</f>
        <v>1</v>
      </c>
      <c r="G4016" s="34" t="n">
        <f aca="false">B4016/1</f>
        <v>52.164</v>
      </c>
      <c r="H4016" s="34" t="n">
        <f aca="false">IF(F4016=1,G4016,"")</f>
        <v>52.164</v>
      </c>
    </row>
    <row r="4017" customFormat="false" ht="15" hidden="false" customHeight="false" outlineLevel="0" collapsed="false">
      <c r="A4017" s="31" t="n">
        <v>42903.2916666667</v>
      </c>
      <c r="B4017" s="32" t="n">
        <v>49.327</v>
      </c>
      <c r="D4017" s="33" t="n">
        <f aca="false">WEEKDAY(A4017,2)</f>
        <v>6</v>
      </c>
      <c r="E4017" s="33" t="n">
        <f aca="false">HOUR(A4017)+MINUTE(A4017)/60</f>
        <v>7</v>
      </c>
      <c r="F4017" s="33" t="n">
        <f aca="false">IF(OR(D4017&gt;5,E4017&lt;8,E4017&gt;=18,COUNTIF($K$2:$K$10,INT(A4017))&gt;0),1,0)</f>
        <v>1</v>
      </c>
      <c r="G4017" s="34" t="n">
        <f aca="false">B4017/1</f>
        <v>49.327</v>
      </c>
      <c r="H4017" s="34" t="n">
        <f aca="false">IF(F4017=1,G4017,"")</f>
        <v>49.327</v>
      </c>
    </row>
    <row r="4018" customFormat="false" ht="15" hidden="false" customHeight="false" outlineLevel="0" collapsed="false">
      <c r="A4018" s="31" t="n">
        <v>42903.3333333333</v>
      </c>
      <c r="B4018" s="32" t="n">
        <v>120.652</v>
      </c>
      <c r="D4018" s="33" t="n">
        <f aca="false">WEEKDAY(A4018,2)</f>
        <v>6</v>
      </c>
      <c r="E4018" s="33" t="n">
        <f aca="false">HOUR(A4018)+MINUTE(A4018)/60</f>
        <v>8</v>
      </c>
      <c r="F4018" s="33" t="n">
        <f aca="false">IF(OR(D4018&gt;5,E4018&lt;8,E4018&gt;=18,COUNTIF($K$2:$K$10,INT(A4018))&gt;0),1,0)</f>
        <v>1</v>
      </c>
      <c r="G4018" s="34" t="n">
        <f aca="false">B4018/1</f>
        <v>120.652</v>
      </c>
      <c r="H4018" s="34" t="n">
        <f aca="false">IF(F4018=1,G4018,"")</f>
        <v>120.652</v>
      </c>
    </row>
    <row r="4019" customFormat="false" ht="15" hidden="false" customHeight="false" outlineLevel="0" collapsed="false">
      <c r="A4019" s="31" t="n">
        <v>42903.375</v>
      </c>
      <c r="B4019" s="32" t="n">
        <v>167.57</v>
      </c>
      <c r="D4019" s="33" t="n">
        <f aca="false">WEEKDAY(A4019,2)</f>
        <v>6</v>
      </c>
      <c r="E4019" s="33" t="n">
        <f aca="false">HOUR(A4019)+MINUTE(A4019)/60</f>
        <v>9</v>
      </c>
      <c r="F4019" s="33" t="n">
        <f aca="false">IF(OR(D4019&gt;5,E4019&lt;8,E4019&gt;=18,COUNTIF($K$2:$K$10,INT(A4019))&gt;0),1,0)</f>
        <v>1</v>
      </c>
      <c r="G4019" s="34" t="n">
        <f aca="false">B4019/1</f>
        <v>167.57</v>
      </c>
      <c r="H4019" s="34" t="n">
        <f aca="false">IF(F4019=1,G4019,"")</f>
        <v>167.57</v>
      </c>
    </row>
    <row r="4020" customFormat="false" ht="15" hidden="false" customHeight="false" outlineLevel="0" collapsed="false">
      <c r="A4020" s="31" t="n">
        <v>42903.4166666667</v>
      </c>
      <c r="B4020" s="32" t="n">
        <v>168.769</v>
      </c>
      <c r="D4020" s="33" t="n">
        <f aca="false">WEEKDAY(A4020,2)</f>
        <v>6</v>
      </c>
      <c r="E4020" s="33" t="n">
        <f aca="false">HOUR(A4020)+MINUTE(A4020)/60</f>
        <v>10</v>
      </c>
      <c r="F4020" s="33" t="n">
        <f aca="false">IF(OR(D4020&gt;5,E4020&lt;8,E4020&gt;=18,COUNTIF($K$2:$K$10,INT(A4020))&gt;0),1,0)</f>
        <v>1</v>
      </c>
      <c r="G4020" s="34" t="n">
        <f aca="false">B4020/1</f>
        <v>168.769</v>
      </c>
      <c r="H4020" s="34" t="n">
        <f aca="false">IF(F4020=1,G4020,"")</f>
        <v>168.769</v>
      </c>
    </row>
    <row r="4021" customFormat="false" ht="15" hidden="false" customHeight="false" outlineLevel="0" collapsed="false">
      <c r="A4021" s="31" t="n">
        <v>42903.4583333333</v>
      </c>
      <c r="B4021" s="32" t="n">
        <v>167.323</v>
      </c>
      <c r="D4021" s="33" t="n">
        <f aca="false">WEEKDAY(A4021,2)</f>
        <v>6</v>
      </c>
      <c r="E4021" s="33" t="n">
        <f aca="false">HOUR(A4021)+MINUTE(A4021)/60</f>
        <v>11</v>
      </c>
      <c r="F4021" s="33" t="n">
        <f aca="false">IF(OR(D4021&gt;5,E4021&lt;8,E4021&gt;=18,COUNTIF($K$2:$K$10,INT(A4021))&gt;0),1,0)</f>
        <v>1</v>
      </c>
      <c r="G4021" s="34" t="n">
        <f aca="false">B4021/1</f>
        <v>167.323</v>
      </c>
      <c r="H4021" s="34" t="n">
        <f aca="false">IF(F4021=1,G4021,"")</f>
        <v>167.323</v>
      </c>
    </row>
    <row r="4022" customFormat="false" ht="15" hidden="false" customHeight="false" outlineLevel="0" collapsed="false">
      <c r="A4022" s="31" t="n">
        <v>42903.5</v>
      </c>
      <c r="B4022" s="32" t="n">
        <v>167.253</v>
      </c>
      <c r="D4022" s="33" t="n">
        <f aca="false">WEEKDAY(A4022,2)</f>
        <v>6</v>
      </c>
      <c r="E4022" s="33" t="n">
        <f aca="false">HOUR(A4022)+MINUTE(A4022)/60</f>
        <v>12</v>
      </c>
      <c r="F4022" s="33" t="n">
        <f aca="false">IF(OR(D4022&gt;5,E4022&lt;8,E4022&gt;=18,COUNTIF($K$2:$K$10,INT(A4022))&gt;0),1,0)</f>
        <v>1</v>
      </c>
      <c r="G4022" s="34" t="n">
        <f aca="false">B4022/1</f>
        <v>167.253</v>
      </c>
      <c r="H4022" s="34" t="n">
        <f aca="false">IF(F4022=1,G4022,"")</f>
        <v>167.253</v>
      </c>
    </row>
    <row r="4023" customFormat="false" ht="15" hidden="false" customHeight="false" outlineLevel="0" collapsed="false">
      <c r="A4023" s="31" t="n">
        <v>42903.5416666667</v>
      </c>
      <c r="B4023" s="32" t="n">
        <v>168.589</v>
      </c>
      <c r="D4023" s="33" t="n">
        <f aca="false">WEEKDAY(A4023,2)</f>
        <v>6</v>
      </c>
      <c r="E4023" s="33" t="n">
        <f aca="false">HOUR(A4023)+MINUTE(A4023)/60</f>
        <v>13</v>
      </c>
      <c r="F4023" s="33" t="n">
        <f aca="false">IF(OR(D4023&gt;5,E4023&lt;8,E4023&gt;=18,COUNTIF($K$2:$K$10,INT(A4023))&gt;0),1,0)</f>
        <v>1</v>
      </c>
      <c r="G4023" s="34" t="n">
        <f aca="false">B4023/1</f>
        <v>168.589</v>
      </c>
      <c r="H4023" s="34" t="n">
        <f aca="false">IF(F4023=1,G4023,"")</f>
        <v>168.589</v>
      </c>
    </row>
    <row r="4024" customFormat="false" ht="15" hidden="false" customHeight="false" outlineLevel="0" collapsed="false">
      <c r="A4024" s="31" t="n">
        <v>42903.5833333333</v>
      </c>
      <c r="B4024" s="32" t="n">
        <v>168.993</v>
      </c>
      <c r="D4024" s="33" t="n">
        <f aca="false">WEEKDAY(A4024,2)</f>
        <v>6</v>
      </c>
      <c r="E4024" s="33" t="n">
        <f aca="false">HOUR(A4024)+MINUTE(A4024)/60</f>
        <v>14</v>
      </c>
      <c r="F4024" s="33" t="n">
        <f aca="false">IF(OR(D4024&gt;5,E4024&lt;8,E4024&gt;=18,COUNTIF($K$2:$K$10,INT(A4024))&gt;0),1,0)</f>
        <v>1</v>
      </c>
      <c r="G4024" s="34" t="n">
        <f aca="false">B4024/1</f>
        <v>168.993</v>
      </c>
      <c r="H4024" s="34" t="n">
        <f aca="false">IF(F4024=1,G4024,"")</f>
        <v>168.993</v>
      </c>
    </row>
    <row r="4025" customFormat="false" ht="15" hidden="false" customHeight="false" outlineLevel="0" collapsed="false">
      <c r="A4025" s="31" t="n">
        <v>42903.625</v>
      </c>
      <c r="B4025" s="32" t="n">
        <v>170.495</v>
      </c>
      <c r="D4025" s="33" t="n">
        <f aca="false">WEEKDAY(A4025,2)</f>
        <v>6</v>
      </c>
      <c r="E4025" s="33" t="n">
        <f aca="false">HOUR(A4025)+MINUTE(A4025)/60</f>
        <v>15</v>
      </c>
      <c r="F4025" s="33" t="n">
        <f aca="false">IF(OR(D4025&gt;5,E4025&lt;8,E4025&gt;=18,COUNTIF($K$2:$K$10,INT(A4025))&gt;0),1,0)</f>
        <v>1</v>
      </c>
      <c r="G4025" s="34" t="n">
        <f aca="false">B4025/1</f>
        <v>170.495</v>
      </c>
      <c r="H4025" s="34" t="n">
        <f aca="false">IF(F4025=1,G4025,"")</f>
        <v>170.495</v>
      </c>
    </row>
    <row r="4026" customFormat="false" ht="15" hidden="false" customHeight="false" outlineLevel="0" collapsed="false">
      <c r="A4026" s="31" t="n">
        <v>42903.6666666667</v>
      </c>
      <c r="B4026" s="32" t="n">
        <v>169.804</v>
      </c>
      <c r="D4026" s="33" t="n">
        <f aca="false">WEEKDAY(A4026,2)</f>
        <v>6</v>
      </c>
      <c r="E4026" s="33" t="n">
        <f aca="false">HOUR(A4026)+MINUTE(A4026)/60</f>
        <v>16</v>
      </c>
      <c r="F4026" s="33" t="n">
        <f aca="false">IF(OR(D4026&gt;5,E4026&lt;8,E4026&gt;=18,COUNTIF($K$2:$K$10,INT(A4026))&gt;0),1,0)</f>
        <v>1</v>
      </c>
      <c r="G4026" s="34" t="n">
        <f aca="false">B4026/1</f>
        <v>169.804</v>
      </c>
      <c r="H4026" s="34" t="n">
        <f aca="false">IF(F4026=1,G4026,"")</f>
        <v>169.804</v>
      </c>
    </row>
    <row r="4027" customFormat="false" ht="15" hidden="false" customHeight="false" outlineLevel="0" collapsed="false">
      <c r="A4027" s="31" t="n">
        <v>42903.7083333333</v>
      </c>
      <c r="B4027" s="32" t="n">
        <v>161.922</v>
      </c>
      <c r="D4027" s="33" t="n">
        <f aca="false">WEEKDAY(A4027,2)</f>
        <v>6</v>
      </c>
      <c r="E4027" s="33" t="n">
        <f aca="false">HOUR(A4027)+MINUTE(A4027)/60</f>
        <v>17</v>
      </c>
      <c r="F4027" s="33" t="n">
        <f aca="false">IF(OR(D4027&gt;5,E4027&lt;8,E4027&gt;=18,COUNTIF($K$2:$K$10,INT(A4027))&gt;0),1,0)</f>
        <v>1</v>
      </c>
      <c r="G4027" s="34" t="n">
        <f aca="false">B4027/1</f>
        <v>161.922</v>
      </c>
      <c r="H4027" s="34" t="n">
        <f aca="false">IF(F4027=1,G4027,"")</f>
        <v>161.922</v>
      </c>
    </row>
    <row r="4028" customFormat="false" ht="15" hidden="false" customHeight="false" outlineLevel="0" collapsed="false">
      <c r="A4028" s="31" t="n">
        <v>42903.75</v>
      </c>
      <c r="B4028" s="32" t="n">
        <v>69.086</v>
      </c>
      <c r="D4028" s="33" t="n">
        <f aca="false">WEEKDAY(A4028,2)</f>
        <v>6</v>
      </c>
      <c r="E4028" s="33" t="n">
        <f aca="false">HOUR(A4028)+MINUTE(A4028)/60</f>
        <v>18</v>
      </c>
      <c r="F4028" s="33" t="n">
        <f aca="false">IF(OR(D4028&gt;5,E4028&lt;8,E4028&gt;=18,COUNTIF($K$2:$K$10,INT(A4028))&gt;0),1,0)</f>
        <v>1</v>
      </c>
      <c r="G4028" s="34" t="n">
        <f aca="false">B4028/1</f>
        <v>69.086</v>
      </c>
      <c r="H4028" s="34" t="n">
        <f aca="false">IF(F4028=1,G4028,"")</f>
        <v>69.086</v>
      </c>
    </row>
    <row r="4029" customFormat="false" ht="15" hidden="false" customHeight="false" outlineLevel="0" collapsed="false">
      <c r="A4029" s="31" t="n">
        <v>42903.7916666667</v>
      </c>
      <c r="B4029" s="32" t="n">
        <v>50.835</v>
      </c>
      <c r="D4029" s="33" t="n">
        <f aca="false">WEEKDAY(A4029,2)</f>
        <v>6</v>
      </c>
      <c r="E4029" s="33" t="n">
        <f aca="false">HOUR(A4029)+MINUTE(A4029)/60</f>
        <v>19</v>
      </c>
      <c r="F4029" s="33" t="n">
        <f aca="false">IF(OR(D4029&gt;5,E4029&lt;8,E4029&gt;=18,COUNTIF($K$2:$K$10,INT(A4029))&gt;0),1,0)</f>
        <v>1</v>
      </c>
      <c r="G4029" s="34" t="n">
        <f aca="false">B4029/1</f>
        <v>50.835</v>
      </c>
      <c r="H4029" s="34" t="n">
        <f aca="false">IF(F4029=1,G4029,"")</f>
        <v>50.835</v>
      </c>
    </row>
    <row r="4030" customFormat="false" ht="15" hidden="false" customHeight="false" outlineLevel="0" collapsed="false">
      <c r="A4030" s="31" t="n">
        <v>42903.8333333333</v>
      </c>
      <c r="B4030" s="32" t="n">
        <v>49.237</v>
      </c>
      <c r="D4030" s="33" t="n">
        <f aca="false">WEEKDAY(A4030,2)</f>
        <v>6</v>
      </c>
      <c r="E4030" s="33" t="n">
        <f aca="false">HOUR(A4030)+MINUTE(A4030)/60</f>
        <v>20</v>
      </c>
      <c r="F4030" s="33" t="n">
        <f aca="false">IF(OR(D4030&gt;5,E4030&lt;8,E4030&gt;=18,COUNTIF($K$2:$K$10,INT(A4030))&gt;0),1,0)</f>
        <v>1</v>
      </c>
      <c r="G4030" s="34" t="n">
        <f aca="false">B4030/1</f>
        <v>49.237</v>
      </c>
      <c r="H4030" s="34" t="n">
        <f aca="false">IF(F4030=1,G4030,"")</f>
        <v>49.237</v>
      </c>
    </row>
    <row r="4031" customFormat="false" ht="15" hidden="false" customHeight="false" outlineLevel="0" collapsed="false">
      <c r="A4031" s="31" t="n">
        <v>42903.875</v>
      </c>
      <c r="B4031" s="32" t="n">
        <v>50.453</v>
      </c>
      <c r="D4031" s="33" t="n">
        <f aca="false">WEEKDAY(A4031,2)</f>
        <v>6</v>
      </c>
      <c r="E4031" s="33" t="n">
        <f aca="false">HOUR(A4031)+MINUTE(A4031)/60</f>
        <v>21</v>
      </c>
      <c r="F4031" s="33" t="n">
        <f aca="false">IF(OR(D4031&gt;5,E4031&lt;8,E4031&gt;=18,COUNTIF($K$2:$K$10,INT(A4031))&gt;0),1,0)</f>
        <v>1</v>
      </c>
      <c r="G4031" s="34" t="n">
        <f aca="false">B4031/1</f>
        <v>50.453</v>
      </c>
      <c r="H4031" s="34" t="n">
        <f aca="false">IF(F4031=1,G4031,"")</f>
        <v>50.453</v>
      </c>
    </row>
    <row r="4032" customFormat="false" ht="15" hidden="false" customHeight="false" outlineLevel="0" collapsed="false">
      <c r="A4032" s="31" t="n">
        <v>42903.9166666667</v>
      </c>
      <c r="B4032" s="32" t="n">
        <v>52.358</v>
      </c>
      <c r="D4032" s="33" t="n">
        <f aca="false">WEEKDAY(A4032,2)</f>
        <v>6</v>
      </c>
      <c r="E4032" s="33" t="n">
        <f aca="false">HOUR(A4032)+MINUTE(A4032)/60</f>
        <v>22</v>
      </c>
      <c r="F4032" s="33" t="n">
        <f aca="false">IF(OR(D4032&gt;5,E4032&lt;8,E4032&gt;=18,COUNTIF($K$2:$K$10,INT(A4032))&gt;0),1,0)</f>
        <v>1</v>
      </c>
      <c r="G4032" s="34" t="n">
        <f aca="false">B4032/1</f>
        <v>52.358</v>
      </c>
      <c r="H4032" s="34" t="n">
        <f aca="false">IF(F4032=1,G4032,"")</f>
        <v>52.358</v>
      </c>
    </row>
    <row r="4033" customFormat="false" ht="15" hidden="false" customHeight="false" outlineLevel="0" collapsed="false">
      <c r="A4033" s="31" t="n">
        <v>42903.9583333333</v>
      </c>
      <c r="B4033" s="32" t="n">
        <v>52.061</v>
      </c>
      <c r="D4033" s="33" t="n">
        <f aca="false">WEEKDAY(A4033,2)</f>
        <v>6</v>
      </c>
      <c r="E4033" s="33" t="n">
        <f aca="false">HOUR(A4033)+MINUTE(A4033)/60</f>
        <v>23</v>
      </c>
      <c r="F4033" s="33" t="n">
        <f aca="false">IF(OR(D4033&gt;5,E4033&lt;8,E4033&gt;=18,COUNTIF($K$2:$K$10,INT(A4033))&gt;0),1,0)</f>
        <v>1</v>
      </c>
      <c r="G4033" s="34" t="n">
        <f aca="false">B4033/1</f>
        <v>52.061</v>
      </c>
      <c r="H4033" s="34" t="n">
        <f aca="false">IF(F4033=1,G4033,"")</f>
        <v>52.061</v>
      </c>
    </row>
    <row r="4034" customFormat="false" ht="15" hidden="false" customHeight="false" outlineLevel="0" collapsed="false">
      <c r="A4034" s="31" t="n">
        <v>42904</v>
      </c>
      <c r="B4034" s="32" t="n">
        <v>51.77</v>
      </c>
      <c r="D4034" s="33" t="n">
        <f aca="false">WEEKDAY(A4034,2)</f>
        <v>7</v>
      </c>
      <c r="E4034" s="33" t="n">
        <f aca="false">HOUR(A4034)+MINUTE(A4034)/60</f>
        <v>0</v>
      </c>
      <c r="F4034" s="33" t="n">
        <f aca="false">IF(OR(D4034&gt;5,E4034&lt;8,E4034&gt;=18,COUNTIF($K$2:$K$10,INT(A4034))&gt;0),1,0)</f>
        <v>1</v>
      </c>
      <c r="G4034" s="34" t="n">
        <f aca="false">B4034/1</f>
        <v>51.77</v>
      </c>
      <c r="H4034" s="34" t="n">
        <f aca="false">IF(F4034=1,G4034,"")</f>
        <v>51.77</v>
      </c>
    </row>
    <row r="4035" customFormat="false" ht="15" hidden="false" customHeight="false" outlineLevel="0" collapsed="false">
      <c r="A4035" s="31" t="n">
        <v>42904.0416666667</v>
      </c>
      <c r="B4035" s="32" t="n">
        <v>58.072</v>
      </c>
      <c r="D4035" s="33" t="n">
        <f aca="false">WEEKDAY(A4035,2)</f>
        <v>7</v>
      </c>
      <c r="E4035" s="33" t="n">
        <f aca="false">HOUR(A4035)+MINUTE(A4035)/60</f>
        <v>1</v>
      </c>
      <c r="F4035" s="33" t="n">
        <f aca="false">IF(OR(D4035&gt;5,E4035&lt;8,E4035&gt;=18,COUNTIF($K$2:$K$10,INT(A4035))&gt;0),1,0)</f>
        <v>1</v>
      </c>
      <c r="G4035" s="34" t="n">
        <f aca="false">B4035/1</f>
        <v>58.072</v>
      </c>
      <c r="H4035" s="34" t="n">
        <f aca="false">IF(F4035=1,G4035,"")</f>
        <v>58.072</v>
      </c>
    </row>
    <row r="4036" customFormat="false" ht="15" hidden="false" customHeight="false" outlineLevel="0" collapsed="false">
      <c r="A4036" s="31" t="n">
        <v>42904.0833333333</v>
      </c>
      <c r="B4036" s="32" t="n">
        <v>63.25</v>
      </c>
      <c r="D4036" s="33" t="n">
        <f aca="false">WEEKDAY(A4036,2)</f>
        <v>7</v>
      </c>
      <c r="E4036" s="33" t="n">
        <f aca="false">HOUR(A4036)+MINUTE(A4036)/60</f>
        <v>2</v>
      </c>
      <c r="F4036" s="33" t="n">
        <f aca="false">IF(OR(D4036&gt;5,E4036&lt;8,E4036&gt;=18,COUNTIF($K$2:$K$10,INT(A4036))&gt;0),1,0)</f>
        <v>1</v>
      </c>
      <c r="G4036" s="34" t="n">
        <f aca="false">B4036/1</f>
        <v>63.25</v>
      </c>
      <c r="H4036" s="34" t="n">
        <f aca="false">IF(F4036=1,G4036,"")</f>
        <v>63.25</v>
      </c>
    </row>
    <row r="4037" customFormat="false" ht="15" hidden="false" customHeight="false" outlineLevel="0" collapsed="false">
      <c r="A4037" s="31" t="n">
        <v>42904.125</v>
      </c>
      <c r="B4037" s="32" t="n">
        <v>68.545</v>
      </c>
      <c r="D4037" s="33" t="n">
        <f aca="false">WEEKDAY(A4037,2)</f>
        <v>7</v>
      </c>
      <c r="E4037" s="33" t="n">
        <f aca="false">HOUR(A4037)+MINUTE(A4037)/60</f>
        <v>3</v>
      </c>
      <c r="F4037" s="33" t="n">
        <f aca="false">IF(OR(D4037&gt;5,E4037&lt;8,E4037&gt;=18,COUNTIF($K$2:$K$10,INT(A4037))&gt;0),1,0)</f>
        <v>1</v>
      </c>
      <c r="G4037" s="34" t="n">
        <f aca="false">B4037/1</f>
        <v>68.545</v>
      </c>
      <c r="H4037" s="34" t="n">
        <f aca="false">IF(F4037=1,G4037,"")</f>
        <v>68.545</v>
      </c>
    </row>
    <row r="4038" customFormat="false" ht="15" hidden="false" customHeight="false" outlineLevel="0" collapsed="false">
      <c r="A4038" s="31" t="n">
        <v>42904.1666666667</v>
      </c>
      <c r="B4038" s="32" t="n">
        <v>65.137</v>
      </c>
      <c r="D4038" s="33" t="n">
        <f aca="false">WEEKDAY(A4038,2)</f>
        <v>7</v>
      </c>
      <c r="E4038" s="33" t="n">
        <f aca="false">HOUR(A4038)+MINUTE(A4038)/60</f>
        <v>4</v>
      </c>
      <c r="F4038" s="33" t="n">
        <f aca="false">IF(OR(D4038&gt;5,E4038&lt;8,E4038&gt;=18,COUNTIF($K$2:$K$10,INT(A4038))&gt;0),1,0)</f>
        <v>1</v>
      </c>
      <c r="G4038" s="34" t="n">
        <f aca="false">B4038/1</f>
        <v>65.137</v>
      </c>
      <c r="H4038" s="34" t="n">
        <f aca="false">IF(F4038=1,G4038,"")</f>
        <v>65.137</v>
      </c>
    </row>
    <row r="4039" customFormat="false" ht="15" hidden="false" customHeight="false" outlineLevel="0" collapsed="false">
      <c r="A4039" s="31" t="n">
        <v>42904.2083333333</v>
      </c>
      <c r="B4039" s="32" t="n">
        <v>69.658</v>
      </c>
      <c r="D4039" s="33" t="n">
        <f aca="false">WEEKDAY(A4039,2)</f>
        <v>7</v>
      </c>
      <c r="E4039" s="33" t="n">
        <f aca="false">HOUR(A4039)+MINUTE(A4039)/60</f>
        <v>5</v>
      </c>
      <c r="F4039" s="33" t="n">
        <f aca="false">IF(OR(D4039&gt;5,E4039&lt;8,E4039&gt;=18,COUNTIF($K$2:$K$10,INT(A4039))&gt;0),1,0)</f>
        <v>1</v>
      </c>
      <c r="G4039" s="34" t="n">
        <f aca="false">B4039/1</f>
        <v>69.658</v>
      </c>
      <c r="H4039" s="34" t="n">
        <f aca="false">IF(F4039=1,G4039,"")</f>
        <v>69.658</v>
      </c>
    </row>
    <row r="4040" customFormat="false" ht="15" hidden="false" customHeight="false" outlineLevel="0" collapsed="false">
      <c r="A4040" s="31" t="n">
        <v>42904.25</v>
      </c>
      <c r="B4040" s="32" t="n">
        <v>73.732</v>
      </c>
      <c r="D4040" s="33" t="n">
        <f aca="false">WEEKDAY(A4040,2)</f>
        <v>7</v>
      </c>
      <c r="E4040" s="33" t="n">
        <f aca="false">HOUR(A4040)+MINUTE(A4040)/60</f>
        <v>6</v>
      </c>
      <c r="F4040" s="33" t="n">
        <f aca="false">IF(OR(D4040&gt;5,E4040&lt;8,E4040&gt;=18,COUNTIF($K$2:$K$10,INT(A4040))&gt;0),1,0)</f>
        <v>1</v>
      </c>
      <c r="G4040" s="34" t="n">
        <f aca="false">B4040/1</f>
        <v>73.732</v>
      </c>
      <c r="H4040" s="34" t="n">
        <f aca="false">IF(F4040=1,G4040,"")</f>
        <v>73.732</v>
      </c>
    </row>
    <row r="4041" customFormat="false" ht="15" hidden="false" customHeight="false" outlineLevel="0" collapsed="false">
      <c r="A4041" s="31" t="n">
        <v>42904.2916666667</v>
      </c>
      <c r="B4041" s="32" t="n">
        <v>70.528</v>
      </c>
      <c r="D4041" s="33" t="n">
        <f aca="false">WEEKDAY(A4041,2)</f>
        <v>7</v>
      </c>
      <c r="E4041" s="33" t="n">
        <f aca="false">HOUR(A4041)+MINUTE(A4041)/60</f>
        <v>7</v>
      </c>
      <c r="F4041" s="33" t="n">
        <f aca="false">IF(OR(D4041&gt;5,E4041&lt;8,E4041&gt;=18,COUNTIF($K$2:$K$10,INT(A4041))&gt;0),1,0)</f>
        <v>1</v>
      </c>
      <c r="G4041" s="34" t="n">
        <f aca="false">B4041/1</f>
        <v>70.528</v>
      </c>
      <c r="H4041" s="34" t="n">
        <f aca="false">IF(F4041=1,G4041,"")</f>
        <v>70.528</v>
      </c>
    </row>
    <row r="4042" customFormat="false" ht="15" hidden="false" customHeight="false" outlineLevel="0" collapsed="false">
      <c r="A4042" s="31" t="n">
        <v>42904.3333333333</v>
      </c>
      <c r="B4042" s="32" t="n">
        <v>70.684</v>
      </c>
      <c r="D4042" s="33" t="n">
        <f aca="false">WEEKDAY(A4042,2)</f>
        <v>7</v>
      </c>
      <c r="E4042" s="33" t="n">
        <f aca="false">HOUR(A4042)+MINUTE(A4042)/60</f>
        <v>8</v>
      </c>
      <c r="F4042" s="33" t="n">
        <f aca="false">IF(OR(D4042&gt;5,E4042&lt;8,E4042&gt;=18,COUNTIF($K$2:$K$10,INT(A4042))&gt;0),1,0)</f>
        <v>1</v>
      </c>
      <c r="G4042" s="34" t="n">
        <f aca="false">B4042/1</f>
        <v>70.684</v>
      </c>
      <c r="H4042" s="34" t="n">
        <f aca="false">IF(F4042=1,G4042,"")</f>
        <v>70.684</v>
      </c>
    </row>
    <row r="4043" customFormat="false" ht="15" hidden="false" customHeight="false" outlineLevel="0" collapsed="false">
      <c r="A4043" s="31" t="n">
        <v>42904.375</v>
      </c>
      <c r="B4043" s="32" t="n">
        <v>71.503</v>
      </c>
      <c r="D4043" s="33" t="n">
        <f aca="false">WEEKDAY(A4043,2)</f>
        <v>7</v>
      </c>
      <c r="E4043" s="33" t="n">
        <f aca="false">HOUR(A4043)+MINUTE(A4043)/60</f>
        <v>9</v>
      </c>
      <c r="F4043" s="33" t="n">
        <f aca="false">IF(OR(D4043&gt;5,E4043&lt;8,E4043&gt;=18,COUNTIF($K$2:$K$10,INT(A4043))&gt;0),1,0)</f>
        <v>1</v>
      </c>
      <c r="G4043" s="34" t="n">
        <f aca="false">B4043/1</f>
        <v>71.503</v>
      </c>
      <c r="H4043" s="34" t="n">
        <f aca="false">IF(F4043=1,G4043,"")</f>
        <v>71.503</v>
      </c>
    </row>
    <row r="4044" customFormat="false" ht="15" hidden="false" customHeight="false" outlineLevel="0" collapsed="false">
      <c r="A4044" s="31" t="n">
        <v>42904.4166666667</v>
      </c>
      <c r="B4044" s="32" t="n">
        <v>70.013</v>
      </c>
      <c r="D4044" s="33" t="n">
        <f aca="false">WEEKDAY(A4044,2)</f>
        <v>7</v>
      </c>
      <c r="E4044" s="33" t="n">
        <f aca="false">HOUR(A4044)+MINUTE(A4044)/60</f>
        <v>10</v>
      </c>
      <c r="F4044" s="33" t="n">
        <f aca="false">IF(OR(D4044&gt;5,E4044&lt;8,E4044&gt;=18,COUNTIF($K$2:$K$10,INT(A4044))&gt;0),1,0)</f>
        <v>1</v>
      </c>
      <c r="G4044" s="34" t="n">
        <f aca="false">B4044/1</f>
        <v>70.013</v>
      </c>
      <c r="H4044" s="34" t="n">
        <f aca="false">IF(F4044=1,G4044,"")</f>
        <v>70.013</v>
      </c>
    </row>
    <row r="4045" customFormat="false" ht="15" hidden="false" customHeight="false" outlineLevel="0" collapsed="false">
      <c r="A4045" s="31" t="n">
        <v>42904.4583333333</v>
      </c>
      <c r="B4045" s="32" t="n">
        <v>72.293</v>
      </c>
      <c r="D4045" s="33" t="n">
        <f aca="false">WEEKDAY(A4045,2)</f>
        <v>7</v>
      </c>
      <c r="E4045" s="33" t="n">
        <f aca="false">HOUR(A4045)+MINUTE(A4045)/60</f>
        <v>11</v>
      </c>
      <c r="F4045" s="33" t="n">
        <f aca="false">IF(OR(D4045&gt;5,E4045&lt;8,E4045&gt;=18,COUNTIF($K$2:$K$10,INT(A4045))&gt;0),1,0)</f>
        <v>1</v>
      </c>
      <c r="G4045" s="34" t="n">
        <f aca="false">B4045/1</f>
        <v>72.293</v>
      </c>
      <c r="H4045" s="34" t="n">
        <f aca="false">IF(F4045=1,G4045,"")</f>
        <v>72.293</v>
      </c>
    </row>
    <row r="4046" customFormat="false" ht="15" hidden="false" customHeight="false" outlineLevel="0" collapsed="false">
      <c r="A4046" s="31" t="n">
        <v>42904.5</v>
      </c>
      <c r="B4046" s="32" t="n">
        <v>73.382</v>
      </c>
      <c r="D4046" s="33" t="n">
        <f aca="false">WEEKDAY(A4046,2)</f>
        <v>7</v>
      </c>
      <c r="E4046" s="33" t="n">
        <f aca="false">HOUR(A4046)+MINUTE(A4046)/60</f>
        <v>12</v>
      </c>
      <c r="F4046" s="33" t="n">
        <f aca="false">IF(OR(D4046&gt;5,E4046&lt;8,E4046&gt;=18,COUNTIF($K$2:$K$10,INT(A4046))&gt;0),1,0)</f>
        <v>1</v>
      </c>
      <c r="G4046" s="34" t="n">
        <f aca="false">B4046/1</f>
        <v>73.382</v>
      </c>
      <c r="H4046" s="34" t="n">
        <f aca="false">IF(F4046=1,G4046,"")</f>
        <v>73.382</v>
      </c>
    </row>
    <row r="4047" customFormat="false" ht="15" hidden="false" customHeight="false" outlineLevel="0" collapsed="false">
      <c r="A4047" s="31" t="n">
        <v>42904.5416666667</v>
      </c>
      <c r="B4047" s="32" t="n">
        <v>132.491</v>
      </c>
      <c r="D4047" s="33" t="n">
        <f aca="false">WEEKDAY(A4047,2)</f>
        <v>7</v>
      </c>
      <c r="E4047" s="33" t="n">
        <f aca="false">HOUR(A4047)+MINUTE(A4047)/60</f>
        <v>13</v>
      </c>
      <c r="F4047" s="33" t="n">
        <f aca="false">IF(OR(D4047&gt;5,E4047&lt;8,E4047&gt;=18,COUNTIF($K$2:$K$10,INT(A4047))&gt;0),1,0)</f>
        <v>1</v>
      </c>
      <c r="G4047" s="34" t="n">
        <f aca="false">B4047/1</f>
        <v>132.491</v>
      </c>
      <c r="H4047" s="34" t="n">
        <f aca="false">IF(F4047=1,G4047,"")</f>
        <v>132.491</v>
      </c>
    </row>
    <row r="4048" customFormat="false" ht="15" hidden="false" customHeight="false" outlineLevel="0" collapsed="false">
      <c r="A4048" s="31" t="n">
        <v>42904.5833333333</v>
      </c>
      <c r="B4048" s="32" t="n">
        <v>142.41</v>
      </c>
      <c r="D4048" s="33" t="n">
        <f aca="false">WEEKDAY(A4048,2)</f>
        <v>7</v>
      </c>
      <c r="E4048" s="33" t="n">
        <f aca="false">HOUR(A4048)+MINUTE(A4048)/60</f>
        <v>14</v>
      </c>
      <c r="F4048" s="33" t="n">
        <f aca="false">IF(OR(D4048&gt;5,E4048&lt;8,E4048&gt;=18,COUNTIF($K$2:$K$10,INT(A4048))&gt;0),1,0)</f>
        <v>1</v>
      </c>
      <c r="G4048" s="34" t="n">
        <f aca="false">B4048/1</f>
        <v>142.41</v>
      </c>
      <c r="H4048" s="34" t="n">
        <f aca="false">IF(F4048=1,G4048,"")</f>
        <v>142.41</v>
      </c>
    </row>
    <row r="4049" customFormat="false" ht="15" hidden="false" customHeight="false" outlineLevel="0" collapsed="false">
      <c r="A4049" s="31" t="n">
        <v>42904.625</v>
      </c>
      <c r="B4049" s="32" t="n">
        <v>135.604</v>
      </c>
      <c r="D4049" s="33" t="n">
        <f aca="false">WEEKDAY(A4049,2)</f>
        <v>7</v>
      </c>
      <c r="E4049" s="33" t="n">
        <f aca="false">HOUR(A4049)+MINUTE(A4049)/60</f>
        <v>15</v>
      </c>
      <c r="F4049" s="33" t="n">
        <f aca="false">IF(OR(D4049&gt;5,E4049&lt;8,E4049&gt;=18,COUNTIF($K$2:$K$10,INT(A4049))&gt;0),1,0)</f>
        <v>1</v>
      </c>
      <c r="G4049" s="34" t="n">
        <f aca="false">B4049/1</f>
        <v>135.604</v>
      </c>
      <c r="H4049" s="34" t="n">
        <f aca="false">IF(F4049=1,G4049,"")</f>
        <v>135.604</v>
      </c>
    </row>
    <row r="4050" customFormat="false" ht="15" hidden="false" customHeight="false" outlineLevel="0" collapsed="false">
      <c r="A4050" s="31" t="n">
        <v>42904.6666666667</v>
      </c>
      <c r="B4050" s="32" t="n">
        <v>134.456</v>
      </c>
      <c r="D4050" s="33" t="n">
        <f aca="false">WEEKDAY(A4050,2)</f>
        <v>7</v>
      </c>
      <c r="E4050" s="33" t="n">
        <f aca="false">HOUR(A4050)+MINUTE(A4050)/60</f>
        <v>16</v>
      </c>
      <c r="F4050" s="33" t="n">
        <f aca="false">IF(OR(D4050&gt;5,E4050&lt;8,E4050&gt;=18,COUNTIF($K$2:$K$10,INT(A4050))&gt;0),1,0)</f>
        <v>1</v>
      </c>
      <c r="G4050" s="34" t="n">
        <f aca="false">B4050/1</f>
        <v>134.456</v>
      </c>
      <c r="H4050" s="34" t="n">
        <f aca="false">IF(F4050=1,G4050,"")</f>
        <v>134.456</v>
      </c>
    </row>
    <row r="4051" customFormat="false" ht="15" hidden="false" customHeight="false" outlineLevel="0" collapsed="false">
      <c r="A4051" s="31" t="n">
        <v>42904.7083333333</v>
      </c>
      <c r="B4051" s="32" t="n">
        <v>134.312</v>
      </c>
      <c r="D4051" s="33" t="n">
        <f aca="false">WEEKDAY(A4051,2)</f>
        <v>7</v>
      </c>
      <c r="E4051" s="33" t="n">
        <f aca="false">HOUR(A4051)+MINUTE(A4051)/60</f>
        <v>17</v>
      </c>
      <c r="F4051" s="33" t="n">
        <f aca="false">IF(OR(D4051&gt;5,E4051&lt;8,E4051&gt;=18,COUNTIF($K$2:$K$10,INT(A4051))&gt;0),1,0)</f>
        <v>1</v>
      </c>
      <c r="G4051" s="34" t="n">
        <f aca="false">B4051/1</f>
        <v>134.312</v>
      </c>
      <c r="H4051" s="34" t="n">
        <f aca="false">IF(F4051=1,G4051,"")</f>
        <v>134.312</v>
      </c>
    </row>
    <row r="4052" customFormat="false" ht="15" hidden="false" customHeight="false" outlineLevel="0" collapsed="false">
      <c r="A4052" s="31" t="n">
        <v>42904.75</v>
      </c>
      <c r="B4052" s="32" t="n">
        <v>55.077</v>
      </c>
      <c r="D4052" s="33" t="n">
        <f aca="false">WEEKDAY(A4052,2)</f>
        <v>7</v>
      </c>
      <c r="E4052" s="33" t="n">
        <f aca="false">HOUR(A4052)+MINUTE(A4052)/60</f>
        <v>18</v>
      </c>
      <c r="F4052" s="33" t="n">
        <f aca="false">IF(OR(D4052&gt;5,E4052&lt;8,E4052&gt;=18,COUNTIF($K$2:$K$10,INT(A4052))&gt;0),1,0)</f>
        <v>1</v>
      </c>
      <c r="G4052" s="34" t="n">
        <f aca="false">B4052/1</f>
        <v>55.077</v>
      </c>
      <c r="H4052" s="34" t="n">
        <f aca="false">IF(F4052=1,G4052,"")</f>
        <v>55.077</v>
      </c>
    </row>
    <row r="4053" customFormat="false" ht="15" hidden="false" customHeight="false" outlineLevel="0" collapsed="false">
      <c r="A4053" s="31" t="n">
        <v>42904.7916666667</v>
      </c>
      <c r="B4053" s="32" t="n">
        <v>47.984</v>
      </c>
      <c r="D4053" s="33" t="n">
        <f aca="false">WEEKDAY(A4053,2)</f>
        <v>7</v>
      </c>
      <c r="E4053" s="33" t="n">
        <f aca="false">HOUR(A4053)+MINUTE(A4053)/60</f>
        <v>19</v>
      </c>
      <c r="F4053" s="33" t="n">
        <f aca="false">IF(OR(D4053&gt;5,E4053&lt;8,E4053&gt;=18,COUNTIF($K$2:$K$10,INT(A4053))&gt;0),1,0)</f>
        <v>1</v>
      </c>
      <c r="G4053" s="34" t="n">
        <f aca="false">B4053/1</f>
        <v>47.984</v>
      </c>
      <c r="H4053" s="34" t="n">
        <f aca="false">IF(F4053=1,G4053,"")</f>
        <v>47.984</v>
      </c>
    </row>
    <row r="4054" customFormat="false" ht="15" hidden="false" customHeight="false" outlineLevel="0" collapsed="false">
      <c r="A4054" s="31" t="n">
        <v>42904.8333333333</v>
      </c>
      <c r="B4054" s="32" t="n">
        <v>47.786</v>
      </c>
      <c r="D4054" s="33" t="n">
        <f aca="false">WEEKDAY(A4054,2)</f>
        <v>7</v>
      </c>
      <c r="E4054" s="33" t="n">
        <f aca="false">HOUR(A4054)+MINUTE(A4054)/60</f>
        <v>20</v>
      </c>
      <c r="F4054" s="33" t="n">
        <f aca="false">IF(OR(D4054&gt;5,E4054&lt;8,E4054&gt;=18,COUNTIF($K$2:$K$10,INT(A4054))&gt;0),1,0)</f>
        <v>1</v>
      </c>
      <c r="G4054" s="34" t="n">
        <f aca="false">B4054/1</f>
        <v>47.786</v>
      </c>
      <c r="H4054" s="34" t="n">
        <f aca="false">IF(F4054=1,G4054,"")</f>
        <v>47.786</v>
      </c>
    </row>
    <row r="4055" customFormat="false" ht="15" hidden="false" customHeight="false" outlineLevel="0" collapsed="false">
      <c r="A4055" s="31" t="n">
        <v>42904.875</v>
      </c>
      <c r="B4055" s="32" t="n">
        <v>48.11</v>
      </c>
      <c r="D4055" s="33" t="n">
        <f aca="false">WEEKDAY(A4055,2)</f>
        <v>7</v>
      </c>
      <c r="E4055" s="33" t="n">
        <f aca="false">HOUR(A4055)+MINUTE(A4055)/60</f>
        <v>21</v>
      </c>
      <c r="F4055" s="33" t="n">
        <f aca="false">IF(OR(D4055&gt;5,E4055&lt;8,E4055&gt;=18,COUNTIF($K$2:$K$10,INT(A4055))&gt;0),1,0)</f>
        <v>1</v>
      </c>
      <c r="G4055" s="34" t="n">
        <f aca="false">B4055/1</f>
        <v>48.11</v>
      </c>
      <c r="H4055" s="34" t="n">
        <f aca="false">IF(F4055=1,G4055,"")</f>
        <v>48.11</v>
      </c>
    </row>
    <row r="4056" customFormat="false" ht="15" hidden="false" customHeight="false" outlineLevel="0" collapsed="false">
      <c r="A4056" s="31" t="n">
        <v>42904.9166666667</v>
      </c>
      <c r="B4056" s="32" t="n">
        <v>51.147</v>
      </c>
      <c r="D4056" s="33" t="n">
        <f aca="false">WEEKDAY(A4056,2)</f>
        <v>7</v>
      </c>
      <c r="E4056" s="33" t="n">
        <f aca="false">HOUR(A4056)+MINUTE(A4056)/60</f>
        <v>22</v>
      </c>
      <c r="F4056" s="33" t="n">
        <f aca="false">IF(OR(D4056&gt;5,E4056&lt;8,E4056&gt;=18,COUNTIF($K$2:$K$10,INT(A4056))&gt;0),1,0)</f>
        <v>1</v>
      </c>
      <c r="G4056" s="34" t="n">
        <f aca="false">B4056/1</f>
        <v>51.147</v>
      </c>
      <c r="H4056" s="34" t="n">
        <f aca="false">IF(F4056=1,G4056,"")</f>
        <v>51.147</v>
      </c>
    </row>
    <row r="4057" customFormat="false" ht="15" hidden="false" customHeight="false" outlineLevel="0" collapsed="false">
      <c r="A4057" s="31" t="n">
        <v>42904.9583333333</v>
      </c>
      <c r="B4057" s="32" t="n">
        <v>51.285</v>
      </c>
      <c r="D4057" s="33" t="n">
        <f aca="false">WEEKDAY(A4057,2)</f>
        <v>7</v>
      </c>
      <c r="E4057" s="33" t="n">
        <f aca="false">HOUR(A4057)+MINUTE(A4057)/60</f>
        <v>23</v>
      </c>
      <c r="F4057" s="33" t="n">
        <f aca="false">IF(OR(D4057&gt;5,E4057&lt;8,E4057&gt;=18,COUNTIF($K$2:$K$10,INT(A4057))&gt;0),1,0)</f>
        <v>1</v>
      </c>
      <c r="G4057" s="34" t="n">
        <f aca="false">B4057/1</f>
        <v>51.285</v>
      </c>
      <c r="H4057" s="34" t="n">
        <f aca="false">IF(F4057=1,G4057,"")</f>
        <v>51.285</v>
      </c>
    </row>
    <row r="4058" customFormat="false" ht="15" hidden="false" customHeight="false" outlineLevel="0" collapsed="false">
      <c r="A4058" s="31" t="n">
        <v>42905</v>
      </c>
      <c r="B4058" s="32" t="n">
        <v>51.11</v>
      </c>
      <c r="D4058" s="33" t="n">
        <f aca="false">WEEKDAY(A4058,2)</f>
        <v>1</v>
      </c>
      <c r="E4058" s="33" t="n">
        <f aca="false">HOUR(A4058)+MINUTE(A4058)/60</f>
        <v>0</v>
      </c>
      <c r="F4058" s="33" t="n">
        <f aca="false">IF(OR(D4058&gt;5,E4058&lt;8,E4058&gt;=18,COUNTIF($K$2:$K$10,INT(A4058))&gt;0),1,0)</f>
        <v>1</v>
      </c>
      <c r="G4058" s="34" t="n">
        <f aca="false">B4058/1</f>
        <v>51.11</v>
      </c>
      <c r="H4058" s="34" t="n">
        <f aca="false">IF(F4058=1,G4058,"")</f>
        <v>51.11</v>
      </c>
    </row>
    <row r="4059" customFormat="false" ht="15" hidden="false" customHeight="false" outlineLevel="0" collapsed="false">
      <c r="A4059" s="31" t="n">
        <v>42905.0416666667</v>
      </c>
      <c r="B4059" s="32" t="n">
        <v>51.073</v>
      </c>
      <c r="D4059" s="33" t="n">
        <f aca="false">WEEKDAY(A4059,2)</f>
        <v>1</v>
      </c>
      <c r="E4059" s="33" t="n">
        <f aca="false">HOUR(A4059)+MINUTE(A4059)/60</f>
        <v>1</v>
      </c>
      <c r="F4059" s="33" t="n">
        <f aca="false">IF(OR(D4059&gt;5,E4059&lt;8,E4059&gt;=18,COUNTIF($K$2:$K$10,INT(A4059))&gt;0),1,0)</f>
        <v>1</v>
      </c>
      <c r="G4059" s="34" t="n">
        <f aca="false">B4059/1</f>
        <v>51.073</v>
      </c>
      <c r="H4059" s="34" t="n">
        <f aca="false">IF(F4059=1,G4059,"")</f>
        <v>51.073</v>
      </c>
    </row>
    <row r="4060" customFormat="false" ht="15" hidden="false" customHeight="false" outlineLevel="0" collapsed="false">
      <c r="A4060" s="31" t="n">
        <v>42905.0833333333</v>
      </c>
      <c r="B4060" s="32" t="n">
        <v>51.07</v>
      </c>
      <c r="D4060" s="33" t="n">
        <f aca="false">WEEKDAY(A4060,2)</f>
        <v>1</v>
      </c>
      <c r="E4060" s="33" t="n">
        <f aca="false">HOUR(A4060)+MINUTE(A4060)/60</f>
        <v>2</v>
      </c>
      <c r="F4060" s="33" t="n">
        <f aca="false">IF(OR(D4060&gt;5,E4060&lt;8,E4060&gt;=18,COUNTIF($K$2:$K$10,INT(A4060))&gt;0),1,0)</f>
        <v>1</v>
      </c>
      <c r="G4060" s="34" t="n">
        <f aca="false">B4060/1</f>
        <v>51.07</v>
      </c>
      <c r="H4060" s="34" t="n">
        <f aca="false">IF(F4060=1,G4060,"")</f>
        <v>51.07</v>
      </c>
    </row>
    <row r="4061" customFormat="false" ht="15" hidden="false" customHeight="false" outlineLevel="0" collapsed="false">
      <c r="A4061" s="31" t="n">
        <v>42905.125</v>
      </c>
      <c r="B4061" s="32" t="n">
        <v>51.256</v>
      </c>
      <c r="D4061" s="33" t="n">
        <f aca="false">WEEKDAY(A4061,2)</f>
        <v>1</v>
      </c>
      <c r="E4061" s="33" t="n">
        <f aca="false">HOUR(A4061)+MINUTE(A4061)/60</f>
        <v>3</v>
      </c>
      <c r="F4061" s="33" t="n">
        <f aca="false">IF(OR(D4061&gt;5,E4061&lt;8,E4061&gt;=18,COUNTIF($K$2:$K$10,INT(A4061))&gt;0),1,0)</f>
        <v>1</v>
      </c>
      <c r="G4061" s="34" t="n">
        <f aca="false">B4061/1</f>
        <v>51.256</v>
      </c>
      <c r="H4061" s="34" t="n">
        <f aca="false">IF(F4061=1,G4061,"")</f>
        <v>51.256</v>
      </c>
    </row>
    <row r="4062" customFormat="false" ht="15" hidden="false" customHeight="false" outlineLevel="0" collapsed="false">
      <c r="A4062" s="31" t="n">
        <v>42905.1666666667</v>
      </c>
      <c r="B4062" s="32" t="n">
        <v>51.287</v>
      </c>
      <c r="D4062" s="33" t="n">
        <f aca="false">WEEKDAY(A4062,2)</f>
        <v>1</v>
      </c>
      <c r="E4062" s="33" t="n">
        <f aca="false">HOUR(A4062)+MINUTE(A4062)/60</f>
        <v>4</v>
      </c>
      <c r="F4062" s="33" t="n">
        <f aca="false">IF(OR(D4062&gt;5,E4062&lt;8,E4062&gt;=18,COUNTIF($K$2:$K$10,INT(A4062))&gt;0),1,0)</f>
        <v>1</v>
      </c>
      <c r="G4062" s="34" t="n">
        <f aca="false">B4062/1</f>
        <v>51.287</v>
      </c>
      <c r="H4062" s="34" t="n">
        <f aca="false">IF(F4062=1,G4062,"")</f>
        <v>51.287</v>
      </c>
    </row>
    <row r="4063" customFormat="false" ht="15" hidden="false" customHeight="false" outlineLevel="0" collapsed="false">
      <c r="A4063" s="31" t="n">
        <v>42905.2083333333</v>
      </c>
      <c r="B4063" s="32" t="n">
        <v>50.878</v>
      </c>
      <c r="D4063" s="33" t="n">
        <f aca="false">WEEKDAY(A4063,2)</f>
        <v>1</v>
      </c>
      <c r="E4063" s="33" t="n">
        <f aca="false">HOUR(A4063)+MINUTE(A4063)/60</f>
        <v>5</v>
      </c>
      <c r="F4063" s="33" t="n">
        <f aca="false">IF(OR(D4063&gt;5,E4063&lt;8,E4063&gt;=18,COUNTIF($K$2:$K$10,INT(A4063))&gt;0),1,0)</f>
        <v>1</v>
      </c>
      <c r="G4063" s="34" t="n">
        <f aca="false">B4063/1</f>
        <v>50.878</v>
      </c>
      <c r="H4063" s="34" t="n">
        <f aca="false">IF(F4063=1,G4063,"")</f>
        <v>50.878</v>
      </c>
    </row>
    <row r="4064" customFormat="false" ht="15" hidden="false" customHeight="false" outlineLevel="0" collapsed="false">
      <c r="A4064" s="31" t="n">
        <v>42905.25</v>
      </c>
      <c r="B4064" s="32" t="n">
        <v>52.192</v>
      </c>
      <c r="D4064" s="33" t="n">
        <f aca="false">WEEKDAY(A4064,2)</f>
        <v>1</v>
      </c>
      <c r="E4064" s="33" t="n">
        <f aca="false">HOUR(A4064)+MINUTE(A4064)/60</f>
        <v>6</v>
      </c>
      <c r="F4064" s="33" t="n">
        <f aca="false">IF(OR(D4064&gt;5,E4064&lt;8,E4064&gt;=18,COUNTIF($K$2:$K$10,INT(A4064))&gt;0),1,0)</f>
        <v>1</v>
      </c>
      <c r="G4064" s="34" t="n">
        <f aca="false">B4064/1</f>
        <v>52.192</v>
      </c>
      <c r="H4064" s="34" t="n">
        <f aca="false">IF(F4064=1,G4064,"")</f>
        <v>52.192</v>
      </c>
    </row>
    <row r="4065" customFormat="false" ht="15" hidden="false" customHeight="false" outlineLevel="0" collapsed="false">
      <c r="A4065" s="31" t="n">
        <v>42905.2916666667</v>
      </c>
      <c r="B4065" s="32" t="n">
        <v>82.141</v>
      </c>
      <c r="D4065" s="33" t="n">
        <f aca="false">WEEKDAY(A4065,2)</f>
        <v>1</v>
      </c>
      <c r="E4065" s="33" t="n">
        <f aca="false">HOUR(A4065)+MINUTE(A4065)/60</f>
        <v>7</v>
      </c>
      <c r="F4065" s="33" t="n">
        <f aca="false">IF(OR(D4065&gt;5,E4065&lt;8,E4065&gt;=18,COUNTIF($K$2:$K$10,INT(A4065))&gt;0),1,0)</f>
        <v>1</v>
      </c>
      <c r="G4065" s="34" t="n">
        <f aca="false">B4065/1</f>
        <v>82.141</v>
      </c>
      <c r="H4065" s="34" t="n">
        <f aca="false">IF(F4065=1,G4065,"")</f>
        <v>82.141</v>
      </c>
    </row>
    <row r="4066" customFormat="false" ht="15" hidden="false" customHeight="false" outlineLevel="0" collapsed="false">
      <c r="A4066" s="31" t="n">
        <v>42905.3333333333</v>
      </c>
      <c r="B4066" s="32" t="n">
        <v>168.387</v>
      </c>
      <c r="D4066" s="33" t="n">
        <f aca="false">WEEKDAY(A4066,2)</f>
        <v>1</v>
      </c>
      <c r="E4066" s="33" t="n">
        <f aca="false">HOUR(A4066)+MINUTE(A4066)/60</f>
        <v>8</v>
      </c>
      <c r="F4066" s="33" t="n">
        <f aca="false">IF(OR(D4066&gt;5,E4066&lt;8,E4066&gt;=18,COUNTIF($K$2:$K$10,INT(A4066))&gt;0),1,0)</f>
        <v>0</v>
      </c>
      <c r="G4066" s="34" t="n">
        <f aca="false">B4066/1</f>
        <v>168.387</v>
      </c>
      <c r="H4066" s="34" t="str">
        <f aca="false">IF(F4066=1,G4066,"")</f>
        <v/>
      </c>
    </row>
    <row r="4067" customFormat="false" ht="15" hidden="false" customHeight="false" outlineLevel="0" collapsed="false">
      <c r="A4067" s="31" t="n">
        <v>42905.375</v>
      </c>
      <c r="B4067" s="32" t="n">
        <v>191.963</v>
      </c>
      <c r="D4067" s="33" t="n">
        <f aca="false">WEEKDAY(A4067,2)</f>
        <v>1</v>
      </c>
      <c r="E4067" s="33" t="n">
        <f aca="false">HOUR(A4067)+MINUTE(A4067)/60</f>
        <v>9</v>
      </c>
      <c r="F4067" s="33" t="n">
        <f aca="false">IF(OR(D4067&gt;5,E4067&lt;8,E4067&gt;=18,COUNTIF($K$2:$K$10,INT(A4067))&gt;0),1,0)</f>
        <v>0</v>
      </c>
      <c r="G4067" s="34" t="n">
        <f aca="false">B4067/1</f>
        <v>191.963</v>
      </c>
      <c r="H4067" s="34" t="str">
        <f aca="false">IF(F4067=1,G4067,"")</f>
        <v/>
      </c>
    </row>
    <row r="4068" customFormat="false" ht="15" hidden="false" customHeight="false" outlineLevel="0" collapsed="false">
      <c r="A4068" s="31" t="n">
        <v>42905.4166666667</v>
      </c>
      <c r="B4068" s="32" t="n">
        <v>202.447</v>
      </c>
      <c r="D4068" s="33" t="n">
        <f aca="false">WEEKDAY(A4068,2)</f>
        <v>1</v>
      </c>
      <c r="E4068" s="33" t="n">
        <f aca="false">HOUR(A4068)+MINUTE(A4068)/60</f>
        <v>10</v>
      </c>
      <c r="F4068" s="33" t="n">
        <f aca="false">IF(OR(D4068&gt;5,E4068&lt;8,E4068&gt;=18,COUNTIF($K$2:$K$10,INT(A4068))&gt;0),1,0)</f>
        <v>0</v>
      </c>
      <c r="G4068" s="34" t="n">
        <f aca="false">B4068/1</f>
        <v>202.447</v>
      </c>
      <c r="H4068" s="34" t="str">
        <f aca="false">IF(F4068=1,G4068,"")</f>
        <v/>
      </c>
    </row>
    <row r="4069" customFormat="false" ht="15" hidden="false" customHeight="false" outlineLevel="0" collapsed="false">
      <c r="A4069" s="31" t="n">
        <v>42905.4583333333</v>
      </c>
      <c r="B4069" s="32" t="n">
        <v>208.73</v>
      </c>
      <c r="D4069" s="33" t="n">
        <f aca="false">WEEKDAY(A4069,2)</f>
        <v>1</v>
      </c>
      <c r="E4069" s="33" t="n">
        <f aca="false">HOUR(A4069)+MINUTE(A4069)/60</f>
        <v>11</v>
      </c>
      <c r="F4069" s="33" t="n">
        <f aca="false">IF(OR(D4069&gt;5,E4069&lt;8,E4069&gt;=18,COUNTIF($K$2:$K$10,INT(A4069))&gt;0),1,0)</f>
        <v>0</v>
      </c>
      <c r="G4069" s="34" t="n">
        <f aca="false">B4069/1</f>
        <v>208.73</v>
      </c>
      <c r="H4069" s="34" t="str">
        <f aca="false">IF(F4069=1,G4069,"")</f>
        <v/>
      </c>
    </row>
    <row r="4070" customFormat="false" ht="15" hidden="false" customHeight="false" outlineLevel="0" collapsed="false">
      <c r="A4070" s="31" t="n">
        <v>42905.5</v>
      </c>
      <c r="B4070" s="32" t="n">
        <v>213.577</v>
      </c>
      <c r="D4070" s="33" t="n">
        <f aca="false">WEEKDAY(A4070,2)</f>
        <v>1</v>
      </c>
      <c r="E4070" s="33" t="n">
        <f aca="false">HOUR(A4070)+MINUTE(A4070)/60</f>
        <v>12</v>
      </c>
      <c r="F4070" s="33" t="n">
        <f aca="false">IF(OR(D4070&gt;5,E4070&lt;8,E4070&gt;=18,COUNTIF($K$2:$K$10,INT(A4070))&gt;0),1,0)</f>
        <v>0</v>
      </c>
      <c r="G4070" s="34" t="n">
        <f aca="false">B4070/1</f>
        <v>213.577</v>
      </c>
      <c r="H4070" s="34" t="str">
        <f aca="false">IF(F4070=1,G4070,"")</f>
        <v/>
      </c>
    </row>
    <row r="4071" customFormat="false" ht="15" hidden="false" customHeight="false" outlineLevel="0" collapsed="false">
      <c r="A4071" s="31" t="n">
        <v>42905.5416666667</v>
      </c>
      <c r="B4071" s="32" t="n">
        <v>214.033</v>
      </c>
      <c r="D4071" s="33" t="n">
        <f aca="false">WEEKDAY(A4071,2)</f>
        <v>1</v>
      </c>
      <c r="E4071" s="33" t="n">
        <f aca="false">HOUR(A4071)+MINUTE(A4071)/60</f>
        <v>13</v>
      </c>
      <c r="F4071" s="33" t="n">
        <f aca="false">IF(OR(D4071&gt;5,E4071&lt;8,E4071&gt;=18,COUNTIF($K$2:$K$10,INT(A4071))&gt;0),1,0)</f>
        <v>0</v>
      </c>
      <c r="G4071" s="34" t="n">
        <f aca="false">B4071/1</f>
        <v>214.033</v>
      </c>
      <c r="H4071" s="34" t="str">
        <f aca="false">IF(F4071=1,G4071,"")</f>
        <v/>
      </c>
    </row>
    <row r="4072" customFormat="false" ht="15" hidden="false" customHeight="false" outlineLevel="0" collapsed="false">
      <c r="A4072" s="31" t="n">
        <v>42905.5833333333</v>
      </c>
      <c r="B4072" s="32" t="n">
        <v>208.987</v>
      </c>
      <c r="D4072" s="33" t="n">
        <f aca="false">WEEKDAY(A4072,2)</f>
        <v>1</v>
      </c>
      <c r="E4072" s="33" t="n">
        <f aca="false">HOUR(A4072)+MINUTE(A4072)/60</f>
        <v>14</v>
      </c>
      <c r="F4072" s="33" t="n">
        <f aca="false">IF(OR(D4072&gt;5,E4072&lt;8,E4072&gt;=18,COUNTIF($K$2:$K$10,INT(A4072))&gt;0),1,0)</f>
        <v>0</v>
      </c>
      <c r="G4072" s="34" t="n">
        <f aca="false">B4072/1</f>
        <v>208.987</v>
      </c>
      <c r="H4072" s="34" t="str">
        <f aca="false">IF(F4072=1,G4072,"")</f>
        <v/>
      </c>
    </row>
    <row r="4073" customFormat="false" ht="15" hidden="false" customHeight="false" outlineLevel="0" collapsed="false">
      <c r="A4073" s="31" t="n">
        <v>42905.625</v>
      </c>
      <c r="B4073" s="32" t="n">
        <v>208.472</v>
      </c>
      <c r="D4073" s="33" t="n">
        <f aca="false">WEEKDAY(A4073,2)</f>
        <v>1</v>
      </c>
      <c r="E4073" s="33" t="n">
        <f aca="false">HOUR(A4073)+MINUTE(A4073)/60</f>
        <v>15</v>
      </c>
      <c r="F4073" s="33" t="n">
        <f aca="false">IF(OR(D4073&gt;5,E4073&lt;8,E4073&gt;=18,COUNTIF($K$2:$K$10,INT(A4073))&gt;0),1,0)</f>
        <v>0</v>
      </c>
      <c r="G4073" s="34" t="n">
        <f aca="false">B4073/1</f>
        <v>208.472</v>
      </c>
      <c r="H4073" s="34" t="str">
        <f aca="false">IF(F4073=1,G4073,"")</f>
        <v/>
      </c>
    </row>
    <row r="4074" customFormat="false" ht="15" hidden="false" customHeight="false" outlineLevel="0" collapsed="false">
      <c r="A4074" s="31" t="n">
        <v>42905.6666666667</v>
      </c>
      <c r="B4074" s="32" t="n">
        <v>204.198</v>
      </c>
      <c r="D4074" s="33" t="n">
        <f aca="false">WEEKDAY(A4074,2)</f>
        <v>1</v>
      </c>
      <c r="E4074" s="33" t="n">
        <f aca="false">HOUR(A4074)+MINUTE(A4074)/60</f>
        <v>16</v>
      </c>
      <c r="F4074" s="33" t="n">
        <f aca="false">IF(OR(D4074&gt;5,E4074&lt;8,E4074&gt;=18,COUNTIF($K$2:$K$10,INT(A4074))&gt;0),1,0)</f>
        <v>0</v>
      </c>
      <c r="G4074" s="34" t="n">
        <f aca="false">B4074/1</f>
        <v>204.198</v>
      </c>
      <c r="H4074" s="34" t="str">
        <f aca="false">IF(F4074=1,G4074,"")</f>
        <v/>
      </c>
    </row>
    <row r="4075" customFormat="false" ht="15" hidden="false" customHeight="false" outlineLevel="0" collapsed="false">
      <c r="A4075" s="31" t="n">
        <v>42905.7083333333</v>
      </c>
      <c r="B4075" s="32" t="n">
        <v>188.75</v>
      </c>
      <c r="D4075" s="33" t="n">
        <f aca="false">WEEKDAY(A4075,2)</f>
        <v>1</v>
      </c>
      <c r="E4075" s="33" t="n">
        <f aca="false">HOUR(A4075)+MINUTE(A4075)/60</f>
        <v>17</v>
      </c>
      <c r="F4075" s="33" t="n">
        <f aca="false">IF(OR(D4075&gt;5,E4075&lt;8,E4075&gt;=18,COUNTIF($K$2:$K$10,INT(A4075))&gt;0),1,0)</f>
        <v>0</v>
      </c>
      <c r="G4075" s="34" t="n">
        <f aca="false">B4075/1</f>
        <v>188.75</v>
      </c>
      <c r="H4075" s="34" t="str">
        <f aca="false">IF(F4075=1,G4075,"")</f>
        <v/>
      </c>
    </row>
    <row r="4076" customFormat="false" ht="15" hidden="false" customHeight="false" outlineLevel="0" collapsed="false">
      <c r="A4076" s="31" t="n">
        <v>42905.75</v>
      </c>
      <c r="B4076" s="32" t="n">
        <v>178.034</v>
      </c>
      <c r="D4076" s="33" t="n">
        <f aca="false">WEEKDAY(A4076,2)</f>
        <v>1</v>
      </c>
      <c r="E4076" s="33" t="n">
        <f aca="false">HOUR(A4076)+MINUTE(A4076)/60</f>
        <v>18</v>
      </c>
      <c r="F4076" s="33" t="n">
        <f aca="false">IF(OR(D4076&gt;5,E4076&lt;8,E4076&gt;=18,COUNTIF($K$2:$K$10,INT(A4076))&gt;0),1,0)</f>
        <v>1</v>
      </c>
      <c r="G4076" s="34" t="n">
        <f aca="false">B4076/1</f>
        <v>178.034</v>
      </c>
      <c r="H4076" s="34" t="n">
        <f aca="false">IF(F4076=1,G4076,"")</f>
        <v>178.034</v>
      </c>
    </row>
    <row r="4077" customFormat="false" ht="15" hidden="false" customHeight="false" outlineLevel="0" collapsed="false">
      <c r="A4077" s="31" t="n">
        <v>42905.7916666667</v>
      </c>
      <c r="B4077" s="32" t="n">
        <v>174.366</v>
      </c>
      <c r="D4077" s="33" t="n">
        <f aca="false">WEEKDAY(A4077,2)</f>
        <v>1</v>
      </c>
      <c r="E4077" s="33" t="n">
        <f aca="false">HOUR(A4077)+MINUTE(A4077)/60</f>
        <v>19</v>
      </c>
      <c r="F4077" s="33" t="n">
        <f aca="false">IF(OR(D4077&gt;5,E4077&lt;8,E4077&gt;=18,COUNTIF($K$2:$K$10,INT(A4077))&gt;0),1,0)</f>
        <v>1</v>
      </c>
      <c r="G4077" s="34" t="n">
        <f aca="false">B4077/1</f>
        <v>174.366</v>
      </c>
      <c r="H4077" s="34" t="n">
        <f aca="false">IF(F4077=1,G4077,"")</f>
        <v>174.366</v>
      </c>
    </row>
    <row r="4078" customFormat="false" ht="15" hidden="false" customHeight="false" outlineLevel="0" collapsed="false">
      <c r="A4078" s="31" t="n">
        <v>42905.8333333333</v>
      </c>
      <c r="B4078" s="32" t="n">
        <v>174.844</v>
      </c>
      <c r="D4078" s="33" t="n">
        <f aca="false">WEEKDAY(A4078,2)</f>
        <v>1</v>
      </c>
      <c r="E4078" s="33" t="n">
        <f aca="false">HOUR(A4078)+MINUTE(A4078)/60</f>
        <v>20</v>
      </c>
      <c r="F4078" s="33" t="n">
        <f aca="false">IF(OR(D4078&gt;5,E4078&lt;8,E4078&gt;=18,COUNTIF($K$2:$K$10,INT(A4078))&gt;0),1,0)</f>
        <v>1</v>
      </c>
      <c r="G4078" s="34" t="n">
        <f aca="false">B4078/1</f>
        <v>174.844</v>
      </c>
      <c r="H4078" s="34" t="n">
        <f aca="false">IF(F4078=1,G4078,"")</f>
        <v>174.844</v>
      </c>
    </row>
    <row r="4079" customFormat="false" ht="15" hidden="false" customHeight="false" outlineLevel="0" collapsed="false">
      <c r="A4079" s="31" t="n">
        <v>42905.875</v>
      </c>
      <c r="B4079" s="32" t="n">
        <v>171.332</v>
      </c>
      <c r="D4079" s="33" t="n">
        <f aca="false">WEEKDAY(A4079,2)</f>
        <v>1</v>
      </c>
      <c r="E4079" s="33" t="n">
        <f aca="false">HOUR(A4079)+MINUTE(A4079)/60</f>
        <v>21</v>
      </c>
      <c r="F4079" s="33" t="n">
        <f aca="false">IF(OR(D4079&gt;5,E4079&lt;8,E4079&gt;=18,COUNTIF($K$2:$K$10,INT(A4079))&gt;0),1,0)</f>
        <v>1</v>
      </c>
      <c r="G4079" s="34" t="n">
        <f aca="false">B4079/1</f>
        <v>171.332</v>
      </c>
      <c r="H4079" s="34" t="n">
        <f aca="false">IF(F4079=1,G4079,"")</f>
        <v>171.332</v>
      </c>
    </row>
    <row r="4080" customFormat="false" ht="15" hidden="false" customHeight="false" outlineLevel="0" collapsed="false">
      <c r="A4080" s="31" t="n">
        <v>42905.9166666667</v>
      </c>
      <c r="B4080" s="32" t="n">
        <v>116.238</v>
      </c>
      <c r="D4080" s="33" t="n">
        <f aca="false">WEEKDAY(A4080,2)</f>
        <v>1</v>
      </c>
      <c r="E4080" s="33" t="n">
        <f aca="false">HOUR(A4080)+MINUTE(A4080)/60</f>
        <v>22</v>
      </c>
      <c r="F4080" s="33" t="n">
        <f aca="false">IF(OR(D4080&gt;5,E4080&lt;8,E4080&gt;=18,COUNTIF($K$2:$K$10,INT(A4080))&gt;0),1,0)</f>
        <v>1</v>
      </c>
      <c r="G4080" s="34" t="n">
        <f aca="false">B4080/1</f>
        <v>116.238</v>
      </c>
      <c r="H4080" s="34" t="n">
        <f aca="false">IF(F4080=1,G4080,"")</f>
        <v>116.238</v>
      </c>
    </row>
    <row r="4081" customFormat="false" ht="15" hidden="false" customHeight="false" outlineLevel="0" collapsed="false">
      <c r="A4081" s="31" t="n">
        <v>42905.9583333333</v>
      </c>
      <c r="B4081" s="32" t="n">
        <v>54.614</v>
      </c>
      <c r="D4081" s="33" t="n">
        <f aca="false">WEEKDAY(A4081,2)</f>
        <v>1</v>
      </c>
      <c r="E4081" s="33" t="n">
        <f aca="false">HOUR(A4081)+MINUTE(A4081)/60</f>
        <v>23</v>
      </c>
      <c r="F4081" s="33" t="n">
        <f aca="false">IF(OR(D4081&gt;5,E4081&lt;8,E4081&gt;=18,COUNTIF($K$2:$K$10,INT(A4081))&gt;0),1,0)</f>
        <v>1</v>
      </c>
      <c r="G4081" s="34" t="n">
        <f aca="false">B4081/1</f>
        <v>54.614</v>
      </c>
      <c r="H4081" s="34" t="n">
        <f aca="false">IF(F4081=1,G4081,"")</f>
        <v>54.614</v>
      </c>
    </row>
    <row r="4082" customFormat="false" ht="15" hidden="false" customHeight="false" outlineLevel="0" collapsed="false">
      <c r="A4082" s="31" t="n">
        <v>42906</v>
      </c>
      <c r="B4082" s="32" t="n">
        <v>52.004</v>
      </c>
      <c r="D4082" s="33" t="n">
        <f aca="false">WEEKDAY(A4082,2)</f>
        <v>2</v>
      </c>
      <c r="E4082" s="33" t="n">
        <f aca="false">HOUR(A4082)+MINUTE(A4082)/60</f>
        <v>0</v>
      </c>
      <c r="F4082" s="33" t="n">
        <f aca="false">IF(OR(D4082&gt;5,E4082&lt;8,E4082&gt;=18,COUNTIF($K$2:$K$10,INT(A4082))&gt;0),1,0)</f>
        <v>1</v>
      </c>
      <c r="G4082" s="34" t="n">
        <f aca="false">B4082/1</f>
        <v>52.004</v>
      </c>
      <c r="H4082" s="34" t="n">
        <f aca="false">IF(F4082=1,G4082,"")</f>
        <v>52.004</v>
      </c>
    </row>
    <row r="4083" customFormat="false" ht="15" hidden="false" customHeight="false" outlineLevel="0" collapsed="false">
      <c r="A4083" s="31" t="n">
        <v>42906.0416666667</v>
      </c>
      <c r="B4083" s="32" t="n">
        <v>48.031</v>
      </c>
      <c r="D4083" s="33" t="n">
        <f aca="false">WEEKDAY(A4083,2)</f>
        <v>2</v>
      </c>
      <c r="E4083" s="33" t="n">
        <f aca="false">HOUR(A4083)+MINUTE(A4083)/60</f>
        <v>1</v>
      </c>
      <c r="F4083" s="33" t="n">
        <f aca="false">IF(OR(D4083&gt;5,E4083&lt;8,E4083&gt;=18,COUNTIF($K$2:$K$10,INT(A4083))&gt;0),1,0)</f>
        <v>1</v>
      </c>
      <c r="G4083" s="34" t="n">
        <f aca="false">B4083/1</f>
        <v>48.031</v>
      </c>
      <c r="H4083" s="34" t="n">
        <f aca="false">IF(F4083=1,G4083,"")</f>
        <v>48.031</v>
      </c>
    </row>
    <row r="4084" customFormat="false" ht="15" hidden="false" customHeight="false" outlineLevel="0" collapsed="false">
      <c r="A4084" s="31" t="n">
        <v>42906.0833333333</v>
      </c>
      <c r="B4084" s="32" t="n">
        <v>47.375</v>
      </c>
      <c r="D4084" s="33" t="n">
        <f aca="false">WEEKDAY(A4084,2)</f>
        <v>2</v>
      </c>
      <c r="E4084" s="33" t="n">
        <f aca="false">HOUR(A4084)+MINUTE(A4084)/60</f>
        <v>2</v>
      </c>
      <c r="F4084" s="33" t="n">
        <f aca="false">IF(OR(D4084&gt;5,E4084&lt;8,E4084&gt;=18,COUNTIF($K$2:$K$10,INT(A4084))&gt;0),1,0)</f>
        <v>1</v>
      </c>
      <c r="G4084" s="34" t="n">
        <f aca="false">B4084/1</f>
        <v>47.375</v>
      </c>
      <c r="H4084" s="34" t="n">
        <f aca="false">IF(F4084=1,G4084,"")</f>
        <v>47.375</v>
      </c>
    </row>
    <row r="4085" customFormat="false" ht="15" hidden="false" customHeight="false" outlineLevel="0" collapsed="false">
      <c r="A4085" s="31" t="n">
        <v>42906.125</v>
      </c>
      <c r="B4085" s="32" t="n">
        <v>47.957</v>
      </c>
      <c r="D4085" s="33" t="n">
        <f aca="false">WEEKDAY(A4085,2)</f>
        <v>2</v>
      </c>
      <c r="E4085" s="33" t="n">
        <f aca="false">HOUR(A4085)+MINUTE(A4085)/60</f>
        <v>3</v>
      </c>
      <c r="F4085" s="33" t="n">
        <f aca="false">IF(OR(D4085&gt;5,E4085&lt;8,E4085&gt;=18,COUNTIF($K$2:$K$10,INT(A4085))&gt;0),1,0)</f>
        <v>1</v>
      </c>
      <c r="G4085" s="34" t="n">
        <f aca="false">B4085/1</f>
        <v>47.957</v>
      </c>
      <c r="H4085" s="34" t="n">
        <f aca="false">IF(F4085=1,G4085,"")</f>
        <v>47.957</v>
      </c>
    </row>
    <row r="4086" customFormat="false" ht="15" hidden="false" customHeight="false" outlineLevel="0" collapsed="false">
      <c r="A4086" s="31" t="n">
        <v>42906.1666666667</v>
      </c>
      <c r="B4086" s="32" t="n">
        <v>48.071</v>
      </c>
      <c r="D4086" s="33" t="n">
        <f aca="false">WEEKDAY(A4086,2)</f>
        <v>2</v>
      </c>
      <c r="E4086" s="33" t="n">
        <f aca="false">HOUR(A4086)+MINUTE(A4086)/60</f>
        <v>4</v>
      </c>
      <c r="F4086" s="33" t="n">
        <f aca="false">IF(OR(D4086&gt;5,E4086&lt;8,E4086&gt;=18,COUNTIF($K$2:$K$10,INT(A4086))&gt;0),1,0)</f>
        <v>1</v>
      </c>
      <c r="G4086" s="34" t="n">
        <f aca="false">B4086/1</f>
        <v>48.071</v>
      </c>
      <c r="H4086" s="34" t="n">
        <f aca="false">IF(F4086=1,G4086,"")</f>
        <v>48.071</v>
      </c>
    </row>
    <row r="4087" customFormat="false" ht="15" hidden="false" customHeight="false" outlineLevel="0" collapsed="false">
      <c r="A4087" s="31" t="n">
        <v>42906.2083333333</v>
      </c>
      <c r="B4087" s="32" t="n">
        <v>48.532</v>
      </c>
      <c r="D4087" s="33" t="n">
        <f aca="false">WEEKDAY(A4087,2)</f>
        <v>2</v>
      </c>
      <c r="E4087" s="33" t="n">
        <f aca="false">HOUR(A4087)+MINUTE(A4087)/60</f>
        <v>5</v>
      </c>
      <c r="F4087" s="33" t="n">
        <f aca="false">IF(OR(D4087&gt;5,E4087&lt;8,E4087&gt;=18,COUNTIF($K$2:$K$10,INT(A4087))&gt;0),1,0)</f>
        <v>1</v>
      </c>
      <c r="G4087" s="34" t="n">
        <f aca="false">B4087/1</f>
        <v>48.532</v>
      </c>
      <c r="H4087" s="34" t="n">
        <f aca="false">IF(F4087=1,G4087,"")</f>
        <v>48.532</v>
      </c>
    </row>
    <row r="4088" customFormat="false" ht="15" hidden="false" customHeight="false" outlineLevel="0" collapsed="false">
      <c r="A4088" s="31" t="n">
        <v>42906.25</v>
      </c>
      <c r="B4088" s="32" t="n">
        <v>49.28</v>
      </c>
      <c r="D4088" s="33" t="n">
        <f aca="false">WEEKDAY(A4088,2)</f>
        <v>2</v>
      </c>
      <c r="E4088" s="33" t="n">
        <f aca="false">HOUR(A4088)+MINUTE(A4088)/60</f>
        <v>6</v>
      </c>
      <c r="F4088" s="33" t="n">
        <f aca="false">IF(OR(D4088&gt;5,E4088&lt;8,E4088&gt;=18,COUNTIF($K$2:$K$10,INT(A4088))&gt;0),1,0)</f>
        <v>1</v>
      </c>
      <c r="G4088" s="34" t="n">
        <f aca="false">B4088/1</f>
        <v>49.28</v>
      </c>
      <c r="H4088" s="34" t="n">
        <f aca="false">IF(F4088=1,G4088,"")</f>
        <v>49.28</v>
      </c>
    </row>
    <row r="4089" customFormat="false" ht="15" hidden="false" customHeight="false" outlineLevel="0" collapsed="false">
      <c r="A4089" s="31" t="n">
        <v>42906.2916666667</v>
      </c>
      <c r="B4089" s="32" t="n">
        <v>57.773</v>
      </c>
      <c r="D4089" s="33" t="n">
        <f aca="false">WEEKDAY(A4089,2)</f>
        <v>2</v>
      </c>
      <c r="E4089" s="33" t="n">
        <f aca="false">HOUR(A4089)+MINUTE(A4089)/60</f>
        <v>7</v>
      </c>
      <c r="F4089" s="33" t="n">
        <f aca="false">IF(OR(D4089&gt;5,E4089&lt;8,E4089&gt;=18,COUNTIF($K$2:$K$10,INT(A4089))&gt;0),1,0)</f>
        <v>1</v>
      </c>
      <c r="G4089" s="34" t="n">
        <f aca="false">B4089/1</f>
        <v>57.773</v>
      </c>
      <c r="H4089" s="34" t="n">
        <f aca="false">IF(F4089=1,G4089,"")</f>
        <v>57.773</v>
      </c>
    </row>
    <row r="4090" customFormat="false" ht="15" hidden="false" customHeight="false" outlineLevel="0" collapsed="false">
      <c r="A4090" s="31" t="n">
        <v>42906.3333333333</v>
      </c>
      <c r="B4090" s="32" t="n">
        <v>160.075</v>
      </c>
      <c r="D4090" s="33" t="n">
        <f aca="false">WEEKDAY(A4090,2)</f>
        <v>2</v>
      </c>
      <c r="E4090" s="33" t="n">
        <f aca="false">HOUR(A4090)+MINUTE(A4090)/60</f>
        <v>8</v>
      </c>
      <c r="F4090" s="33" t="n">
        <f aca="false">IF(OR(D4090&gt;5,E4090&lt;8,E4090&gt;=18,COUNTIF($K$2:$K$10,INT(A4090))&gt;0),1,0)</f>
        <v>0</v>
      </c>
      <c r="G4090" s="34" t="n">
        <f aca="false">B4090/1</f>
        <v>160.075</v>
      </c>
      <c r="H4090" s="34" t="str">
        <f aca="false">IF(F4090=1,G4090,"")</f>
        <v/>
      </c>
    </row>
    <row r="4091" customFormat="false" ht="15" hidden="false" customHeight="false" outlineLevel="0" collapsed="false">
      <c r="A4091" s="31" t="n">
        <v>42906.375</v>
      </c>
      <c r="B4091" s="32" t="n">
        <v>186.741</v>
      </c>
      <c r="D4091" s="33" t="n">
        <f aca="false">WEEKDAY(A4091,2)</f>
        <v>2</v>
      </c>
      <c r="E4091" s="33" t="n">
        <f aca="false">HOUR(A4091)+MINUTE(A4091)/60</f>
        <v>9</v>
      </c>
      <c r="F4091" s="33" t="n">
        <f aca="false">IF(OR(D4091&gt;5,E4091&lt;8,E4091&gt;=18,COUNTIF($K$2:$K$10,INT(A4091))&gt;0),1,0)</f>
        <v>0</v>
      </c>
      <c r="G4091" s="34" t="n">
        <f aca="false">B4091/1</f>
        <v>186.741</v>
      </c>
      <c r="H4091" s="34" t="str">
        <f aca="false">IF(F4091=1,G4091,"")</f>
        <v/>
      </c>
    </row>
    <row r="4092" customFormat="false" ht="15" hidden="false" customHeight="false" outlineLevel="0" collapsed="false">
      <c r="A4092" s="31" t="n">
        <v>42906.4166666667</v>
      </c>
      <c r="B4092" s="32" t="n">
        <v>194.498</v>
      </c>
      <c r="D4092" s="33" t="n">
        <f aca="false">WEEKDAY(A4092,2)</f>
        <v>2</v>
      </c>
      <c r="E4092" s="33" t="n">
        <f aca="false">HOUR(A4092)+MINUTE(A4092)/60</f>
        <v>10</v>
      </c>
      <c r="F4092" s="33" t="n">
        <f aca="false">IF(OR(D4092&gt;5,E4092&lt;8,E4092&gt;=18,COUNTIF($K$2:$K$10,INT(A4092))&gt;0),1,0)</f>
        <v>0</v>
      </c>
      <c r="G4092" s="34" t="n">
        <f aca="false">B4092/1</f>
        <v>194.498</v>
      </c>
      <c r="H4092" s="34" t="str">
        <f aca="false">IF(F4092=1,G4092,"")</f>
        <v/>
      </c>
    </row>
    <row r="4093" customFormat="false" ht="15" hidden="false" customHeight="false" outlineLevel="0" collapsed="false">
      <c r="A4093" s="31" t="n">
        <v>42906.4583333333</v>
      </c>
      <c r="B4093" s="32" t="n">
        <v>200.547</v>
      </c>
      <c r="D4093" s="33" t="n">
        <f aca="false">WEEKDAY(A4093,2)</f>
        <v>2</v>
      </c>
      <c r="E4093" s="33" t="n">
        <f aca="false">HOUR(A4093)+MINUTE(A4093)/60</f>
        <v>11</v>
      </c>
      <c r="F4093" s="33" t="n">
        <f aca="false">IF(OR(D4093&gt;5,E4093&lt;8,E4093&gt;=18,COUNTIF($K$2:$K$10,INT(A4093))&gt;0),1,0)</f>
        <v>0</v>
      </c>
      <c r="G4093" s="34" t="n">
        <f aca="false">B4093/1</f>
        <v>200.547</v>
      </c>
      <c r="H4093" s="34" t="str">
        <f aca="false">IF(F4093=1,G4093,"")</f>
        <v/>
      </c>
    </row>
    <row r="4094" customFormat="false" ht="15" hidden="false" customHeight="false" outlineLevel="0" collapsed="false">
      <c r="A4094" s="31" t="n">
        <v>42906.5</v>
      </c>
      <c r="B4094" s="32" t="n">
        <v>209.915</v>
      </c>
      <c r="D4094" s="33" t="n">
        <f aca="false">WEEKDAY(A4094,2)</f>
        <v>2</v>
      </c>
      <c r="E4094" s="33" t="n">
        <f aca="false">HOUR(A4094)+MINUTE(A4094)/60</f>
        <v>12</v>
      </c>
      <c r="F4094" s="33" t="n">
        <f aca="false">IF(OR(D4094&gt;5,E4094&lt;8,E4094&gt;=18,COUNTIF($K$2:$K$10,INT(A4094))&gt;0),1,0)</f>
        <v>0</v>
      </c>
      <c r="G4094" s="34" t="n">
        <f aca="false">B4094/1</f>
        <v>209.915</v>
      </c>
      <c r="H4094" s="34" t="str">
        <f aca="false">IF(F4094=1,G4094,"")</f>
        <v/>
      </c>
    </row>
    <row r="4095" customFormat="false" ht="15" hidden="false" customHeight="false" outlineLevel="0" collapsed="false">
      <c r="A4095" s="31" t="n">
        <v>42906.5416666667</v>
      </c>
      <c r="B4095" s="32" t="n">
        <v>209.433</v>
      </c>
      <c r="D4095" s="33" t="n">
        <f aca="false">WEEKDAY(A4095,2)</f>
        <v>2</v>
      </c>
      <c r="E4095" s="33" t="n">
        <f aca="false">HOUR(A4095)+MINUTE(A4095)/60</f>
        <v>13</v>
      </c>
      <c r="F4095" s="33" t="n">
        <f aca="false">IF(OR(D4095&gt;5,E4095&lt;8,E4095&gt;=18,COUNTIF($K$2:$K$10,INT(A4095))&gt;0),1,0)</f>
        <v>0</v>
      </c>
      <c r="G4095" s="34" t="n">
        <f aca="false">B4095/1</f>
        <v>209.433</v>
      </c>
      <c r="H4095" s="34" t="str">
        <f aca="false">IF(F4095=1,G4095,"")</f>
        <v/>
      </c>
    </row>
    <row r="4096" customFormat="false" ht="15" hidden="false" customHeight="false" outlineLevel="0" collapsed="false">
      <c r="A4096" s="31" t="n">
        <v>42906.5833333333</v>
      </c>
      <c r="B4096" s="32" t="n">
        <v>203.734</v>
      </c>
      <c r="D4096" s="33" t="n">
        <f aca="false">WEEKDAY(A4096,2)</f>
        <v>2</v>
      </c>
      <c r="E4096" s="33" t="n">
        <f aca="false">HOUR(A4096)+MINUTE(A4096)/60</f>
        <v>14</v>
      </c>
      <c r="F4096" s="33" t="n">
        <f aca="false">IF(OR(D4096&gt;5,E4096&lt;8,E4096&gt;=18,COUNTIF($K$2:$K$10,INT(A4096))&gt;0),1,0)</f>
        <v>0</v>
      </c>
      <c r="G4096" s="34" t="n">
        <f aca="false">B4096/1</f>
        <v>203.734</v>
      </c>
      <c r="H4096" s="34" t="str">
        <f aca="false">IF(F4096=1,G4096,"")</f>
        <v/>
      </c>
    </row>
    <row r="4097" customFormat="false" ht="15" hidden="false" customHeight="false" outlineLevel="0" collapsed="false">
      <c r="A4097" s="31" t="n">
        <v>42906.625</v>
      </c>
      <c r="B4097" s="32" t="n">
        <v>204.41</v>
      </c>
      <c r="D4097" s="33" t="n">
        <f aca="false">WEEKDAY(A4097,2)</f>
        <v>2</v>
      </c>
      <c r="E4097" s="33" t="n">
        <f aca="false">HOUR(A4097)+MINUTE(A4097)/60</f>
        <v>15</v>
      </c>
      <c r="F4097" s="33" t="n">
        <f aca="false">IF(OR(D4097&gt;5,E4097&lt;8,E4097&gt;=18,COUNTIF($K$2:$K$10,INT(A4097))&gt;0),1,0)</f>
        <v>0</v>
      </c>
      <c r="G4097" s="34" t="n">
        <f aca="false">B4097/1</f>
        <v>204.41</v>
      </c>
      <c r="H4097" s="34" t="str">
        <f aca="false">IF(F4097=1,G4097,"")</f>
        <v/>
      </c>
    </row>
    <row r="4098" customFormat="false" ht="15" hidden="false" customHeight="false" outlineLevel="0" collapsed="false">
      <c r="A4098" s="31" t="n">
        <v>42906.6666666667</v>
      </c>
      <c r="B4098" s="32" t="n">
        <v>201.854</v>
      </c>
      <c r="D4098" s="33" t="n">
        <f aca="false">WEEKDAY(A4098,2)</f>
        <v>2</v>
      </c>
      <c r="E4098" s="33" t="n">
        <f aca="false">HOUR(A4098)+MINUTE(A4098)/60</f>
        <v>16</v>
      </c>
      <c r="F4098" s="33" t="n">
        <f aca="false">IF(OR(D4098&gt;5,E4098&lt;8,E4098&gt;=18,COUNTIF($K$2:$K$10,INT(A4098))&gt;0),1,0)</f>
        <v>0</v>
      </c>
      <c r="G4098" s="34" t="n">
        <f aca="false">B4098/1</f>
        <v>201.854</v>
      </c>
      <c r="H4098" s="34" t="str">
        <f aca="false">IF(F4098=1,G4098,"")</f>
        <v/>
      </c>
    </row>
    <row r="4099" customFormat="false" ht="15" hidden="false" customHeight="false" outlineLevel="0" collapsed="false">
      <c r="A4099" s="31" t="n">
        <v>42906.7083333333</v>
      </c>
      <c r="B4099" s="32" t="n">
        <v>194.985</v>
      </c>
      <c r="D4099" s="33" t="n">
        <f aca="false">WEEKDAY(A4099,2)</f>
        <v>2</v>
      </c>
      <c r="E4099" s="33" t="n">
        <f aca="false">HOUR(A4099)+MINUTE(A4099)/60</f>
        <v>17</v>
      </c>
      <c r="F4099" s="33" t="n">
        <f aca="false">IF(OR(D4099&gt;5,E4099&lt;8,E4099&gt;=18,COUNTIF($K$2:$K$10,INT(A4099))&gt;0),1,0)</f>
        <v>0</v>
      </c>
      <c r="G4099" s="34" t="n">
        <f aca="false">B4099/1</f>
        <v>194.985</v>
      </c>
      <c r="H4099" s="34" t="str">
        <f aca="false">IF(F4099=1,G4099,"")</f>
        <v/>
      </c>
    </row>
    <row r="4100" customFormat="false" ht="15" hidden="false" customHeight="false" outlineLevel="0" collapsed="false">
      <c r="A4100" s="31" t="n">
        <v>42906.75</v>
      </c>
      <c r="B4100" s="32" t="n">
        <v>179.022</v>
      </c>
      <c r="D4100" s="33" t="n">
        <f aca="false">WEEKDAY(A4100,2)</f>
        <v>2</v>
      </c>
      <c r="E4100" s="33" t="n">
        <f aca="false">HOUR(A4100)+MINUTE(A4100)/60</f>
        <v>18</v>
      </c>
      <c r="F4100" s="33" t="n">
        <f aca="false">IF(OR(D4100&gt;5,E4100&lt;8,E4100&gt;=18,COUNTIF($K$2:$K$10,INT(A4100))&gt;0),1,0)</f>
        <v>1</v>
      </c>
      <c r="G4100" s="34" t="n">
        <f aca="false">B4100/1</f>
        <v>179.022</v>
      </c>
      <c r="H4100" s="34" t="n">
        <f aca="false">IF(F4100=1,G4100,"")</f>
        <v>179.022</v>
      </c>
    </row>
    <row r="4101" customFormat="false" ht="15" hidden="false" customHeight="false" outlineLevel="0" collapsed="false">
      <c r="A4101" s="31" t="n">
        <v>42906.7916666667</v>
      </c>
      <c r="B4101" s="32" t="n">
        <v>171.948</v>
      </c>
      <c r="D4101" s="33" t="n">
        <f aca="false">WEEKDAY(A4101,2)</f>
        <v>2</v>
      </c>
      <c r="E4101" s="33" t="n">
        <f aca="false">HOUR(A4101)+MINUTE(A4101)/60</f>
        <v>19</v>
      </c>
      <c r="F4101" s="33" t="n">
        <f aca="false">IF(OR(D4101&gt;5,E4101&lt;8,E4101&gt;=18,COUNTIF($K$2:$K$10,INT(A4101))&gt;0),1,0)</f>
        <v>1</v>
      </c>
      <c r="G4101" s="34" t="n">
        <f aca="false">B4101/1</f>
        <v>171.948</v>
      </c>
      <c r="H4101" s="34" t="n">
        <f aca="false">IF(F4101=1,G4101,"")</f>
        <v>171.948</v>
      </c>
    </row>
    <row r="4102" customFormat="false" ht="15" hidden="false" customHeight="false" outlineLevel="0" collapsed="false">
      <c r="A4102" s="31" t="n">
        <v>42906.8333333333</v>
      </c>
      <c r="B4102" s="32" t="n">
        <v>169.569</v>
      </c>
      <c r="D4102" s="33" t="n">
        <f aca="false">WEEKDAY(A4102,2)</f>
        <v>2</v>
      </c>
      <c r="E4102" s="33" t="n">
        <f aca="false">HOUR(A4102)+MINUTE(A4102)/60</f>
        <v>20</v>
      </c>
      <c r="F4102" s="33" t="n">
        <f aca="false">IF(OR(D4102&gt;5,E4102&lt;8,E4102&gt;=18,COUNTIF($K$2:$K$10,INT(A4102))&gt;0),1,0)</f>
        <v>1</v>
      </c>
      <c r="G4102" s="34" t="n">
        <f aca="false">B4102/1</f>
        <v>169.569</v>
      </c>
      <c r="H4102" s="34" t="n">
        <f aca="false">IF(F4102=1,G4102,"")</f>
        <v>169.569</v>
      </c>
    </row>
    <row r="4103" customFormat="false" ht="15" hidden="false" customHeight="false" outlineLevel="0" collapsed="false">
      <c r="A4103" s="31" t="n">
        <v>42906.875</v>
      </c>
      <c r="B4103" s="32" t="n">
        <v>166.923</v>
      </c>
      <c r="D4103" s="33" t="n">
        <f aca="false">WEEKDAY(A4103,2)</f>
        <v>2</v>
      </c>
      <c r="E4103" s="33" t="n">
        <f aca="false">HOUR(A4103)+MINUTE(A4103)/60</f>
        <v>21</v>
      </c>
      <c r="F4103" s="33" t="n">
        <f aca="false">IF(OR(D4103&gt;5,E4103&lt;8,E4103&gt;=18,COUNTIF($K$2:$K$10,INT(A4103))&gt;0),1,0)</f>
        <v>1</v>
      </c>
      <c r="G4103" s="34" t="n">
        <f aca="false">B4103/1</f>
        <v>166.923</v>
      </c>
      <c r="H4103" s="34" t="n">
        <f aca="false">IF(F4103=1,G4103,"")</f>
        <v>166.923</v>
      </c>
    </row>
    <row r="4104" customFormat="false" ht="15" hidden="false" customHeight="false" outlineLevel="0" collapsed="false">
      <c r="A4104" s="31" t="n">
        <v>42906.9166666667</v>
      </c>
      <c r="B4104" s="32" t="n">
        <v>112.348</v>
      </c>
      <c r="D4104" s="33" t="n">
        <f aca="false">WEEKDAY(A4104,2)</f>
        <v>2</v>
      </c>
      <c r="E4104" s="33" t="n">
        <f aca="false">HOUR(A4104)+MINUTE(A4104)/60</f>
        <v>22</v>
      </c>
      <c r="F4104" s="33" t="n">
        <f aca="false">IF(OR(D4104&gt;5,E4104&lt;8,E4104&gt;=18,COUNTIF($K$2:$K$10,INT(A4104))&gt;0),1,0)</f>
        <v>1</v>
      </c>
      <c r="G4104" s="34" t="n">
        <f aca="false">B4104/1</f>
        <v>112.348</v>
      </c>
      <c r="H4104" s="34" t="n">
        <f aca="false">IF(F4104=1,G4104,"")</f>
        <v>112.348</v>
      </c>
    </row>
    <row r="4105" customFormat="false" ht="15" hidden="false" customHeight="false" outlineLevel="0" collapsed="false">
      <c r="A4105" s="31" t="n">
        <v>42906.9583333333</v>
      </c>
      <c r="B4105" s="32" t="n">
        <v>51.079</v>
      </c>
      <c r="D4105" s="33" t="n">
        <f aca="false">WEEKDAY(A4105,2)</f>
        <v>2</v>
      </c>
      <c r="E4105" s="33" t="n">
        <f aca="false">HOUR(A4105)+MINUTE(A4105)/60</f>
        <v>23</v>
      </c>
      <c r="F4105" s="33" t="n">
        <f aca="false">IF(OR(D4105&gt;5,E4105&lt;8,E4105&gt;=18,COUNTIF($K$2:$K$10,INT(A4105))&gt;0),1,0)</f>
        <v>1</v>
      </c>
      <c r="G4105" s="34" t="n">
        <f aca="false">B4105/1</f>
        <v>51.079</v>
      </c>
      <c r="H4105" s="34" t="n">
        <f aca="false">IF(F4105=1,G4105,"")</f>
        <v>51.079</v>
      </c>
    </row>
    <row r="4106" customFormat="false" ht="15" hidden="false" customHeight="false" outlineLevel="0" collapsed="false">
      <c r="A4106" s="31" t="n">
        <v>42907</v>
      </c>
      <c r="B4106" s="32" t="n">
        <v>50.529</v>
      </c>
      <c r="D4106" s="33" t="n">
        <f aca="false">WEEKDAY(A4106,2)</f>
        <v>3</v>
      </c>
      <c r="E4106" s="33" t="n">
        <f aca="false">HOUR(A4106)+MINUTE(A4106)/60</f>
        <v>0</v>
      </c>
      <c r="F4106" s="33" t="n">
        <f aca="false">IF(OR(D4106&gt;5,E4106&lt;8,E4106&gt;=18,COUNTIF($K$2:$K$10,INT(A4106))&gt;0),1,0)</f>
        <v>1</v>
      </c>
      <c r="G4106" s="34" t="n">
        <f aca="false">B4106/1</f>
        <v>50.529</v>
      </c>
      <c r="H4106" s="34" t="n">
        <f aca="false">IF(F4106=1,G4106,"")</f>
        <v>50.529</v>
      </c>
    </row>
    <row r="4107" customFormat="false" ht="15" hidden="false" customHeight="false" outlineLevel="0" collapsed="false">
      <c r="A4107" s="31" t="n">
        <v>42907.0416666667</v>
      </c>
      <c r="B4107" s="32" t="n">
        <v>49.339</v>
      </c>
      <c r="D4107" s="33" t="n">
        <f aca="false">WEEKDAY(A4107,2)</f>
        <v>3</v>
      </c>
      <c r="E4107" s="33" t="n">
        <f aca="false">HOUR(A4107)+MINUTE(A4107)/60</f>
        <v>1</v>
      </c>
      <c r="F4107" s="33" t="n">
        <f aca="false">IF(OR(D4107&gt;5,E4107&lt;8,E4107&gt;=18,COUNTIF($K$2:$K$10,INT(A4107))&gt;0),1,0)</f>
        <v>1</v>
      </c>
      <c r="G4107" s="34" t="n">
        <f aca="false">B4107/1</f>
        <v>49.339</v>
      </c>
      <c r="H4107" s="34" t="n">
        <f aca="false">IF(F4107=1,G4107,"")</f>
        <v>49.339</v>
      </c>
    </row>
    <row r="4108" customFormat="false" ht="15" hidden="false" customHeight="false" outlineLevel="0" collapsed="false">
      <c r="A4108" s="31" t="n">
        <v>42907.0833333333</v>
      </c>
      <c r="B4108" s="32" t="n">
        <v>49.144</v>
      </c>
      <c r="D4108" s="33" t="n">
        <f aca="false">WEEKDAY(A4108,2)</f>
        <v>3</v>
      </c>
      <c r="E4108" s="33" t="n">
        <f aca="false">HOUR(A4108)+MINUTE(A4108)/60</f>
        <v>2</v>
      </c>
      <c r="F4108" s="33" t="n">
        <f aca="false">IF(OR(D4108&gt;5,E4108&lt;8,E4108&gt;=18,COUNTIF($K$2:$K$10,INT(A4108))&gt;0),1,0)</f>
        <v>1</v>
      </c>
      <c r="G4108" s="34" t="n">
        <f aca="false">B4108/1</f>
        <v>49.144</v>
      </c>
      <c r="H4108" s="34" t="n">
        <f aca="false">IF(F4108=1,G4108,"")</f>
        <v>49.144</v>
      </c>
    </row>
    <row r="4109" customFormat="false" ht="15" hidden="false" customHeight="false" outlineLevel="0" collapsed="false">
      <c r="A4109" s="31" t="n">
        <v>42907.125</v>
      </c>
      <c r="B4109" s="32" t="n">
        <v>50.243</v>
      </c>
      <c r="D4109" s="33" t="n">
        <f aca="false">WEEKDAY(A4109,2)</f>
        <v>3</v>
      </c>
      <c r="E4109" s="33" t="n">
        <f aca="false">HOUR(A4109)+MINUTE(A4109)/60</f>
        <v>3</v>
      </c>
      <c r="F4109" s="33" t="n">
        <f aca="false">IF(OR(D4109&gt;5,E4109&lt;8,E4109&gt;=18,COUNTIF($K$2:$K$10,INT(A4109))&gt;0),1,0)</f>
        <v>1</v>
      </c>
      <c r="G4109" s="34" t="n">
        <f aca="false">B4109/1</f>
        <v>50.243</v>
      </c>
      <c r="H4109" s="34" t="n">
        <f aca="false">IF(F4109=1,G4109,"")</f>
        <v>50.243</v>
      </c>
    </row>
    <row r="4110" customFormat="false" ht="15" hidden="false" customHeight="false" outlineLevel="0" collapsed="false">
      <c r="A4110" s="31" t="n">
        <v>42907.1666666667</v>
      </c>
      <c r="B4110" s="32" t="n">
        <v>49.547</v>
      </c>
      <c r="D4110" s="33" t="n">
        <f aca="false">WEEKDAY(A4110,2)</f>
        <v>3</v>
      </c>
      <c r="E4110" s="33" t="n">
        <f aca="false">HOUR(A4110)+MINUTE(A4110)/60</f>
        <v>4</v>
      </c>
      <c r="F4110" s="33" t="n">
        <f aca="false">IF(OR(D4110&gt;5,E4110&lt;8,E4110&gt;=18,COUNTIF($K$2:$K$10,INT(A4110))&gt;0),1,0)</f>
        <v>1</v>
      </c>
      <c r="G4110" s="34" t="n">
        <f aca="false">B4110/1</f>
        <v>49.547</v>
      </c>
      <c r="H4110" s="34" t="n">
        <f aca="false">IF(F4110=1,G4110,"")</f>
        <v>49.547</v>
      </c>
    </row>
    <row r="4111" customFormat="false" ht="15" hidden="false" customHeight="false" outlineLevel="0" collapsed="false">
      <c r="A4111" s="31" t="n">
        <v>42907.2083333333</v>
      </c>
      <c r="B4111" s="32" t="n">
        <v>49.094</v>
      </c>
      <c r="D4111" s="33" t="n">
        <f aca="false">WEEKDAY(A4111,2)</f>
        <v>3</v>
      </c>
      <c r="E4111" s="33" t="n">
        <f aca="false">HOUR(A4111)+MINUTE(A4111)/60</f>
        <v>5</v>
      </c>
      <c r="F4111" s="33" t="n">
        <f aca="false">IF(OR(D4111&gt;5,E4111&lt;8,E4111&gt;=18,COUNTIF($K$2:$K$10,INT(A4111))&gt;0),1,0)</f>
        <v>1</v>
      </c>
      <c r="G4111" s="34" t="n">
        <f aca="false">B4111/1</f>
        <v>49.094</v>
      </c>
      <c r="H4111" s="34" t="n">
        <f aca="false">IF(F4111=1,G4111,"")</f>
        <v>49.094</v>
      </c>
    </row>
    <row r="4112" customFormat="false" ht="15" hidden="false" customHeight="false" outlineLevel="0" collapsed="false">
      <c r="A4112" s="31" t="n">
        <v>42907.25</v>
      </c>
      <c r="B4112" s="32" t="n">
        <v>50.621</v>
      </c>
      <c r="D4112" s="33" t="n">
        <f aca="false">WEEKDAY(A4112,2)</f>
        <v>3</v>
      </c>
      <c r="E4112" s="33" t="n">
        <f aca="false">HOUR(A4112)+MINUTE(A4112)/60</f>
        <v>6</v>
      </c>
      <c r="F4112" s="33" t="n">
        <f aca="false">IF(OR(D4112&gt;5,E4112&lt;8,E4112&gt;=18,COUNTIF($K$2:$K$10,INT(A4112))&gt;0),1,0)</f>
        <v>1</v>
      </c>
      <c r="G4112" s="34" t="n">
        <f aca="false">B4112/1</f>
        <v>50.621</v>
      </c>
      <c r="H4112" s="34" t="n">
        <f aca="false">IF(F4112=1,G4112,"")</f>
        <v>50.621</v>
      </c>
    </row>
    <row r="4113" customFormat="false" ht="15" hidden="false" customHeight="false" outlineLevel="0" collapsed="false">
      <c r="A4113" s="31" t="n">
        <v>42907.2916666667</v>
      </c>
      <c r="B4113" s="32" t="n">
        <v>56.956</v>
      </c>
      <c r="D4113" s="33" t="n">
        <f aca="false">WEEKDAY(A4113,2)</f>
        <v>3</v>
      </c>
      <c r="E4113" s="33" t="n">
        <f aca="false">HOUR(A4113)+MINUTE(A4113)/60</f>
        <v>7</v>
      </c>
      <c r="F4113" s="33" t="n">
        <f aca="false">IF(OR(D4113&gt;5,E4113&lt;8,E4113&gt;=18,COUNTIF($K$2:$K$10,INT(A4113))&gt;0),1,0)</f>
        <v>1</v>
      </c>
      <c r="G4113" s="34" t="n">
        <f aca="false">B4113/1</f>
        <v>56.956</v>
      </c>
      <c r="H4113" s="34" t="n">
        <f aca="false">IF(F4113=1,G4113,"")</f>
        <v>56.956</v>
      </c>
    </row>
    <row r="4114" customFormat="false" ht="15" hidden="false" customHeight="false" outlineLevel="0" collapsed="false">
      <c r="A4114" s="31" t="n">
        <v>42907.3333333333</v>
      </c>
      <c r="B4114" s="32" t="n">
        <v>163.276</v>
      </c>
      <c r="D4114" s="33" t="n">
        <f aca="false">WEEKDAY(A4114,2)</f>
        <v>3</v>
      </c>
      <c r="E4114" s="33" t="n">
        <f aca="false">HOUR(A4114)+MINUTE(A4114)/60</f>
        <v>8</v>
      </c>
      <c r="F4114" s="33" t="n">
        <f aca="false">IF(OR(D4114&gt;5,E4114&lt;8,E4114&gt;=18,COUNTIF($K$2:$K$10,INT(A4114))&gt;0),1,0)</f>
        <v>0</v>
      </c>
      <c r="G4114" s="34" t="n">
        <f aca="false">B4114/1</f>
        <v>163.276</v>
      </c>
      <c r="H4114" s="34" t="str">
        <f aca="false">IF(F4114=1,G4114,"")</f>
        <v/>
      </c>
    </row>
    <row r="4115" customFormat="false" ht="15" hidden="false" customHeight="false" outlineLevel="0" collapsed="false">
      <c r="A4115" s="31" t="n">
        <v>42907.375</v>
      </c>
      <c r="B4115" s="32" t="n">
        <v>185.945</v>
      </c>
      <c r="D4115" s="33" t="n">
        <f aca="false">WEEKDAY(A4115,2)</f>
        <v>3</v>
      </c>
      <c r="E4115" s="33" t="n">
        <f aca="false">HOUR(A4115)+MINUTE(A4115)/60</f>
        <v>9</v>
      </c>
      <c r="F4115" s="33" t="n">
        <f aca="false">IF(OR(D4115&gt;5,E4115&lt;8,E4115&gt;=18,COUNTIF($K$2:$K$10,INT(A4115))&gt;0),1,0)</f>
        <v>0</v>
      </c>
      <c r="G4115" s="34" t="n">
        <f aca="false">B4115/1</f>
        <v>185.945</v>
      </c>
      <c r="H4115" s="34" t="str">
        <f aca="false">IF(F4115=1,G4115,"")</f>
        <v/>
      </c>
    </row>
    <row r="4116" customFormat="false" ht="15" hidden="false" customHeight="false" outlineLevel="0" collapsed="false">
      <c r="A4116" s="31" t="n">
        <v>42907.4166666667</v>
      </c>
      <c r="B4116" s="32" t="n">
        <v>196.714</v>
      </c>
      <c r="D4116" s="33" t="n">
        <f aca="false">WEEKDAY(A4116,2)</f>
        <v>3</v>
      </c>
      <c r="E4116" s="33" t="n">
        <f aca="false">HOUR(A4116)+MINUTE(A4116)/60</f>
        <v>10</v>
      </c>
      <c r="F4116" s="33" t="n">
        <f aca="false">IF(OR(D4116&gt;5,E4116&lt;8,E4116&gt;=18,COUNTIF($K$2:$K$10,INT(A4116))&gt;0),1,0)</f>
        <v>0</v>
      </c>
      <c r="G4116" s="34" t="n">
        <f aca="false">B4116/1</f>
        <v>196.714</v>
      </c>
      <c r="H4116" s="34" t="str">
        <f aca="false">IF(F4116=1,G4116,"")</f>
        <v/>
      </c>
    </row>
    <row r="4117" customFormat="false" ht="15" hidden="false" customHeight="false" outlineLevel="0" collapsed="false">
      <c r="A4117" s="31" t="n">
        <v>42907.4583333333</v>
      </c>
      <c r="B4117" s="32" t="n">
        <v>202.567</v>
      </c>
      <c r="D4117" s="33" t="n">
        <f aca="false">WEEKDAY(A4117,2)</f>
        <v>3</v>
      </c>
      <c r="E4117" s="33" t="n">
        <f aca="false">HOUR(A4117)+MINUTE(A4117)/60</f>
        <v>11</v>
      </c>
      <c r="F4117" s="33" t="n">
        <f aca="false">IF(OR(D4117&gt;5,E4117&lt;8,E4117&gt;=18,COUNTIF($K$2:$K$10,INT(A4117))&gt;0),1,0)</f>
        <v>0</v>
      </c>
      <c r="G4117" s="34" t="n">
        <f aca="false">B4117/1</f>
        <v>202.567</v>
      </c>
      <c r="H4117" s="34" t="str">
        <f aca="false">IF(F4117=1,G4117,"")</f>
        <v/>
      </c>
    </row>
    <row r="4118" customFormat="false" ht="15" hidden="false" customHeight="false" outlineLevel="0" collapsed="false">
      <c r="A4118" s="31" t="n">
        <v>42907.5</v>
      </c>
      <c r="B4118" s="32" t="n">
        <v>214.236</v>
      </c>
      <c r="D4118" s="33" t="n">
        <f aca="false">WEEKDAY(A4118,2)</f>
        <v>3</v>
      </c>
      <c r="E4118" s="33" t="n">
        <f aca="false">HOUR(A4118)+MINUTE(A4118)/60</f>
        <v>12</v>
      </c>
      <c r="F4118" s="33" t="n">
        <f aca="false">IF(OR(D4118&gt;5,E4118&lt;8,E4118&gt;=18,COUNTIF($K$2:$K$10,INT(A4118))&gt;0),1,0)</f>
        <v>0</v>
      </c>
      <c r="G4118" s="34" t="n">
        <f aca="false">B4118/1</f>
        <v>214.236</v>
      </c>
      <c r="H4118" s="34" t="str">
        <f aca="false">IF(F4118=1,G4118,"")</f>
        <v/>
      </c>
    </row>
    <row r="4119" customFormat="false" ht="15" hidden="false" customHeight="false" outlineLevel="0" collapsed="false">
      <c r="A4119" s="31" t="n">
        <v>42907.5416666667</v>
      </c>
      <c r="B4119" s="32" t="n">
        <v>213.595</v>
      </c>
      <c r="D4119" s="33" t="n">
        <f aca="false">WEEKDAY(A4119,2)</f>
        <v>3</v>
      </c>
      <c r="E4119" s="33" t="n">
        <f aca="false">HOUR(A4119)+MINUTE(A4119)/60</f>
        <v>13</v>
      </c>
      <c r="F4119" s="33" t="n">
        <f aca="false">IF(OR(D4119&gt;5,E4119&lt;8,E4119&gt;=18,COUNTIF($K$2:$K$10,INT(A4119))&gt;0),1,0)</f>
        <v>0</v>
      </c>
      <c r="G4119" s="34" t="n">
        <f aca="false">B4119/1</f>
        <v>213.595</v>
      </c>
      <c r="H4119" s="34" t="str">
        <f aca="false">IF(F4119=1,G4119,"")</f>
        <v/>
      </c>
    </row>
    <row r="4120" customFormat="false" ht="15" hidden="false" customHeight="false" outlineLevel="0" collapsed="false">
      <c r="A4120" s="31" t="n">
        <v>42907.5833333333</v>
      </c>
      <c r="B4120" s="32" t="n">
        <v>211.138</v>
      </c>
      <c r="D4120" s="33" t="n">
        <f aca="false">WEEKDAY(A4120,2)</f>
        <v>3</v>
      </c>
      <c r="E4120" s="33" t="n">
        <f aca="false">HOUR(A4120)+MINUTE(A4120)/60</f>
        <v>14</v>
      </c>
      <c r="F4120" s="33" t="n">
        <f aca="false">IF(OR(D4120&gt;5,E4120&lt;8,E4120&gt;=18,COUNTIF($K$2:$K$10,INT(A4120))&gt;0),1,0)</f>
        <v>0</v>
      </c>
      <c r="G4120" s="34" t="n">
        <f aca="false">B4120/1</f>
        <v>211.138</v>
      </c>
      <c r="H4120" s="34" t="str">
        <f aca="false">IF(F4120=1,G4120,"")</f>
        <v/>
      </c>
    </row>
    <row r="4121" customFormat="false" ht="15" hidden="false" customHeight="false" outlineLevel="0" collapsed="false">
      <c r="A4121" s="31" t="n">
        <v>42907.625</v>
      </c>
      <c r="B4121" s="32" t="n">
        <v>208.382</v>
      </c>
      <c r="D4121" s="33" t="n">
        <f aca="false">WEEKDAY(A4121,2)</f>
        <v>3</v>
      </c>
      <c r="E4121" s="33" t="n">
        <f aca="false">HOUR(A4121)+MINUTE(A4121)/60</f>
        <v>15</v>
      </c>
      <c r="F4121" s="33" t="n">
        <f aca="false">IF(OR(D4121&gt;5,E4121&lt;8,E4121&gt;=18,COUNTIF($K$2:$K$10,INT(A4121))&gt;0),1,0)</f>
        <v>0</v>
      </c>
      <c r="G4121" s="34" t="n">
        <f aca="false">B4121/1</f>
        <v>208.382</v>
      </c>
      <c r="H4121" s="34" t="str">
        <f aca="false">IF(F4121=1,G4121,"")</f>
        <v/>
      </c>
    </row>
    <row r="4122" customFormat="false" ht="15" hidden="false" customHeight="false" outlineLevel="0" collapsed="false">
      <c r="A4122" s="31" t="n">
        <v>42907.6666666667</v>
      </c>
      <c r="B4122" s="32" t="n">
        <v>202.29</v>
      </c>
      <c r="D4122" s="33" t="n">
        <f aca="false">WEEKDAY(A4122,2)</f>
        <v>3</v>
      </c>
      <c r="E4122" s="33" t="n">
        <f aca="false">HOUR(A4122)+MINUTE(A4122)/60</f>
        <v>16</v>
      </c>
      <c r="F4122" s="33" t="n">
        <f aca="false">IF(OR(D4122&gt;5,E4122&lt;8,E4122&gt;=18,COUNTIF($K$2:$K$10,INT(A4122))&gt;0),1,0)</f>
        <v>0</v>
      </c>
      <c r="G4122" s="34" t="n">
        <f aca="false">B4122/1</f>
        <v>202.29</v>
      </c>
      <c r="H4122" s="34" t="str">
        <f aca="false">IF(F4122=1,G4122,"")</f>
        <v/>
      </c>
    </row>
    <row r="4123" customFormat="false" ht="15" hidden="false" customHeight="false" outlineLevel="0" collapsed="false">
      <c r="A4123" s="31" t="n">
        <v>42907.7083333333</v>
      </c>
      <c r="B4123" s="32" t="n">
        <v>191.773</v>
      </c>
      <c r="D4123" s="33" t="n">
        <f aca="false">WEEKDAY(A4123,2)</f>
        <v>3</v>
      </c>
      <c r="E4123" s="33" t="n">
        <f aca="false">HOUR(A4123)+MINUTE(A4123)/60</f>
        <v>17</v>
      </c>
      <c r="F4123" s="33" t="n">
        <f aca="false">IF(OR(D4123&gt;5,E4123&lt;8,E4123&gt;=18,COUNTIF($K$2:$K$10,INT(A4123))&gt;0),1,0)</f>
        <v>0</v>
      </c>
      <c r="G4123" s="34" t="n">
        <f aca="false">B4123/1</f>
        <v>191.773</v>
      </c>
      <c r="H4123" s="34" t="str">
        <f aca="false">IF(F4123=1,G4123,"")</f>
        <v/>
      </c>
    </row>
    <row r="4124" customFormat="false" ht="15" hidden="false" customHeight="false" outlineLevel="0" collapsed="false">
      <c r="A4124" s="31" t="n">
        <v>42907.75</v>
      </c>
      <c r="B4124" s="32" t="n">
        <v>177.56</v>
      </c>
      <c r="D4124" s="33" t="n">
        <f aca="false">WEEKDAY(A4124,2)</f>
        <v>3</v>
      </c>
      <c r="E4124" s="33" t="n">
        <f aca="false">HOUR(A4124)+MINUTE(A4124)/60</f>
        <v>18</v>
      </c>
      <c r="F4124" s="33" t="n">
        <f aca="false">IF(OR(D4124&gt;5,E4124&lt;8,E4124&gt;=18,COUNTIF($K$2:$K$10,INT(A4124))&gt;0),1,0)</f>
        <v>1</v>
      </c>
      <c r="G4124" s="34" t="n">
        <f aca="false">B4124/1</f>
        <v>177.56</v>
      </c>
      <c r="H4124" s="34" t="n">
        <f aca="false">IF(F4124=1,G4124,"")</f>
        <v>177.56</v>
      </c>
    </row>
    <row r="4125" customFormat="false" ht="15" hidden="false" customHeight="false" outlineLevel="0" collapsed="false">
      <c r="A4125" s="31" t="n">
        <v>42907.7916666667</v>
      </c>
      <c r="B4125" s="32" t="n">
        <v>171.757</v>
      </c>
      <c r="D4125" s="33" t="n">
        <f aca="false">WEEKDAY(A4125,2)</f>
        <v>3</v>
      </c>
      <c r="E4125" s="33" t="n">
        <f aca="false">HOUR(A4125)+MINUTE(A4125)/60</f>
        <v>19</v>
      </c>
      <c r="F4125" s="33" t="n">
        <f aca="false">IF(OR(D4125&gt;5,E4125&lt;8,E4125&gt;=18,COUNTIF($K$2:$K$10,INT(A4125))&gt;0),1,0)</f>
        <v>1</v>
      </c>
      <c r="G4125" s="34" t="n">
        <f aca="false">B4125/1</f>
        <v>171.757</v>
      </c>
      <c r="H4125" s="34" t="n">
        <f aca="false">IF(F4125=1,G4125,"")</f>
        <v>171.757</v>
      </c>
    </row>
    <row r="4126" customFormat="false" ht="15" hidden="false" customHeight="false" outlineLevel="0" collapsed="false">
      <c r="A4126" s="31" t="n">
        <v>42907.8333333333</v>
      </c>
      <c r="B4126" s="32" t="n">
        <v>168.682</v>
      </c>
      <c r="D4126" s="33" t="n">
        <f aca="false">WEEKDAY(A4126,2)</f>
        <v>3</v>
      </c>
      <c r="E4126" s="33" t="n">
        <f aca="false">HOUR(A4126)+MINUTE(A4126)/60</f>
        <v>20</v>
      </c>
      <c r="F4126" s="33" t="n">
        <f aca="false">IF(OR(D4126&gt;5,E4126&lt;8,E4126&gt;=18,COUNTIF($K$2:$K$10,INT(A4126))&gt;0),1,0)</f>
        <v>1</v>
      </c>
      <c r="G4126" s="34" t="n">
        <f aca="false">B4126/1</f>
        <v>168.682</v>
      </c>
      <c r="H4126" s="34" t="n">
        <f aca="false">IF(F4126=1,G4126,"")</f>
        <v>168.682</v>
      </c>
    </row>
    <row r="4127" customFormat="false" ht="15" hidden="false" customHeight="false" outlineLevel="0" collapsed="false">
      <c r="A4127" s="31" t="n">
        <v>42907.875</v>
      </c>
      <c r="B4127" s="32" t="n">
        <v>166.351</v>
      </c>
      <c r="D4127" s="33" t="n">
        <f aca="false">WEEKDAY(A4127,2)</f>
        <v>3</v>
      </c>
      <c r="E4127" s="33" t="n">
        <f aca="false">HOUR(A4127)+MINUTE(A4127)/60</f>
        <v>21</v>
      </c>
      <c r="F4127" s="33" t="n">
        <f aca="false">IF(OR(D4127&gt;5,E4127&lt;8,E4127&gt;=18,COUNTIF($K$2:$K$10,INT(A4127))&gt;0),1,0)</f>
        <v>1</v>
      </c>
      <c r="G4127" s="34" t="n">
        <f aca="false">B4127/1</f>
        <v>166.351</v>
      </c>
      <c r="H4127" s="34" t="n">
        <f aca="false">IF(F4127=1,G4127,"")</f>
        <v>166.351</v>
      </c>
    </row>
    <row r="4128" customFormat="false" ht="15" hidden="false" customHeight="false" outlineLevel="0" collapsed="false">
      <c r="A4128" s="31" t="n">
        <v>42907.9166666667</v>
      </c>
      <c r="B4128" s="32" t="n">
        <v>114.167</v>
      </c>
      <c r="D4128" s="33" t="n">
        <f aca="false">WEEKDAY(A4128,2)</f>
        <v>3</v>
      </c>
      <c r="E4128" s="33" t="n">
        <f aca="false">HOUR(A4128)+MINUTE(A4128)/60</f>
        <v>22</v>
      </c>
      <c r="F4128" s="33" t="n">
        <f aca="false">IF(OR(D4128&gt;5,E4128&lt;8,E4128&gt;=18,COUNTIF($K$2:$K$10,INT(A4128))&gt;0),1,0)</f>
        <v>1</v>
      </c>
      <c r="G4128" s="34" t="n">
        <f aca="false">B4128/1</f>
        <v>114.167</v>
      </c>
      <c r="H4128" s="34" t="n">
        <f aca="false">IF(F4128=1,G4128,"")</f>
        <v>114.167</v>
      </c>
    </row>
    <row r="4129" customFormat="false" ht="15" hidden="false" customHeight="false" outlineLevel="0" collapsed="false">
      <c r="A4129" s="31" t="n">
        <v>42907.9583333333</v>
      </c>
      <c r="B4129" s="32" t="n">
        <v>53.312</v>
      </c>
      <c r="D4129" s="33" t="n">
        <f aca="false">WEEKDAY(A4129,2)</f>
        <v>3</v>
      </c>
      <c r="E4129" s="33" t="n">
        <f aca="false">HOUR(A4129)+MINUTE(A4129)/60</f>
        <v>23</v>
      </c>
      <c r="F4129" s="33" t="n">
        <f aca="false">IF(OR(D4129&gt;5,E4129&lt;8,E4129&gt;=18,COUNTIF($K$2:$K$10,INT(A4129))&gt;0),1,0)</f>
        <v>1</v>
      </c>
      <c r="G4129" s="34" t="n">
        <f aca="false">B4129/1</f>
        <v>53.312</v>
      </c>
      <c r="H4129" s="34" t="n">
        <f aca="false">IF(F4129=1,G4129,"")</f>
        <v>53.312</v>
      </c>
    </row>
    <row r="4130" customFormat="false" ht="15" hidden="false" customHeight="false" outlineLevel="0" collapsed="false">
      <c r="A4130" s="31" t="n">
        <v>42908</v>
      </c>
      <c r="B4130" s="32" t="n">
        <v>52.869</v>
      </c>
      <c r="D4130" s="33" t="n">
        <f aca="false">WEEKDAY(A4130,2)</f>
        <v>4</v>
      </c>
      <c r="E4130" s="33" t="n">
        <f aca="false">HOUR(A4130)+MINUTE(A4130)/60</f>
        <v>0</v>
      </c>
      <c r="F4130" s="33" t="n">
        <f aca="false">IF(OR(D4130&gt;5,E4130&lt;8,E4130&gt;=18,COUNTIF($K$2:$K$10,INT(A4130))&gt;0),1,0)</f>
        <v>1</v>
      </c>
      <c r="G4130" s="34" t="n">
        <f aca="false">B4130/1</f>
        <v>52.869</v>
      </c>
      <c r="H4130" s="34" t="n">
        <f aca="false">IF(F4130=1,G4130,"")</f>
        <v>52.869</v>
      </c>
    </row>
    <row r="4131" customFormat="false" ht="15" hidden="false" customHeight="false" outlineLevel="0" collapsed="false">
      <c r="A4131" s="31" t="n">
        <v>42908.0416666667</v>
      </c>
      <c r="B4131" s="32" t="n">
        <v>59.953</v>
      </c>
      <c r="D4131" s="33" t="n">
        <f aca="false">WEEKDAY(A4131,2)</f>
        <v>4</v>
      </c>
      <c r="E4131" s="33" t="n">
        <f aca="false">HOUR(A4131)+MINUTE(A4131)/60</f>
        <v>1</v>
      </c>
      <c r="F4131" s="33" t="n">
        <f aca="false">IF(OR(D4131&gt;5,E4131&lt;8,E4131&gt;=18,COUNTIF($K$2:$K$10,INT(A4131))&gt;0),1,0)</f>
        <v>1</v>
      </c>
      <c r="G4131" s="34" t="n">
        <f aca="false">B4131/1</f>
        <v>59.953</v>
      </c>
      <c r="H4131" s="34" t="n">
        <f aca="false">IF(F4131=1,G4131,"")</f>
        <v>59.953</v>
      </c>
    </row>
    <row r="4132" customFormat="false" ht="15" hidden="false" customHeight="false" outlineLevel="0" collapsed="false">
      <c r="A4132" s="31" t="n">
        <v>42908.0833333333</v>
      </c>
      <c r="B4132" s="32" t="n">
        <v>66.722</v>
      </c>
      <c r="D4132" s="33" t="n">
        <f aca="false">WEEKDAY(A4132,2)</f>
        <v>4</v>
      </c>
      <c r="E4132" s="33" t="n">
        <f aca="false">HOUR(A4132)+MINUTE(A4132)/60</f>
        <v>2</v>
      </c>
      <c r="F4132" s="33" t="n">
        <f aca="false">IF(OR(D4132&gt;5,E4132&lt;8,E4132&gt;=18,COUNTIF($K$2:$K$10,INT(A4132))&gt;0),1,0)</f>
        <v>1</v>
      </c>
      <c r="G4132" s="34" t="n">
        <f aca="false">B4132/1</f>
        <v>66.722</v>
      </c>
      <c r="H4132" s="34" t="n">
        <f aca="false">IF(F4132=1,G4132,"")</f>
        <v>66.722</v>
      </c>
    </row>
    <row r="4133" customFormat="false" ht="15" hidden="false" customHeight="false" outlineLevel="0" collapsed="false">
      <c r="A4133" s="31" t="n">
        <v>42908.125</v>
      </c>
      <c r="B4133" s="32" t="n">
        <v>69.368</v>
      </c>
      <c r="D4133" s="33" t="n">
        <f aca="false">WEEKDAY(A4133,2)</f>
        <v>4</v>
      </c>
      <c r="E4133" s="33" t="n">
        <f aca="false">HOUR(A4133)+MINUTE(A4133)/60</f>
        <v>3</v>
      </c>
      <c r="F4133" s="33" t="n">
        <f aca="false">IF(OR(D4133&gt;5,E4133&lt;8,E4133&gt;=18,COUNTIF($K$2:$K$10,INT(A4133))&gt;0),1,0)</f>
        <v>1</v>
      </c>
      <c r="G4133" s="34" t="n">
        <f aca="false">B4133/1</f>
        <v>69.368</v>
      </c>
      <c r="H4133" s="34" t="n">
        <f aca="false">IF(F4133=1,G4133,"")</f>
        <v>69.368</v>
      </c>
    </row>
    <row r="4134" customFormat="false" ht="15" hidden="false" customHeight="false" outlineLevel="0" collapsed="false">
      <c r="A4134" s="31" t="n">
        <v>42908.1666666667</v>
      </c>
      <c r="B4134" s="32" t="n">
        <v>69.224</v>
      </c>
      <c r="D4134" s="33" t="n">
        <f aca="false">WEEKDAY(A4134,2)</f>
        <v>4</v>
      </c>
      <c r="E4134" s="33" t="n">
        <f aca="false">HOUR(A4134)+MINUTE(A4134)/60</f>
        <v>4</v>
      </c>
      <c r="F4134" s="33" t="n">
        <f aca="false">IF(OR(D4134&gt;5,E4134&lt;8,E4134&gt;=18,COUNTIF($K$2:$K$10,INT(A4134))&gt;0),1,0)</f>
        <v>1</v>
      </c>
      <c r="G4134" s="34" t="n">
        <f aca="false">B4134/1</f>
        <v>69.224</v>
      </c>
      <c r="H4134" s="34" t="n">
        <f aca="false">IF(F4134=1,G4134,"")</f>
        <v>69.224</v>
      </c>
    </row>
    <row r="4135" customFormat="false" ht="15" hidden="false" customHeight="false" outlineLevel="0" collapsed="false">
      <c r="A4135" s="31" t="n">
        <v>42908.2083333333</v>
      </c>
      <c r="B4135" s="32" t="n">
        <v>71.046</v>
      </c>
      <c r="D4135" s="33" t="n">
        <f aca="false">WEEKDAY(A4135,2)</f>
        <v>4</v>
      </c>
      <c r="E4135" s="33" t="n">
        <f aca="false">HOUR(A4135)+MINUTE(A4135)/60</f>
        <v>5</v>
      </c>
      <c r="F4135" s="33" t="n">
        <f aca="false">IF(OR(D4135&gt;5,E4135&lt;8,E4135&gt;=18,COUNTIF($K$2:$K$10,INT(A4135))&gt;0),1,0)</f>
        <v>1</v>
      </c>
      <c r="G4135" s="34" t="n">
        <f aca="false">B4135/1</f>
        <v>71.046</v>
      </c>
      <c r="H4135" s="34" t="n">
        <f aca="false">IF(F4135=1,G4135,"")</f>
        <v>71.046</v>
      </c>
    </row>
    <row r="4136" customFormat="false" ht="15" hidden="false" customHeight="false" outlineLevel="0" collapsed="false">
      <c r="A4136" s="31" t="n">
        <v>42908.25</v>
      </c>
      <c r="B4136" s="32" t="n">
        <v>73.309</v>
      </c>
      <c r="D4136" s="33" t="n">
        <f aca="false">WEEKDAY(A4136,2)</f>
        <v>4</v>
      </c>
      <c r="E4136" s="33" t="n">
        <f aca="false">HOUR(A4136)+MINUTE(A4136)/60</f>
        <v>6</v>
      </c>
      <c r="F4136" s="33" t="n">
        <f aca="false">IF(OR(D4136&gt;5,E4136&lt;8,E4136&gt;=18,COUNTIF($K$2:$K$10,INT(A4136))&gt;0),1,0)</f>
        <v>1</v>
      </c>
      <c r="G4136" s="34" t="n">
        <f aca="false">B4136/1</f>
        <v>73.309</v>
      </c>
      <c r="H4136" s="34" t="n">
        <f aca="false">IF(F4136=1,G4136,"")</f>
        <v>73.309</v>
      </c>
    </row>
    <row r="4137" customFormat="false" ht="15" hidden="false" customHeight="false" outlineLevel="0" collapsed="false">
      <c r="A4137" s="31" t="n">
        <v>42908.2916666667</v>
      </c>
      <c r="B4137" s="32" t="n">
        <v>83.108</v>
      </c>
      <c r="D4137" s="33" t="n">
        <f aca="false">WEEKDAY(A4137,2)</f>
        <v>4</v>
      </c>
      <c r="E4137" s="33" t="n">
        <f aca="false">HOUR(A4137)+MINUTE(A4137)/60</f>
        <v>7</v>
      </c>
      <c r="F4137" s="33" t="n">
        <f aca="false">IF(OR(D4137&gt;5,E4137&lt;8,E4137&gt;=18,COUNTIF($K$2:$K$10,INT(A4137))&gt;0),1,0)</f>
        <v>1</v>
      </c>
      <c r="G4137" s="34" t="n">
        <f aca="false">B4137/1</f>
        <v>83.108</v>
      </c>
      <c r="H4137" s="34" t="n">
        <f aca="false">IF(F4137=1,G4137,"")</f>
        <v>83.108</v>
      </c>
    </row>
    <row r="4138" customFormat="false" ht="15" hidden="false" customHeight="false" outlineLevel="0" collapsed="false">
      <c r="A4138" s="31" t="n">
        <v>42908.3333333333</v>
      </c>
      <c r="B4138" s="32" t="n">
        <v>195.506</v>
      </c>
      <c r="D4138" s="33" t="n">
        <f aca="false">WEEKDAY(A4138,2)</f>
        <v>4</v>
      </c>
      <c r="E4138" s="33" t="n">
        <f aca="false">HOUR(A4138)+MINUTE(A4138)/60</f>
        <v>8</v>
      </c>
      <c r="F4138" s="33" t="n">
        <f aca="false">IF(OR(D4138&gt;5,E4138&lt;8,E4138&gt;=18,COUNTIF($K$2:$K$10,INT(A4138))&gt;0),1,0)</f>
        <v>0</v>
      </c>
      <c r="G4138" s="34" t="n">
        <f aca="false">B4138/1</f>
        <v>195.506</v>
      </c>
      <c r="H4138" s="34" t="str">
        <f aca="false">IF(F4138=1,G4138,"")</f>
        <v/>
      </c>
    </row>
    <row r="4139" customFormat="false" ht="15" hidden="false" customHeight="false" outlineLevel="0" collapsed="false">
      <c r="A4139" s="31" t="n">
        <v>42908.375</v>
      </c>
      <c r="B4139" s="32" t="n">
        <v>215.648</v>
      </c>
      <c r="D4139" s="33" t="n">
        <f aca="false">WEEKDAY(A4139,2)</f>
        <v>4</v>
      </c>
      <c r="E4139" s="33" t="n">
        <f aca="false">HOUR(A4139)+MINUTE(A4139)/60</f>
        <v>9</v>
      </c>
      <c r="F4139" s="33" t="n">
        <f aca="false">IF(OR(D4139&gt;5,E4139&lt;8,E4139&gt;=18,COUNTIF($K$2:$K$10,INT(A4139))&gt;0),1,0)</f>
        <v>0</v>
      </c>
      <c r="G4139" s="34" t="n">
        <f aca="false">B4139/1</f>
        <v>215.648</v>
      </c>
      <c r="H4139" s="34" t="str">
        <f aca="false">IF(F4139=1,G4139,"")</f>
        <v/>
      </c>
    </row>
    <row r="4140" customFormat="false" ht="15" hidden="false" customHeight="false" outlineLevel="0" collapsed="false">
      <c r="A4140" s="31" t="n">
        <v>42908.4166666667</v>
      </c>
      <c r="B4140" s="32" t="n">
        <v>224.854</v>
      </c>
      <c r="D4140" s="33" t="n">
        <f aca="false">WEEKDAY(A4140,2)</f>
        <v>4</v>
      </c>
      <c r="E4140" s="33" t="n">
        <f aca="false">HOUR(A4140)+MINUTE(A4140)/60</f>
        <v>10</v>
      </c>
      <c r="F4140" s="33" t="n">
        <f aca="false">IF(OR(D4140&gt;5,E4140&lt;8,E4140&gt;=18,COUNTIF($K$2:$K$10,INT(A4140))&gt;0),1,0)</f>
        <v>0</v>
      </c>
      <c r="G4140" s="34" t="n">
        <f aca="false">B4140/1</f>
        <v>224.854</v>
      </c>
      <c r="H4140" s="34" t="str">
        <f aca="false">IF(F4140=1,G4140,"")</f>
        <v/>
      </c>
    </row>
    <row r="4141" customFormat="false" ht="15" hidden="false" customHeight="false" outlineLevel="0" collapsed="false">
      <c r="A4141" s="31" t="n">
        <v>42908.4583333333</v>
      </c>
      <c r="B4141" s="32" t="n">
        <v>223.816</v>
      </c>
      <c r="D4141" s="33" t="n">
        <f aca="false">WEEKDAY(A4141,2)</f>
        <v>4</v>
      </c>
      <c r="E4141" s="33" t="n">
        <f aca="false">HOUR(A4141)+MINUTE(A4141)/60</f>
        <v>11</v>
      </c>
      <c r="F4141" s="33" t="n">
        <f aca="false">IF(OR(D4141&gt;5,E4141&lt;8,E4141&gt;=18,COUNTIF($K$2:$K$10,INT(A4141))&gt;0),1,0)</f>
        <v>0</v>
      </c>
      <c r="G4141" s="34" t="n">
        <f aca="false">B4141/1</f>
        <v>223.816</v>
      </c>
      <c r="H4141" s="34" t="str">
        <f aca="false">IF(F4141=1,G4141,"")</f>
        <v/>
      </c>
    </row>
    <row r="4142" customFormat="false" ht="15" hidden="false" customHeight="false" outlineLevel="0" collapsed="false">
      <c r="A4142" s="31" t="n">
        <v>42908.5</v>
      </c>
      <c r="B4142" s="32" t="n">
        <v>231.522</v>
      </c>
      <c r="D4142" s="33" t="n">
        <f aca="false">WEEKDAY(A4142,2)</f>
        <v>4</v>
      </c>
      <c r="E4142" s="33" t="n">
        <f aca="false">HOUR(A4142)+MINUTE(A4142)/60</f>
        <v>12</v>
      </c>
      <c r="F4142" s="33" t="n">
        <f aca="false">IF(OR(D4142&gt;5,E4142&lt;8,E4142&gt;=18,COUNTIF($K$2:$K$10,INT(A4142))&gt;0),1,0)</f>
        <v>0</v>
      </c>
      <c r="G4142" s="34" t="n">
        <f aca="false">B4142/1</f>
        <v>231.522</v>
      </c>
      <c r="H4142" s="34" t="str">
        <f aca="false">IF(F4142=1,G4142,"")</f>
        <v/>
      </c>
    </row>
    <row r="4143" customFormat="false" ht="15" hidden="false" customHeight="false" outlineLevel="0" collapsed="false">
      <c r="A4143" s="31" t="n">
        <v>42908.5416666667</v>
      </c>
      <c r="B4143" s="32" t="n">
        <v>235.217</v>
      </c>
      <c r="D4143" s="33" t="n">
        <f aca="false">WEEKDAY(A4143,2)</f>
        <v>4</v>
      </c>
      <c r="E4143" s="33" t="n">
        <f aca="false">HOUR(A4143)+MINUTE(A4143)/60</f>
        <v>13</v>
      </c>
      <c r="F4143" s="33" t="n">
        <f aca="false">IF(OR(D4143&gt;5,E4143&lt;8,E4143&gt;=18,COUNTIF($K$2:$K$10,INT(A4143))&gt;0),1,0)</f>
        <v>0</v>
      </c>
      <c r="G4143" s="34" t="n">
        <f aca="false">B4143/1</f>
        <v>235.217</v>
      </c>
      <c r="H4143" s="34" t="str">
        <f aca="false">IF(F4143=1,G4143,"")</f>
        <v/>
      </c>
    </row>
    <row r="4144" customFormat="false" ht="15" hidden="false" customHeight="false" outlineLevel="0" collapsed="false">
      <c r="A4144" s="31" t="n">
        <v>42908.5833333333</v>
      </c>
      <c r="B4144" s="32" t="n">
        <v>233.553</v>
      </c>
      <c r="D4144" s="33" t="n">
        <f aca="false">WEEKDAY(A4144,2)</f>
        <v>4</v>
      </c>
      <c r="E4144" s="33" t="n">
        <f aca="false">HOUR(A4144)+MINUTE(A4144)/60</f>
        <v>14</v>
      </c>
      <c r="F4144" s="33" t="n">
        <f aca="false">IF(OR(D4144&gt;5,E4144&lt;8,E4144&gt;=18,COUNTIF($K$2:$K$10,INT(A4144))&gt;0),1,0)</f>
        <v>0</v>
      </c>
      <c r="G4144" s="34" t="n">
        <f aca="false">B4144/1</f>
        <v>233.553</v>
      </c>
      <c r="H4144" s="34" t="str">
        <f aca="false">IF(F4144=1,G4144,"")</f>
        <v/>
      </c>
    </row>
    <row r="4145" customFormat="false" ht="15" hidden="false" customHeight="false" outlineLevel="0" collapsed="false">
      <c r="A4145" s="31" t="n">
        <v>42908.625</v>
      </c>
      <c r="B4145" s="32" t="n">
        <v>232.667</v>
      </c>
      <c r="D4145" s="33" t="n">
        <f aca="false">WEEKDAY(A4145,2)</f>
        <v>4</v>
      </c>
      <c r="E4145" s="33" t="n">
        <f aca="false">HOUR(A4145)+MINUTE(A4145)/60</f>
        <v>15</v>
      </c>
      <c r="F4145" s="33" t="n">
        <f aca="false">IF(OR(D4145&gt;5,E4145&lt;8,E4145&gt;=18,COUNTIF($K$2:$K$10,INT(A4145))&gt;0),1,0)</f>
        <v>0</v>
      </c>
      <c r="G4145" s="34" t="n">
        <f aca="false">B4145/1</f>
        <v>232.667</v>
      </c>
      <c r="H4145" s="34" t="str">
        <f aca="false">IF(F4145=1,G4145,"")</f>
        <v/>
      </c>
    </row>
    <row r="4146" customFormat="false" ht="15" hidden="false" customHeight="false" outlineLevel="0" collapsed="false">
      <c r="A4146" s="31" t="n">
        <v>42908.6666666667</v>
      </c>
      <c r="B4146" s="32" t="n">
        <v>230.742</v>
      </c>
      <c r="D4146" s="33" t="n">
        <f aca="false">WEEKDAY(A4146,2)</f>
        <v>4</v>
      </c>
      <c r="E4146" s="33" t="n">
        <f aca="false">HOUR(A4146)+MINUTE(A4146)/60</f>
        <v>16</v>
      </c>
      <c r="F4146" s="33" t="n">
        <f aca="false">IF(OR(D4146&gt;5,E4146&lt;8,E4146&gt;=18,COUNTIF($K$2:$K$10,INT(A4146))&gt;0),1,0)</f>
        <v>0</v>
      </c>
      <c r="G4146" s="34" t="n">
        <f aca="false">B4146/1</f>
        <v>230.742</v>
      </c>
      <c r="H4146" s="34" t="str">
        <f aca="false">IF(F4146=1,G4146,"")</f>
        <v/>
      </c>
    </row>
    <row r="4147" customFormat="false" ht="15" hidden="false" customHeight="false" outlineLevel="0" collapsed="false">
      <c r="A4147" s="31" t="n">
        <v>42908.7083333333</v>
      </c>
      <c r="B4147" s="32" t="n">
        <v>217.821</v>
      </c>
      <c r="D4147" s="33" t="n">
        <f aca="false">WEEKDAY(A4147,2)</f>
        <v>4</v>
      </c>
      <c r="E4147" s="33" t="n">
        <f aca="false">HOUR(A4147)+MINUTE(A4147)/60</f>
        <v>17</v>
      </c>
      <c r="F4147" s="33" t="n">
        <f aca="false">IF(OR(D4147&gt;5,E4147&lt;8,E4147&gt;=18,COUNTIF($K$2:$K$10,INT(A4147))&gt;0),1,0)</f>
        <v>0</v>
      </c>
      <c r="G4147" s="34" t="n">
        <f aca="false">B4147/1</f>
        <v>217.821</v>
      </c>
      <c r="H4147" s="34" t="str">
        <f aca="false">IF(F4147=1,G4147,"")</f>
        <v/>
      </c>
    </row>
    <row r="4148" customFormat="false" ht="15" hidden="false" customHeight="false" outlineLevel="0" collapsed="false">
      <c r="A4148" s="31" t="n">
        <v>42908.75</v>
      </c>
      <c r="B4148" s="32" t="n">
        <v>204.877</v>
      </c>
      <c r="D4148" s="33" t="n">
        <f aca="false">WEEKDAY(A4148,2)</f>
        <v>4</v>
      </c>
      <c r="E4148" s="33" t="n">
        <f aca="false">HOUR(A4148)+MINUTE(A4148)/60</f>
        <v>18</v>
      </c>
      <c r="F4148" s="33" t="n">
        <f aca="false">IF(OR(D4148&gt;5,E4148&lt;8,E4148&gt;=18,COUNTIF($K$2:$K$10,INT(A4148))&gt;0),1,0)</f>
        <v>1</v>
      </c>
      <c r="G4148" s="34" t="n">
        <f aca="false">B4148/1</f>
        <v>204.877</v>
      </c>
      <c r="H4148" s="34" t="n">
        <f aca="false">IF(F4148=1,G4148,"")</f>
        <v>204.877</v>
      </c>
    </row>
    <row r="4149" customFormat="false" ht="15" hidden="false" customHeight="false" outlineLevel="0" collapsed="false">
      <c r="A4149" s="31" t="n">
        <v>42908.7916666667</v>
      </c>
      <c r="B4149" s="32" t="n">
        <v>197.399</v>
      </c>
      <c r="D4149" s="33" t="n">
        <f aca="false">WEEKDAY(A4149,2)</f>
        <v>4</v>
      </c>
      <c r="E4149" s="33" t="n">
        <f aca="false">HOUR(A4149)+MINUTE(A4149)/60</f>
        <v>19</v>
      </c>
      <c r="F4149" s="33" t="n">
        <f aca="false">IF(OR(D4149&gt;5,E4149&lt;8,E4149&gt;=18,COUNTIF($K$2:$K$10,INT(A4149))&gt;0),1,0)</f>
        <v>1</v>
      </c>
      <c r="G4149" s="34" t="n">
        <f aca="false">B4149/1</f>
        <v>197.399</v>
      </c>
      <c r="H4149" s="34" t="n">
        <f aca="false">IF(F4149=1,G4149,"")</f>
        <v>197.399</v>
      </c>
    </row>
    <row r="4150" customFormat="false" ht="15" hidden="false" customHeight="false" outlineLevel="0" collapsed="false">
      <c r="A4150" s="31" t="n">
        <v>42908.8333333333</v>
      </c>
      <c r="B4150" s="32" t="n">
        <v>196.193</v>
      </c>
      <c r="D4150" s="33" t="n">
        <f aca="false">WEEKDAY(A4150,2)</f>
        <v>4</v>
      </c>
      <c r="E4150" s="33" t="n">
        <f aca="false">HOUR(A4150)+MINUTE(A4150)/60</f>
        <v>20</v>
      </c>
      <c r="F4150" s="33" t="n">
        <f aca="false">IF(OR(D4150&gt;5,E4150&lt;8,E4150&gt;=18,COUNTIF($K$2:$K$10,INT(A4150))&gt;0),1,0)</f>
        <v>1</v>
      </c>
      <c r="G4150" s="34" t="n">
        <f aca="false">B4150/1</f>
        <v>196.193</v>
      </c>
      <c r="H4150" s="34" t="n">
        <f aca="false">IF(F4150=1,G4150,"")</f>
        <v>196.193</v>
      </c>
    </row>
    <row r="4151" customFormat="false" ht="15" hidden="false" customHeight="false" outlineLevel="0" collapsed="false">
      <c r="A4151" s="31" t="n">
        <v>42908.875</v>
      </c>
      <c r="B4151" s="32" t="n">
        <v>195.995</v>
      </c>
      <c r="D4151" s="33" t="n">
        <f aca="false">WEEKDAY(A4151,2)</f>
        <v>4</v>
      </c>
      <c r="E4151" s="33" t="n">
        <f aca="false">HOUR(A4151)+MINUTE(A4151)/60</f>
        <v>21</v>
      </c>
      <c r="F4151" s="33" t="n">
        <f aca="false">IF(OR(D4151&gt;5,E4151&lt;8,E4151&gt;=18,COUNTIF($K$2:$K$10,INT(A4151))&gt;0),1,0)</f>
        <v>1</v>
      </c>
      <c r="G4151" s="34" t="n">
        <f aca="false">B4151/1</f>
        <v>195.995</v>
      </c>
      <c r="H4151" s="34" t="n">
        <f aca="false">IF(F4151=1,G4151,"")</f>
        <v>195.995</v>
      </c>
    </row>
    <row r="4152" customFormat="false" ht="15" hidden="false" customHeight="false" outlineLevel="0" collapsed="false">
      <c r="A4152" s="31" t="n">
        <v>42908.9166666667</v>
      </c>
      <c r="B4152" s="32" t="n">
        <v>140.995</v>
      </c>
      <c r="D4152" s="33" t="n">
        <f aca="false">WEEKDAY(A4152,2)</f>
        <v>4</v>
      </c>
      <c r="E4152" s="33" t="n">
        <f aca="false">HOUR(A4152)+MINUTE(A4152)/60</f>
        <v>22</v>
      </c>
      <c r="F4152" s="33" t="n">
        <f aca="false">IF(OR(D4152&gt;5,E4152&lt;8,E4152&gt;=18,COUNTIF($K$2:$K$10,INT(A4152))&gt;0),1,0)</f>
        <v>1</v>
      </c>
      <c r="G4152" s="34" t="n">
        <f aca="false">B4152/1</f>
        <v>140.995</v>
      </c>
      <c r="H4152" s="34" t="n">
        <f aca="false">IF(F4152=1,G4152,"")</f>
        <v>140.995</v>
      </c>
    </row>
    <row r="4153" customFormat="false" ht="15" hidden="false" customHeight="false" outlineLevel="0" collapsed="false">
      <c r="A4153" s="31" t="n">
        <v>42908.9583333333</v>
      </c>
      <c r="B4153" s="32" t="n">
        <v>79.07</v>
      </c>
      <c r="D4153" s="33" t="n">
        <f aca="false">WEEKDAY(A4153,2)</f>
        <v>4</v>
      </c>
      <c r="E4153" s="33" t="n">
        <f aca="false">HOUR(A4153)+MINUTE(A4153)/60</f>
        <v>23</v>
      </c>
      <c r="F4153" s="33" t="n">
        <f aca="false">IF(OR(D4153&gt;5,E4153&lt;8,E4153&gt;=18,COUNTIF($K$2:$K$10,INT(A4153))&gt;0),1,0)</f>
        <v>1</v>
      </c>
      <c r="G4153" s="34" t="n">
        <f aca="false">B4153/1</f>
        <v>79.07</v>
      </c>
      <c r="H4153" s="34" t="n">
        <f aca="false">IF(F4153=1,G4153,"")</f>
        <v>79.07</v>
      </c>
    </row>
    <row r="4154" customFormat="false" ht="15" hidden="false" customHeight="false" outlineLevel="0" collapsed="false">
      <c r="A4154" s="31" t="n">
        <v>42909</v>
      </c>
      <c r="B4154" s="32" t="n">
        <v>77.046</v>
      </c>
      <c r="D4154" s="33" t="n">
        <f aca="false">WEEKDAY(A4154,2)</f>
        <v>5</v>
      </c>
      <c r="E4154" s="33" t="n">
        <f aca="false">HOUR(A4154)+MINUTE(A4154)/60</f>
        <v>0</v>
      </c>
      <c r="F4154" s="33" t="n">
        <f aca="false">IF(OR(D4154&gt;5,E4154&lt;8,E4154&gt;=18,COUNTIF($K$2:$K$10,INT(A4154))&gt;0),1,0)</f>
        <v>1</v>
      </c>
      <c r="G4154" s="34" t="n">
        <f aca="false">B4154/1</f>
        <v>77.046</v>
      </c>
      <c r="H4154" s="34" t="n">
        <f aca="false">IF(F4154=1,G4154,"")</f>
        <v>77.046</v>
      </c>
    </row>
    <row r="4155" customFormat="false" ht="15" hidden="false" customHeight="false" outlineLevel="0" collapsed="false">
      <c r="A4155" s="31" t="n">
        <v>42909.0416666667</v>
      </c>
      <c r="B4155" s="32" t="n">
        <v>71.195</v>
      </c>
      <c r="D4155" s="33" t="n">
        <f aca="false">WEEKDAY(A4155,2)</f>
        <v>5</v>
      </c>
      <c r="E4155" s="33" t="n">
        <f aca="false">HOUR(A4155)+MINUTE(A4155)/60</f>
        <v>1</v>
      </c>
      <c r="F4155" s="33" t="n">
        <f aca="false">IF(OR(D4155&gt;5,E4155&lt;8,E4155&gt;=18,COUNTIF($K$2:$K$10,INT(A4155))&gt;0),1,0)</f>
        <v>1</v>
      </c>
      <c r="G4155" s="34" t="n">
        <f aca="false">B4155/1</f>
        <v>71.195</v>
      </c>
      <c r="H4155" s="34" t="n">
        <f aca="false">IF(F4155=1,G4155,"")</f>
        <v>71.195</v>
      </c>
    </row>
    <row r="4156" customFormat="false" ht="15" hidden="false" customHeight="false" outlineLevel="0" collapsed="false">
      <c r="A4156" s="31" t="n">
        <v>42909.0833333333</v>
      </c>
      <c r="B4156" s="32" t="n">
        <v>71.852</v>
      </c>
      <c r="D4156" s="33" t="n">
        <f aca="false">WEEKDAY(A4156,2)</f>
        <v>5</v>
      </c>
      <c r="E4156" s="33" t="n">
        <f aca="false">HOUR(A4156)+MINUTE(A4156)/60</f>
        <v>2</v>
      </c>
      <c r="F4156" s="33" t="n">
        <f aca="false">IF(OR(D4156&gt;5,E4156&lt;8,E4156&gt;=18,COUNTIF($K$2:$K$10,INT(A4156))&gt;0),1,0)</f>
        <v>1</v>
      </c>
      <c r="G4156" s="34" t="n">
        <f aca="false">B4156/1</f>
        <v>71.852</v>
      </c>
      <c r="H4156" s="34" t="n">
        <f aca="false">IF(F4156=1,G4156,"")</f>
        <v>71.852</v>
      </c>
    </row>
    <row r="4157" customFormat="false" ht="15" hidden="false" customHeight="false" outlineLevel="0" collapsed="false">
      <c r="A4157" s="31" t="n">
        <v>42909.125</v>
      </c>
      <c r="B4157" s="32" t="n">
        <v>70.971</v>
      </c>
      <c r="D4157" s="33" t="n">
        <f aca="false">WEEKDAY(A4157,2)</f>
        <v>5</v>
      </c>
      <c r="E4157" s="33" t="n">
        <f aca="false">HOUR(A4157)+MINUTE(A4157)/60</f>
        <v>3</v>
      </c>
      <c r="F4157" s="33" t="n">
        <f aca="false">IF(OR(D4157&gt;5,E4157&lt;8,E4157&gt;=18,COUNTIF($K$2:$K$10,INT(A4157))&gt;0),1,0)</f>
        <v>1</v>
      </c>
      <c r="G4157" s="34" t="n">
        <f aca="false">B4157/1</f>
        <v>70.971</v>
      </c>
      <c r="H4157" s="34" t="n">
        <f aca="false">IF(F4157=1,G4157,"")</f>
        <v>70.971</v>
      </c>
    </row>
    <row r="4158" customFormat="false" ht="15" hidden="false" customHeight="false" outlineLevel="0" collapsed="false">
      <c r="A4158" s="31" t="n">
        <v>42909.1666666667</v>
      </c>
      <c r="B4158" s="32" t="n">
        <v>71.434</v>
      </c>
      <c r="D4158" s="33" t="n">
        <f aca="false">WEEKDAY(A4158,2)</f>
        <v>5</v>
      </c>
      <c r="E4158" s="33" t="n">
        <f aca="false">HOUR(A4158)+MINUTE(A4158)/60</f>
        <v>4</v>
      </c>
      <c r="F4158" s="33" t="n">
        <f aca="false">IF(OR(D4158&gt;5,E4158&lt;8,E4158&gt;=18,COUNTIF($K$2:$K$10,INT(A4158))&gt;0),1,0)</f>
        <v>1</v>
      </c>
      <c r="G4158" s="34" t="n">
        <f aca="false">B4158/1</f>
        <v>71.434</v>
      </c>
      <c r="H4158" s="34" t="n">
        <f aca="false">IF(F4158=1,G4158,"")</f>
        <v>71.434</v>
      </c>
    </row>
    <row r="4159" customFormat="false" ht="15" hidden="false" customHeight="false" outlineLevel="0" collapsed="false">
      <c r="A4159" s="31" t="n">
        <v>42909.2083333333</v>
      </c>
      <c r="B4159" s="32" t="n">
        <v>69.826</v>
      </c>
      <c r="D4159" s="33" t="n">
        <f aca="false">WEEKDAY(A4159,2)</f>
        <v>5</v>
      </c>
      <c r="E4159" s="33" t="n">
        <f aca="false">HOUR(A4159)+MINUTE(A4159)/60</f>
        <v>5</v>
      </c>
      <c r="F4159" s="33" t="n">
        <f aca="false">IF(OR(D4159&gt;5,E4159&lt;8,E4159&gt;=18,COUNTIF($K$2:$K$10,INT(A4159))&gt;0),1,0)</f>
        <v>1</v>
      </c>
      <c r="G4159" s="34" t="n">
        <f aca="false">B4159/1</f>
        <v>69.826</v>
      </c>
      <c r="H4159" s="34" t="n">
        <f aca="false">IF(F4159=1,G4159,"")</f>
        <v>69.826</v>
      </c>
    </row>
    <row r="4160" customFormat="false" ht="15" hidden="false" customHeight="false" outlineLevel="0" collapsed="false">
      <c r="A4160" s="31" t="n">
        <v>42909.25</v>
      </c>
      <c r="B4160" s="32" t="n">
        <v>70.987</v>
      </c>
      <c r="D4160" s="33" t="n">
        <f aca="false">WEEKDAY(A4160,2)</f>
        <v>5</v>
      </c>
      <c r="E4160" s="33" t="n">
        <f aca="false">HOUR(A4160)+MINUTE(A4160)/60</f>
        <v>6</v>
      </c>
      <c r="F4160" s="33" t="n">
        <f aca="false">IF(OR(D4160&gt;5,E4160&lt;8,E4160&gt;=18,COUNTIF($K$2:$K$10,INT(A4160))&gt;0),1,0)</f>
        <v>1</v>
      </c>
      <c r="G4160" s="34" t="n">
        <f aca="false">B4160/1</f>
        <v>70.987</v>
      </c>
      <c r="H4160" s="34" t="n">
        <f aca="false">IF(F4160=1,G4160,"")</f>
        <v>70.987</v>
      </c>
    </row>
    <row r="4161" customFormat="false" ht="15" hidden="false" customHeight="false" outlineLevel="0" collapsed="false">
      <c r="A4161" s="31" t="n">
        <v>42909.2916666667</v>
      </c>
      <c r="B4161" s="32" t="n">
        <v>75.683</v>
      </c>
      <c r="D4161" s="33" t="n">
        <f aca="false">WEEKDAY(A4161,2)</f>
        <v>5</v>
      </c>
      <c r="E4161" s="33" t="n">
        <f aca="false">HOUR(A4161)+MINUTE(A4161)/60</f>
        <v>7</v>
      </c>
      <c r="F4161" s="33" t="n">
        <f aca="false">IF(OR(D4161&gt;5,E4161&lt;8,E4161&gt;=18,COUNTIF($K$2:$K$10,INT(A4161))&gt;0),1,0)</f>
        <v>1</v>
      </c>
      <c r="G4161" s="34" t="n">
        <f aca="false">B4161/1</f>
        <v>75.683</v>
      </c>
      <c r="H4161" s="34" t="n">
        <f aca="false">IF(F4161=1,G4161,"")</f>
        <v>75.683</v>
      </c>
    </row>
    <row r="4162" customFormat="false" ht="15" hidden="false" customHeight="false" outlineLevel="0" collapsed="false">
      <c r="A4162" s="31" t="n">
        <v>42909.3333333333</v>
      </c>
      <c r="B4162" s="32" t="n">
        <v>176.187</v>
      </c>
      <c r="D4162" s="33" t="n">
        <f aca="false">WEEKDAY(A4162,2)</f>
        <v>5</v>
      </c>
      <c r="E4162" s="33" t="n">
        <f aca="false">HOUR(A4162)+MINUTE(A4162)/60</f>
        <v>8</v>
      </c>
      <c r="F4162" s="33" t="n">
        <f aca="false">IF(OR(D4162&gt;5,E4162&lt;8,E4162&gt;=18,COUNTIF($K$2:$K$10,INT(A4162))&gt;0),1,0)</f>
        <v>0</v>
      </c>
      <c r="G4162" s="34" t="n">
        <f aca="false">B4162/1</f>
        <v>176.187</v>
      </c>
      <c r="H4162" s="34" t="str">
        <f aca="false">IF(F4162=1,G4162,"")</f>
        <v/>
      </c>
    </row>
    <row r="4163" customFormat="false" ht="15" hidden="false" customHeight="false" outlineLevel="0" collapsed="false">
      <c r="A4163" s="31" t="n">
        <v>42909.375</v>
      </c>
      <c r="B4163" s="32" t="n">
        <v>181.373</v>
      </c>
      <c r="D4163" s="33" t="n">
        <f aca="false">WEEKDAY(A4163,2)</f>
        <v>5</v>
      </c>
      <c r="E4163" s="33" t="n">
        <f aca="false">HOUR(A4163)+MINUTE(A4163)/60</f>
        <v>9</v>
      </c>
      <c r="F4163" s="33" t="n">
        <f aca="false">IF(OR(D4163&gt;5,E4163&lt;8,E4163&gt;=18,COUNTIF($K$2:$K$10,INT(A4163))&gt;0),1,0)</f>
        <v>0</v>
      </c>
      <c r="G4163" s="34" t="n">
        <f aca="false">B4163/1</f>
        <v>181.373</v>
      </c>
      <c r="H4163" s="34" t="str">
        <f aca="false">IF(F4163=1,G4163,"")</f>
        <v/>
      </c>
    </row>
    <row r="4164" customFormat="false" ht="15" hidden="false" customHeight="false" outlineLevel="0" collapsed="false">
      <c r="A4164" s="31" t="n">
        <v>42909.4166666667</v>
      </c>
      <c r="B4164" s="32" t="n">
        <v>189.417</v>
      </c>
      <c r="D4164" s="33" t="n">
        <f aca="false">WEEKDAY(A4164,2)</f>
        <v>5</v>
      </c>
      <c r="E4164" s="33" t="n">
        <f aca="false">HOUR(A4164)+MINUTE(A4164)/60</f>
        <v>10</v>
      </c>
      <c r="F4164" s="33" t="n">
        <f aca="false">IF(OR(D4164&gt;5,E4164&lt;8,E4164&gt;=18,COUNTIF($K$2:$K$10,INT(A4164))&gt;0),1,0)</f>
        <v>0</v>
      </c>
      <c r="G4164" s="34" t="n">
        <f aca="false">B4164/1</f>
        <v>189.417</v>
      </c>
      <c r="H4164" s="34" t="str">
        <f aca="false">IF(F4164=1,G4164,"")</f>
        <v/>
      </c>
    </row>
    <row r="4165" customFormat="false" ht="15" hidden="false" customHeight="false" outlineLevel="0" collapsed="false">
      <c r="A4165" s="31" t="n">
        <v>42909.4583333333</v>
      </c>
      <c r="B4165" s="32" t="n">
        <v>193.073</v>
      </c>
      <c r="D4165" s="33" t="n">
        <f aca="false">WEEKDAY(A4165,2)</f>
        <v>5</v>
      </c>
      <c r="E4165" s="33" t="n">
        <f aca="false">HOUR(A4165)+MINUTE(A4165)/60</f>
        <v>11</v>
      </c>
      <c r="F4165" s="33" t="n">
        <f aca="false">IF(OR(D4165&gt;5,E4165&lt;8,E4165&gt;=18,COUNTIF($K$2:$K$10,INT(A4165))&gt;0),1,0)</f>
        <v>0</v>
      </c>
      <c r="G4165" s="34" t="n">
        <f aca="false">B4165/1</f>
        <v>193.073</v>
      </c>
      <c r="H4165" s="34" t="str">
        <f aca="false">IF(F4165=1,G4165,"")</f>
        <v/>
      </c>
    </row>
    <row r="4166" customFormat="false" ht="15" hidden="false" customHeight="false" outlineLevel="0" collapsed="false">
      <c r="A4166" s="31" t="n">
        <v>42909.5</v>
      </c>
      <c r="B4166" s="32" t="n">
        <v>197.388</v>
      </c>
      <c r="D4166" s="33" t="n">
        <f aca="false">WEEKDAY(A4166,2)</f>
        <v>5</v>
      </c>
      <c r="E4166" s="33" t="n">
        <f aca="false">HOUR(A4166)+MINUTE(A4166)/60</f>
        <v>12</v>
      </c>
      <c r="F4166" s="33" t="n">
        <f aca="false">IF(OR(D4166&gt;5,E4166&lt;8,E4166&gt;=18,COUNTIF($K$2:$K$10,INT(A4166))&gt;0),1,0)</f>
        <v>0</v>
      </c>
      <c r="G4166" s="34" t="n">
        <f aca="false">B4166/1</f>
        <v>197.388</v>
      </c>
      <c r="H4166" s="34" t="str">
        <f aca="false">IF(F4166=1,G4166,"")</f>
        <v/>
      </c>
    </row>
    <row r="4167" customFormat="false" ht="15" hidden="false" customHeight="false" outlineLevel="0" collapsed="false">
      <c r="A4167" s="31" t="n">
        <v>42909.5416666667</v>
      </c>
      <c r="B4167" s="32" t="n">
        <v>193.754</v>
      </c>
      <c r="D4167" s="33" t="n">
        <f aca="false">WEEKDAY(A4167,2)</f>
        <v>5</v>
      </c>
      <c r="E4167" s="33" t="n">
        <f aca="false">HOUR(A4167)+MINUTE(A4167)/60</f>
        <v>13</v>
      </c>
      <c r="F4167" s="33" t="n">
        <f aca="false">IF(OR(D4167&gt;5,E4167&lt;8,E4167&gt;=18,COUNTIF($K$2:$K$10,INT(A4167))&gt;0),1,0)</f>
        <v>0</v>
      </c>
      <c r="G4167" s="34" t="n">
        <f aca="false">B4167/1</f>
        <v>193.754</v>
      </c>
      <c r="H4167" s="34" t="str">
        <f aca="false">IF(F4167=1,G4167,"")</f>
        <v/>
      </c>
    </row>
    <row r="4168" customFormat="false" ht="15" hidden="false" customHeight="false" outlineLevel="0" collapsed="false">
      <c r="A4168" s="31" t="n">
        <v>42909.5833333333</v>
      </c>
      <c r="B4168" s="32" t="n">
        <v>192.008</v>
      </c>
      <c r="D4168" s="33" t="n">
        <f aca="false">WEEKDAY(A4168,2)</f>
        <v>5</v>
      </c>
      <c r="E4168" s="33" t="n">
        <f aca="false">HOUR(A4168)+MINUTE(A4168)/60</f>
        <v>14</v>
      </c>
      <c r="F4168" s="33" t="n">
        <f aca="false">IF(OR(D4168&gt;5,E4168&lt;8,E4168&gt;=18,COUNTIF($K$2:$K$10,INT(A4168))&gt;0),1,0)</f>
        <v>0</v>
      </c>
      <c r="G4168" s="34" t="n">
        <f aca="false">B4168/1</f>
        <v>192.008</v>
      </c>
      <c r="H4168" s="34" t="str">
        <f aca="false">IF(F4168=1,G4168,"")</f>
        <v/>
      </c>
    </row>
    <row r="4169" customFormat="false" ht="15" hidden="false" customHeight="false" outlineLevel="0" collapsed="false">
      <c r="A4169" s="31" t="n">
        <v>42909.625</v>
      </c>
      <c r="B4169" s="32" t="n">
        <v>192.081</v>
      </c>
      <c r="D4169" s="33" t="n">
        <f aca="false">WEEKDAY(A4169,2)</f>
        <v>5</v>
      </c>
      <c r="E4169" s="33" t="n">
        <f aca="false">HOUR(A4169)+MINUTE(A4169)/60</f>
        <v>15</v>
      </c>
      <c r="F4169" s="33" t="n">
        <f aca="false">IF(OR(D4169&gt;5,E4169&lt;8,E4169&gt;=18,COUNTIF($K$2:$K$10,INT(A4169))&gt;0),1,0)</f>
        <v>0</v>
      </c>
      <c r="G4169" s="34" t="n">
        <f aca="false">B4169/1</f>
        <v>192.081</v>
      </c>
      <c r="H4169" s="34" t="str">
        <f aca="false">IF(F4169=1,G4169,"")</f>
        <v/>
      </c>
    </row>
    <row r="4170" customFormat="false" ht="15" hidden="false" customHeight="false" outlineLevel="0" collapsed="false">
      <c r="A4170" s="31" t="n">
        <v>42909.6666666667</v>
      </c>
      <c r="B4170" s="32" t="n">
        <v>189.385</v>
      </c>
      <c r="D4170" s="33" t="n">
        <f aca="false">WEEKDAY(A4170,2)</f>
        <v>5</v>
      </c>
      <c r="E4170" s="33" t="n">
        <f aca="false">HOUR(A4170)+MINUTE(A4170)/60</f>
        <v>16</v>
      </c>
      <c r="F4170" s="33" t="n">
        <f aca="false">IF(OR(D4170&gt;5,E4170&lt;8,E4170&gt;=18,COUNTIF($K$2:$K$10,INT(A4170))&gt;0),1,0)</f>
        <v>0</v>
      </c>
      <c r="G4170" s="34" t="n">
        <f aca="false">B4170/1</f>
        <v>189.385</v>
      </c>
      <c r="H4170" s="34" t="str">
        <f aca="false">IF(F4170=1,G4170,"")</f>
        <v/>
      </c>
    </row>
    <row r="4171" customFormat="false" ht="15" hidden="false" customHeight="false" outlineLevel="0" collapsed="false">
      <c r="A4171" s="31" t="n">
        <v>42909.7083333333</v>
      </c>
      <c r="B4171" s="32" t="n">
        <v>180.193</v>
      </c>
      <c r="D4171" s="33" t="n">
        <f aca="false">WEEKDAY(A4171,2)</f>
        <v>5</v>
      </c>
      <c r="E4171" s="33" t="n">
        <f aca="false">HOUR(A4171)+MINUTE(A4171)/60</f>
        <v>17</v>
      </c>
      <c r="F4171" s="33" t="n">
        <f aca="false">IF(OR(D4171&gt;5,E4171&lt;8,E4171&gt;=18,COUNTIF($K$2:$K$10,INT(A4171))&gt;0),1,0)</f>
        <v>0</v>
      </c>
      <c r="G4171" s="34" t="n">
        <f aca="false">B4171/1</f>
        <v>180.193</v>
      </c>
      <c r="H4171" s="34" t="str">
        <f aca="false">IF(F4171=1,G4171,"")</f>
        <v/>
      </c>
    </row>
    <row r="4172" customFormat="false" ht="15" hidden="false" customHeight="false" outlineLevel="0" collapsed="false">
      <c r="A4172" s="31" t="n">
        <v>42909.75</v>
      </c>
      <c r="B4172" s="32" t="n">
        <v>165.423</v>
      </c>
      <c r="D4172" s="33" t="n">
        <f aca="false">WEEKDAY(A4172,2)</f>
        <v>5</v>
      </c>
      <c r="E4172" s="33" t="n">
        <f aca="false">HOUR(A4172)+MINUTE(A4172)/60</f>
        <v>18</v>
      </c>
      <c r="F4172" s="33" t="n">
        <f aca="false">IF(OR(D4172&gt;5,E4172&lt;8,E4172&gt;=18,COUNTIF($K$2:$K$10,INT(A4172))&gt;0),1,0)</f>
        <v>1</v>
      </c>
      <c r="G4172" s="34" t="n">
        <f aca="false">B4172/1</f>
        <v>165.423</v>
      </c>
      <c r="H4172" s="34" t="n">
        <f aca="false">IF(F4172=1,G4172,"")</f>
        <v>165.423</v>
      </c>
    </row>
    <row r="4173" customFormat="false" ht="15" hidden="false" customHeight="false" outlineLevel="0" collapsed="false">
      <c r="A4173" s="31" t="n">
        <v>42909.7916666667</v>
      </c>
      <c r="B4173" s="32" t="n">
        <v>163.451</v>
      </c>
      <c r="D4173" s="33" t="n">
        <f aca="false">WEEKDAY(A4173,2)</f>
        <v>5</v>
      </c>
      <c r="E4173" s="33" t="n">
        <f aca="false">HOUR(A4173)+MINUTE(A4173)/60</f>
        <v>19</v>
      </c>
      <c r="F4173" s="33" t="n">
        <f aca="false">IF(OR(D4173&gt;5,E4173&lt;8,E4173&gt;=18,COUNTIF($K$2:$K$10,INT(A4173))&gt;0),1,0)</f>
        <v>1</v>
      </c>
      <c r="G4173" s="34" t="n">
        <f aca="false">B4173/1</f>
        <v>163.451</v>
      </c>
      <c r="H4173" s="34" t="n">
        <f aca="false">IF(F4173=1,G4173,"")</f>
        <v>163.451</v>
      </c>
    </row>
    <row r="4174" customFormat="false" ht="15" hidden="false" customHeight="false" outlineLevel="0" collapsed="false">
      <c r="A4174" s="31" t="n">
        <v>42909.8333333333</v>
      </c>
      <c r="B4174" s="32" t="n">
        <v>160.207</v>
      </c>
      <c r="D4174" s="33" t="n">
        <f aca="false">WEEKDAY(A4174,2)</f>
        <v>5</v>
      </c>
      <c r="E4174" s="33" t="n">
        <f aca="false">HOUR(A4174)+MINUTE(A4174)/60</f>
        <v>20</v>
      </c>
      <c r="F4174" s="33" t="n">
        <f aca="false">IF(OR(D4174&gt;5,E4174&lt;8,E4174&gt;=18,COUNTIF($K$2:$K$10,INT(A4174))&gt;0),1,0)</f>
        <v>1</v>
      </c>
      <c r="G4174" s="34" t="n">
        <f aca="false">B4174/1</f>
        <v>160.207</v>
      </c>
      <c r="H4174" s="34" t="n">
        <f aca="false">IF(F4174=1,G4174,"")</f>
        <v>160.207</v>
      </c>
    </row>
    <row r="4175" customFormat="false" ht="15" hidden="false" customHeight="false" outlineLevel="0" collapsed="false">
      <c r="A4175" s="31" t="n">
        <v>42909.875</v>
      </c>
      <c r="B4175" s="32" t="n">
        <v>158.07</v>
      </c>
      <c r="D4175" s="33" t="n">
        <f aca="false">WEEKDAY(A4175,2)</f>
        <v>5</v>
      </c>
      <c r="E4175" s="33" t="n">
        <f aca="false">HOUR(A4175)+MINUTE(A4175)/60</f>
        <v>21</v>
      </c>
      <c r="F4175" s="33" t="n">
        <f aca="false">IF(OR(D4175&gt;5,E4175&lt;8,E4175&gt;=18,COUNTIF($K$2:$K$10,INT(A4175))&gt;0),1,0)</f>
        <v>1</v>
      </c>
      <c r="G4175" s="34" t="n">
        <f aca="false">B4175/1</f>
        <v>158.07</v>
      </c>
      <c r="H4175" s="34" t="n">
        <f aca="false">IF(F4175=1,G4175,"")</f>
        <v>158.07</v>
      </c>
    </row>
    <row r="4176" customFormat="false" ht="15" hidden="false" customHeight="false" outlineLevel="0" collapsed="false">
      <c r="A4176" s="31" t="n">
        <v>42909.9166666667</v>
      </c>
      <c r="B4176" s="32" t="n">
        <v>107.704</v>
      </c>
      <c r="D4176" s="33" t="n">
        <f aca="false">WEEKDAY(A4176,2)</f>
        <v>5</v>
      </c>
      <c r="E4176" s="33" t="n">
        <f aca="false">HOUR(A4176)+MINUTE(A4176)/60</f>
        <v>22</v>
      </c>
      <c r="F4176" s="33" t="n">
        <f aca="false">IF(OR(D4176&gt;5,E4176&lt;8,E4176&gt;=18,COUNTIF($K$2:$K$10,INT(A4176))&gt;0),1,0)</f>
        <v>1</v>
      </c>
      <c r="G4176" s="34" t="n">
        <f aca="false">B4176/1</f>
        <v>107.704</v>
      </c>
      <c r="H4176" s="34" t="n">
        <f aca="false">IF(F4176=1,G4176,"")</f>
        <v>107.704</v>
      </c>
    </row>
    <row r="4177" customFormat="false" ht="15" hidden="false" customHeight="false" outlineLevel="0" collapsed="false">
      <c r="A4177" s="31" t="n">
        <v>42909.9583333333</v>
      </c>
      <c r="B4177" s="32" t="n">
        <v>46.866</v>
      </c>
      <c r="D4177" s="33" t="n">
        <f aca="false">WEEKDAY(A4177,2)</f>
        <v>5</v>
      </c>
      <c r="E4177" s="33" t="n">
        <f aca="false">HOUR(A4177)+MINUTE(A4177)/60</f>
        <v>23</v>
      </c>
      <c r="F4177" s="33" t="n">
        <f aca="false">IF(OR(D4177&gt;5,E4177&lt;8,E4177&gt;=18,COUNTIF($K$2:$K$10,INT(A4177))&gt;0),1,0)</f>
        <v>1</v>
      </c>
      <c r="G4177" s="34" t="n">
        <f aca="false">B4177/1</f>
        <v>46.866</v>
      </c>
      <c r="H4177" s="34" t="n">
        <f aca="false">IF(F4177=1,G4177,"")</f>
        <v>46.866</v>
      </c>
    </row>
    <row r="4178" customFormat="false" ht="15" hidden="false" customHeight="false" outlineLevel="0" collapsed="false">
      <c r="A4178" s="31" t="n">
        <v>42910</v>
      </c>
      <c r="B4178" s="32" t="n">
        <v>46.575</v>
      </c>
      <c r="D4178" s="33" t="n">
        <f aca="false">WEEKDAY(A4178,2)</f>
        <v>6</v>
      </c>
      <c r="E4178" s="33" t="n">
        <f aca="false">HOUR(A4178)+MINUTE(A4178)/60</f>
        <v>0</v>
      </c>
      <c r="F4178" s="33" t="n">
        <f aca="false">IF(OR(D4178&gt;5,E4178&lt;8,E4178&gt;=18,COUNTIF($K$2:$K$10,INT(A4178))&gt;0),1,0)</f>
        <v>1</v>
      </c>
      <c r="G4178" s="34" t="n">
        <f aca="false">B4178/1</f>
        <v>46.575</v>
      </c>
      <c r="H4178" s="34" t="n">
        <f aca="false">IF(F4178=1,G4178,"")</f>
        <v>46.575</v>
      </c>
    </row>
    <row r="4179" customFormat="false" ht="15" hidden="false" customHeight="false" outlineLevel="0" collapsed="false">
      <c r="A4179" s="31" t="n">
        <v>42910.0416666667</v>
      </c>
      <c r="B4179" s="32" t="n">
        <v>46.672</v>
      </c>
      <c r="D4179" s="33" t="n">
        <f aca="false">WEEKDAY(A4179,2)</f>
        <v>6</v>
      </c>
      <c r="E4179" s="33" t="n">
        <f aca="false">HOUR(A4179)+MINUTE(A4179)/60</f>
        <v>1</v>
      </c>
      <c r="F4179" s="33" t="n">
        <f aca="false">IF(OR(D4179&gt;5,E4179&lt;8,E4179&gt;=18,COUNTIF($K$2:$K$10,INT(A4179))&gt;0),1,0)</f>
        <v>1</v>
      </c>
      <c r="G4179" s="34" t="n">
        <f aca="false">B4179/1</f>
        <v>46.672</v>
      </c>
      <c r="H4179" s="34" t="n">
        <f aca="false">IF(F4179=1,G4179,"")</f>
        <v>46.672</v>
      </c>
    </row>
    <row r="4180" customFormat="false" ht="15" hidden="false" customHeight="false" outlineLevel="0" collapsed="false">
      <c r="A4180" s="31" t="n">
        <v>42910.0833333333</v>
      </c>
      <c r="B4180" s="32" t="n">
        <v>46.447</v>
      </c>
      <c r="D4180" s="33" t="n">
        <f aca="false">WEEKDAY(A4180,2)</f>
        <v>6</v>
      </c>
      <c r="E4180" s="33" t="n">
        <f aca="false">HOUR(A4180)+MINUTE(A4180)/60</f>
        <v>2</v>
      </c>
      <c r="F4180" s="33" t="n">
        <f aca="false">IF(OR(D4180&gt;5,E4180&lt;8,E4180&gt;=18,COUNTIF($K$2:$K$10,INT(A4180))&gt;0),1,0)</f>
        <v>1</v>
      </c>
      <c r="G4180" s="34" t="n">
        <f aca="false">B4180/1</f>
        <v>46.447</v>
      </c>
      <c r="H4180" s="34" t="n">
        <f aca="false">IF(F4180=1,G4180,"")</f>
        <v>46.447</v>
      </c>
    </row>
    <row r="4181" customFormat="false" ht="15" hidden="false" customHeight="false" outlineLevel="0" collapsed="false">
      <c r="A4181" s="31" t="n">
        <v>42910.125</v>
      </c>
      <c r="B4181" s="32" t="n">
        <v>46.887</v>
      </c>
      <c r="D4181" s="33" t="n">
        <f aca="false">WEEKDAY(A4181,2)</f>
        <v>6</v>
      </c>
      <c r="E4181" s="33" t="n">
        <f aca="false">HOUR(A4181)+MINUTE(A4181)/60</f>
        <v>3</v>
      </c>
      <c r="F4181" s="33" t="n">
        <f aca="false">IF(OR(D4181&gt;5,E4181&lt;8,E4181&gt;=18,COUNTIF($K$2:$K$10,INT(A4181))&gt;0),1,0)</f>
        <v>1</v>
      </c>
      <c r="G4181" s="34" t="n">
        <f aca="false">B4181/1</f>
        <v>46.887</v>
      </c>
      <c r="H4181" s="34" t="n">
        <f aca="false">IF(F4181=1,G4181,"")</f>
        <v>46.887</v>
      </c>
    </row>
    <row r="4182" customFormat="false" ht="15" hidden="false" customHeight="false" outlineLevel="0" collapsed="false">
      <c r="A4182" s="31" t="n">
        <v>42910.1666666667</v>
      </c>
      <c r="B4182" s="32" t="n">
        <v>46.387</v>
      </c>
      <c r="D4182" s="33" t="n">
        <f aca="false">WEEKDAY(A4182,2)</f>
        <v>6</v>
      </c>
      <c r="E4182" s="33" t="n">
        <f aca="false">HOUR(A4182)+MINUTE(A4182)/60</f>
        <v>4</v>
      </c>
      <c r="F4182" s="33" t="n">
        <f aca="false">IF(OR(D4182&gt;5,E4182&lt;8,E4182&gt;=18,COUNTIF($K$2:$K$10,INT(A4182))&gt;0),1,0)</f>
        <v>1</v>
      </c>
      <c r="G4182" s="34" t="n">
        <f aca="false">B4182/1</f>
        <v>46.387</v>
      </c>
      <c r="H4182" s="34" t="n">
        <f aca="false">IF(F4182=1,G4182,"")</f>
        <v>46.387</v>
      </c>
    </row>
    <row r="4183" customFormat="false" ht="15" hidden="false" customHeight="false" outlineLevel="0" collapsed="false">
      <c r="A4183" s="31" t="n">
        <v>42910.2083333333</v>
      </c>
      <c r="B4183" s="32" t="n">
        <v>46.613</v>
      </c>
      <c r="D4183" s="33" t="n">
        <f aca="false">WEEKDAY(A4183,2)</f>
        <v>6</v>
      </c>
      <c r="E4183" s="33" t="n">
        <f aca="false">HOUR(A4183)+MINUTE(A4183)/60</f>
        <v>5</v>
      </c>
      <c r="F4183" s="33" t="n">
        <f aca="false">IF(OR(D4183&gt;5,E4183&lt;8,E4183&gt;=18,COUNTIF($K$2:$K$10,INT(A4183))&gt;0),1,0)</f>
        <v>1</v>
      </c>
      <c r="G4183" s="34" t="n">
        <f aca="false">B4183/1</f>
        <v>46.613</v>
      </c>
      <c r="H4183" s="34" t="n">
        <f aca="false">IF(F4183=1,G4183,"")</f>
        <v>46.613</v>
      </c>
    </row>
    <row r="4184" customFormat="false" ht="15" hidden="false" customHeight="false" outlineLevel="0" collapsed="false">
      <c r="A4184" s="31" t="n">
        <v>42910.25</v>
      </c>
      <c r="B4184" s="32" t="n">
        <v>47.912</v>
      </c>
      <c r="D4184" s="33" t="n">
        <f aca="false">WEEKDAY(A4184,2)</f>
        <v>6</v>
      </c>
      <c r="E4184" s="33" t="n">
        <f aca="false">HOUR(A4184)+MINUTE(A4184)/60</f>
        <v>6</v>
      </c>
      <c r="F4184" s="33" t="n">
        <f aca="false">IF(OR(D4184&gt;5,E4184&lt;8,E4184&gt;=18,COUNTIF($K$2:$K$10,INT(A4184))&gt;0),1,0)</f>
        <v>1</v>
      </c>
      <c r="G4184" s="34" t="n">
        <f aca="false">B4184/1</f>
        <v>47.912</v>
      </c>
      <c r="H4184" s="34" t="n">
        <f aca="false">IF(F4184=1,G4184,"")</f>
        <v>47.912</v>
      </c>
    </row>
    <row r="4185" customFormat="false" ht="15" hidden="false" customHeight="false" outlineLevel="0" collapsed="false">
      <c r="A4185" s="31" t="n">
        <v>42910.2916666667</v>
      </c>
      <c r="B4185" s="32" t="n">
        <v>44.569</v>
      </c>
      <c r="D4185" s="33" t="n">
        <f aca="false">WEEKDAY(A4185,2)</f>
        <v>6</v>
      </c>
      <c r="E4185" s="33" t="n">
        <f aca="false">HOUR(A4185)+MINUTE(A4185)/60</f>
        <v>7</v>
      </c>
      <c r="F4185" s="33" t="n">
        <f aca="false">IF(OR(D4185&gt;5,E4185&lt;8,E4185&gt;=18,COUNTIF($K$2:$K$10,INT(A4185))&gt;0),1,0)</f>
        <v>1</v>
      </c>
      <c r="G4185" s="34" t="n">
        <f aca="false">B4185/1</f>
        <v>44.569</v>
      </c>
      <c r="H4185" s="34" t="n">
        <f aca="false">IF(F4185=1,G4185,"")</f>
        <v>44.569</v>
      </c>
    </row>
    <row r="4186" customFormat="false" ht="15" hidden="false" customHeight="false" outlineLevel="0" collapsed="false">
      <c r="A4186" s="31" t="n">
        <v>42910.3333333333</v>
      </c>
      <c r="B4186" s="32" t="n">
        <v>111.292</v>
      </c>
      <c r="D4186" s="33" t="n">
        <f aca="false">WEEKDAY(A4186,2)</f>
        <v>6</v>
      </c>
      <c r="E4186" s="33" t="n">
        <f aca="false">HOUR(A4186)+MINUTE(A4186)/60</f>
        <v>8</v>
      </c>
      <c r="F4186" s="33" t="n">
        <f aca="false">IF(OR(D4186&gt;5,E4186&lt;8,E4186&gt;=18,COUNTIF($K$2:$K$10,INT(A4186))&gt;0),1,0)</f>
        <v>1</v>
      </c>
      <c r="G4186" s="34" t="n">
        <f aca="false">B4186/1</f>
        <v>111.292</v>
      </c>
      <c r="H4186" s="34" t="n">
        <f aca="false">IF(F4186=1,G4186,"")</f>
        <v>111.292</v>
      </c>
    </row>
    <row r="4187" customFormat="false" ht="15" hidden="false" customHeight="false" outlineLevel="0" collapsed="false">
      <c r="A4187" s="31" t="n">
        <v>42910.375</v>
      </c>
      <c r="B4187" s="32" t="n">
        <v>160.65</v>
      </c>
      <c r="D4187" s="33" t="n">
        <f aca="false">WEEKDAY(A4187,2)</f>
        <v>6</v>
      </c>
      <c r="E4187" s="33" t="n">
        <f aca="false">HOUR(A4187)+MINUTE(A4187)/60</f>
        <v>9</v>
      </c>
      <c r="F4187" s="33" t="n">
        <f aca="false">IF(OR(D4187&gt;5,E4187&lt;8,E4187&gt;=18,COUNTIF($K$2:$K$10,INT(A4187))&gt;0),1,0)</f>
        <v>1</v>
      </c>
      <c r="G4187" s="34" t="n">
        <f aca="false">B4187/1</f>
        <v>160.65</v>
      </c>
      <c r="H4187" s="34" t="n">
        <f aca="false">IF(F4187=1,G4187,"")</f>
        <v>160.65</v>
      </c>
    </row>
    <row r="4188" customFormat="false" ht="15" hidden="false" customHeight="false" outlineLevel="0" collapsed="false">
      <c r="A4188" s="31" t="n">
        <v>42910.4166666667</v>
      </c>
      <c r="B4188" s="32" t="n">
        <v>166.082</v>
      </c>
      <c r="D4188" s="33" t="n">
        <f aca="false">WEEKDAY(A4188,2)</f>
        <v>6</v>
      </c>
      <c r="E4188" s="33" t="n">
        <f aca="false">HOUR(A4188)+MINUTE(A4188)/60</f>
        <v>10</v>
      </c>
      <c r="F4188" s="33" t="n">
        <f aca="false">IF(OR(D4188&gt;5,E4188&lt;8,E4188&gt;=18,COUNTIF($K$2:$K$10,INT(A4188))&gt;0),1,0)</f>
        <v>1</v>
      </c>
      <c r="G4188" s="34" t="n">
        <f aca="false">B4188/1</f>
        <v>166.082</v>
      </c>
      <c r="H4188" s="34" t="n">
        <f aca="false">IF(F4188=1,G4188,"")</f>
        <v>166.082</v>
      </c>
    </row>
    <row r="4189" customFormat="false" ht="15" hidden="false" customHeight="false" outlineLevel="0" collapsed="false">
      <c r="A4189" s="31" t="n">
        <v>42910.4583333333</v>
      </c>
      <c r="B4189" s="32" t="n">
        <v>165.55</v>
      </c>
      <c r="D4189" s="33" t="n">
        <f aca="false">WEEKDAY(A4189,2)</f>
        <v>6</v>
      </c>
      <c r="E4189" s="33" t="n">
        <f aca="false">HOUR(A4189)+MINUTE(A4189)/60</f>
        <v>11</v>
      </c>
      <c r="F4189" s="33" t="n">
        <f aca="false">IF(OR(D4189&gt;5,E4189&lt;8,E4189&gt;=18,COUNTIF($K$2:$K$10,INT(A4189))&gt;0),1,0)</f>
        <v>1</v>
      </c>
      <c r="G4189" s="34" t="n">
        <f aca="false">B4189/1</f>
        <v>165.55</v>
      </c>
      <c r="H4189" s="34" t="n">
        <f aca="false">IF(F4189=1,G4189,"")</f>
        <v>165.55</v>
      </c>
    </row>
    <row r="4190" customFormat="false" ht="15" hidden="false" customHeight="false" outlineLevel="0" collapsed="false">
      <c r="A4190" s="31" t="n">
        <v>42910.5</v>
      </c>
      <c r="B4190" s="32" t="n">
        <v>168.11</v>
      </c>
      <c r="D4190" s="33" t="n">
        <f aca="false">WEEKDAY(A4190,2)</f>
        <v>6</v>
      </c>
      <c r="E4190" s="33" t="n">
        <f aca="false">HOUR(A4190)+MINUTE(A4190)/60</f>
        <v>12</v>
      </c>
      <c r="F4190" s="33" t="n">
        <f aca="false">IF(OR(D4190&gt;5,E4190&lt;8,E4190&gt;=18,COUNTIF($K$2:$K$10,INT(A4190))&gt;0),1,0)</f>
        <v>1</v>
      </c>
      <c r="G4190" s="34" t="n">
        <f aca="false">B4190/1</f>
        <v>168.11</v>
      </c>
      <c r="H4190" s="34" t="n">
        <f aca="false">IF(F4190=1,G4190,"")</f>
        <v>168.11</v>
      </c>
    </row>
    <row r="4191" customFormat="false" ht="15" hidden="false" customHeight="false" outlineLevel="0" collapsed="false">
      <c r="A4191" s="31" t="n">
        <v>42910.5416666667</v>
      </c>
      <c r="B4191" s="32" t="n">
        <v>170.34</v>
      </c>
      <c r="D4191" s="33" t="n">
        <f aca="false">WEEKDAY(A4191,2)</f>
        <v>6</v>
      </c>
      <c r="E4191" s="33" t="n">
        <f aca="false">HOUR(A4191)+MINUTE(A4191)/60</f>
        <v>13</v>
      </c>
      <c r="F4191" s="33" t="n">
        <f aca="false">IF(OR(D4191&gt;5,E4191&lt;8,E4191&gt;=18,COUNTIF($K$2:$K$10,INT(A4191))&gt;0),1,0)</f>
        <v>1</v>
      </c>
      <c r="G4191" s="34" t="n">
        <f aca="false">B4191/1</f>
        <v>170.34</v>
      </c>
      <c r="H4191" s="34" t="n">
        <f aca="false">IF(F4191=1,G4191,"")</f>
        <v>170.34</v>
      </c>
    </row>
    <row r="4192" customFormat="false" ht="15" hidden="false" customHeight="false" outlineLevel="0" collapsed="false">
      <c r="A4192" s="31" t="n">
        <v>42910.5833333333</v>
      </c>
      <c r="B4192" s="32" t="n">
        <v>167.148</v>
      </c>
      <c r="D4192" s="33" t="n">
        <f aca="false">WEEKDAY(A4192,2)</f>
        <v>6</v>
      </c>
      <c r="E4192" s="33" t="n">
        <f aca="false">HOUR(A4192)+MINUTE(A4192)/60</f>
        <v>14</v>
      </c>
      <c r="F4192" s="33" t="n">
        <f aca="false">IF(OR(D4192&gt;5,E4192&lt;8,E4192&gt;=18,COUNTIF($K$2:$K$10,INT(A4192))&gt;0),1,0)</f>
        <v>1</v>
      </c>
      <c r="G4192" s="34" t="n">
        <f aca="false">B4192/1</f>
        <v>167.148</v>
      </c>
      <c r="H4192" s="34" t="n">
        <f aca="false">IF(F4192=1,G4192,"")</f>
        <v>167.148</v>
      </c>
    </row>
    <row r="4193" customFormat="false" ht="15" hidden="false" customHeight="false" outlineLevel="0" collapsed="false">
      <c r="A4193" s="31" t="n">
        <v>42910.625</v>
      </c>
      <c r="B4193" s="32" t="n">
        <v>168.264</v>
      </c>
      <c r="D4193" s="33" t="n">
        <f aca="false">WEEKDAY(A4193,2)</f>
        <v>6</v>
      </c>
      <c r="E4193" s="33" t="n">
        <f aca="false">HOUR(A4193)+MINUTE(A4193)/60</f>
        <v>15</v>
      </c>
      <c r="F4193" s="33" t="n">
        <f aca="false">IF(OR(D4193&gt;5,E4193&lt;8,E4193&gt;=18,COUNTIF($K$2:$K$10,INT(A4193))&gt;0),1,0)</f>
        <v>1</v>
      </c>
      <c r="G4193" s="34" t="n">
        <f aca="false">B4193/1</f>
        <v>168.264</v>
      </c>
      <c r="H4193" s="34" t="n">
        <f aca="false">IF(F4193=1,G4193,"")</f>
        <v>168.264</v>
      </c>
    </row>
    <row r="4194" customFormat="false" ht="15" hidden="false" customHeight="false" outlineLevel="0" collapsed="false">
      <c r="A4194" s="31" t="n">
        <v>42910.6666666667</v>
      </c>
      <c r="B4194" s="32" t="n">
        <v>169.232</v>
      </c>
      <c r="D4194" s="33" t="n">
        <f aca="false">WEEKDAY(A4194,2)</f>
        <v>6</v>
      </c>
      <c r="E4194" s="33" t="n">
        <f aca="false">HOUR(A4194)+MINUTE(A4194)/60</f>
        <v>16</v>
      </c>
      <c r="F4194" s="33" t="n">
        <f aca="false">IF(OR(D4194&gt;5,E4194&lt;8,E4194&gt;=18,COUNTIF($K$2:$K$10,INT(A4194))&gt;0),1,0)</f>
        <v>1</v>
      </c>
      <c r="G4194" s="34" t="n">
        <f aca="false">B4194/1</f>
        <v>169.232</v>
      </c>
      <c r="H4194" s="34" t="n">
        <f aca="false">IF(F4194=1,G4194,"")</f>
        <v>169.232</v>
      </c>
    </row>
    <row r="4195" customFormat="false" ht="15" hidden="false" customHeight="false" outlineLevel="0" collapsed="false">
      <c r="A4195" s="31" t="n">
        <v>42910.7083333333</v>
      </c>
      <c r="B4195" s="32" t="n">
        <v>163.784</v>
      </c>
      <c r="D4195" s="33" t="n">
        <f aca="false">WEEKDAY(A4195,2)</f>
        <v>6</v>
      </c>
      <c r="E4195" s="33" t="n">
        <f aca="false">HOUR(A4195)+MINUTE(A4195)/60</f>
        <v>17</v>
      </c>
      <c r="F4195" s="33" t="n">
        <f aca="false">IF(OR(D4195&gt;5,E4195&lt;8,E4195&gt;=18,COUNTIF($K$2:$K$10,INT(A4195))&gt;0),1,0)</f>
        <v>1</v>
      </c>
      <c r="G4195" s="34" t="n">
        <f aca="false">B4195/1</f>
        <v>163.784</v>
      </c>
      <c r="H4195" s="34" t="n">
        <f aca="false">IF(F4195=1,G4195,"")</f>
        <v>163.784</v>
      </c>
    </row>
    <row r="4196" customFormat="false" ht="15" hidden="false" customHeight="false" outlineLevel="0" collapsed="false">
      <c r="A4196" s="31" t="n">
        <v>42910.75</v>
      </c>
      <c r="B4196" s="32" t="n">
        <v>64.551</v>
      </c>
      <c r="D4196" s="33" t="n">
        <f aca="false">WEEKDAY(A4196,2)</f>
        <v>6</v>
      </c>
      <c r="E4196" s="33" t="n">
        <f aca="false">HOUR(A4196)+MINUTE(A4196)/60</f>
        <v>18</v>
      </c>
      <c r="F4196" s="33" t="n">
        <f aca="false">IF(OR(D4196&gt;5,E4196&lt;8,E4196&gt;=18,COUNTIF($K$2:$K$10,INT(A4196))&gt;0),1,0)</f>
        <v>1</v>
      </c>
      <c r="G4196" s="34" t="n">
        <f aca="false">B4196/1</f>
        <v>64.551</v>
      </c>
      <c r="H4196" s="34" t="n">
        <f aca="false">IF(F4196=1,G4196,"")</f>
        <v>64.551</v>
      </c>
    </row>
    <row r="4197" customFormat="false" ht="15" hidden="false" customHeight="false" outlineLevel="0" collapsed="false">
      <c r="A4197" s="31" t="n">
        <v>42910.7916666667</v>
      </c>
      <c r="B4197" s="32" t="n">
        <v>48.166</v>
      </c>
      <c r="D4197" s="33" t="n">
        <f aca="false">WEEKDAY(A4197,2)</f>
        <v>6</v>
      </c>
      <c r="E4197" s="33" t="n">
        <f aca="false">HOUR(A4197)+MINUTE(A4197)/60</f>
        <v>19</v>
      </c>
      <c r="F4197" s="33" t="n">
        <f aca="false">IF(OR(D4197&gt;5,E4197&lt;8,E4197&gt;=18,COUNTIF($K$2:$K$10,INT(A4197))&gt;0),1,0)</f>
        <v>1</v>
      </c>
      <c r="G4197" s="34" t="n">
        <f aca="false">B4197/1</f>
        <v>48.166</v>
      </c>
      <c r="H4197" s="34" t="n">
        <f aca="false">IF(F4197=1,G4197,"")</f>
        <v>48.166</v>
      </c>
    </row>
    <row r="4198" customFormat="false" ht="15" hidden="false" customHeight="false" outlineLevel="0" collapsed="false">
      <c r="A4198" s="31" t="n">
        <v>42910.8333333333</v>
      </c>
      <c r="B4198" s="32" t="n">
        <v>47.79</v>
      </c>
      <c r="D4198" s="33" t="n">
        <f aca="false">WEEKDAY(A4198,2)</f>
        <v>6</v>
      </c>
      <c r="E4198" s="33" t="n">
        <f aca="false">HOUR(A4198)+MINUTE(A4198)/60</f>
        <v>20</v>
      </c>
      <c r="F4198" s="33" t="n">
        <f aca="false">IF(OR(D4198&gt;5,E4198&lt;8,E4198&gt;=18,COUNTIF($K$2:$K$10,INT(A4198))&gt;0),1,0)</f>
        <v>1</v>
      </c>
      <c r="G4198" s="34" t="n">
        <f aca="false">B4198/1</f>
        <v>47.79</v>
      </c>
      <c r="H4198" s="34" t="n">
        <f aca="false">IF(F4198=1,G4198,"")</f>
        <v>47.79</v>
      </c>
    </row>
    <row r="4199" customFormat="false" ht="15" hidden="false" customHeight="false" outlineLevel="0" collapsed="false">
      <c r="A4199" s="31" t="n">
        <v>42910.875</v>
      </c>
      <c r="B4199" s="32" t="n">
        <v>46.996</v>
      </c>
      <c r="D4199" s="33" t="n">
        <f aca="false">WEEKDAY(A4199,2)</f>
        <v>6</v>
      </c>
      <c r="E4199" s="33" t="n">
        <f aca="false">HOUR(A4199)+MINUTE(A4199)/60</f>
        <v>21</v>
      </c>
      <c r="F4199" s="33" t="n">
        <f aca="false">IF(OR(D4199&gt;5,E4199&lt;8,E4199&gt;=18,COUNTIF($K$2:$K$10,INT(A4199))&gt;0),1,0)</f>
        <v>1</v>
      </c>
      <c r="G4199" s="34" t="n">
        <f aca="false">B4199/1</f>
        <v>46.996</v>
      </c>
      <c r="H4199" s="34" t="n">
        <f aca="false">IF(F4199=1,G4199,"")</f>
        <v>46.996</v>
      </c>
    </row>
    <row r="4200" customFormat="false" ht="15" hidden="false" customHeight="false" outlineLevel="0" collapsed="false">
      <c r="A4200" s="31" t="n">
        <v>42910.9166666667</v>
      </c>
      <c r="B4200" s="32" t="n">
        <v>47.73</v>
      </c>
      <c r="D4200" s="33" t="n">
        <f aca="false">WEEKDAY(A4200,2)</f>
        <v>6</v>
      </c>
      <c r="E4200" s="33" t="n">
        <f aca="false">HOUR(A4200)+MINUTE(A4200)/60</f>
        <v>22</v>
      </c>
      <c r="F4200" s="33" t="n">
        <f aca="false">IF(OR(D4200&gt;5,E4200&lt;8,E4200&gt;=18,COUNTIF($K$2:$K$10,INT(A4200))&gt;0),1,0)</f>
        <v>1</v>
      </c>
      <c r="G4200" s="34" t="n">
        <f aca="false">B4200/1</f>
        <v>47.73</v>
      </c>
      <c r="H4200" s="34" t="n">
        <f aca="false">IF(F4200=1,G4200,"")</f>
        <v>47.73</v>
      </c>
    </row>
    <row r="4201" customFormat="false" ht="15" hidden="false" customHeight="false" outlineLevel="0" collapsed="false">
      <c r="A4201" s="31" t="n">
        <v>42910.9583333333</v>
      </c>
      <c r="B4201" s="32" t="n">
        <v>49.886</v>
      </c>
      <c r="D4201" s="33" t="n">
        <f aca="false">WEEKDAY(A4201,2)</f>
        <v>6</v>
      </c>
      <c r="E4201" s="33" t="n">
        <f aca="false">HOUR(A4201)+MINUTE(A4201)/60</f>
        <v>23</v>
      </c>
      <c r="F4201" s="33" t="n">
        <f aca="false">IF(OR(D4201&gt;5,E4201&lt;8,E4201&gt;=18,COUNTIF($K$2:$K$10,INT(A4201))&gt;0),1,0)</f>
        <v>1</v>
      </c>
      <c r="G4201" s="34" t="n">
        <f aca="false">B4201/1</f>
        <v>49.886</v>
      </c>
      <c r="H4201" s="34" t="n">
        <f aca="false">IF(F4201=1,G4201,"")</f>
        <v>49.886</v>
      </c>
    </row>
    <row r="4202" customFormat="false" ht="15" hidden="false" customHeight="false" outlineLevel="0" collapsed="false">
      <c r="A4202" s="31" t="n">
        <v>42911</v>
      </c>
      <c r="B4202" s="32" t="n">
        <v>50.424</v>
      </c>
      <c r="D4202" s="33" t="n">
        <f aca="false">WEEKDAY(A4202,2)</f>
        <v>7</v>
      </c>
      <c r="E4202" s="33" t="n">
        <f aca="false">HOUR(A4202)+MINUTE(A4202)/60</f>
        <v>0</v>
      </c>
      <c r="F4202" s="33" t="n">
        <f aca="false">IF(OR(D4202&gt;5,E4202&lt;8,E4202&gt;=18,COUNTIF($K$2:$K$10,INT(A4202))&gt;0),1,0)</f>
        <v>1</v>
      </c>
      <c r="G4202" s="34" t="n">
        <f aca="false">B4202/1</f>
        <v>50.424</v>
      </c>
      <c r="H4202" s="34" t="n">
        <f aca="false">IF(F4202=1,G4202,"")</f>
        <v>50.424</v>
      </c>
    </row>
    <row r="4203" customFormat="false" ht="15" hidden="false" customHeight="false" outlineLevel="0" collapsed="false">
      <c r="A4203" s="31" t="n">
        <v>42911.0416666667</v>
      </c>
      <c r="B4203" s="32" t="n">
        <v>49.641</v>
      </c>
      <c r="D4203" s="33" t="n">
        <f aca="false">WEEKDAY(A4203,2)</f>
        <v>7</v>
      </c>
      <c r="E4203" s="33" t="n">
        <f aca="false">HOUR(A4203)+MINUTE(A4203)/60</f>
        <v>1</v>
      </c>
      <c r="F4203" s="33" t="n">
        <f aca="false">IF(OR(D4203&gt;5,E4203&lt;8,E4203&gt;=18,COUNTIF($K$2:$K$10,INT(A4203))&gt;0),1,0)</f>
        <v>1</v>
      </c>
      <c r="G4203" s="34" t="n">
        <f aca="false">B4203/1</f>
        <v>49.641</v>
      </c>
      <c r="H4203" s="34" t="n">
        <f aca="false">IF(F4203=1,G4203,"")</f>
        <v>49.641</v>
      </c>
    </row>
    <row r="4204" customFormat="false" ht="15" hidden="false" customHeight="false" outlineLevel="0" collapsed="false">
      <c r="A4204" s="31" t="n">
        <v>42911.0833333333</v>
      </c>
      <c r="B4204" s="32" t="n">
        <v>47.179</v>
      </c>
      <c r="D4204" s="33" t="n">
        <f aca="false">WEEKDAY(A4204,2)</f>
        <v>7</v>
      </c>
      <c r="E4204" s="33" t="n">
        <f aca="false">HOUR(A4204)+MINUTE(A4204)/60</f>
        <v>2</v>
      </c>
      <c r="F4204" s="33" t="n">
        <f aca="false">IF(OR(D4204&gt;5,E4204&lt;8,E4204&gt;=18,COUNTIF($K$2:$K$10,INT(A4204))&gt;0),1,0)</f>
        <v>1</v>
      </c>
      <c r="G4204" s="34" t="n">
        <f aca="false">B4204/1</f>
        <v>47.179</v>
      </c>
      <c r="H4204" s="34" t="n">
        <f aca="false">IF(F4204=1,G4204,"")</f>
        <v>47.179</v>
      </c>
    </row>
    <row r="4205" customFormat="false" ht="15" hidden="false" customHeight="false" outlineLevel="0" collapsed="false">
      <c r="A4205" s="31" t="n">
        <v>42911.125</v>
      </c>
      <c r="B4205" s="32" t="n">
        <v>50.528</v>
      </c>
      <c r="D4205" s="33" t="n">
        <f aca="false">WEEKDAY(A4205,2)</f>
        <v>7</v>
      </c>
      <c r="E4205" s="33" t="n">
        <f aca="false">HOUR(A4205)+MINUTE(A4205)/60</f>
        <v>3</v>
      </c>
      <c r="F4205" s="33" t="n">
        <f aca="false">IF(OR(D4205&gt;5,E4205&lt;8,E4205&gt;=18,COUNTIF($K$2:$K$10,INT(A4205))&gt;0),1,0)</f>
        <v>1</v>
      </c>
      <c r="G4205" s="34" t="n">
        <f aca="false">B4205/1</f>
        <v>50.528</v>
      </c>
      <c r="H4205" s="34" t="n">
        <f aca="false">IF(F4205=1,G4205,"")</f>
        <v>50.528</v>
      </c>
    </row>
    <row r="4206" customFormat="false" ht="15" hidden="false" customHeight="false" outlineLevel="0" collapsed="false">
      <c r="A4206" s="31" t="n">
        <v>42911.1666666667</v>
      </c>
      <c r="B4206" s="32" t="n">
        <v>50.526</v>
      </c>
      <c r="D4206" s="33" t="n">
        <f aca="false">WEEKDAY(A4206,2)</f>
        <v>7</v>
      </c>
      <c r="E4206" s="33" t="n">
        <f aca="false">HOUR(A4206)+MINUTE(A4206)/60</f>
        <v>4</v>
      </c>
      <c r="F4206" s="33" t="n">
        <f aca="false">IF(OR(D4206&gt;5,E4206&lt;8,E4206&gt;=18,COUNTIF($K$2:$K$10,INT(A4206))&gt;0),1,0)</f>
        <v>1</v>
      </c>
      <c r="G4206" s="34" t="n">
        <f aca="false">B4206/1</f>
        <v>50.526</v>
      </c>
      <c r="H4206" s="34" t="n">
        <f aca="false">IF(F4206=1,G4206,"")</f>
        <v>50.526</v>
      </c>
    </row>
    <row r="4207" customFormat="false" ht="15" hidden="false" customHeight="false" outlineLevel="0" collapsed="false">
      <c r="A4207" s="31" t="n">
        <v>42911.2083333333</v>
      </c>
      <c r="B4207" s="32" t="n">
        <v>48.171</v>
      </c>
      <c r="D4207" s="33" t="n">
        <f aca="false">WEEKDAY(A4207,2)</f>
        <v>7</v>
      </c>
      <c r="E4207" s="33" t="n">
        <f aca="false">HOUR(A4207)+MINUTE(A4207)/60</f>
        <v>5</v>
      </c>
      <c r="F4207" s="33" t="n">
        <f aca="false">IF(OR(D4207&gt;5,E4207&lt;8,E4207&gt;=18,COUNTIF($K$2:$K$10,INT(A4207))&gt;0),1,0)</f>
        <v>1</v>
      </c>
      <c r="G4207" s="34" t="n">
        <f aca="false">B4207/1</f>
        <v>48.171</v>
      </c>
      <c r="H4207" s="34" t="n">
        <f aca="false">IF(F4207=1,G4207,"")</f>
        <v>48.171</v>
      </c>
    </row>
    <row r="4208" customFormat="false" ht="15" hidden="false" customHeight="false" outlineLevel="0" collapsed="false">
      <c r="A4208" s="31" t="n">
        <v>42911.25</v>
      </c>
      <c r="B4208" s="32" t="n">
        <v>50.272</v>
      </c>
      <c r="D4208" s="33" t="n">
        <f aca="false">WEEKDAY(A4208,2)</f>
        <v>7</v>
      </c>
      <c r="E4208" s="33" t="n">
        <f aca="false">HOUR(A4208)+MINUTE(A4208)/60</f>
        <v>6</v>
      </c>
      <c r="F4208" s="33" t="n">
        <f aca="false">IF(OR(D4208&gt;5,E4208&lt;8,E4208&gt;=18,COUNTIF($K$2:$K$10,INT(A4208))&gt;0),1,0)</f>
        <v>1</v>
      </c>
      <c r="G4208" s="34" t="n">
        <f aca="false">B4208/1</f>
        <v>50.272</v>
      </c>
      <c r="H4208" s="34" t="n">
        <f aca="false">IF(F4208=1,G4208,"")</f>
        <v>50.272</v>
      </c>
    </row>
    <row r="4209" customFormat="false" ht="15" hidden="false" customHeight="false" outlineLevel="0" collapsed="false">
      <c r="A4209" s="31" t="n">
        <v>42911.2916666667</v>
      </c>
      <c r="B4209" s="32" t="n">
        <v>49.039</v>
      </c>
      <c r="D4209" s="33" t="n">
        <f aca="false">WEEKDAY(A4209,2)</f>
        <v>7</v>
      </c>
      <c r="E4209" s="33" t="n">
        <f aca="false">HOUR(A4209)+MINUTE(A4209)/60</f>
        <v>7</v>
      </c>
      <c r="F4209" s="33" t="n">
        <f aca="false">IF(OR(D4209&gt;5,E4209&lt;8,E4209&gt;=18,COUNTIF($K$2:$K$10,INT(A4209))&gt;0),1,0)</f>
        <v>1</v>
      </c>
      <c r="G4209" s="34" t="n">
        <f aca="false">B4209/1</f>
        <v>49.039</v>
      </c>
      <c r="H4209" s="34" t="n">
        <f aca="false">IF(F4209=1,G4209,"")</f>
        <v>49.039</v>
      </c>
    </row>
    <row r="4210" customFormat="false" ht="15" hidden="false" customHeight="false" outlineLevel="0" collapsed="false">
      <c r="A4210" s="31" t="n">
        <v>42911.3333333333</v>
      </c>
      <c r="B4210" s="32" t="n">
        <v>46.361</v>
      </c>
      <c r="D4210" s="33" t="n">
        <f aca="false">WEEKDAY(A4210,2)</f>
        <v>7</v>
      </c>
      <c r="E4210" s="33" t="n">
        <f aca="false">HOUR(A4210)+MINUTE(A4210)/60</f>
        <v>8</v>
      </c>
      <c r="F4210" s="33" t="n">
        <f aca="false">IF(OR(D4210&gt;5,E4210&lt;8,E4210&gt;=18,COUNTIF($K$2:$K$10,INT(A4210))&gt;0),1,0)</f>
        <v>1</v>
      </c>
      <c r="G4210" s="34" t="n">
        <f aca="false">B4210/1</f>
        <v>46.361</v>
      </c>
      <c r="H4210" s="34" t="n">
        <f aca="false">IF(F4210=1,G4210,"")</f>
        <v>46.361</v>
      </c>
    </row>
    <row r="4211" customFormat="false" ht="15" hidden="false" customHeight="false" outlineLevel="0" collapsed="false">
      <c r="A4211" s="31" t="n">
        <v>42911.375</v>
      </c>
      <c r="B4211" s="32" t="n">
        <v>48.87</v>
      </c>
      <c r="D4211" s="33" t="n">
        <f aca="false">WEEKDAY(A4211,2)</f>
        <v>7</v>
      </c>
      <c r="E4211" s="33" t="n">
        <f aca="false">HOUR(A4211)+MINUTE(A4211)/60</f>
        <v>9</v>
      </c>
      <c r="F4211" s="33" t="n">
        <f aca="false">IF(OR(D4211&gt;5,E4211&lt;8,E4211&gt;=18,COUNTIF($K$2:$K$10,INT(A4211))&gt;0),1,0)</f>
        <v>1</v>
      </c>
      <c r="G4211" s="34" t="n">
        <f aca="false">B4211/1</f>
        <v>48.87</v>
      </c>
      <c r="H4211" s="34" t="n">
        <f aca="false">IF(F4211=1,G4211,"")</f>
        <v>48.87</v>
      </c>
    </row>
    <row r="4212" customFormat="false" ht="15" hidden="false" customHeight="false" outlineLevel="0" collapsed="false">
      <c r="A4212" s="31" t="n">
        <v>42911.4166666667</v>
      </c>
      <c r="B4212" s="32" t="n">
        <v>47.187</v>
      </c>
      <c r="D4212" s="33" t="n">
        <f aca="false">WEEKDAY(A4212,2)</f>
        <v>7</v>
      </c>
      <c r="E4212" s="33" t="n">
        <f aca="false">HOUR(A4212)+MINUTE(A4212)/60</f>
        <v>10</v>
      </c>
      <c r="F4212" s="33" t="n">
        <f aca="false">IF(OR(D4212&gt;5,E4212&lt;8,E4212&gt;=18,COUNTIF($K$2:$K$10,INT(A4212))&gt;0),1,0)</f>
        <v>1</v>
      </c>
      <c r="G4212" s="34" t="n">
        <f aca="false">B4212/1</f>
        <v>47.187</v>
      </c>
      <c r="H4212" s="34" t="n">
        <f aca="false">IF(F4212=1,G4212,"")</f>
        <v>47.187</v>
      </c>
    </row>
    <row r="4213" customFormat="false" ht="15" hidden="false" customHeight="false" outlineLevel="0" collapsed="false">
      <c r="A4213" s="31" t="n">
        <v>42911.4583333333</v>
      </c>
      <c r="B4213" s="32" t="n">
        <v>47.417</v>
      </c>
      <c r="D4213" s="33" t="n">
        <f aca="false">WEEKDAY(A4213,2)</f>
        <v>7</v>
      </c>
      <c r="E4213" s="33" t="n">
        <f aca="false">HOUR(A4213)+MINUTE(A4213)/60</f>
        <v>11</v>
      </c>
      <c r="F4213" s="33" t="n">
        <f aca="false">IF(OR(D4213&gt;5,E4213&lt;8,E4213&gt;=18,COUNTIF($K$2:$K$10,INT(A4213))&gt;0),1,0)</f>
        <v>1</v>
      </c>
      <c r="G4213" s="34" t="n">
        <f aca="false">B4213/1</f>
        <v>47.417</v>
      </c>
      <c r="H4213" s="34" t="n">
        <f aca="false">IF(F4213=1,G4213,"")</f>
        <v>47.417</v>
      </c>
    </row>
    <row r="4214" customFormat="false" ht="15" hidden="false" customHeight="false" outlineLevel="0" collapsed="false">
      <c r="A4214" s="31" t="n">
        <v>42911.5</v>
      </c>
      <c r="B4214" s="32" t="n">
        <v>49.786</v>
      </c>
      <c r="D4214" s="33" t="n">
        <f aca="false">WEEKDAY(A4214,2)</f>
        <v>7</v>
      </c>
      <c r="E4214" s="33" t="n">
        <f aca="false">HOUR(A4214)+MINUTE(A4214)/60</f>
        <v>12</v>
      </c>
      <c r="F4214" s="33" t="n">
        <f aca="false">IF(OR(D4214&gt;5,E4214&lt;8,E4214&gt;=18,COUNTIF($K$2:$K$10,INT(A4214))&gt;0),1,0)</f>
        <v>1</v>
      </c>
      <c r="G4214" s="34" t="n">
        <f aca="false">B4214/1</f>
        <v>49.786</v>
      </c>
      <c r="H4214" s="34" t="n">
        <f aca="false">IF(F4214=1,G4214,"")</f>
        <v>49.786</v>
      </c>
    </row>
    <row r="4215" customFormat="false" ht="15" hidden="false" customHeight="false" outlineLevel="0" collapsed="false">
      <c r="A4215" s="31" t="n">
        <v>42911.5416666667</v>
      </c>
      <c r="B4215" s="32" t="n">
        <v>95.652</v>
      </c>
      <c r="D4215" s="33" t="n">
        <f aca="false">WEEKDAY(A4215,2)</f>
        <v>7</v>
      </c>
      <c r="E4215" s="33" t="n">
        <f aca="false">HOUR(A4215)+MINUTE(A4215)/60</f>
        <v>13</v>
      </c>
      <c r="F4215" s="33" t="n">
        <f aca="false">IF(OR(D4215&gt;5,E4215&lt;8,E4215&gt;=18,COUNTIF($K$2:$K$10,INT(A4215))&gt;0),1,0)</f>
        <v>1</v>
      </c>
      <c r="G4215" s="34" t="n">
        <f aca="false">B4215/1</f>
        <v>95.652</v>
      </c>
      <c r="H4215" s="34" t="n">
        <f aca="false">IF(F4215=1,G4215,"")</f>
        <v>95.652</v>
      </c>
    </row>
    <row r="4216" customFormat="false" ht="15" hidden="false" customHeight="false" outlineLevel="0" collapsed="false">
      <c r="A4216" s="31" t="n">
        <v>42911.5833333333</v>
      </c>
      <c r="B4216" s="32" t="n">
        <v>133.692</v>
      </c>
      <c r="D4216" s="33" t="n">
        <f aca="false">WEEKDAY(A4216,2)</f>
        <v>7</v>
      </c>
      <c r="E4216" s="33" t="n">
        <f aca="false">HOUR(A4216)+MINUTE(A4216)/60</f>
        <v>14</v>
      </c>
      <c r="F4216" s="33" t="n">
        <f aca="false">IF(OR(D4216&gt;5,E4216&lt;8,E4216&gt;=18,COUNTIF($K$2:$K$10,INT(A4216))&gt;0),1,0)</f>
        <v>1</v>
      </c>
      <c r="G4216" s="34" t="n">
        <f aca="false">B4216/1</f>
        <v>133.692</v>
      </c>
      <c r="H4216" s="34" t="n">
        <f aca="false">IF(F4216=1,G4216,"")</f>
        <v>133.692</v>
      </c>
    </row>
    <row r="4217" customFormat="false" ht="15" hidden="false" customHeight="false" outlineLevel="0" collapsed="false">
      <c r="A4217" s="31" t="n">
        <v>42911.625</v>
      </c>
      <c r="B4217" s="32" t="n">
        <v>136.127</v>
      </c>
      <c r="D4217" s="33" t="n">
        <f aca="false">WEEKDAY(A4217,2)</f>
        <v>7</v>
      </c>
      <c r="E4217" s="33" t="n">
        <f aca="false">HOUR(A4217)+MINUTE(A4217)/60</f>
        <v>15</v>
      </c>
      <c r="F4217" s="33" t="n">
        <f aca="false">IF(OR(D4217&gt;5,E4217&lt;8,E4217&gt;=18,COUNTIF($K$2:$K$10,INT(A4217))&gt;0),1,0)</f>
        <v>1</v>
      </c>
      <c r="G4217" s="34" t="n">
        <f aca="false">B4217/1</f>
        <v>136.127</v>
      </c>
      <c r="H4217" s="34" t="n">
        <f aca="false">IF(F4217=1,G4217,"")</f>
        <v>136.127</v>
      </c>
    </row>
    <row r="4218" customFormat="false" ht="15" hidden="false" customHeight="false" outlineLevel="0" collapsed="false">
      <c r="A4218" s="31" t="n">
        <v>42911.6666666667</v>
      </c>
      <c r="B4218" s="32" t="n">
        <v>136.915</v>
      </c>
      <c r="D4218" s="33" t="n">
        <f aca="false">WEEKDAY(A4218,2)</f>
        <v>7</v>
      </c>
      <c r="E4218" s="33" t="n">
        <f aca="false">HOUR(A4218)+MINUTE(A4218)/60</f>
        <v>16</v>
      </c>
      <c r="F4218" s="33" t="n">
        <f aca="false">IF(OR(D4218&gt;5,E4218&lt;8,E4218&gt;=18,COUNTIF($K$2:$K$10,INT(A4218))&gt;0),1,0)</f>
        <v>1</v>
      </c>
      <c r="G4218" s="34" t="n">
        <f aca="false">B4218/1</f>
        <v>136.915</v>
      </c>
      <c r="H4218" s="34" t="n">
        <f aca="false">IF(F4218=1,G4218,"")</f>
        <v>136.915</v>
      </c>
    </row>
    <row r="4219" customFormat="false" ht="15" hidden="false" customHeight="false" outlineLevel="0" collapsed="false">
      <c r="A4219" s="31" t="n">
        <v>42911.7083333333</v>
      </c>
      <c r="B4219" s="32" t="n">
        <v>136.516</v>
      </c>
      <c r="D4219" s="33" t="n">
        <f aca="false">WEEKDAY(A4219,2)</f>
        <v>7</v>
      </c>
      <c r="E4219" s="33" t="n">
        <f aca="false">HOUR(A4219)+MINUTE(A4219)/60</f>
        <v>17</v>
      </c>
      <c r="F4219" s="33" t="n">
        <f aca="false">IF(OR(D4219&gt;5,E4219&lt;8,E4219&gt;=18,COUNTIF($K$2:$K$10,INT(A4219))&gt;0),1,0)</f>
        <v>1</v>
      </c>
      <c r="G4219" s="34" t="n">
        <f aca="false">B4219/1</f>
        <v>136.516</v>
      </c>
      <c r="H4219" s="34" t="n">
        <f aca="false">IF(F4219=1,G4219,"")</f>
        <v>136.516</v>
      </c>
    </row>
    <row r="4220" customFormat="false" ht="15" hidden="false" customHeight="false" outlineLevel="0" collapsed="false">
      <c r="A4220" s="31" t="n">
        <v>42911.75</v>
      </c>
      <c r="B4220" s="32" t="n">
        <v>55.321</v>
      </c>
      <c r="D4220" s="33" t="n">
        <f aca="false">WEEKDAY(A4220,2)</f>
        <v>7</v>
      </c>
      <c r="E4220" s="33" t="n">
        <f aca="false">HOUR(A4220)+MINUTE(A4220)/60</f>
        <v>18</v>
      </c>
      <c r="F4220" s="33" t="n">
        <f aca="false">IF(OR(D4220&gt;5,E4220&lt;8,E4220&gt;=18,COUNTIF($K$2:$K$10,INT(A4220))&gt;0),1,0)</f>
        <v>1</v>
      </c>
      <c r="G4220" s="34" t="n">
        <f aca="false">B4220/1</f>
        <v>55.321</v>
      </c>
      <c r="H4220" s="34" t="n">
        <f aca="false">IF(F4220=1,G4220,"")</f>
        <v>55.321</v>
      </c>
    </row>
    <row r="4221" customFormat="false" ht="15" hidden="false" customHeight="false" outlineLevel="0" collapsed="false">
      <c r="A4221" s="31" t="n">
        <v>42911.7916666667</v>
      </c>
      <c r="B4221" s="32" t="n">
        <v>47.279</v>
      </c>
      <c r="D4221" s="33" t="n">
        <f aca="false">WEEKDAY(A4221,2)</f>
        <v>7</v>
      </c>
      <c r="E4221" s="33" t="n">
        <f aca="false">HOUR(A4221)+MINUTE(A4221)/60</f>
        <v>19</v>
      </c>
      <c r="F4221" s="33" t="n">
        <f aca="false">IF(OR(D4221&gt;5,E4221&lt;8,E4221&gt;=18,COUNTIF($K$2:$K$10,INT(A4221))&gt;0),1,0)</f>
        <v>1</v>
      </c>
      <c r="G4221" s="34" t="n">
        <f aca="false">B4221/1</f>
        <v>47.279</v>
      </c>
      <c r="H4221" s="34" t="n">
        <f aca="false">IF(F4221=1,G4221,"")</f>
        <v>47.279</v>
      </c>
    </row>
    <row r="4222" customFormat="false" ht="15" hidden="false" customHeight="false" outlineLevel="0" collapsed="false">
      <c r="A4222" s="31" t="n">
        <v>42911.8333333333</v>
      </c>
      <c r="B4222" s="32" t="n">
        <v>48.464</v>
      </c>
      <c r="D4222" s="33" t="n">
        <f aca="false">WEEKDAY(A4222,2)</f>
        <v>7</v>
      </c>
      <c r="E4222" s="33" t="n">
        <f aca="false">HOUR(A4222)+MINUTE(A4222)/60</f>
        <v>20</v>
      </c>
      <c r="F4222" s="33" t="n">
        <f aca="false">IF(OR(D4222&gt;5,E4222&lt;8,E4222&gt;=18,COUNTIF($K$2:$K$10,INT(A4222))&gt;0),1,0)</f>
        <v>1</v>
      </c>
      <c r="G4222" s="34" t="n">
        <f aca="false">B4222/1</f>
        <v>48.464</v>
      </c>
      <c r="H4222" s="34" t="n">
        <f aca="false">IF(F4222=1,G4222,"")</f>
        <v>48.464</v>
      </c>
    </row>
    <row r="4223" customFormat="false" ht="15" hidden="false" customHeight="false" outlineLevel="0" collapsed="false">
      <c r="A4223" s="31" t="n">
        <v>42911.875</v>
      </c>
      <c r="B4223" s="32" t="n">
        <v>48.59</v>
      </c>
      <c r="D4223" s="33" t="n">
        <f aca="false">WEEKDAY(A4223,2)</f>
        <v>7</v>
      </c>
      <c r="E4223" s="33" t="n">
        <f aca="false">HOUR(A4223)+MINUTE(A4223)/60</f>
        <v>21</v>
      </c>
      <c r="F4223" s="33" t="n">
        <f aca="false">IF(OR(D4223&gt;5,E4223&lt;8,E4223&gt;=18,COUNTIF($K$2:$K$10,INT(A4223))&gt;0),1,0)</f>
        <v>1</v>
      </c>
      <c r="G4223" s="34" t="n">
        <f aca="false">B4223/1</f>
        <v>48.59</v>
      </c>
      <c r="H4223" s="34" t="n">
        <f aca="false">IF(F4223=1,G4223,"")</f>
        <v>48.59</v>
      </c>
    </row>
    <row r="4224" customFormat="false" ht="15" hidden="false" customHeight="false" outlineLevel="0" collapsed="false">
      <c r="A4224" s="31" t="n">
        <v>42911.9166666667</v>
      </c>
      <c r="B4224" s="32" t="n">
        <v>52.104</v>
      </c>
      <c r="D4224" s="33" t="n">
        <f aca="false">WEEKDAY(A4224,2)</f>
        <v>7</v>
      </c>
      <c r="E4224" s="33" t="n">
        <f aca="false">HOUR(A4224)+MINUTE(A4224)/60</f>
        <v>22</v>
      </c>
      <c r="F4224" s="33" t="n">
        <f aca="false">IF(OR(D4224&gt;5,E4224&lt;8,E4224&gt;=18,COUNTIF($K$2:$K$10,INT(A4224))&gt;0),1,0)</f>
        <v>1</v>
      </c>
      <c r="G4224" s="34" t="n">
        <f aca="false">B4224/1</f>
        <v>52.104</v>
      </c>
      <c r="H4224" s="34" t="n">
        <f aca="false">IF(F4224=1,G4224,"")</f>
        <v>52.104</v>
      </c>
    </row>
    <row r="4225" customFormat="false" ht="15" hidden="false" customHeight="false" outlineLevel="0" collapsed="false">
      <c r="A4225" s="31" t="n">
        <v>42911.9583333333</v>
      </c>
      <c r="B4225" s="32" t="n">
        <v>55.151</v>
      </c>
      <c r="D4225" s="33" t="n">
        <f aca="false">WEEKDAY(A4225,2)</f>
        <v>7</v>
      </c>
      <c r="E4225" s="33" t="n">
        <f aca="false">HOUR(A4225)+MINUTE(A4225)/60</f>
        <v>23</v>
      </c>
      <c r="F4225" s="33" t="n">
        <f aca="false">IF(OR(D4225&gt;5,E4225&lt;8,E4225&gt;=18,COUNTIF($K$2:$K$10,INT(A4225))&gt;0),1,0)</f>
        <v>1</v>
      </c>
      <c r="G4225" s="34" t="n">
        <f aca="false">B4225/1</f>
        <v>55.151</v>
      </c>
      <c r="H4225" s="34" t="n">
        <f aca="false">IF(F4225=1,G4225,"")</f>
        <v>55.151</v>
      </c>
    </row>
    <row r="4226" customFormat="false" ht="15" hidden="false" customHeight="false" outlineLevel="0" collapsed="false">
      <c r="A4226" s="31" t="n">
        <v>42912</v>
      </c>
      <c r="B4226" s="32" t="n">
        <v>55.162</v>
      </c>
      <c r="D4226" s="33" t="n">
        <f aca="false">WEEKDAY(A4226,2)</f>
        <v>1</v>
      </c>
      <c r="E4226" s="33" t="n">
        <f aca="false">HOUR(A4226)+MINUTE(A4226)/60</f>
        <v>0</v>
      </c>
      <c r="F4226" s="33" t="n">
        <f aca="false">IF(OR(D4226&gt;5,E4226&lt;8,E4226&gt;=18,COUNTIF($K$2:$K$10,INT(A4226))&gt;0),1,0)</f>
        <v>1</v>
      </c>
      <c r="G4226" s="34" t="n">
        <f aca="false">B4226/1</f>
        <v>55.162</v>
      </c>
      <c r="H4226" s="34" t="n">
        <f aca="false">IF(F4226=1,G4226,"")</f>
        <v>55.162</v>
      </c>
    </row>
    <row r="4227" customFormat="false" ht="15" hidden="false" customHeight="false" outlineLevel="0" collapsed="false">
      <c r="A4227" s="31" t="n">
        <v>42912.0416666667</v>
      </c>
      <c r="B4227" s="32" t="n">
        <v>55.003</v>
      </c>
      <c r="D4227" s="33" t="n">
        <f aca="false">WEEKDAY(A4227,2)</f>
        <v>1</v>
      </c>
      <c r="E4227" s="33" t="n">
        <f aca="false">HOUR(A4227)+MINUTE(A4227)/60</f>
        <v>1</v>
      </c>
      <c r="F4227" s="33" t="n">
        <f aca="false">IF(OR(D4227&gt;5,E4227&lt;8,E4227&gt;=18,COUNTIF($K$2:$K$10,INT(A4227))&gt;0),1,0)</f>
        <v>1</v>
      </c>
      <c r="G4227" s="34" t="n">
        <f aca="false">B4227/1</f>
        <v>55.003</v>
      </c>
      <c r="H4227" s="34" t="n">
        <f aca="false">IF(F4227=1,G4227,"")</f>
        <v>55.003</v>
      </c>
    </row>
    <row r="4228" customFormat="false" ht="15" hidden="false" customHeight="false" outlineLevel="0" collapsed="false">
      <c r="A4228" s="31" t="n">
        <v>42912.0833333333</v>
      </c>
      <c r="B4228" s="32" t="n">
        <v>54.975</v>
      </c>
      <c r="D4228" s="33" t="n">
        <f aca="false">WEEKDAY(A4228,2)</f>
        <v>1</v>
      </c>
      <c r="E4228" s="33" t="n">
        <f aca="false">HOUR(A4228)+MINUTE(A4228)/60</f>
        <v>2</v>
      </c>
      <c r="F4228" s="33" t="n">
        <f aca="false">IF(OR(D4228&gt;5,E4228&lt;8,E4228&gt;=18,COUNTIF($K$2:$K$10,INT(A4228))&gt;0),1,0)</f>
        <v>1</v>
      </c>
      <c r="G4228" s="34" t="n">
        <f aca="false">B4228/1</f>
        <v>54.975</v>
      </c>
      <c r="H4228" s="34" t="n">
        <f aca="false">IF(F4228=1,G4228,"")</f>
        <v>54.975</v>
      </c>
    </row>
    <row r="4229" customFormat="false" ht="15" hidden="false" customHeight="false" outlineLevel="0" collapsed="false">
      <c r="A4229" s="31" t="n">
        <v>42912.125</v>
      </c>
      <c r="B4229" s="32" t="n">
        <v>56.341</v>
      </c>
      <c r="D4229" s="33" t="n">
        <f aca="false">WEEKDAY(A4229,2)</f>
        <v>1</v>
      </c>
      <c r="E4229" s="33" t="n">
        <f aca="false">HOUR(A4229)+MINUTE(A4229)/60</f>
        <v>3</v>
      </c>
      <c r="F4229" s="33" t="n">
        <f aca="false">IF(OR(D4229&gt;5,E4229&lt;8,E4229&gt;=18,COUNTIF($K$2:$K$10,INT(A4229))&gt;0),1,0)</f>
        <v>1</v>
      </c>
      <c r="G4229" s="34" t="n">
        <f aca="false">B4229/1</f>
        <v>56.341</v>
      </c>
      <c r="H4229" s="34" t="n">
        <f aca="false">IF(F4229=1,G4229,"")</f>
        <v>56.341</v>
      </c>
    </row>
    <row r="4230" customFormat="false" ht="15" hidden="false" customHeight="false" outlineLevel="0" collapsed="false">
      <c r="A4230" s="31" t="n">
        <v>42912.1666666667</v>
      </c>
      <c r="B4230" s="32" t="n">
        <v>56.223</v>
      </c>
      <c r="D4230" s="33" t="n">
        <f aca="false">WEEKDAY(A4230,2)</f>
        <v>1</v>
      </c>
      <c r="E4230" s="33" t="n">
        <f aca="false">HOUR(A4230)+MINUTE(A4230)/60</f>
        <v>4</v>
      </c>
      <c r="F4230" s="33" t="n">
        <f aca="false">IF(OR(D4230&gt;5,E4230&lt;8,E4230&gt;=18,COUNTIF($K$2:$K$10,INT(A4230))&gt;0),1,0)</f>
        <v>1</v>
      </c>
      <c r="G4230" s="34" t="n">
        <f aca="false">B4230/1</f>
        <v>56.223</v>
      </c>
      <c r="H4230" s="34" t="n">
        <f aca="false">IF(F4230=1,G4230,"")</f>
        <v>56.223</v>
      </c>
    </row>
    <row r="4231" customFormat="false" ht="15" hidden="false" customHeight="false" outlineLevel="0" collapsed="false">
      <c r="A4231" s="31" t="n">
        <v>42912.2083333333</v>
      </c>
      <c r="B4231" s="32" t="n">
        <v>55.139</v>
      </c>
      <c r="D4231" s="33" t="n">
        <f aca="false">WEEKDAY(A4231,2)</f>
        <v>1</v>
      </c>
      <c r="E4231" s="33" t="n">
        <f aca="false">HOUR(A4231)+MINUTE(A4231)/60</f>
        <v>5</v>
      </c>
      <c r="F4231" s="33" t="n">
        <f aca="false">IF(OR(D4231&gt;5,E4231&lt;8,E4231&gt;=18,COUNTIF($K$2:$K$10,INT(A4231))&gt;0),1,0)</f>
        <v>1</v>
      </c>
      <c r="G4231" s="34" t="n">
        <f aca="false">B4231/1</f>
        <v>55.139</v>
      </c>
      <c r="H4231" s="34" t="n">
        <f aca="false">IF(F4231=1,G4231,"")</f>
        <v>55.139</v>
      </c>
    </row>
    <row r="4232" customFormat="false" ht="15" hidden="false" customHeight="false" outlineLevel="0" collapsed="false">
      <c r="A4232" s="31" t="n">
        <v>42912.25</v>
      </c>
      <c r="B4232" s="32" t="n">
        <v>55.744</v>
      </c>
      <c r="D4232" s="33" t="n">
        <f aca="false">WEEKDAY(A4232,2)</f>
        <v>1</v>
      </c>
      <c r="E4232" s="33" t="n">
        <f aca="false">HOUR(A4232)+MINUTE(A4232)/60</f>
        <v>6</v>
      </c>
      <c r="F4232" s="33" t="n">
        <f aca="false">IF(OR(D4232&gt;5,E4232&lt;8,E4232&gt;=18,COUNTIF($K$2:$K$10,INT(A4232))&gt;0),1,0)</f>
        <v>1</v>
      </c>
      <c r="G4232" s="34" t="n">
        <f aca="false">B4232/1</f>
        <v>55.744</v>
      </c>
      <c r="H4232" s="34" t="n">
        <f aca="false">IF(F4232=1,G4232,"")</f>
        <v>55.744</v>
      </c>
    </row>
    <row r="4233" customFormat="false" ht="15" hidden="false" customHeight="false" outlineLevel="0" collapsed="false">
      <c r="A4233" s="31" t="n">
        <v>42912.2916666667</v>
      </c>
      <c r="B4233" s="32" t="n">
        <v>71.607</v>
      </c>
      <c r="D4233" s="33" t="n">
        <f aca="false">WEEKDAY(A4233,2)</f>
        <v>1</v>
      </c>
      <c r="E4233" s="33" t="n">
        <f aca="false">HOUR(A4233)+MINUTE(A4233)/60</f>
        <v>7</v>
      </c>
      <c r="F4233" s="33" t="n">
        <f aca="false">IF(OR(D4233&gt;5,E4233&lt;8,E4233&gt;=18,COUNTIF($K$2:$K$10,INT(A4233))&gt;0),1,0)</f>
        <v>1</v>
      </c>
      <c r="G4233" s="34" t="n">
        <f aca="false">B4233/1</f>
        <v>71.607</v>
      </c>
      <c r="H4233" s="34" t="n">
        <f aca="false">IF(F4233=1,G4233,"")</f>
        <v>71.607</v>
      </c>
    </row>
    <row r="4234" customFormat="false" ht="15" hidden="false" customHeight="false" outlineLevel="0" collapsed="false">
      <c r="A4234" s="31" t="n">
        <v>42912.3333333333</v>
      </c>
      <c r="B4234" s="32" t="n">
        <v>169.313</v>
      </c>
      <c r="D4234" s="33" t="n">
        <f aca="false">WEEKDAY(A4234,2)</f>
        <v>1</v>
      </c>
      <c r="E4234" s="33" t="n">
        <f aca="false">HOUR(A4234)+MINUTE(A4234)/60</f>
        <v>8</v>
      </c>
      <c r="F4234" s="33" t="n">
        <f aca="false">IF(OR(D4234&gt;5,E4234&lt;8,E4234&gt;=18,COUNTIF($K$2:$K$10,INT(A4234))&gt;0),1,0)</f>
        <v>0</v>
      </c>
      <c r="G4234" s="34" t="n">
        <f aca="false">B4234/1</f>
        <v>169.313</v>
      </c>
      <c r="H4234" s="34" t="str">
        <f aca="false">IF(F4234=1,G4234,"")</f>
        <v/>
      </c>
    </row>
    <row r="4235" customFormat="false" ht="15" hidden="false" customHeight="false" outlineLevel="0" collapsed="false">
      <c r="A4235" s="31" t="n">
        <v>42912.375</v>
      </c>
      <c r="B4235" s="32" t="n">
        <v>195.643</v>
      </c>
      <c r="D4235" s="33" t="n">
        <f aca="false">WEEKDAY(A4235,2)</f>
        <v>1</v>
      </c>
      <c r="E4235" s="33" t="n">
        <f aca="false">HOUR(A4235)+MINUTE(A4235)/60</f>
        <v>9</v>
      </c>
      <c r="F4235" s="33" t="n">
        <f aca="false">IF(OR(D4235&gt;5,E4235&lt;8,E4235&gt;=18,COUNTIF($K$2:$K$10,INT(A4235))&gt;0),1,0)</f>
        <v>0</v>
      </c>
      <c r="G4235" s="34" t="n">
        <f aca="false">B4235/1</f>
        <v>195.643</v>
      </c>
      <c r="H4235" s="34" t="str">
        <f aca="false">IF(F4235=1,G4235,"")</f>
        <v/>
      </c>
    </row>
    <row r="4236" customFormat="false" ht="15" hidden="false" customHeight="false" outlineLevel="0" collapsed="false">
      <c r="A4236" s="31" t="n">
        <v>42912.4166666667</v>
      </c>
      <c r="B4236" s="32" t="n">
        <v>208.671</v>
      </c>
      <c r="D4236" s="33" t="n">
        <f aca="false">WEEKDAY(A4236,2)</f>
        <v>1</v>
      </c>
      <c r="E4236" s="33" t="n">
        <f aca="false">HOUR(A4236)+MINUTE(A4236)/60</f>
        <v>10</v>
      </c>
      <c r="F4236" s="33" t="n">
        <f aca="false">IF(OR(D4236&gt;5,E4236&lt;8,E4236&gt;=18,COUNTIF($K$2:$K$10,INT(A4236))&gt;0),1,0)</f>
        <v>0</v>
      </c>
      <c r="G4236" s="34" t="n">
        <f aca="false">B4236/1</f>
        <v>208.671</v>
      </c>
      <c r="H4236" s="34" t="str">
        <f aca="false">IF(F4236=1,G4236,"")</f>
        <v/>
      </c>
    </row>
    <row r="4237" customFormat="false" ht="15" hidden="false" customHeight="false" outlineLevel="0" collapsed="false">
      <c r="A4237" s="31" t="n">
        <v>42912.4583333333</v>
      </c>
      <c r="B4237" s="32" t="n">
        <v>215.76</v>
      </c>
      <c r="D4237" s="33" t="n">
        <f aca="false">WEEKDAY(A4237,2)</f>
        <v>1</v>
      </c>
      <c r="E4237" s="33" t="n">
        <f aca="false">HOUR(A4237)+MINUTE(A4237)/60</f>
        <v>11</v>
      </c>
      <c r="F4237" s="33" t="n">
        <f aca="false">IF(OR(D4237&gt;5,E4237&lt;8,E4237&gt;=18,COUNTIF($K$2:$K$10,INT(A4237))&gt;0),1,0)</f>
        <v>0</v>
      </c>
      <c r="G4237" s="34" t="n">
        <f aca="false">B4237/1</f>
        <v>215.76</v>
      </c>
      <c r="H4237" s="34" t="str">
        <f aca="false">IF(F4237=1,G4237,"")</f>
        <v/>
      </c>
    </row>
    <row r="4238" customFormat="false" ht="15" hidden="false" customHeight="false" outlineLevel="0" collapsed="false">
      <c r="A4238" s="31" t="n">
        <v>42912.5</v>
      </c>
      <c r="B4238" s="32" t="n">
        <v>220.381</v>
      </c>
      <c r="D4238" s="33" t="n">
        <f aca="false">WEEKDAY(A4238,2)</f>
        <v>1</v>
      </c>
      <c r="E4238" s="33" t="n">
        <f aca="false">HOUR(A4238)+MINUTE(A4238)/60</f>
        <v>12</v>
      </c>
      <c r="F4238" s="33" t="n">
        <f aca="false">IF(OR(D4238&gt;5,E4238&lt;8,E4238&gt;=18,COUNTIF($K$2:$K$10,INT(A4238))&gt;0),1,0)</f>
        <v>0</v>
      </c>
      <c r="G4238" s="34" t="n">
        <f aca="false">B4238/1</f>
        <v>220.381</v>
      </c>
      <c r="H4238" s="34" t="str">
        <f aca="false">IF(F4238=1,G4238,"")</f>
        <v/>
      </c>
    </row>
    <row r="4239" customFormat="false" ht="15" hidden="false" customHeight="false" outlineLevel="0" collapsed="false">
      <c r="A4239" s="31" t="n">
        <v>42912.5416666667</v>
      </c>
      <c r="B4239" s="32" t="n">
        <v>219.247</v>
      </c>
      <c r="D4239" s="33" t="n">
        <f aca="false">WEEKDAY(A4239,2)</f>
        <v>1</v>
      </c>
      <c r="E4239" s="33" t="n">
        <f aca="false">HOUR(A4239)+MINUTE(A4239)/60</f>
        <v>13</v>
      </c>
      <c r="F4239" s="33" t="n">
        <f aca="false">IF(OR(D4239&gt;5,E4239&lt;8,E4239&gt;=18,COUNTIF($K$2:$K$10,INT(A4239))&gt;0),1,0)</f>
        <v>0</v>
      </c>
      <c r="G4239" s="34" t="n">
        <f aca="false">B4239/1</f>
        <v>219.247</v>
      </c>
      <c r="H4239" s="34" t="str">
        <f aca="false">IF(F4239=1,G4239,"")</f>
        <v/>
      </c>
    </row>
    <row r="4240" customFormat="false" ht="15" hidden="false" customHeight="false" outlineLevel="0" collapsed="false">
      <c r="A4240" s="31" t="n">
        <v>42912.5833333333</v>
      </c>
      <c r="B4240" s="32" t="n">
        <v>223.06</v>
      </c>
      <c r="D4240" s="33" t="n">
        <f aca="false">WEEKDAY(A4240,2)</f>
        <v>1</v>
      </c>
      <c r="E4240" s="33" t="n">
        <f aca="false">HOUR(A4240)+MINUTE(A4240)/60</f>
        <v>14</v>
      </c>
      <c r="F4240" s="33" t="n">
        <f aca="false">IF(OR(D4240&gt;5,E4240&lt;8,E4240&gt;=18,COUNTIF($K$2:$K$10,INT(A4240))&gt;0),1,0)</f>
        <v>0</v>
      </c>
      <c r="G4240" s="34" t="n">
        <f aca="false">B4240/1</f>
        <v>223.06</v>
      </c>
      <c r="H4240" s="34" t="str">
        <f aca="false">IF(F4240=1,G4240,"")</f>
        <v/>
      </c>
    </row>
    <row r="4241" customFormat="false" ht="15" hidden="false" customHeight="false" outlineLevel="0" collapsed="false">
      <c r="A4241" s="31" t="n">
        <v>42912.625</v>
      </c>
      <c r="B4241" s="32" t="n">
        <v>221.622</v>
      </c>
      <c r="D4241" s="33" t="n">
        <f aca="false">WEEKDAY(A4241,2)</f>
        <v>1</v>
      </c>
      <c r="E4241" s="33" t="n">
        <f aca="false">HOUR(A4241)+MINUTE(A4241)/60</f>
        <v>15</v>
      </c>
      <c r="F4241" s="33" t="n">
        <f aca="false">IF(OR(D4241&gt;5,E4241&lt;8,E4241&gt;=18,COUNTIF($K$2:$K$10,INT(A4241))&gt;0),1,0)</f>
        <v>0</v>
      </c>
      <c r="G4241" s="34" t="n">
        <f aca="false">B4241/1</f>
        <v>221.622</v>
      </c>
      <c r="H4241" s="34" t="str">
        <f aca="false">IF(F4241=1,G4241,"")</f>
        <v/>
      </c>
    </row>
    <row r="4242" customFormat="false" ht="15" hidden="false" customHeight="false" outlineLevel="0" collapsed="false">
      <c r="A4242" s="31" t="n">
        <v>42912.6666666667</v>
      </c>
      <c r="B4242" s="32" t="n">
        <v>213.994</v>
      </c>
      <c r="D4242" s="33" t="n">
        <f aca="false">WEEKDAY(A4242,2)</f>
        <v>1</v>
      </c>
      <c r="E4242" s="33" t="n">
        <f aca="false">HOUR(A4242)+MINUTE(A4242)/60</f>
        <v>16</v>
      </c>
      <c r="F4242" s="33" t="n">
        <f aca="false">IF(OR(D4242&gt;5,E4242&lt;8,E4242&gt;=18,COUNTIF($K$2:$K$10,INT(A4242))&gt;0),1,0)</f>
        <v>0</v>
      </c>
      <c r="G4242" s="34" t="n">
        <f aca="false">B4242/1</f>
        <v>213.994</v>
      </c>
      <c r="H4242" s="34" t="str">
        <f aca="false">IF(F4242=1,G4242,"")</f>
        <v/>
      </c>
    </row>
    <row r="4243" customFormat="false" ht="15" hidden="false" customHeight="false" outlineLevel="0" collapsed="false">
      <c r="A4243" s="31" t="n">
        <v>42912.7083333333</v>
      </c>
      <c r="B4243" s="32" t="n">
        <v>199.263</v>
      </c>
      <c r="D4243" s="33" t="n">
        <f aca="false">WEEKDAY(A4243,2)</f>
        <v>1</v>
      </c>
      <c r="E4243" s="33" t="n">
        <f aca="false">HOUR(A4243)+MINUTE(A4243)/60</f>
        <v>17</v>
      </c>
      <c r="F4243" s="33" t="n">
        <f aca="false">IF(OR(D4243&gt;5,E4243&lt;8,E4243&gt;=18,COUNTIF($K$2:$K$10,INT(A4243))&gt;0),1,0)</f>
        <v>0</v>
      </c>
      <c r="G4243" s="34" t="n">
        <f aca="false">B4243/1</f>
        <v>199.263</v>
      </c>
      <c r="H4243" s="34" t="str">
        <f aca="false">IF(F4243=1,G4243,"")</f>
        <v/>
      </c>
    </row>
    <row r="4244" customFormat="false" ht="15" hidden="false" customHeight="false" outlineLevel="0" collapsed="false">
      <c r="A4244" s="31" t="n">
        <v>42912.75</v>
      </c>
      <c r="B4244" s="32" t="n">
        <v>186.852</v>
      </c>
      <c r="D4244" s="33" t="n">
        <f aca="false">WEEKDAY(A4244,2)</f>
        <v>1</v>
      </c>
      <c r="E4244" s="33" t="n">
        <f aca="false">HOUR(A4244)+MINUTE(A4244)/60</f>
        <v>18</v>
      </c>
      <c r="F4244" s="33" t="n">
        <f aca="false">IF(OR(D4244&gt;5,E4244&lt;8,E4244&gt;=18,COUNTIF($K$2:$K$10,INT(A4244))&gt;0),1,0)</f>
        <v>1</v>
      </c>
      <c r="G4244" s="34" t="n">
        <f aca="false">B4244/1</f>
        <v>186.852</v>
      </c>
      <c r="H4244" s="34" t="n">
        <f aca="false">IF(F4244=1,G4244,"")</f>
        <v>186.852</v>
      </c>
    </row>
    <row r="4245" customFormat="false" ht="15" hidden="false" customHeight="false" outlineLevel="0" collapsed="false">
      <c r="A4245" s="31" t="n">
        <v>42912.7916666667</v>
      </c>
      <c r="B4245" s="32" t="n">
        <v>177.956</v>
      </c>
      <c r="D4245" s="33" t="n">
        <f aca="false">WEEKDAY(A4245,2)</f>
        <v>1</v>
      </c>
      <c r="E4245" s="33" t="n">
        <f aca="false">HOUR(A4245)+MINUTE(A4245)/60</f>
        <v>19</v>
      </c>
      <c r="F4245" s="33" t="n">
        <f aca="false">IF(OR(D4245&gt;5,E4245&lt;8,E4245&gt;=18,COUNTIF($K$2:$K$10,INT(A4245))&gt;0),1,0)</f>
        <v>1</v>
      </c>
      <c r="G4245" s="34" t="n">
        <f aca="false">B4245/1</f>
        <v>177.956</v>
      </c>
      <c r="H4245" s="34" t="n">
        <f aca="false">IF(F4245=1,G4245,"")</f>
        <v>177.956</v>
      </c>
    </row>
    <row r="4246" customFormat="false" ht="15" hidden="false" customHeight="false" outlineLevel="0" collapsed="false">
      <c r="A4246" s="31" t="n">
        <v>42912.8333333333</v>
      </c>
      <c r="B4246" s="32" t="n">
        <v>175.248</v>
      </c>
      <c r="D4246" s="33" t="n">
        <f aca="false">WEEKDAY(A4246,2)</f>
        <v>1</v>
      </c>
      <c r="E4246" s="33" t="n">
        <f aca="false">HOUR(A4246)+MINUTE(A4246)/60</f>
        <v>20</v>
      </c>
      <c r="F4246" s="33" t="n">
        <f aca="false">IF(OR(D4246&gt;5,E4246&lt;8,E4246&gt;=18,COUNTIF($K$2:$K$10,INT(A4246))&gt;0),1,0)</f>
        <v>1</v>
      </c>
      <c r="G4246" s="34" t="n">
        <f aca="false">B4246/1</f>
        <v>175.248</v>
      </c>
      <c r="H4246" s="34" t="n">
        <f aca="false">IF(F4246=1,G4246,"")</f>
        <v>175.248</v>
      </c>
    </row>
    <row r="4247" customFormat="false" ht="15" hidden="false" customHeight="false" outlineLevel="0" collapsed="false">
      <c r="A4247" s="31" t="n">
        <v>42912.875</v>
      </c>
      <c r="B4247" s="32" t="n">
        <v>172.925</v>
      </c>
      <c r="D4247" s="33" t="n">
        <f aca="false">WEEKDAY(A4247,2)</f>
        <v>1</v>
      </c>
      <c r="E4247" s="33" t="n">
        <f aca="false">HOUR(A4247)+MINUTE(A4247)/60</f>
        <v>21</v>
      </c>
      <c r="F4247" s="33" t="n">
        <f aca="false">IF(OR(D4247&gt;5,E4247&lt;8,E4247&gt;=18,COUNTIF($K$2:$K$10,INT(A4247))&gt;0),1,0)</f>
        <v>1</v>
      </c>
      <c r="G4247" s="34" t="n">
        <f aca="false">B4247/1</f>
        <v>172.925</v>
      </c>
      <c r="H4247" s="34" t="n">
        <f aca="false">IF(F4247=1,G4247,"")</f>
        <v>172.925</v>
      </c>
    </row>
    <row r="4248" customFormat="false" ht="15" hidden="false" customHeight="false" outlineLevel="0" collapsed="false">
      <c r="A4248" s="31" t="n">
        <v>42912.9166666667</v>
      </c>
      <c r="B4248" s="32" t="n">
        <v>119.046</v>
      </c>
      <c r="D4248" s="33" t="n">
        <f aca="false">WEEKDAY(A4248,2)</f>
        <v>1</v>
      </c>
      <c r="E4248" s="33" t="n">
        <f aca="false">HOUR(A4248)+MINUTE(A4248)/60</f>
        <v>22</v>
      </c>
      <c r="F4248" s="33" t="n">
        <f aca="false">IF(OR(D4248&gt;5,E4248&lt;8,E4248&gt;=18,COUNTIF($K$2:$K$10,INT(A4248))&gt;0),1,0)</f>
        <v>1</v>
      </c>
      <c r="G4248" s="34" t="n">
        <f aca="false">B4248/1</f>
        <v>119.046</v>
      </c>
      <c r="H4248" s="34" t="n">
        <f aca="false">IF(F4248=1,G4248,"")</f>
        <v>119.046</v>
      </c>
    </row>
    <row r="4249" customFormat="false" ht="15" hidden="false" customHeight="false" outlineLevel="0" collapsed="false">
      <c r="A4249" s="31" t="n">
        <v>42912.9583333333</v>
      </c>
      <c r="B4249" s="32" t="n">
        <v>56.711</v>
      </c>
      <c r="D4249" s="33" t="n">
        <f aca="false">WEEKDAY(A4249,2)</f>
        <v>1</v>
      </c>
      <c r="E4249" s="33" t="n">
        <f aca="false">HOUR(A4249)+MINUTE(A4249)/60</f>
        <v>23</v>
      </c>
      <c r="F4249" s="33" t="n">
        <f aca="false">IF(OR(D4249&gt;5,E4249&lt;8,E4249&gt;=18,COUNTIF($K$2:$K$10,INT(A4249))&gt;0),1,0)</f>
        <v>1</v>
      </c>
      <c r="G4249" s="34" t="n">
        <f aca="false">B4249/1</f>
        <v>56.711</v>
      </c>
      <c r="H4249" s="34" t="n">
        <f aca="false">IF(F4249=1,G4249,"")</f>
        <v>56.711</v>
      </c>
    </row>
    <row r="4250" customFormat="false" ht="15" hidden="false" customHeight="false" outlineLevel="0" collapsed="false">
      <c r="A4250" s="31" t="n">
        <v>42913</v>
      </c>
      <c r="B4250" s="32" t="n">
        <v>54.176</v>
      </c>
      <c r="D4250" s="33" t="n">
        <f aca="false">WEEKDAY(A4250,2)</f>
        <v>2</v>
      </c>
      <c r="E4250" s="33" t="n">
        <f aca="false">HOUR(A4250)+MINUTE(A4250)/60</f>
        <v>0</v>
      </c>
      <c r="F4250" s="33" t="n">
        <f aca="false">IF(OR(D4250&gt;5,E4250&lt;8,E4250&gt;=18,COUNTIF($K$2:$K$10,INT(A4250))&gt;0),1,0)</f>
        <v>1</v>
      </c>
      <c r="G4250" s="34" t="n">
        <f aca="false">B4250/1</f>
        <v>54.176</v>
      </c>
      <c r="H4250" s="34" t="n">
        <f aca="false">IF(F4250=1,G4250,"")</f>
        <v>54.176</v>
      </c>
    </row>
    <row r="4251" customFormat="false" ht="15" hidden="false" customHeight="false" outlineLevel="0" collapsed="false">
      <c r="A4251" s="31" t="n">
        <v>42913.0416666667</v>
      </c>
      <c r="B4251" s="32" t="n">
        <v>50.951</v>
      </c>
      <c r="D4251" s="33" t="n">
        <f aca="false">WEEKDAY(A4251,2)</f>
        <v>2</v>
      </c>
      <c r="E4251" s="33" t="n">
        <f aca="false">HOUR(A4251)+MINUTE(A4251)/60</f>
        <v>1</v>
      </c>
      <c r="F4251" s="33" t="n">
        <f aca="false">IF(OR(D4251&gt;5,E4251&lt;8,E4251&gt;=18,COUNTIF($K$2:$K$10,INT(A4251))&gt;0),1,0)</f>
        <v>1</v>
      </c>
      <c r="G4251" s="34" t="n">
        <f aca="false">B4251/1</f>
        <v>50.951</v>
      </c>
      <c r="H4251" s="34" t="n">
        <f aca="false">IF(F4251=1,G4251,"")</f>
        <v>50.951</v>
      </c>
    </row>
    <row r="4252" customFormat="false" ht="15" hidden="false" customHeight="false" outlineLevel="0" collapsed="false">
      <c r="A4252" s="31" t="n">
        <v>42913.0833333333</v>
      </c>
      <c r="B4252" s="32" t="n">
        <v>51.483</v>
      </c>
      <c r="D4252" s="33" t="n">
        <f aca="false">WEEKDAY(A4252,2)</f>
        <v>2</v>
      </c>
      <c r="E4252" s="33" t="n">
        <f aca="false">HOUR(A4252)+MINUTE(A4252)/60</f>
        <v>2</v>
      </c>
      <c r="F4252" s="33" t="n">
        <f aca="false">IF(OR(D4252&gt;5,E4252&lt;8,E4252&gt;=18,COUNTIF($K$2:$K$10,INT(A4252))&gt;0),1,0)</f>
        <v>1</v>
      </c>
      <c r="G4252" s="34" t="n">
        <f aca="false">B4252/1</f>
        <v>51.483</v>
      </c>
      <c r="H4252" s="34" t="n">
        <f aca="false">IF(F4252=1,G4252,"")</f>
        <v>51.483</v>
      </c>
    </row>
    <row r="4253" customFormat="false" ht="15" hidden="false" customHeight="false" outlineLevel="0" collapsed="false">
      <c r="A4253" s="31" t="n">
        <v>42913.125</v>
      </c>
      <c r="B4253" s="32" t="n">
        <v>51.725</v>
      </c>
      <c r="D4253" s="33" t="n">
        <f aca="false">WEEKDAY(A4253,2)</f>
        <v>2</v>
      </c>
      <c r="E4253" s="33" t="n">
        <f aca="false">HOUR(A4253)+MINUTE(A4253)/60</f>
        <v>3</v>
      </c>
      <c r="F4253" s="33" t="n">
        <f aca="false">IF(OR(D4253&gt;5,E4253&lt;8,E4253&gt;=18,COUNTIF($K$2:$K$10,INT(A4253))&gt;0),1,0)</f>
        <v>1</v>
      </c>
      <c r="G4253" s="34" t="n">
        <f aca="false">B4253/1</f>
        <v>51.725</v>
      </c>
      <c r="H4253" s="34" t="n">
        <f aca="false">IF(F4253=1,G4253,"")</f>
        <v>51.725</v>
      </c>
    </row>
    <row r="4254" customFormat="false" ht="15" hidden="false" customHeight="false" outlineLevel="0" collapsed="false">
      <c r="A4254" s="31" t="n">
        <v>42913.1666666667</v>
      </c>
      <c r="B4254" s="32" t="n">
        <v>51.852</v>
      </c>
      <c r="D4254" s="33" t="n">
        <f aca="false">WEEKDAY(A4254,2)</f>
        <v>2</v>
      </c>
      <c r="E4254" s="33" t="n">
        <f aca="false">HOUR(A4254)+MINUTE(A4254)/60</f>
        <v>4</v>
      </c>
      <c r="F4254" s="33" t="n">
        <f aca="false">IF(OR(D4254&gt;5,E4254&lt;8,E4254&gt;=18,COUNTIF($K$2:$K$10,INT(A4254))&gt;0),1,0)</f>
        <v>1</v>
      </c>
      <c r="G4254" s="34" t="n">
        <f aca="false">B4254/1</f>
        <v>51.852</v>
      </c>
      <c r="H4254" s="34" t="n">
        <f aca="false">IF(F4254=1,G4254,"")</f>
        <v>51.852</v>
      </c>
    </row>
    <row r="4255" customFormat="false" ht="15" hidden="false" customHeight="false" outlineLevel="0" collapsed="false">
      <c r="A4255" s="31" t="n">
        <v>42913.2083333333</v>
      </c>
      <c r="B4255" s="32" t="n">
        <v>51.957</v>
      </c>
      <c r="D4255" s="33" t="n">
        <f aca="false">WEEKDAY(A4255,2)</f>
        <v>2</v>
      </c>
      <c r="E4255" s="33" t="n">
        <f aca="false">HOUR(A4255)+MINUTE(A4255)/60</f>
        <v>5</v>
      </c>
      <c r="F4255" s="33" t="n">
        <f aca="false">IF(OR(D4255&gt;5,E4255&lt;8,E4255&gt;=18,COUNTIF($K$2:$K$10,INT(A4255))&gt;0),1,0)</f>
        <v>1</v>
      </c>
      <c r="G4255" s="34" t="n">
        <f aca="false">B4255/1</f>
        <v>51.957</v>
      </c>
      <c r="H4255" s="34" t="n">
        <f aca="false">IF(F4255=1,G4255,"")</f>
        <v>51.957</v>
      </c>
    </row>
    <row r="4256" customFormat="false" ht="15" hidden="false" customHeight="false" outlineLevel="0" collapsed="false">
      <c r="A4256" s="31" t="n">
        <v>42913.25</v>
      </c>
      <c r="B4256" s="32" t="n">
        <v>52.377</v>
      </c>
      <c r="D4256" s="33" t="n">
        <f aca="false">WEEKDAY(A4256,2)</f>
        <v>2</v>
      </c>
      <c r="E4256" s="33" t="n">
        <f aca="false">HOUR(A4256)+MINUTE(A4256)/60</f>
        <v>6</v>
      </c>
      <c r="F4256" s="33" t="n">
        <f aca="false">IF(OR(D4256&gt;5,E4256&lt;8,E4256&gt;=18,COUNTIF($K$2:$K$10,INT(A4256))&gt;0),1,0)</f>
        <v>1</v>
      </c>
      <c r="G4256" s="34" t="n">
        <f aca="false">B4256/1</f>
        <v>52.377</v>
      </c>
      <c r="H4256" s="34" t="n">
        <f aca="false">IF(F4256=1,G4256,"")</f>
        <v>52.377</v>
      </c>
    </row>
    <row r="4257" customFormat="false" ht="15" hidden="false" customHeight="false" outlineLevel="0" collapsed="false">
      <c r="A4257" s="31" t="n">
        <v>42913.2916666667</v>
      </c>
      <c r="B4257" s="32" t="n">
        <v>53.175</v>
      </c>
      <c r="D4257" s="33" t="n">
        <f aca="false">WEEKDAY(A4257,2)</f>
        <v>2</v>
      </c>
      <c r="E4257" s="33" t="n">
        <f aca="false">HOUR(A4257)+MINUTE(A4257)/60</f>
        <v>7</v>
      </c>
      <c r="F4257" s="33" t="n">
        <f aca="false">IF(OR(D4257&gt;5,E4257&lt;8,E4257&gt;=18,COUNTIF($K$2:$K$10,INT(A4257))&gt;0),1,0)</f>
        <v>1</v>
      </c>
      <c r="G4257" s="34" t="n">
        <f aca="false">B4257/1</f>
        <v>53.175</v>
      </c>
      <c r="H4257" s="34" t="n">
        <f aca="false">IF(F4257=1,G4257,"")</f>
        <v>53.175</v>
      </c>
    </row>
    <row r="4258" customFormat="false" ht="15" hidden="false" customHeight="false" outlineLevel="0" collapsed="false">
      <c r="A4258" s="31" t="n">
        <v>42913.3333333333</v>
      </c>
      <c r="B4258" s="32" t="n">
        <v>167.238</v>
      </c>
      <c r="D4258" s="33" t="n">
        <f aca="false">WEEKDAY(A4258,2)</f>
        <v>2</v>
      </c>
      <c r="E4258" s="33" t="n">
        <f aca="false">HOUR(A4258)+MINUTE(A4258)/60</f>
        <v>8</v>
      </c>
      <c r="F4258" s="33" t="n">
        <f aca="false">IF(OR(D4258&gt;5,E4258&lt;8,E4258&gt;=18,COUNTIF($K$2:$K$10,INT(A4258))&gt;0),1,0)</f>
        <v>0</v>
      </c>
      <c r="G4258" s="34" t="n">
        <f aca="false">B4258/1</f>
        <v>167.238</v>
      </c>
      <c r="H4258" s="34" t="str">
        <f aca="false">IF(F4258=1,G4258,"")</f>
        <v/>
      </c>
    </row>
    <row r="4259" customFormat="false" ht="15" hidden="false" customHeight="false" outlineLevel="0" collapsed="false">
      <c r="A4259" s="31" t="n">
        <v>42913.375</v>
      </c>
      <c r="B4259" s="32" t="n">
        <v>196.317</v>
      </c>
      <c r="D4259" s="33" t="n">
        <f aca="false">WEEKDAY(A4259,2)</f>
        <v>2</v>
      </c>
      <c r="E4259" s="33" t="n">
        <f aca="false">HOUR(A4259)+MINUTE(A4259)/60</f>
        <v>9</v>
      </c>
      <c r="F4259" s="33" t="n">
        <f aca="false">IF(OR(D4259&gt;5,E4259&lt;8,E4259&gt;=18,COUNTIF($K$2:$K$10,INT(A4259))&gt;0),1,0)</f>
        <v>0</v>
      </c>
      <c r="G4259" s="34" t="n">
        <f aca="false">B4259/1</f>
        <v>196.317</v>
      </c>
      <c r="H4259" s="34" t="str">
        <f aca="false">IF(F4259=1,G4259,"")</f>
        <v/>
      </c>
    </row>
    <row r="4260" customFormat="false" ht="15" hidden="false" customHeight="false" outlineLevel="0" collapsed="false">
      <c r="A4260" s="31" t="n">
        <v>42913.4166666667</v>
      </c>
      <c r="B4260" s="32" t="n">
        <v>212.324</v>
      </c>
      <c r="D4260" s="33" t="n">
        <f aca="false">WEEKDAY(A4260,2)</f>
        <v>2</v>
      </c>
      <c r="E4260" s="33" t="n">
        <f aca="false">HOUR(A4260)+MINUTE(A4260)/60</f>
        <v>10</v>
      </c>
      <c r="F4260" s="33" t="n">
        <f aca="false">IF(OR(D4260&gt;5,E4260&lt;8,E4260&gt;=18,COUNTIF($K$2:$K$10,INT(A4260))&gt;0),1,0)</f>
        <v>0</v>
      </c>
      <c r="G4260" s="34" t="n">
        <f aca="false">B4260/1</f>
        <v>212.324</v>
      </c>
      <c r="H4260" s="34" t="str">
        <f aca="false">IF(F4260=1,G4260,"")</f>
        <v/>
      </c>
    </row>
    <row r="4261" customFormat="false" ht="15" hidden="false" customHeight="false" outlineLevel="0" collapsed="false">
      <c r="A4261" s="31" t="n">
        <v>42913.4583333333</v>
      </c>
      <c r="B4261" s="32" t="n">
        <v>213.615</v>
      </c>
      <c r="D4261" s="33" t="n">
        <f aca="false">WEEKDAY(A4261,2)</f>
        <v>2</v>
      </c>
      <c r="E4261" s="33" t="n">
        <f aca="false">HOUR(A4261)+MINUTE(A4261)/60</f>
        <v>11</v>
      </c>
      <c r="F4261" s="33" t="n">
        <f aca="false">IF(OR(D4261&gt;5,E4261&lt;8,E4261&gt;=18,COUNTIF($K$2:$K$10,INT(A4261))&gt;0),1,0)</f>
        <v>0</v>
      </c>
      <c r="G4261" s="34" t="n">
        <f aca="false">B4261/1</f>
        <v>213.615</v>
      </c>
      <c r="H4261" s="34" t="str">
        <f aca="false">IF(F4261=1,G4261,"")</f>
        <v/>
      </c>
    </row>
    <row r="4262" customFormat="false" ht="15" hidden="false" customHeight="false" outlineLevel="0" collapsed="false">
      <c r="A4262" s="31" t="n">
        <v>42913.5</v>
      </c>
      <c r="B4262" s="32" t="n">
        <v>221.061</v>
      </c>
      <c r="D4262" s="33" t="n">
        <f aca="false">WEEKDAY(A4262,2)</f>
        <v>2</v>
      </c>
      <c r="E4262" s="33" t="n">
        <f aca="false">HOUR(A4262)+MINUTE(A4262)/60</f>
        <v>12</v>
      </c>
      <c r="F4262" s="33" t="n">
        <f aca="false">IF(OR(D4262&gt;5,E4262&lt;8,E4262&gt;=18,COUNTIF($K$2:$K$10,INT(A4262))&gt;0),1,0)</f>
        <v>0</v>
      </c>
      <c r="G4262" s="34" t="n">
        <f aca="false">B4262/1</f>
        <v>221.061</v>
      </c>
      <c r="H4262" s="34" t="str">
        <f aca="false">IF(F4262=1,G4262,"")</f>
        <v/>
      </c>
    </row>
    <row r="4263" customFormat="false" ht="15" hidden="false" customHeight="false" outlineLevel="0" collapsed="false">
      <c r="A4263" s="31" t="n">
        <v>42913.5416666667</v>
      </c>
      <c r="B4263" s="32" t="n">
        <v>211.98</v>
      </c>
      <c r="D4263" s="33" t="n">
        <f aca="false">WEEKDAY(A4263,2)</f>
        <v>2</v>
      </c>
      <c r="E4263" s="33" t="n">
        <f aca="false">HOUR(A4263)+MINUTE(A4263)/60</f>
        <v>13</v>
      </c>
      <c r="F4263" s="33" t="n">
        <f aca="false">IF(OR(D4263&gt;5,E4263&lt;8,E4263&gt;=18,COUNTIF($K$2:$K$10,INT(A4263))&gt;0),1,0)</f>
        <v>0</v>
      </c>
      <c r="G4263" s="34" t="n">
        <f aca="false">B4263/1</f>
        <v>211.98</v>
      </c>
      <c r="H4263" s="34" t="str">
        <f aca="false">IF(F4263=1,G4263,"")</f>
        <v/>
      </c>
    </row>
    <row r="4264" customFormat="false" ht="15" hidden="false" customHeight="false" outlineLevel="0" collapsed="false">
      <c r="A4264" s="31" t="n">
        <v>42913.5833333333</v>
      </c>
      <c r="B4264" s="32" t="n">
        <v>210.101</v>
      </c>
      <c r="D4264" s="33" t="n">
        <f aca="false">WEEKDAY(A4264,2)</f>
        <v>2</v>
      </c>
      <c r="E4264" s="33" t="n">
        <f aca="false">HOUR(A4264)+MINUTE(A4264)/60</f>
        <v>14</v>
      </c>
      <c r="F4264" s="33" t="n">
        <f aca="false">IF(OR(D4264&gt;5,E4264&lt;8,E4264&gt;=18,COUNTIF($K$2:$K$10,INT(A4264))&gt;0),1,0)</f>
        <v>0</v>
      </c>
      <c r="G4264" s="34" t="n">
        <f aca="false">B4264/1</f>
        <v>210.101</v>
      </c>
      <c r="H4264" s="34" t="str">
        <f aca="false">IF(F4264=1,G4264,"")</f>
        <v/>
      </c>
    </row>
    <row r="4265" customFormat="false" ht="15" hidden="false" customHeight="false" outlineLevel="0" collapsed="false">
      <c r="A4265" s="31" t="n">
        <v>42913.625</v>
      </c>
      <c r="B4265" s="32" t="n">
        <v>208.442</v>
      </c>
      <c r="D4265" s="33" t="n">
        <f aca="false">WEEKDAY(A4265,2)</f>
        <v>2</v>
      </c>
      <c r="E4265" s="33" t="n">
        <f aca="false">HOUR(A4265)+MINUTE(A4265)/60</f>
        <v>15</v>
      </c>
      <c r="F4265" s="33" t="n">
        <f aca="false">IF(OR(D4265&gt;5,E4265&lt;8,E4265&gt;=18,COUNTIF($K$2:$K$10,INT(A4265))&gt;0),1,0)</f>
        <v>0</v>
      </c>
      <c r="G4265" s="34" t="n">
        <f aca="false">B4265/1</f>
        <v>208.442</v>
      </c>
      <c r="H4265" s="34" t="str">
        <f aca="false">IF(F4265=1,G4265,"")</f>
        <v/>
      </c>
    </row>
    <row r="4266" customFormat="false" ht="15" hidden="false" customHeight="false" outlineLevel="0" collapsed="false">
      <c r="A4266" s="31" t="n">
        <v>42913.6666666667</v>
      </c>
      <c r="B4266" s="32" t="n">
        <v>203.978</v>
      </c>
      <c r="D4266" s="33" t="n">
        <f aca="false">WEEKDAY(A4266,2)</f>
        <v>2</v>
      </c>
      <c r="E4266" s="33" t="n">
        <f aca="false">HOUR(A4266)+MINUTE(A4266)/60</f>
        <v>16</v>
      </c>
      <c r="F4266" s="33" t="n">
        <f aca="false">IF(OR(D4266&gt;5,E4266&lt;8,E4266&gt;=18,COUNTIF($K$2:$K$10,INT(A4266))&gt;0),1,0)</f>
        <v>0</v>
      </c>
      <c r="G4266" s="34" t="n">
        <f aca="false">B4266/1</f>
        <v>203.978</v>
      </c>
      <c r="H4266" s="34" t="str">
        <f aca="false">IF(F4266=1,G4266,"")</f>
        <v/>
      </c>
    </row>
    <row r="4267" customFormat="false" ht="15" hidden="false" customHeight="false" outlineLevel="0" collapsed="false">
      <c r="A4267" s="31" t="n">
        <v>42913.7083333333</v>
      </c>
      <c r="B4267" s="32" t="n">
        <v>193.944</v>
      </c>
      <c r="D4267" s="33" t="n">
        <f aca="false">WEEKDAY(A4267,2)</f>
        <v>2</v>
      </c>
      <c r="E4267" s="33" t="n">
        <f aca="false">HOUR(A4267)+MINUTE(A4267)/60</f>
        <v>17</v>
      </c>
      <c r="F4267" s="33" t="n">
        <f aca="false">IF(OR(D4267&gt;5,E4267&lt;8,E4267&gt;=18,COUNTIF($K$2:$K$10,INT(A4267))&gt;0),1,0)</f>
        <v>0</v>
      </c>
      <c r="G4267" s="34" t="n">
        <f aca="false">B4267/1</f>
        <v>193.944</v>
      </c>
      <c r="H4267" s="34" t="str">
        <f aca="false">IF(F4267=1,G4267,"")</f>
        <v/>
      </c>
    </row>
    <row r="4268" customFormat="false" ht="15" hidden="false" customHeight="false" outlineLevel="0" collapsed="false">
      <c r="A4268" s="31" t="n">
        <v>42913.75</v>
      </c>
      <c r="B4268" s="32" t="n">
        <v>185.716</v>
      </c>
      <c r="D4268" s="33" t="n">
        <f aca="false">WEEKDAY(A4268,2)</f>
        <v>2</v>
      </c>
      <c r="E4268" s="33" t="n">
        <f aca="false">HOUR(A4268)+MINUTE(A4268)/60</f>
        <v>18</v>
      </c>
      <c r="F4268" s="33" t="n">
        <f aca="false">IF(OR(D4268&gt;5,E4268&lt;8,E4268&gt;=18,COUNTIF($K$2:$K$10,INT(A4268))&gt;0),1,0)</f>
        <v>1</v>
      </c>
      <c r="G4268" s="34" t="n">
        <f aca="false">B4268/1</f>
        <v>185.716</v>
      </c>
      <c r="H4268" s="34" t="n">
        <f aca="false">IF(F4268=1,G4268,"")</f>
        <v>185.716</v>
      </c>
    </row>
    <row r="4269" customFormat="false" ht="15" hidden="false" customHeight="false" outlineLevel="0" collapsed="false">
      <c r="A4269" s="31" t="n">
        <v>42913.7916666667</v>
      </c>
      <c r="B4269" s="32" t="n">
        <v>178.615</v>
      </c>
      <c r="D4269" s="33" t="n">
        <f aca="false">WEEKDAY(A4269,2)</f>
        <v>2</v>
      </c>
      <c r="E4269" s="33" t="n">
        <f aca="false">HOUR(A4269)+MINUTE(A4269)/60</f>
        <v>19</v>
      </c>
      <c r="F4269" s="33" t="n">
        <f aca="false">IF(OR(D4269&gt;5,E4269&lt;8,E4269&gt;=18,COUNTIF($K$2:$K$10,INT(A4269))&gt;0),1,0)</f>
        <v>1</v>
      </c>
      <c r="G4269" s="34" t="n">
        <f aca="false">B4269/1</f>
        <v>178.615</v>
      </c>
      <c r="H4269" s="34" t="n">
        <f aca="false">IF(F4269=1,G4269,"")</f>
        <v>178.615</v>
      </c>
    </row>
    <row r="4270" customFormat="false" ht="15" hidden="false" customHeight="false" outlineLevel="0" collapsed="false">
      <c r="A4270" s="31" t="n">
        <v>42913.8333333333</v>
      </c>
      <c r="B4270" s="32" t="n">
        <v>171.231</v>
      </c>
      <c r="D4270" s="33" t="n">
        <f aca="false">WEEKDAY(A4270,2)</f>
        <v>2</v>
      </c>
      <c r="E4270" s="33" t="n">
        <f aca="false">HOUR(A4270)+MINUTE(A4270)/60</f>
        <v>20</v>
      </c>
      <c r="F4270" s="33" t="n">
        <f aca="false">IF(OR(D4270&gt;5,E4270&lt;8,E4270&gt;=18,COUNTIF($K$2:$K$10,INT(A4270))&gt;0),1,0)</f>
        <v>1</v>
      </c>
      <c r="G4270" s="34" t="n">
        <f aca="false">B4270/1</f>
        <v>171.231</v>
      </c>
      <c r="H4270" s="34" t="n">
        <f aca="false">IF(F4270=1,G4270,"")</f>
        <v>171.231</v>
      </c>
    </row>
    <row r="4271" customFormat="false" ht="15" hidden="false" customHeight="false" outlineLevel="0" collapsed="false">
      <c r="A4271" s="31" t="n">
        <v>42913.875</v>
      </c>
      <c r="B4271" s="32" t="n">
        <v>169.029</v>
      </c>
      <c r="D4271" s="33" t="n">
        <f aca="false">WEEKDAY(A4271,2)</f>
        <v>2</v>
      </c>
      <c r="E4271" s="33" t="n">
        <f aca="false">HOUR(A4271)+MINUTE(A4271)/60</f>
        <v>21</v>
      </c>
      <c r="F4271" s="33" t="n">
        <f aca="false">IF(OR(D4271&gt;5,E4271&lt;8,E4271&gt;=18,COUNTIF($K$2:$K$10,INT(A4271))&gt;0),1,0)</f>
        <v>1</v>
      </c>
      <c r="G4271" s="34" t="n">
        <f aca="false">B4271/1</f>
        <v>169.029</v>
      </c>
      <c r="H4271" s="34" t="n">
        <f aca="false">IF(F4271=1,G4271,"")</f>
        <v>169.029</v>
      </c>
    </row>
    <row r="4272" customFormat="false" ht="15" hidden="false" customHeight="false" outlineLevel="0" collapsed="false">
      <c r="A4272" s="31" t="n">
        <v>42913.9166666667</v>
      </c>
      <c r="B4272" s="32" t="n">
        <v>113.974</v>
      </c>
      <c r="D4272" s="33" t="n">
        <f aca="false">WEEKDAY(A4272,2)</f>
        <v>2</v>
      </c>
      <c r="E4272" s="33" t="n">
        <f aca="false">HOUR(A4272)+MINUTE(A4272)/60</f>
        <v>22</v>
      </c>
      <c r="F4272" s="33" t="n">
        <f aca="false">IF(OR(D4272&gt;5,E4272&lt;8,E4272&gt;=18,COUNTIF($K$2:$K$10,INT(A4272))&gt;0),1,0)</f>
        <v>1</v>
      </c>
      <c r="G4272" s="34" t="n">
        <f aca="false">B4272/1</f>
        <v>113.974</v>
      </c>
      <c r="H4272" s="34" t="n">
        <f aca="false">IF(F4272=1,G4272,"")</f>
        <v>113.974</v>
      </c>
    </row>
    <row r="4273" customFormat="false" ht="15" hidden="false" customHeight="false" outlineLevel="0" collapsed="false">
      <c r="A4273" s="31" t="n">
        <v>42913.9583333333</v>
      </c>
      <c r="B4273" s="32" t="n">
        <v>55.461</v>
      </c>
      <c r="D4273" s="33" t="n">
        <f aca="false">WEEKDAY(A4273,2)</f>
        <v>2</v>
      </c>
      <c r="E4273" s="33" t="n">
        <f aca="false">HOUR(A4273)+MINUTE(A4273)/60</f>
        <v>23</v>
      </c>
      <c r="F4273" s="33" t="n">
        <f aca="false">IF(OR(D4273&gt;5,E4273&lt;8,E4273&gt;=18,COUNTIF($K$2:$K$10,INT(A4273))&gt;0),1,0)</f>
        <v>1</v>
      </c>
      <c r="G4273" s="34" t="n">
        <f aca="false">B4273/1</f>
        <v>55.461</v>
      </c>
      <c r="H4273" s="34" t="n">
        <f aca="false">IF(F4273=1,G4273,"")</f>
        <v>55.461</v>
      </c>
    </row>
    <row r="4274" customFormat="false" ht="15" hidden="false" customHeight="false" outlineLevel="0" collapsed="false">
      <c r="A4274" s="31" t="n">
        <v>42914</v>
      </c>
      <c r="B4274" s="32" t="n">
        <v>58.117</v>
      </c>
      <c r="D4274" s="33" t="n">
        <f aca="false">WEEKDAY(A4274,2)</f>
        <v>3</v>
      </c>
      <c r="E4274" s="33" t="n">
        <f aca="false">HOUR(A4274)+MINUTE(A4274)/60</f>
        <v>0</v>
      </c>
      <c r="F4274" s="33" t="n">
        <f aca="false">IF(OR(D4274&gt;5,E4274&lt;8,E4274&gt;=18,COUNTIF($K$2:$K$10,INT(A4274))&gt;0),1,0)</f>
        <v>1</v>
      </c>
      <c r="G4274" s="34" t="n">
        <f aca="false">B4274/1</f>
        <v>58.117</v>
      </c>
      <c r="H4274" s="34" t="n">
        <f aca="false">IF(F4274=1,G4274,"")</f>
        <v>58.117</v>
      </c>
    </row>
    <row r="4275" customFormat="false" ht="15" hidden="false" customHeight="false" outlineLevel="0" collapsed="false">
      <c r="A4275" s="31" t="n">
        <v>42914.0416666667</v>
      </c>
      <c r="B4275" s="32" t="n">
        <v>57.339</v>
      </c>
      <c r="D4275" s="33" t="n">
        <f aca="false">WEEKDAY(A4275,2)</f>
        <v>3</v>
      </c>
      <c r="E4275" s="33" t="n">
        <f aca="false">HOUR(A4275)+MINUTE(A4275)/60</f>
        <v>1</v>
      </c>
      <c r="F4275" s="33" t="n">
        <f aca="false">IF(OR(D4275&gt;5,E4275&lt;8,E4275&gt;=18,COUNTIF($K$2:$K$10,INT(A4275))&gt;0),1,0)</f>
        <v>1</v>
      </c>
      <c r="G4275" s="34" t="n">
        <f aca="false">B4275/1</f>
        <v>57.339</v>
      </c>
      <c r="H4275" s="34" t="n">
        <f aca="false">IF(F4275=1,G4275,"")</f>
        <v>57.339</v>
      </c>
    </row>
    <row r="4276" customFormat="false" ht="15" hidden="false" customHeight="false" outlineLevel="0" collapsed="false">
      <c r="A4276" s="31" t="n">
        <v>42914.0833333333</v>
      </c>
      <c r="B4276" s="32" t="n">
        <v>57.174</v>
      </c>
      <c r="D4276" s="33" t="n">
        <f aca="false">WEEKDAY(A4276,2)</f>
        <v>3</v>
      </c>
      <c r="E4276" s="33" t="n">
        <f aca="false">HOUR(A4276)+MINUTE(A4276)/60</f>
        <v>2</v>
      </c>
      <c r="F4276" s="33" t="n">
        <f aca="false">IF(OR(D4276&gt;5,E4276&lt;8,E4276&gt;=18,COUNTIF($K$2:$K$10,INT(A4276))&gt;0),1,0)</f>
        <v>1</v>
      </c>
      <c r="G4276" s="34" t="n">
        <f aca="false">B4276/1</f>
        <v>57.174</v>
      </c>
      <c r="H4276" s="34" t="n">
        <f aca="false">IF(F4276=1,G4276,"")</f>
        <v>57.174</v>
      </c>
    </row>
    <row r="4277" customFormat="false" ht="15" hidden="false" customHeight="false" outlineLevel="0" collapsed="false">
      <c r="A4277" s="31" t="n">
        <v>42914.125</v>
      </c>
      <c r="B4277" s="32" t="n">
        <v>57.016</v>
      </c>
      <c r="D4277" s="33" t="n">
        <f aca="false">WEEKDAY(A4277,2)</f>
        <v>3</v>
      </c>
      <c r="E4277" s="33" t="n">
        <f aca="false">HOUR(A4277)+MINUTE(A4277)/60</f>
        <v>3</v>
      </c>
      <c r="F4277" s="33" t="n">
        <f aca="false">IF(OR(D4277&gt;5,E4277&lt;8,E4277&gt;=18,COUNTIF($K$2:$K$10,INT(A4277))&gt;0),1,0)</f>
        <v>1</v>
      </c>
      <c r="G4277" s="34" t="n">
        <f aca="false">B4277/1</f>
        <v>57.016</v>
      </c>
      <c r="H4277" s="34" t="n">
        <f aca="false">IF(F4277=1,G4277,"")</f>
        <v>57.016</v>
      </c>
    </row>
    <row r="4278" customFormat="false" ht="15" hidden="false" customHeight="false" outlineLevel="0" collapsed="false">
      <c r="A4278" s="31" t="n">
        <v>42914.1666666667</v>
      </c>
      <c r="B4278" s="32" t="n">
        <v>55.996</v>
      </c>
      <c r="D4278" s="33" t="n">
        <f aca="false">WEEKDAY(A4278,2)</f>
        <v>3</v>
      </c>
      <c r="E4278" s="33" t="n">
        <f aca="false">HOUR(A4278)+MINUTE(A4278)/60</f>
        <v>4</v>
      </c>
      <c r="F4278" s="33" t="n">
        <f aca="false">IF(OR(D4278&gt;5,E4278&lt;8,E4278&gt;=18,COUNTIF($K$2:$K$10,INT(A4278))&gt;0),1,0)</f>
        <v>1</v>
      </c>
      <c r="G4278" s="34" t="n">
        <f aca="false">B4278/1</f>
        <v>55.996</v>
      </c>
      <c r="H4278" s="34" t="n">
        <f aca="false">IF(F4278=1,G4278,"")</f>
        <v>55.996</v>
      </c>
    </row>
    <row r="4279" customFormat="false" ht="15" hidden="false" customHeight="false" outlineLevel="0" collapsed="false">
      <c r="A4279" s="31" t="n">
        <v>42914.2083333333</v>
      </c>
      <c r="B4279" s="32" t="n">
        <v>53.303</v>
      </c>
      <c r="D4279" s="33" t="n">
        <f aca="false">WEEKDAY(A4279,2)</f>
        <v>3</v>
      </c>
      <c r="E4279" s="33" t="n">
        <f aca="false">HOUR(A4279)+MINUTE(A4279)/60</f>
        <v>5</v>
      </c>
      <c r="F4279" s="33" t="n">
        <f aca="false">IF(OR(D4279&gt;5,E4279&lt;8,E4279&gt;=18,COUNTIF($K$2:$K$10,INT(A4279))&gt;0),1,0)</f>
        <v>1</v>
      </c>
      <c r="G4279" s="34" t="n">
        <f aca="false">B4279/1</f>
        <v>53.303</v>
      </c>
      <c r="H4279" s="34" t="n">
        <f aca="false">IF(F4279=1,G4279,"")</f>
        <v>53.303</v>
      </c>
    </row>
    <row r="4280" customFormat="false" ht="15" hidden="false" customHeight="false" outlineLevel="0" collapsed="false">
      <c r="A4280" s="31" t="n">
        <v>42914.25</v>
      </c>
      <c r="B4280" s="32" t="n">
        <v>56.529</v>
      </c>
      <c r="D4280" s="33" t="n">
        <f aca="false">WEEKDAY(A4280,2)</f>
        <v>3</v>
      </c>
      <c r="E4280" s="33" t="n">
        <f aca="false">HOUR(A4280)+MINUTE(A4280)/60</f>
        <v>6</v>
      </c>
      <c r="F4280" s="33" t="n">
        <f aca="false">IF(OR(D4280&gt;5,E4280&lt;8,E4280&gt;=18,COUNTIF($K$2:$K$10,INT(A4280))&gt;0),1,0)</f>
        <v>1</v>
      </c>
      <c r="G4280" s="34" t="n">
        <f aca="false">B4280/1</f>
        <v>56.529</v>
      </c>
      <c r="H4280" s="34" t="n">
        <f aca="false">IF(F4280=1,G4280,"")</f>
        <v>56.529</v>
      </c>
    </row>
    <row r="4281" customFormat="false" ht="15" hidden="false" customHeight="false" outlineLevel="0" collapsed="false">
      <c r="A4281" s="31" t="n">
        <v>42914.2916666667</v>
      </c>
      <c r="B4281" s="32" t="n">
        <v>57.894</v>
      </c>
      <c r="D4281" s="33" t="n">
        <f aca="false">WEEKDAY(A4281,2)</f>
        <v>3</v>
      </c>
      <c r="E4281" s="33" t="n">
        <f aca="false">HOUR(A4281)+MINUTE(A4281)/60</f>
        <v>7</v>
      </c>
      <c r="F4281" s="33" t="n">
        <f aca="false">IF(OR(D4281&gt;5,E4281&lt;8,E4281&gt;=18,COUNTIF($K$2:$K$10,INT(A4281))&gt;0),1,0)</f>
        <v>1</v>
      </c>
      <c r="G4281" s="34" t="n">
        <f aca="false">B4281/1</f>
        <v>57.894</v>
      </c>
      <c r="H4281" s="34" t="n">
        <f aca="false">IF(F4281=1,G4281,"")</f>
        <v>57.894</v>
      </c>
    </row>
    <row r="4282" customFormat="false" ht="15" hidden="false" customHeight="false" outlineLevel="0" collapsed="false">
      <c r="A4282" s="31" t="n">
        <v>42914.3333333333</v>
      </c>
      <c r="B4282" s="32" t="n">
        <v>168.125</v>
      </c>
      <c r="D4282" s="33" t="n">
        <f aca="false">WEEKDAY(A4282,2)</f>
        <v>3</v>
      </c>
      <c r="E4282" s="33" t="n">
        <f aca="false">HOUR(A4282)+MINUTE(A4282)/60</f>
        <v>8</v>
      </c>
      <c r="F4282" s="33" t="n">
        <f aca="false">IF(OR(D4282&gt;5,E4282&lt;8,E4282&gt;=18,COUNTIF($K$2:$K$10,INT(A4282))&gt;0),1,0)</f>
        <v>0</v>
      </c>
      <c r="G4282" s="34" t="n">
        <f aca="false">B4282/1</f>
        <v>168.125</v>
      </c>
      <c r="H4282" s="34" t="str">
        <f aca="false">IF(F4282=1,G4282,"")</f>
        <v/>
      </c>
    </row>
    <row r="4283" customFormat="false" ht="15" hidden="false" customHeight="false" outlineLevel="0" collapsed="false">
      <c r="A4283" s="31" t="n">
        <v>42914.375</v>
      </c>
      <c r="B4283" s="32" t="n">
        <v>205.69</v>
      </c>
      <c r="D4283" s="33" t="n">
        <f aca="false">WEEKDAY(A4283,2)</f>
        <v>3</v>
      </c>
      <c r="E4283" s="33" t="n">
        <f aca="false">HOUR(A4283)+MINUTE(A4283)/60</f>
        <v>9</v>
      </c>
      <c r="F4283" s="33" t="n">
        <f aca="false">IF(OR(D4283&gt;5,E4283&lt;8,E4283&gt;=18,COUNTIF($K$2:$K$10,INT(A4283))&gt;0),1,0)</f>
        <v>0</v>
      </c>
      <c r="G4283" s="34" t="n">
        <f aca="false">B4283/1</f>
        <v>205.69</v>
      </c>
      <c r="H4283" s="34" t="str">
        <f aca="false">IF(F4283=1,G4283,"")</f>
        <v/>
      </c>
    </row>
    <row r="4284" customFormat="false" ht="15" hidden="false" customHeight="false" outlineLevel="0" collapsed="false">
      <c r="A4284" s="31" t="n">
        <v>42914.4166666667</v>
      </c>
      <c r="B4284" s="32" t="n">
        <v>216.244</v>
      </c>
      <c r="D4284" s="33" t="n">
        <f aca="false">WEEKDAY(A4284,2)</f>
        <v>3</v>
      </c>
      <c r="E4284" s="33" t="n">
        <f aca="false">HOUR(A4284)+MINUTE(A4284)/60</f>
        <v>10</v>
      </c>
      <c r="F4284" s="33" t="n">
        <f aca="false">IF(OR(D4284&gt;5,E4284&lt;8,E4284&gt;=18,COUNTIF($K$2:$K$10,INT(A4284))&gt;0),1,0)</f>
        <v>0</v>
      </c>
      <c r="G4284" s="34" t="n">
        <f aca="false">B4284/1</f>
        <v>216.244</v>
      </c>
      <c r="H4284" s="34" t="str">
        <f aca="false">IF(F4284=1,G4284,"")</f>
        <v/>
      </c>
    </row>
    <row r="4285" customFormat="false" ht="15" hidden="false" customHeight="false" outlineLevel="0" collapsed="false">
      <c r="A4285" s="31" t="n">
        <v>42914.4583333333</v>
      </c>
      <c r="B4285" s="32" t="n">
        <v>221.981</v>
      </c>
      <c r="D4285" s="33" t="n">
        <f aca="false">WEEKDAY(A4285,2)</f>
        <v>3</v>
      </c>
      <c r="E4285" s="33" t="n">
        <f aca="false">HOUR(A4285)+MINUTE(A4285)/60</f>
        <v>11</v>
      </c>
      <c r="F4285" s="33" t="n">
        <f aca="false">IF(OR(D4285&gt;5,E4285&lt;8,E4285&gt;=18,COUNTIF($K$2:$K$10,INT(A4285))&gt;0),1,0)</f>
        <v>0</v>
      </c>
      <c r="G4285" s="34" t="n">
        <f aca="false">B4285/1</f>
        <v>221.981</v>
      </c>
      <c r="H4285" s="34" t="str">
        <f aca="false">IF(F4285=1,G4285,"")</f>
        <v/>
      </c>
    </row>
    <row r="4286" customFormat="false" ht="15" hidden="false" customHeight="false" outlineLevel="0" collapsed="false">
      <c r="A4286" s="31" t="n">
        <v>42914.5</v>
      </c>
      <c r="B4286" s="32" t="n">
        <v>225.062</v>
      </c>
      <c r="D4286" s="33" t="n">
        <f aca="false">WEEKDAY(A4286,2)</f>
        <v>3</v>
      </c>
      <c r="E4286" s="33" t="n">
        <f aca="false">HOUR(A4286)+MINUTE(A4286)/60</f>
        <v>12</v>
      </c>
      <c r="F4286" s="33" t="n">
        <f aca="false">IF(OR(D4286&gt;5,E4286&lt;8,E4286&gt;=18,COUNTIF($K$2:$K$10,INT(A4286))&gt;0),1,0)</f>
        <v>0</v>
      </c>
      <c r="G4286" s="34" t="n">
        <f aca="false">B4286/1</f>
        <v>225.062</v>
      </c>
      <c r="H4286" s="34" t="str">
        <f aca="false">IF(F4286=1,G4286,"")</f>
        <v/>
      </c>
    </row>
    <row r="4287" customFormat="false" ht="15" hidden="false" customHeight="false" outlineLevel="0" collapsed="false">
      <c r="A4287" s="31" t="n">
        <v>42914.5416666667</v>
      </c>
      <c r="B4287" s="32" t="n">
        <v>221.889</v>
      </c>
      <c r="D4287" s="33" t="n">
        <f aca="false">WEEKDAY(A4287,2)</f>
        <v>3</v>
      </c>
      <c r="E4287" s="33" t="n">
        <f aca="false">HOUR(A4287)+MINUTE(A4287)/60</f>
        <v>13</v>
      </c>
      <c r="F4287" s="33" t="n">
        <f aca="false">IF(OR(D4287&gt;5,E4287&lt;8,E4287&gt;=18,COUNTIF($K$2:$K$10,INT(A4287))&gt;0),1,0)</f>
        <v>0</v>
      </c>
      <c r="G4287" s="34" t="n">
        <f aca="false">B4287/1</f>
        <v>221.889</v>
      </c>
      <c r="H4287" s="34" t="str">
        <f aca="false">IF(F4287=1,G4287,"")</f>
        <v/>
      </c>
    </row>
    <row r="4288" customFormat="false" ht="15" hidden="false" customHeight="false" outlineLevel="0" collapsed="false">
      <c r="A4288" s="31" t="n">
        <v>42914.5833333333</v>
      </c>
      <c r="B4288" s="32" t="n">
        <v>226.048</v>
      </c>
      <c r="D4288" s="33" t="n">
        <f aca="false">WEEKDAY(A4288,2)</f>
        <v>3</v>
      </c>
      <c r="E4288" s="33" t="n">
        <f aca="false">HOUR(A4288)+MINUTE(A4288)/60</f>
        <v>14</v>
      </c>
      <c r="F4288" s="33" t="n">
        <f aca="false">IF(OR(D4288&gt;5,E4288&lt;8,E4288&gt;=18,COUNTIF($K$2:$K$10,INT(A4288))&gt;0),1,0)</f>
        <v>0</v>
      </c>
      <c r="G4288" s="34" t="n">
        <f aca="false">B4288/1</f>
        <v>226.048</v>
      </c>
      <c r="H4288" s="34" t="str">
        <f aca="false">IF(F4288=1,G4288,"")</f>
        <v/>
      </c>
    </row>
    <row r="4289" customFormat="false" ht="15" hidden="false" customHeight="false" outlineLevel="0" collapsed="false">
      <c r="A4289" s="31" t="n">
        <v>42914.625</v>
      </c>
      <c r="B4289" s="32" t="n">
        <v>227.584</v>
      </c>
      <c r="D4289" s="33" t="n">
        <f aca="false">WEEKDAY(A4289,2)</f>
        <v>3</v>
      </c>
      <c r="E4289" s="33" t="n">
        <f aca="false">HOUR(A4289)+MINUTE(A4289)/60</f>
        <v>15</v>
      </c>
      <c r="F4289" s="33" t="n">
        <f aca="false">IF(OR(D4289&gt;5,E4289&lt;8,E4289&gt;=18,COUNTIF($K$2:$K$10,INT(A4289))&gt;0),1,0)</f>
        <v>0</v>
      </c>
      <c r="G4289" s="34" t="n">
        <f aca="false">B4289/1</f>
        <v>227.584</v>
      </c>
      <c r="H4289" s="34" t="str">
        <f aca="false">IF(F4289=1,G4289,"")</f>
        <v/>
      </c>
    </row>
    <row r="4290" customFormat="false" ht="15" hidden="false" customHeight="false" outlineLevel="0" collapsed="false">
      <c r="A4290" s="31" t="n">
        <v>42914.6666666667</v>
      </c>
      <c r="B4290" s="32" t="n">
        <v>226.122</v>
      </c>
      <c r="D4290" s="33" t="n">
        <f aca="false">WEEKDAY(A4290,2)</f>
        <v>3</v>
      </c>
      <c r="E4290" s="33" t="n">
        <f aca="false">HOUR(A4290)+MINUTE(A4290)/60</f>
        <v>16</v>
      </c>
      <c r="F4290" s="33" t="n">
        <f aca="false">IF(OR(D4290&gt;5,E4290&lt;8,E4290&gt;=18,COUNTIF($K$2:$K$10,INT(A4290))&gt;0),1,0)</f>
        <v>0</v>
      </c>
      <c r="G4290" s="34" t="n">
        <f aca="false">B4290/1</f>
        <v>226.122</v>
      </c>
      <c r="H4290" s="34" t="str">
        <f aca="false">IF(F4290=1,G4290,"")</f>
        <v/>
      </c>
    </row>
    <row r="4291" customFormat="false" ht="15" hidden="false" customHeight="false" outlineLevel="0" collapsed="false">
      <c r="A4291" s="31" t="n">
        <v>42914.7083333333</v>
      </c>
      <c r="B4291" s="32" t="n">
        <v>216.592</v>
      </c>
      <c r="D4291" s="33" t="n">
        <f aca="false">WEEKDAY(A4291,2)</f>
        <v>3</v>
      </c>
      <c r="E4291" s="33" t="n">
        <f aca="false">HOUR(A4291)+MINUTE(A4291)/60</f>
        <v>17</v>
      </c>
      <c r="F4291" s="33" t="n">
        <f aca="false">IF(OR(D4291&gt;5,E4291&lt;8,E4291&gt;=18,COUNTIF($K$2:$K$10,INT(A4291))&gt;0),1,0)</f>
        <v>0</v>
      </c>
      <c r="G4291" s="34" t="n">
        <f aca="false">B4291/1</f>
        <v>216.592</v>
      </c>
      <c r="H4291" s="34" t="str">
        <f aca="false">IF(F4291=1,G4291,"")</f>
        <v/>
      </c>
    </row>
    <row r="4292" customFormat="false" ht="15" hidden="false" customHeight="false" outlineLevel="0" collapsed="false">
      <c r="A4292" s="31" t="n">
        <v>42914.75</v>
      </c>
      <c r="B4292" s="32" t="n">
        <v>202.177</v>
      </c>
      <c r="D4292" s="33" t="n">
        <f aca="false">WEEKDAY(A4292,2)</f>
        <v>3</v>
      </c>
      <c r="E4292" s="33" t="n">
        <f aca="false">HOUR(A4292)+MINUTE(A4292)/60</f>
        <v>18</v>
      </c>
      <c r="F4292" s="33" t="n">
        <f aca="false">IF(OR(D4292&gt;5,E4292&lt;8,E4292&gt;=18,COUNTIF($K$2:$K$10,INT(A4292))&gt;0),1,0)</f>
        <v>1</v>
      </c>
      <c r="G4292" s="34" t="n">
        <f aca="false">B4292/1</f>
        <v>202.177</v>
      </c>
      <c r="H4292" s="34" t="n">
        <f aca="false">IF(F4292=1,G4292,"")</f>
        <v>202.177</v>
      </c>
    </row>
    <row r="4293" customFormat="false" ht="15" hidden="false" customHeight="false" outlineLevel="0" collapsed="false">
      <c r="A4293" s="31" t="n">
        <v>42914.7916666667</v>
      </c>
      <c r="B4293" s="32" t="n">
        <v>196.013</v>
      </c>
      <c r="D4293" s="33" t="n">
        <f aca="false">WEEKDAY(A4293,2)</f>
        <v>3</v>
      </c>
      <c r="E4293" s="33" t="n">
        <f aca="false">HOUR(A4293)+MINUTE(A4293)/60</f>
        <v>19</v>
      </c>
      <c r="F4293" s="33" t="n">
        <f aca="false">IF(OR(D4293&gt;5,E4293&lt;8,E4293&gt;=18,COUNTIF($K$2:$K$10,INT(A4293))&gt;0),1,0)</f>
        <v>1</v>
      </c>
      <c r="G4293" s="34" t="n">
        <f aca="false">B4293/1</f>
        <v>196.013</v>
      </c>
      <c r="H4293" s="34" t="n">
        <f aca="false">IF(F4293=1,G4293,"")</f>
        <v>196.013</v>
      </c>
    </row>
    <row r="4294" customFormat="false" ht="15" hidden="false" customHeight="false" outlineLevel="0" collapsed="false">
      <c r="A4294" s="31" t="n">
        <v>42914.8333333333</v>
      </c>
      <c r="B4294" s="32" t="n">
        <v>188.734</v>
      </c>
      <c r="D4294" s="33" t="n">
        <f aca="false">WEEKDAY(A4294,2)</f>
        <v>3</v>
      </c>
      <c r="E4294" s="33" t="n">
        <f aca="false">HOUR(A4294)+MINUTE(A4294)/60</f>
        <v>20</v>
      </c>
      <c r="F4294" s="33" t="n">
        <f aca="false">IF(OR(D4294&gt;5,E4294&lt;8,E4294&gt;=18,COUNTIF($K$2:$K$10,INT(A4294))&gt;0),1,0)</f>
        <v>1</v>
      </c>
      <c r="G4294" s="34" t="n">
        <f aca="false">B4294/1</f>
        <v>188.734</v>
      </c>
      <c r="H4294" s="34" t="n">
        <f aca="false">IF(F4294=1,G4294,"")</f>
        <v>188.734</v>
      </c>
    </row>
    <row r="4295" customFormat="false" ht="15" hidden="false" customHeight="false" outlineLevel="0" collapsed="false">
      <c r="A4295" s="31" t="n">
        <v>42914.875</v>
      </c>
      <c r="B4295" s="32" t="n">
        <v>185.785</v>
      </c>
      <c r="D4295" s="33" t="n">
        <f aca="false">WEEKDAY(A4295,2)</f>
        <v>3</v>
      </c>
      <c r="E4295" s="33" t="n">
        <f aca="false">HOUR(A4295)+MINUTE(A4295)/60</f>
        <v>21</v>
      </c>
      <c r="F4295" s="33" t="n">
        <f aca="false">IF(OR(D4295&gt;5,E4295&lt;8,E4295&gt;=18,COUNTIF($K$2:$K$10,INT(A4295))&gt;0),1,0)</f>
        <v>1</v>
      </c>
      <c r="G4295" s="34" t="n">
        <f aca="false">B4295/1</f>
        <v>185.785</v>
      </c>
      <c r="H4295" s="34" t="n">
        <f aca="false">IF(F4295=1,G4295,"")</f>
        <v>185.785</v>
      </c>
    </row>
    <row r="4296" customFormat="false" ht="15" hidden="false" customHeight="false" outlineLevel="0" collapsed="false">
      <c r="A4296" s="31" t="n">
        <v>42914.9166666667</v>
      </c>
      <c r="B4296" s="32" t="n">
        <v>139.763</v>
      </c>
      <c r="D4296" s="33" t="n">
        <f aca="false">WEEKDAY(A4296,2)</f>
        <v>3</v>
      </c>
      <c r="E4296" s="33" t="n">
        <f aca="false">HOUR(A4296)+MINUTE(A4296)/60</f>
        <v>22</v>
      </c>
      <c r="F4296" s="33" t="n">
        <f aca="false">IF(OR(D4296&gt;5,E4296&lt;8,E4296&gt;=18,COUNTIF($K$2:$K$10,INT(A4296))&gt;0),1,0)</f>
        <v>1</v>
      </c>
      <c r="G4296" s="34" t="n">
        <f aca="false">B4296/1</f>
        <v>139.763</v>
      </c>
      <c r="H4296" s="34" t="n">
        <f aca="false">IF(F4296=1,G4296,"")</f>
        <v>139.763</v>
      </c>
    </row>
    <row r="4297" customFormat="false" ht="15" hidden="false" customHeight="false" outlineLevel="0" collapsed="false">
      <c r="A4297" s="31" t="n">
        <v>42914.9583333333</v>
      </c>
      <c r="B4297" s="32" t="n">
        <v>82.229</v>
      </c>
      <c r="D4297" s="33" t="n">
        <f aca="false">WEEKDAY(A4297,2)</f>
        <v>3</v>
      </c>
      <c r="E4297" s="33" t="n">
        <f aca="false">HOUR(A4297)+MINUTE(A4297)/60</f>
        <v>23</v>
      </c>
      <c r="F4297" s="33" t="n">
        <f aca="false">IF(OR(D4297&gt;5,E4297&lt;8,E4297&gt;=18,COUNTIF($K$2:$K$10,INT(A4297))&gt;0),1,0)</f>
        <v>1</v>
      </c>
      <c r="G4297" s="34" t="n">
        <f aca="false">B4297/1</f>
        <v>82.229</v>
      </c>
      <c r="H4297" s="34" t="n">
        <f aca="false">IF(F4297=1,G4297,"")</f>
        <v>82.229</v>
      </c>
    </row>
    <row r="4298" customFormat="false" ht="15" hidden="false" customHeight="false" outlineLevel="0" collapsed="false">
      <c r="A4298" s="31" t="n">
        <v>42915</v>
      </c>
      <c r="B4298" s="32" t="n">
        <v>82.726</v>
      </c>
      <c r="D4298" s="33" t="n">
        <f aca="false">WEEKDAY(A4298,2)</f>
        <v>4</v>
      </c>
      <c r="E4298" s="33" t="n">
        <f aca="false">HOUR(A4298)+MINUTE(A4298)/60</f>
        <v>0</v>
      </c>
      <c r="F4298" s="33" t="n">
        <f aca="false">IF(OR(D4298&gt;5,E4298&lt;8,E4298&gt;=18,COUNTIF($K$2:$K$10,INT(A4298))&gt;0),1,0)</f>
        <v>1</v>
      </c>
      <c r="G4298" s="34" t="n">
        <f aca="false">B4298/1</f>
        <v>82.726</v>
      </c>
      <c r="H4298" s="34" t="n">
        <f aca="false">IF(F4298=1,G4298,"")</f>
        <v>82.726</v>
      </c>
    </row>
    <row r="4299" customFormat="false" ht="15" hidden="false" customHeight="false" outlineLevel="0" collapsed="false">
      <c r="A4299" s="31" t="n">
        <v>42915.0416666667</v>
      </c>
      <c r="B4299" s="32" t="n">
        <v>78.04</v>
      </c>
      <c r="D4299" s="33" t="n">
        <f aca="false">WEEKDAY(A4299,2)</f>
        <v>4</v>
      </c>
      <c r="E4299" s="33" t="n">
        <f aca="false">HOUR(A4299)+MINUTE(A4299)/60</f>
        <v>1</v>
      </c>
      <c r="F4299" s="33" t="n">
        <f aca="false">IF(OR(D4299&gt;5,E4299&lt;8,E4299&gt;=18,COUNTIF($K$2:$K$10,INT(A4299))&gt;0),1,0)</f>
        <v>1</v>
      </c>
      <c r="G4299" s="34" t="n">
        <f aca="false">B4299/1</f>
        <v>78.04</v>
      </c>
      <c r="H4299" s="34" t="n">
        <f aca="false">IF(F4299=1,G4299,"")</f>
        <v>78.04</v>
      </c>
    </row>
    <row r="4300" customFormat="false" ht="15" hidden="false" customHeight="false" outlineLevel="0" collapsed="false">
      <c r="A4300" s="31" t="n">
        <v>42915.0833333333</v>
      </c>
      <c r="B4300" s="32" t="n">
        <v>76.32</v>
      </c>
      <c r="D4300" s="33" t="n">
        <f aca="false">WEEKDAY(A4300,2)</f>
        <v>4</v>
      </c>
      <c r="E4300" s="33" t="n">
        <f aca="false">HOUR(A4300)+MINUTE(A4300)/60</f>
        <v>2</v>
      </c>
      <c r="F4300" s="33" t="n">
        <f aca="false">IF(OR(D4300&gt;5,E4300&lt;8,E4300&gt;=18,COUNTIF($K$2:$K$10,INT(A4300))&gt;0),1,0)</f>
        <v>1</v>
      </c>
      <c r="G4300" s="34" t="n">
        <f aca="false">B4300/1</f>
        <v>76.32</v>
      </c>
      <c r="H4300" s="34" t="n">
        <f aca="false">IF(F4300=1,G4300,"")</f>
        <v>76.32</v>
      </c>
    </row>
    <row r="4301" customFormat="false" ht="15" hidden="false" customHeight="false" outlineLevel="0" collapsed="false">
      <c r="A4301" s="31" t="n">
        <v>42915.125</v>
      </c>
      <c r="B4301" s="32" t="n">
        <v>76.857</v>
      </c>
      <c r="D4301" s="33" t="n">
        <f aca="false">WEEKDAY(A4301,2)</f>
        <v>4</v>
      </c>
      <c r="E4301" s="33" t="n">
        <f aca="false">HOUR(A4301)+MINUTE(A4301)/60</f>
        <v>3</v>
      </c>
      <c r="F4301" s="33" t="n">
        <f aca="false">IF(OR(D4301&gt;5,E4301&lt;8,E4301&gt;=18,COUNTIF($K$2:$K$10,INT(A4301))&gt;0),1,0)</f>
        <v>1</v>
      </c>
      <c r="G4301" s="34" t="n">
        <f aca="false">B4301/1</f>
        <v>76.857</v>
      </c>
      <c r="H4301" s="34" t="n">
        <f aca="false">IF(F4301=1,G4301,"")</f>
        <v>76.857</v>
      </c>
    </row>
    <row r="4302" customFormat="false" ht="15" hidden="false" customHeight="false" outlineLevel="0" collapsed="false">
      <c r="A4302" s="31" t="n">
        <v>42915.1666666667</v>
      </c>
      <c r="B4302" s="32" t="n">
        <v>75.882</v>
      </c>
      <c r="D4302" s="33" t="n">
        <f aca="false">WEEKDAY(A4302,2)</f>
        <v>4</v>
      </c>
      <c r="E4302" s="33" t="n">
        <f aca="false">HOUR(A4302)+MINUTE(A4302)/60</f>
        <v>4</v>
      </c>
      <c r="F4302" s="33" t="n">
        <f aca="false">IF(OR(D4302&gt;5,E4302&lt;8,E4302&gt;=18,COUNTIF($K$2:$K$10,INT(A4302))&gt;0),1,0)</f>
        <v>1</v>
      </c>
      <c r="G4302" s="34" t="n">
        <f aca="false">B4302/1</f>
        <v>75.882</v>
      </c>
      <c r="H4302" s="34" t="n">
        <f aca="false">IF(F4302=1,G4302,"")</f>
        <v>75.882</v>
      </c>
    </row>
    <row r="4303" customFormat="false" ht="15" hidden="false" customHeight="false" outlineLevel="0" collapsed="false">
      <c r="A4303" s="31" t="n">
        <v>42915.2083333333</v>
      </c>
      <c r="B4303" s="32" t="n">
        <v>75.274</v>
      </c>
      <c r="D4303" s="33" t="n">
        <f aca="false">WEEKDAY(A4303,2)</f>
        <v>4</v>
      </c>
      <c r="E4303" s="33" t="n">
        <f aca="false">HOUR(A4303)+MINUTE(A4303)/60</f>
        <v>5</v>
      </c>
      <c r="F4303" s="33" t="n">
        <f aca="false">IF(OR(D4303&gt;5,E4303&lt;8,E4303&gt;=18,COUNTIF($K$2:$K$10,INT(A4303))&gt;0),1,0)</f>
        <v>1</v>
      </c>
      <c r="G4303" s="34" t="n">
        <f aca="false">B4303/1</f>
        <v>75.274</v>
      </c>
      <c r="H4303" s="34" t="n">
        <f aca="false">IF(F4303=1,G4303,"")</f>
        <v>75.274</v>
      </c>
    </row>
    <row r="4304" customFormat="false" ht="15" hidden="false" customHeight="false" outlineLevel="0" collapsed="false">
      <c r="A4304" s="31" t="n">
        <v>42915.25</v>
      </c>
      <c r="B4304" s="32" t="n">
        <v>75.922</v>
      </c>
      <c r="D4304" s="33" t="n">
        <f aca="false">WEEKDAY(A4304,2)</f>
        <v>4</v>
      </c>
      <c r="E4304" s="33" t="n">
        <f aca="false">HOUR(A4304)+MINUTE(A4304)/60</f>
        <v>6</v>
      </c>
      <c r="F4304" s="33" t="n">
        <f aca="false">IF(OR(D4304&gt;5,E4304&lt;8,E4304&gt;=18,COUNTIF($K$2:$K$10,INT(A4304))&gt;0),1,0)</f>
        <v>1</v>
      </c>
      <c r="G4304" s="34" t="n">
        <f aca="false">B4304/1</f>
        <v>75.922</v>
      </c>
      <c r="H4304" s="34" t="n">
        <f aca="false">IF(F4304=1,G4304,"")</f>
        <v>75.922</v>
      </c>
    </row>
    <row r="4305" customFormat="false" ht="15" hidden="false" customHeight="false" outlineLevel="0" collapsed="false">
      <c r="A4305" s="31" t="n">
        <v>42915.2916666667</v>
      </c>
      <c r="B4305" s="32" t="n">
        <v>76.608</v>
      </c>
      <c r="D4305" s="33" t="n">
        <f aca="false">WEEKDAY(A4305,2)</f>
        <v>4</v>
      </c>
      <c r="E4305" s="33" t="n">
        <f aca="false">HOUR(A4305)+MINUTE(A4305)/60</f>
        <v>7</v>
      </c>
      <c r="F4305" s="33" t="n">
        <f aca="false">IF(OR(D4305&gt;5,E4305&lt;8,E4305&gt;=18,COUNTIF($K$2:$K$10,INT(A4305))&gt;0),1,0)</f>
        <v>1</v>
      </c>
      <c r="G4305" s="34" t="n">
        <f aca="false">B4305/1</f>
        <v>76.608</v>
      </c>
      <c r="H4305" s="34" t="n">
        <f aca="false">IF(F4305=1,G4305,"")</f>
        <v>76.608</v>
      </c>
    </row>
    <row r="4306" customFormat="false" ht="15" hidden="false" customHeight="false" outlineLevel="0" collapsed="false">
      <c r="A4306" s="31" t="n">
        <v>42915.3333333333</v>
      </c>
      <c r="B4306" s="32" t="n">
        <v>180.34</v>
      </c>
      <c r="D4306" s="33" t="n">
        <f aca="false">WEEKDAY(A4306,2)</f>
        <v>4</v>
      </c>
      <c r="E4306" s="33" t="n">
        <f aca="false">HOUR(A4306)+MINUTE(A4306)/60</f>
        <v>8</v>
      </c>
      <c r="F4306" s="33" t="n">
        <f aca="false">IF(OR(D4306&gt;5,E4306&lt;8,E4306&gt;=18,COUNTIF($K$2:$K$10,INT(A4306))&gt;0),1,0)</f>
        <v>0</v>
      </c>
      <c r="G4306" s="34" t="n">
        <f aca="false">B4306/1</f>
        <v>180.34</v>
      </c>
      <c r="H4306" s="34" t="str">
        <f aca="false">IF(F4306=1,G4306,"")</f>
        <v/>
      </c>
    </row>
    <row r="4307" customFormat="false" ht="15" hidden="false" customHeight="false" outlineLevel="0" collapsed="false">
      <c r="A4307" s="31" t="n">
        <v>42915.375</v>
      </c>
      <c r="B4307" s="32" t="n">
        <v>209.52</v>
      </c>
      <c r="D4307" s="33" t="n">
        <f aca="false">WEEKDAY(A4307,2)</f>
        <v>4</v>
      </c>
      <c r="E4307" s="33" t="n">
        <f aca="false">HOUR(A4307)+MINUTE(A4307)/60</f>
        <v>9</v>
      </c>
      <c r="F4307" s="33" t="n">
        <f aca="false">IF(OR(D4307&gt;5,E4307&lt;8,E4307&gt;=18,COUNTIF($K$2:$K$10,INT(A4307))&gt;0),1,0)</f>
        <v>0</v>
      </c>
      <c r="G4307" s="34" t="n">
        <f aca="false">B4307/1</f>
        <v>209.52</v>
      </c>
      <c r="H4307" s="34" t="str">
        <f aca="false">IF(F4307=1,G4307,"")</f>
        <v/>
      </c>
    </row>
    <row r="4308" customFormat="false" ht="15" hidden="false" customHeight="false" outlineLevel="0" collapsed="false">
      <c r="A4308" s="31" t="n">
        <v>42915.4166666667</v>
      </c>
      <c r="B4308" s="32" t="n">
        <v>220.875</v>
      </c>
      <c r="D4308" s="33" t="n">
        <f aca="false">WEEKDAY(A4308,2)</f>
        <v>4</v>
      </c>
      <c r="E4308" s="33" t="n">
        <f aca="false">HOUR(A4308)+MINUTE(A4308)/60</f>
        <v>10</v>
      </c>
      <c r="F4308" s="33" t="n">
        <f aca="false">IF(OR(D4308&gt;5,E4308&lt;8,E4308&gt;=18,COUNTIF($K$2:$K$10,INT(A4308))&gt;0),1,0)</f>
        <v>0</v>
      </c>
      <c r="G4308" s="34" t="n">
        <f aca="false">B4308/1</f>
        <v>220.875</v>
      </c>
      <c r="H4308" s="34" t="str">
        <f aca="false">IF(F4308=1,G4308,"")</f>
        <v/>
      </c>
    </row>
    <row r="4309" customFormat="false" ht="15" hidden="false" customHeight="false" outlineLevel="0" collapsed="false">
      <c r="A4309" s="31" t="n">
        <v>42915.4583333333</v>
      </c>
      <c r="B4309" s="32" t="n">
        <v>225.465</v>
      </c>
      <c r="D4309" s="33" t="n">
        <f aca="false">WEEKDAY(A4309,2)</f>
        <v>4</v>
      </c>
      <c r="E4309" s="33" t="n">
        <f aca="false">HOUR(A4309)+MINUTE(A4309)/60</f>
        <v>11</v>
      </c>
      <c r="F4309" s="33" t="n">
        <f aca="false">IF(OR(D4309&gt;5,E4309&lt;8,E4309&gt;=18,COUNTIF($K$2:$K$10,INT(A4309))&gt;0),1,0)</f>
        <v>0</v>
      </c>
      <c r="G4309" s="34" t="n">
        <f aca="false">B4309/1</f>
        <v>225.465</v>
      </c>
      <c r="H4309" s="34" t="str">
        <f aca="false">IF(F4309=1,G4309,"")</f>
        <v/>
      </c>
    </row>
    <row r="4310" customFormat="false" ht="15" hidden="false" customHeight="false" outlineLevel="0" collapsed="false">
      <c r="A4310" s="31" t="n">
        <v>42915.5</v>
      </c>
      <c r="B4310" s="32" t="n">
        <v>231.31</v>
      </c>
      <c r="D4310" s="33" t="n">
        <f aca="false">WEEKDAY(A4310,2)</f>
        <v>4</v>
      </c>
      <c r="E4310" s="33" t="n">
        <f aca="false">HOUR(A4310)+MINUTE(A4310)/60</f>
        <v>12</v>
      </c>
      <c r="F4310" s="33" t="n">
        <f aca="false">IF(OR(D4310&gt;5,E4310&lt;8,E4310&gt;=18,COUNTIF($K$2:$K$10,INT(A4310))&gt;0),1,0)</f>
        <v>0</v>
      </c>
      <c r="G4310" s="34" t="n">
        <f aca="false">B4310/1</f>
        <v>231.31</v>
      </c>
      <c r="H4310" s="34" t="str">
        <f aca="false">IF(F4310=1,G4310,"")</f>
        <v/>
      </c>
    </row>
    <row r="4311" customFormat="false" ht="15" hidden="false" customHeight="false" outlineLevel="0" collapsed="false">
      <c r="A4311" s="31" t="n">
        <v>42915.5416666667</v>
      </c>
      <c r="B4311" s="32" t="n">
        <v>227.095</v>
      </c>
      <c r="D4311" s="33" t="n">
        <f aca="false">WEEKDAY(A4311,2)</f>
        <v>4</v>
      </c>
      <c r="E4311" s="33" t="n">
        <f aca="false">HOUR(A4311)+MINUTE(A4311)/60</f>
        <v>13</v>
      </c>
      <c r="F4311" s="33" t="n">
        <f aca="false">IF(OR(D4311&gt;5,E4311&lt;8,E4311&gt;=18,COUNTIF($K$2:$K$10,INT(A4311))&gt;0),1,0)</f>
        <v>0</v>
      </c>
      <c r="G4311" s="34" t="n">
        <f aca="false">B4311/1</f>
        <v>227.095</v>
      </c>
      <c r="H4311" s="34" t="str">
        <f aca="false">IF(F4311=1,G4311,"")</f>
        <v/>
      </c>
    </row>
    <row r="4312" customFormat="false" ht="15" hidden="false" customHeight="false" outlineLevel="0" collapsed="false">
      <c r="A4312" s="31" t="n">
        <v>42915.5833333333</v>
      </c>
      <c r="B4312" s="32" t="n">
        <v>227.955</v>
      </c>
      <c r="D4312" s="33" t="n">
        <f aca="false">WEEKDAY(A4312,2)</f>
        <v>4</v>
      </c>
      <c r="E4312" s="33" t="n">
        <f aca="false">HOUR(A4312)+MINUTE(A4312)/60</f>
        <v>14</v>
      </c>
      <c r="F4312" s="33" t="n">
        <f aca="false">IF(OR(D4312&gt;5,E4312&lt;8,E4312&gt;=18,COUNTIF($K$2:$K$10,INT(A4312))&gt;0),1,0)</f>
        <v>0</v>
      </c>
      <c r="G4312" s="34" t="n">
        <f aca="false">B4312/1</f>
        <v>227.955</v>
      </c>
      <c r="H4312" s="34" t="str">
        <f aca="false">IF(F4312=1,G4312,"")</f>
        <v/>
      </c>
    </row>
    <row r="4313" customFormat="false" ht="15" hidden="false" customHeight="false" outlineLevel="0" collapsed="false">
      <c r="A4313" s="31" t="n">
        <v>42915.625</v>
      </c>
      <c r="B4313" s="32" t="n">
        <v>226.05</v>
      </c>
      <c r="D4313" s="33" t="n">
        <f aca="false">WEEKDAY(A4313,2)</f>
        <v>4</v>
      </c>
      <c r="E4313" s="33" t="n">
        <f aca="false">HOUR(A4313)+MINUTE(A4313)/60</f>
        <v>15</v>
      </c>
      <c r="F4313" s="33" t="n">
        <f aca="false">IF(OR(D4313&gt;5,E4313&lt;8,E4313&gt;=18,COUNTIF($K$2:$K$10,INT(A4313))&gt;0),1,0)</f>
        <v>0</v>
      </c>
      <c r="G4313" s="34" t="n">
        <f aca="false">B4313/1</f>
        <v>226.05</v>
      </c>
      <c r="H4313" s="34" t="str">
        <f aca="false">IF(F4313=1,G4313,"")</f>
        <v/>
      </c>
    </row>
    <row r="4314" customFormat="false" ht="15" hidden="false" customHeight="false" outlineLevel="0" collapsed="false">
      <c r="A4314" s="31" t="n">
        <v>42915.6666666667</v>
      </c>
      <c r="B4314" s="32" t="n">
        <v>218.836</v>
      </c>
      <c r="D4314" s="33" t="n">
        <f aca="false">WEEKDAY(A4314,2)</f>
        <v>4</v>
      </c>
      <c r="E4314" s="33" t="n">
        <f aca="false">HOUR(A4314)+MINUTE(A4314)/60</f>
        <v>16</v>
      </c>
      <c r="F4314" s="33" t="n">
        <f aca="false">IF(OR(D4314&gt;5,E4314&lt;8,E4314&gt;=18,COUNTIF($K$2:$K$10,INT(A4314))&gt;0),1,0)</f>
        <v>0</v>
      </c>
      <c r="G4314" s="34" t="n">
        <f aca="false">B4314/1</f>
        <v>218.836</v>
      </c>
      <c r="H4314" s="34" t="str">
        <f aca="false">IF(F4314=1,G4314,"")</f>
        <v/>
      </c>
    </row>
    <row r="4315" customFormat="false" ht="15" hidden="false" customHeight="false" outlineLevel="0" collapsed="false">
      <c r="A4315" s="31" t="n">
        <v>42915.7083333333</v>
      </c>
      <c r="B4315" s="32" t="n">
        <v>204.763</v>
      </c>
      <c r="D4315" s="33" t="n">
        <f aca="false">WEEKDAY(A4315,2)</f>
        <v>4</v>
      </c>
      <c r="E4315" s="33" t="n">
        <f aca="false">HOUR(A4315)+MINUTE(A4315)/60</f>
        <v>17</v>
      </c>
      <c r="F4315" s="33" t="n">
        <f aca="false">IF(OR(D4315&gt;5,E4315&lt;8,E4315&gt;=18,COUNTIF($K$2:$K$10,INT(A4315))&gt;0),1,0)</f>
        <v>0</v>
      </c>
      <c r="G4315" s="34" t="n">
        <f aca="false">B4315/1</f>
        <v>204.763</v>
      </c>
      <c r="H4315" s="34" t="str">
        <f aca="false">IF(F4315=1,G4315,"")</f>
        <v/>
      </c>
    </row>
    <row r="4316" customFormat="false" ht="15" hidden="false" customHeight="false" outlineLevel="0" collapsed="false">
      <c r="A4316" s="31" t="n">
        <v>42915.75</v>
      </c>
      <c r="B4316" s="32" t="n">
        <v>192.424</v>
      </c>
      <c r="D4316" s="33" t="n">
        <f aca="false">WEEKDAY(A4316,2)</f>
        <v>4</v>
      </c>
      <c r="E4316" s="33" t="n">
        <f aca="false">HOUR(A4316)+MINUTE(A4316)/60</f>
        <v>18</v>
      </c>
      <c r="F4316" s="33" t="n">
        <f aca="false">IF(OR(D4316&gt;5,E4316&lt;8,E4316&gt;=18,COUNTIF($K$2:$K$10,INT(A4316))&gt;0),1,0)</f>
        <v>1</v>
      </c>
      <c r="G4316" s="34" t="n">
        <f aca="false">B4316/1</f>
        <v>192.424</v>
      </c>
      <c r="H4316" s="34" t="n">
        <f aca="false">IF(F4316=1,G4316,"")</f>
        <v>192.424</v>
      </c>
    </row>
    <row r="4317" customFormat="false" ht="15" hidden="false" customHeight="false" outlineLevel="0" collapsed="false">
      <c r="A4317" s="31" t="n">
        <v>42915.7916666667</v>
      </c>
      <c r="B4317" s="32" t="n">
        <v>192.904</v>
      </c>
      <c r="D4317" s="33" t="n">
        <f aca="false">WEEKDAY(A4317,2)</f>
        <v>4</v>
      </c>
      <c r="E4317" s="33" t="n">
        <f aca="false">HOUR(A4317)+MINUTE(A4317)/60</f>
        <v>19</v>
      </c>
      <c r="F4317" s="33" t="n">
        <f aca="false">IF(OR(D4317&gt;5,E4317&lt;8,E4317&gt;=18,COUNTIF($K$2:$K$10,INT(A4317))&gt;0),1,0)</f>
        <v>1</v>
      </c>
      <c r="G4317" s="34" t="n">
        <f aca="false">B4317/1</f>
        <v>192.904</v>
      </c>
      <c r="H4317" s="34" t="n">
        <f aca="false">IF(F4317=1,G4317,"")</f>
        <v>192.904</v>
      </c>
    </row>
    <row r="4318" customFormat="false" ht="15" hidden="false" customHeight="false" outlineLevel="0" collapsed="false">
      <c r="A4318" s="31" t="n">
        <v>42915.8333333333</v>
      </c>
      <c r="B4318" s="32" t="n">
        <v>190.384</v>
      </c>
      <c r="D4318" s="33" t="n">
        <f aca="false">WEEKDAY(A4318,2)</f>
        <v>4</v>
      </c>
      <c r="E4318" s="33" t="n">
        <f aca="false">HOUR(A4318)+MINUTE(A4318)/60</f>
        <v>20</v>
      </c>
      <c r="F4318" s="33" t="n">
        <f aca="false">IF(OR(D4318&gt;5,E4318&lt;8,E4318&gt;=18,COUNTIF($K$2:$K$10,INT(A4318))&gt;0),1,0)</f>
        <v>1</v>
      </c>
      <c r="G4318" s="34" t="n">
        <f aca="false">B4318/1</f>
        <v>190.384</v>
      </c>
      <c r="H4318" s="34" t="n">
        <f aca="false">IF(F4318=1,G4318,"")</f>
        <v>190.384</v>
      </c>
    </row>
    <row r="4319" customFormat="false" ht="15" hidden="false" customHeight="false" outlineLevel="0" collapsed="false">
      <c r="A4319" s="31" t="n">
        <v>42915.875</v>
      </c>
      <c r="B4319" s="32" t="n">
        <v>186.99</v>
      </c>
      <c r="D4319" s="33" t="n">
        <f aca="false">WEEKDAY(A4319,2)</f>
        <v>4</v>
      </c>
      <c r="E4319" s="33" t="n">
        <f aca="false">HOUR(A4319)+MINUTE(A4319)/60</f>
        <v>21</v>
      </c>
      <c r="F4319" s="33" t="n">
        <f aca="false">IF(OR(D4319&gt;5,E4319&lt;8,E4319&gt;=18,COUNTIF($K$2:$K$10,INT(A4319))&gt;0),1,0)</f>
        <v>1</v>
      </c>
      <c r="G4319" s="34" t="n">
        <f aca="false">B4319/1</f>
        <v>186.99</v>
      </c>
      <c r="H4319" s="34" t="n">
        <f aca="false">IF(F4319=1,G4319,"")</f>
        <v>186.99</v>
      </c>
    </row>
    <row r="4320" customFormat="false" ht="15" hidden="false" customHeight="false" outlineLevel="0" collapsed="false">
      <c r="A4320" s="31" t="n">
        <v>42915.9166666667</v>
      </c>
      <c r="B4320" s="32" t="n">
        <v>134.545</v>
      </c>
      <c r="D4320" s="33" t="n">
        <f aca="false">WEEKDAY(A4320,2)</f>
        <v>4</v>
      </c>
      <c r="E4320" s="33" t="n">
        <f aca="false">HOUR(A4320)+MINUTE(A4320)/60</f>
        <v>22</v>
      </c>
      <c r="F4320" s="33" t="n">
        <f aca="false">IF(OR(D4320&gt;5,E4320&lt;8,E4320&gt;=18,COUNTIF($K$2:$K$10,INT(A4320))&gt;0),1,0)</f>
        <v>1</v>
      </c>
      <c r="G4320" s="34" t="n">
        <f aca="false">B4320/1</f>
        <v>134.545</v>
      </c>
      <c r="H4320" s="34" t="n">
        <f aca="false">IF(F4320=1,G4320,"")</f>
        <v>134.545</v>
      </c>
    </row>
    <row r="4321" customFormat="false" ht="15" hidden="false" customHeight="false" outlineLevel="0" collapsed="false">
      <c r="A4321" s="31" t="n">
        <v>42915.9583333333</v>
      </c>
      <c r="B4321" s="32" t="n">
        <v>73.063</v>
      </c>
      <c r="D4321" s="33" t="n">
        <f aca="false">WEEKDAY(A4321,2)</f>
        <v>4</v>
      </c>
      <c r="E4321" s="33" t="n">
        <f aca="false">HOUR(A4321)+MINUTE(A4321)/60</f>
        <v>23</v>
      </c>
      <c r="F4321" s="33" t="n">
        <f aca="false">IF(OR(D4321&gt;5,E4321&lt;8,E4321&gt;=18,COUNTIF($K$2:$K$10,INT(A4321))&gt;0),1,0)</f>
        <v>1</v>
      </c>
      <c r="G4321" s="34" t="n">
        <f aca="false">B4321/1</f>
        <v>73.063</v>
      </c>
      <c r="H4321" s="34" t="n">
        <f aca="false">IF(F4321=1,G4321,"")</f>
        <v>73.063</v>
      </c>
    </row>
    <row r="4322" customFormat="false" ht="15" hidden="false" customHeight="false" outlineLevel="0" collapsed="false">
      <c r="A4322" s="31" t="n">
        <v>42916</v>
      </c>
      <c r="B4322" s="32" t="n">
        <v>72.072</v>
      </c>
      <c r="D4322" s="33" t="n">
        <f aca="false">WEEKDAY(A4322,2)</f>
        <v>5</v>
      </c>
      <c r="E4322" s="33" t="n">
        <f aca="false">HOUR(A4322)+MINUTE(A4322)/60</f>
        <v>0</v>
      </c>
      <c r="F4322" s="33" t="n">
        <f aca="false">IF(OR(D4322&gt;5,E4322&lt;8,E4322&gt;=18,COUNTIF($K$2:$K$10,INT(A4322))&gt;0),1,0)</f>
        <v>1</v>
      </c>
      <c r="G4322" s="34" t="n">
        <f aca="false">B4322/1</f>
        <v>72.072</v>
      </c>
      <c r="H4322" s="34" t="n">
        <f aca="false">IF(F4322=1,G4322,"")</f>
        <v>72.072</v>
      </c>
    </row>
    <row r="4323" customFormat="false" ht="15" hidden="false" customHeight="false" outlineLevel="0" collapsed="false">
      <c r="A4323" s="31" t="n">
        <v>42916.0416666667</v>
      </c>
      <c r="B4323" s="32" t="n">
        <v>68.447</v>
      </c>
      <c r="D4323" s="33" t="n">
        <f aca="false">WEEKDAY(A4323,2)</f>
        <v>5</v>
      </c>
      <c r="E4323" s="33" t="n">
        <f aca="false">HOUR(A4323)+MINUTE(A4323)/60</f>
        <v>1</v>
      </c>
      <c r="F4323" s="33" t="n">
        <f aca="false">IF(OR(D4323&gt;5,E4323&lt;8,E4323&gt;=18,COUNTIF($K$2:$K$10,INT(A4323))&gt;0),1,0)</f>
        <v>1</v>
      </c>
      <c r="G4323" s="34" t="n">
        <f aca="false">B4323/1</f>
        <v>68.447</v>
      </c>
      <c r="H4323" s="34" t="n">
        <f aca="false">IF(F4323=1,G4323,"")</f>
        <v>68.447</v>
      </c>
    </row>
    <row r="4324" customFormat="false" ht="15" hidden="false" customHeight="false" outlineLevel="0" collapsed="false">
      <c r="A4324" s="31" t="n">
        <v>42916.0833333333</v>
      </c>
      <c r="B4324" s="32" t="n">
        <v>68.179</v>
      </c>
      <c r="D4324" s="33" t="n">
        <f aca="false">WEEKDAY(A4324,2)</f>
        <v>5</v>
      </c>
      <c r="E4324" s="33" t="n">
        <f aca="false">HOUR(A4324)+MINUTE(A4324)/60</f>
        <v>2</v>
      </c>
      <c r="F4324" s="33" t="n">
        <f aca="false">IF(OR(D4324&gt;5,E4324&lt;8,E4324&gt;=18,COUNTIF($K$2:$K$10,INT(A4324))&gt;0),1,0)</f>
        <v>1</v>
      </c>
      <c r="G4324" s="34" t="n">
        <f aca="false">B4324/1</f>
        <v>68.179</v>
      </c>
      <c r="H4324" s="34" t="n">
        <f aca="false">IF(F4324=1,G4324,"")</f>
        <v>68.179</v>
      </c>
    </row>
    <row r="4325" customFormat="false" ht="15" hidden="false" customHeight="false" outlineLevel="0" collapsed="false">
      <c r="A4325" s="31" t="n">
        <v>42916.125</v>
      </c>
      <c r="B4325" s="32" t="n">
        <v>71.319</v>
      </c>
      <c r="D4325" s="33" t="n">
        <f aca="false">WEEKDAY(A4325,2)</f>
        <v>5</v>
      </c>
      <c r="E4325" s="33" t="n">
        <f aca="false">HOUR(A4325)+MINUTE(A4325)/60</f>
        <v>3</v>
      </c>
      <c r="F4325" s="33" t="n">
        <f aca="false">IF(OR(D4325&gt;5,E4325&lt;8,E4325&gt;=18,COUNTIF($K$2:$K$10,INT(A4325))&gt;0),1,0)</f>
        <v>1</v>
      </c>
      <c r="G4325" s="34" t="n">
        <f aca="false">B4325/1</f>
        <v>71.319</v>
      </c>
      <c r="H4325" s="34" t="n">
        <f aca="false">IF(F4325=1,G4325,"")</f>
        <v>71.319</v>
      </c>
    </row>
    <row r="4326" customFormat="false" ht="15" hidden="false" customHeight="false" outlineLevel="0" collapsed="false">
      <c r="A4326" s="31" t="n">
        <v>42916.1666666667</v>
      </c>
      <c r="B4326" s="32" t="n">
        <v>71.018</v>
      </c>
      <c r="D4326" s="33" t="n">
        <f aca="false">WEEKDAY(A4326,2)</f>
        <v>5</v>
      </c>
      <c r="E4326" s="33" t="n">
        <f aca="false">HOUR(A4326)+MINUTE(A4326)/60</f>
        <v>4</v>
      </c>
      <c r="F4326" s="33" t="n">
        <f aca="false">IF(OR(D4326&gt;5,E4326&lt;8,E4326&gt;=18,COUNTIF($K$2:$K$10,INT(A4326))&gt;0),1,0)</f>
        <v>1</v>
      </c>
      <c r="G4326" s="34" t="n">
        <f aca="false">B4326/1</f>
        <v>71.018</v>
      </c>
      <c r="H4326" s="34" t="n">
        <f aca="false">IF(F4326=1,G4326,"")</f>
        <v>71.018</v>
      </c>
    </row>
    <row r="4327" customFormat="false" ht="15" hidden="false" customHeight="false" outlineLevel="0" collapsed="false">
      <c r="A4327" s="31" t="n">
        <v>42916.2083333333</v>
      </c>
      <c r="B4327" s="32" t="n">
        <v>70.142</v>
      </c>
      <c r="D4327" s="33" t="n">
        <f aca="false">WEEKDAY(A4327,2)</f>
        <v>5</v>
      </c>
      <c r="E4327" s="33" t="n">
        <f aca="false">HOUR(A4327)+MINUTE(A4327)/60</f>
        <v>5</v>
      </c>
      <c r="F4327" s="33" t="n">
        <f aca="false">IF(OR(D4327&gt;5,E4327&lt;8,E4327&gt;=18,COUNTIF($K$2:$K$10,INT(A4327))&gt;0),1,0)</f>
        <v>1</v>
      </c>
      <c r="G4327" s="34" t="n">
        <f aca="false">B4327/1</f>
        <v>70.142</v>
      </c>
      <c r="H4327" s="34" t="n">
        <f aca="false">IF(F4327=1,G4327,"")</f>
        <v>70.142</v>
      </c>
    </row>
    <row r="4328" customFormat="false" ht="15" hidden="false" customHeight="false" outlineLevel="0" collapsed="false">
      <c r="A4328" s="31" t="n">
        <v>42916.25</v>
      </c>
      <c r="B4328" s="32" t="n">
        <v>71.926</v>
      </c>
      <c r="D4328" s="33" t="n">
        <f aca="false">WEEKDAY(A4328,2)</f>
        <v>5</v>
      </c>
      <c r="E4328" s="33" t="n">
        <f aca="false">HOUR(A4328)+MINUTE(A4328)/60</f>
        <v>6</v>
      </c>
      <c r="F4328" s="33" t="n">
        <f aca="false">IF(OR(D4328&gt;5,E4328&lt;8,E4328&gt;=18,COUNTIF($K$2:$K$10,INT(A4328))&gt;0),1,0)</f>
        <v>1</v>
      </c>
      <c r="G4328" s="34" t="n">
        <f aca="false">B4328/1</f>
        <v>71.926</v>
      </c>
      <c r="H4328" s="34" t="n">
        <f aca="false">IF(F4328=1,G4328,"")</f>
        <v>71.926</v>
      </c>
    </row>
    <row r="4329" customFormat="false" ht="15" hidden="false" customHeight="false" outlineLevel="0" collapsed="false">
      <c r="A4329" s="31" t="n">
        <v>42916.2916666667</v>
      </c>
      <c r="B4329" s="32" t="n">
        <v>75.583</v>
      </c>
      <c r="D4329" s="33" t="n">
        <f aca="false">WEEKDAY(A4329,2)</f>
        <v>5</v>
      </c>
      <c r="E4329" s="33" t="n">
        <f aca="false">HOUR(A4329)+MINUTE(A4329)/60</f>
        <v>7</v>
      </c>
      <c r="F4329" s="33" t="n">
        <f aca="false">IF(OR(D4329&gt;5,E4329&lt;8,E4329&gt;=18,COUNTIF($K$2:$K$10,INT(A4329))&gt;0),1,0)</f>
        <v>1</v>
      </c>
      <c r="G4329" s="34" t="n">
        <f aca="false">B4329/1</f>
        <v>75.583</v>
      </c>
      <c r="H4329" s="34" t="n">
        <f aca="false">IF(F4329=1,G4329,"")</f>
        <v>75.583</v>
      </c>
    </row>
    <row r="4330" customFormat="false" ht="15" hidden="false" customHeight="false" outlineLevel="0" collapsed="false">
      <c r="A4330" s="31" t="n">
        <v>42916.3333333333</v>
      </c>
      <c r="B4330" s="32" t="n">
        <v>183.157</v>
      </c>
      <c r="D4330" s="33" t="n">
        <f aca="false">WEEKDAY(A4330,2)</f>
        <v>5</v>
      </c>
      <c r="E4330" s="33" t="n">
        <f aca="false">HOUR(A4330)+MINUTE(A4330)/60</f>
        <v>8</v>
      </c>
      <c r="F4330" s="33" t="n">
        <f aca="false">IF(OR(D4330&gt;5,E4330&lt;8,E4330&gt;=18,COUNTIF($K$2:$K$10,INT(A4330))&gt;0),1,0)</f>
        <v>0</v>
      </c>
      <c r="G4330" s="34" t="n">
        <f aca="false">B4330/1</f>
        <v>183.157</v>
      </c>
      <c r="H4330" s="34" t="str">
        <f aca="false">IF(F4330=1,G4330,"")</f>
        <v/>
      </c>
    </row>
    <row r="4331" customFormat="false" ht="15" hidden="false" customHeight="false" outlineLevel="0" collapsed="false">
      <c r="A4331" s="31" t="n">
        <v>42916.375</v>
      </c>
      <c r="B4331" s="32" t="n">
        <v>198.639</v>
      </c>
      <c r="D4331" s="33" t="n">
        <f aca="false">WEEKDAY(A4331,2)</f>
        <v>5</v>
      </c>
      <c r="E4331" s="33" t="n">
        <f aca="false">HOUR(A4331)+MINUTE(A4331)/60</f>
        <v>9</v>
      </c>
      <c r="F4331" s="33" t="n">
        <f aca="false">IF(OR(D4331&gt;5,E4331&lt;8,E4331&gt;=18,COUNTIF($K$2:$K$10,INT(A4331))&gt;0),1,0)</f>
        <v>0</v>
      </c>
      <c r="G4331" s="34" t="n">
        <f aca="false">B4331/1</f>
        <v>198.639</v>
      </c>
      <c r="H4331" s="34" t="str">
        <f aca="false">IF(F4331=1,G4331,"")</f>
        <v/>
      </c>
    </row>
    <row r="4332" customFormat="false" ht="15" hidden="false" customHeight="false" outlineLevel="0" collapsed="false">
      <c r="A4332" s="31" t="n">
        <v>42916.4166666667</v>
      </c>
      <c r="B4332" s="32" t="n">
        <v>209.184</v>
      </c>
      <c r="D4332" s="33" t="n">
        <f aca="false">WEEKDAY(A4332,2)</f>
        <v>5</v>
      </c>
      <c r="E4332" s="33" t="n">
        <f aca="false">HOUR(A4332)+MINUTE(A4332)/60</f>
        <v>10</v>
      </c>
      <c r="F4332" s="33" t="n">
        <f aca="false">IF(OR(D4332&gt;5,E4332&lt;8,E4332&gt;=18,COUNTIF($K$2:$K$10,INT(A4332))&gt;0),1,0)</f>
        <v>0</v>
      </c>
      <c r="G4332" s="34" t="n">
        <f aca="false">B4332/1</f>
        <v>209.184</v>
      </c>
      <c r="H4332" s="34" t="str">
        <f aca="false">IF(F4332=1,G4332,"")</f>
        <v/>
      </c>
    </row>
    <row r="4333" customFormat="false" ht="15" hidden="false" customHeight="false" outlineLevel="0" collapsed="false">
      <c r="A4333" s="31" t="n">
        <v>42916.4583333333</v>
      </c>
      <c r="B4333" s="32" t="n">
        <v>213.076</v>
      </c>
      <c r="D4333" s="33" t="n">
        <f aca="false">WEEKDAY(A4333,2)</f>
        <v>5</v>
      </c>
      <c r="E4333" s="33" t="n">
        <f aca="false">HOUR(A4333)+MINUTE(A4333)/60</f>
        <v>11</v>
      </c>
      <c r="F4333" s="33" t="n">
        <f aca="false">IF(OR(D4333&gt;5,E4333&lt;8,E4333&gt;=18,COUNTIF($K$2:$K$10,INT(A4333))&gt;0),1,0)</f>
        <v>0</v>
      </c>
      <c r="G4333" s="34" t="n">
        <f aca="false">B4333/1</f>
        <v>213.076</v>
      </c>
      <c r="H4333" s="34" t="str">
        <f aca="false">IF(F4333=1,G4333,"")</f>
        <v/>
      </c>
    </row>
    <row r="4334" customFormat="false" ht="15" hidden="false" customHeight="false" outlineLevel="0" collapsed="false">
      <c r="A4334" s="31" t="n">
        <v>42916.5</v>
      </c>
      <c r="B4334" s="32" t="n">
        <v>215.705</v>
      </c>
      <c r="D4334" s="33" t="n">
        <f aca="false">WEEKDAY(A4334,2)</f>
        <v>5</v>
      </c>
      <c r="E4334" s="33" t="n">
        <f aca="false">HOUR(A4334)+MINUTE(A4334)/60</f>
        <v>12</v>
      </c>
      <c r="F4334" s="33" t="n">
        <f aca="false">IF(OR(D4334&gt;5,E4334&lt;8,E4334&gt;=18,COUNTIF($K$2:$K$10,INT(A4334))&gt;0),1,0)</f>
        <v>0</v>
      </c>
      <c r="G4334" s="34" t="n">
        <f aca="false">B4334/1</f>
        <v>215.705</v>
      </c>
      <c r="H4334" s="34" t="str">
        <f aca="false">IF(F4334=1,G4334,"")</f>
        <v/>
      </c>
    </row>
    <row r="4335" customFormat="false" ht="15" hidden="false" customHeight="false" outlineLevel="0" collapsed="false">
      <c r="A4335" s="31" t="n">
        <v>42916.5416666667</v>
      </c>
      <c r="B4335" s="32" t="n">
        <v>213.804</v>
      </c>
      <c r="D4335" s="33" t="n">
        <f aca="false">WEEKDAY(A4335,2)</f>
        <v>5</v>
      </c>
      <c r="E4335" s="33" t="n">
        <f aca="false">HOUR(A4335)+MINUTE(A4335)/60</f>
        <v>13</v>
      </c>
      <c r="F4335" s="33" t="n">
        <f aca="false">IF(OR(D4335&gt;5,E4335&lt;8,E4335&gt;=18,COUNTIF($K$2:$K$10,INT(A4335))&gt;0),1,0)</f>
        <v>0</v>
      </c>
      <c r="G4335" s="34" t="n">
        <f aca="false">B4335/1</f>
        <v>213.804</v>
      </c>
      <c r="H4335" s="34" t="str">
        <f aca="false">IF(F4335=1,G4335,"")</f>
        <v/>
      </c>
    </row>
    <row r="4336" customFormat="false" ht="15" hidden="false" customHeight="false" outlineLevel="0" collapsed="false">
      <c r="A4336" s="31" t="n">
        <v>42916.5833333333</v>
      </c>
      <c r="B4336" s="32" t="n">
        <v>212.241</v>
      </c>
      <c r="D4336" s="33" t="n">
        <f aca="false">WEEKDAY(A4336,2)</f>
        <v>5</v>
      </c>
      <c r="E4336" s="33" t="n">
        <f aca="false">HOUR(A4336)+MINUTE(A4336)/60</f>
        <v>14</v>
      </c>
      <c r="F4336" s="33" t="n">
        <f aca="false">IF(OR(D4336&gt;5,E4336&lt;8,E4336&gt;=18,COUNTIF($K$2:$K$10,INT(A4336))&gt;0),1,0)</f>
        <v>0</v>
      </c>
      <c r="G4336" s="34" t="n">
        <f aca="false">B4336/1</f>
        <v>212.241</v>
      </c>
      <c r="H4336" s="34" t="str">
        <f aca="false">IF(F4336=1,G4336,"")</f>
        <v/>
      </c>
    </row>
    <row r="4337" customFormat="false" ht="15" hidden="false" customHeight="false" outlineLevel="0" collapsed="false">
      <c r="A4337" s="31" t="n">
        <v>42916.625</v>
      </c>
      <c r="B4337" s="32" t="n">
        <v>213.49</v>
      </c>
      <c r="D4337" s="33" t="n">
        <f aca="false">WEEKDAY(A4337,2)</f>
        <v>5</v>
      </c>
      <c r="E4337" s="33" t="n">
        <f aca="false">HOUR(A4337)+MINUTE(A4337)/60</f>
        <v>15</v>
      </c>
      <c r="F4337" s="33" t="n">
        <f aca="false">IF(OR(D4337&gt;5,E4337&lt;8,E4337&gt;=18,COUNTIF($K$2:$K$10,INT(A4337))&gt;0),1,0)</f>
        <v>0</v>
      </c>
      <c r="G4337" s="34" t="n">
        <f aca="false">B4337/1</f>
        <v>213.49</v>
      </c>
      <c r="H4337" s="34" t="str">
        <f aca="false">IF(F4337=1,G4337,"")</f>
        <v/>
      </c>
    </row>
    <row r="4338" customFormat="false" ht="15" hidden="false" customHeight="false" outlineLevel="0" collapsed="false">
      <c r="A4338" s="31" t="n">
        <v>42916.6666666667</v>
      </c>
      <c r="B4338" s="32" t="n">
        <v>210.826</v>
      </c>
      <c r="D4338" s="33" t="n">
        <f aca="false">WEEKDAY(A4338,2)</f>
        <v>5</v>
      </c>
      <c r="E4338" s="33" t="n">
        <f aca="false">HOUR(A4338)+MINUTE(A4338)/60</f>
        <v>16</v>
      </c>
      <c r="F4338" s="33" t="n">
        <f aca="false">IF(OR(D4338&gt;5,E4338&lt;8,E4338&gt;=18,COUNTIF($K$2:$K$10,INT(A4338))&gt;0),1,0)</f>
        <v>0</v>
      </c>
      <c r="G4338" s="34" t="n">
        <f aca="false">B4338/1</f>
        <v>210.826</v>
      </c>
      <c r="H4338" s="34" t="str">
        <f aca="false">IF(F4338=1,G4338,"")</f>
        <v/>
      </c>
    </row>
    <row r="4339" customFormat="false" ht="15" hidden="false" customHeight="false" outlineLevel="0" collapsed="false">
      <c r="A4339" s="31" t="n">
        <v>42916.7083333333</v>
      </c>
      <c r="B4339" s="32" t="n">
        <v>196.888</v>
      </c>
      <c r="D4339" s="33" t="n">
        <f aca="false">WEEKDAY(A4339,2)</f>
        <v>5</v>
      </c>
      <c r="E4339" s="33" t="n">
        <f aca="false">HOUR(A4339)+MINUTE(A4339)/60</f>
        <v>17</v>
      </c>
      <c r="F4339" s="33" t="n">
        <f aca="false">IF(OR(D4339&gt;5,E4339&lt;8,E4339&gt;=18,COUNTIF($K$2:$K$10,INT(A4339))&gt;0),1,0)</f>
        <v>0</v>
      </c>
      <c r="G4339" s="34" t="n">
        <f aca="false">B4339/1</f>
        <v>196.888</v>
      </c>
      <c r="H4339" s="34" t="str">
        <f aca="false">IF(F4339=1,G4339,"")</f>
        <v/>
      </c>
    </row>
    <row r="4340" customFormat="false" ht="15" hidden="false" customHeight="false" outlineLevel="0" collapsed="false">
      <c r="A4340" s="31" t="n">
        <v>42916.75</v>
      </c>
      <c r="B4340" s="32" t="n">
        <v>185.572</v>
      </c>
      <c r="D4340" s="33" t="n">
        <f aca="false">WEEKDAY(A4340,2)</f>
        <v>5</v>
      </c>
      <c r="E4340" s="33" t="n">
        <f aca="false">HOUR(A4340)+MINUTE(A4340)/60</f>
        <v>18</v>
      </c>
      <c r="F4340" s="33" t="n">
        <f aca="false">IF(OR(D4340&gt;5,E4340&lt;8,E4340&gt;=18,COUNTIF($K$2:$K$10,INT(A4340))&gt;0),1,0)</f>
        <v>1</v>
      </c>
      <c r="G4340" s="34" t="n">
        <f aca="false">B4340/1</f>
        <v>185.572</v>
      </c>
      <c r="H4340" s="34" t="n">
        <f aca="false">IF(F4340=1,G4340,"")</f>
        <v>185.572</v>
      </c>
    </row>
    <row r="4341" customFormat="false" ht="15" hidden="false" customHeight="false" outlineLevel="0" collapsed="false">
      <c r="A4341" s="31" t="n">
        <v>42916.7916666667</v>
      </c>
      <c r="B4341" s="32" t="n">
        <v>185.859</v>
      </c>
      <c r="D4341" s="33" t="n">
        <f aca="false">WEEKDAY(A4341,2)</f>
        <v>5</v>
      </c>
      <c r="E4341" s="33" t="n">
        <f aca="false">HOUR(A4341)+MINUTE(A4341)/60</f>
        <v>19</v>
      </c>
      <c r="F4341" s="33" t="n">
        <f aca="false">IF(OR(D4341&gt;5,E4341&lt;8,E4341&gt;=18,COUNTIF($K$2:$K$10,INT(A4341))&gt;0),1,0)</f>
        <v>1</v>
      </c>
      <c r="G4341" s="34" t="n">
        <f aca="false">B4341/1</f>
        <v>185.859</v>
      </c>
      <c r="H4341" s="34" t="n">
        <f aca="false">IF(F4341=1,G4341,"")</f>
        <v>185.859</v>
      </c>
    </row>
    <row r="4342" customFormat="false" ht="15" hidden="false" customHeight="false" outlineLevel="0" collapsed="false">
      <c r="A4342" s="31" t="n">
        <v>42916.8333333333</v>
      </c>
      <c r="B4342" s="32" t="n">
        <v>183.29</v>
      </c>
      <c r="D4342" s="33" t="n">
        <f aca="false">WEEKDAY(A4342,2)</f>
        <v>5</v>
      </c>
      <c r="E4342" s="33" t="n">
        <f aca="false">HOUR(A4342)+MINUTE(A4342)/60</f>
        <v>20</v>
      </c>
      <c r="F4342" s="33" t="n">
        <f aca="false">IF(OR(D4342&gt;5,E4342&lt;8,E4342&gt;=18,COUNTIF($K$2:$K$10,INT(A4342))&gt;0),1,0)</f>
        <v>1</v>
      </c>
      <c r="G4342" s="34" t="n">
        <f aca="false">B4342/1</f>
        <v>183.29</v>
      </c>
      <c r="H4342" s="34" t="n">
        <f aca="false">IF(F4342=1,G4342,"")</f>
        <v>183.29</v>
      </c>
    </row>
    <row r="4343" customFormat="false" ht="15" hidden="false" customHeight="false" outlineLevel="0" collapsed="false">
      <c r="A4343" s="31" t="n">
        <v>42916.875</v>
      </c>
      <c r="B4343" s="32" t="n">
        <v>183.37</v>
      </c>
      <c r="D4343" s="33" t="n">
        <f aca="false">WEEKDAY(A4343,2)</f>
        <v>5</v>
      </c>
      <c r="E4343" s="33" t="n">
        <f aca="false">HOUR(A4343)+MINUTE(A4343)/60</f>
        <v>21</v>
      </c>
      <c r="F4343" s="33" t="n">
        <f aca="false">IF(OR(D4343&gt;5,E4343&lt;8,E4343&gt;=18,COUNTIF($K$2:$K$10,INT(A4343))&gt;0),1,0)</f>
        <v>1</v>
      </c>
      <c r="G4343" s="34" t="n">
        <f aca="false">B4343/1</f>
        <v>183.37</v>
      </c>
      <c r="H4343" s="34" t="n">
        <f aca="false">IF(F4343=1,G4343,"")</f>
        <v>183.37</v>
      </c>
    </row>
    <row r="4344" customFormat="false" ht="15" hidden="false" customHeight="false" outlineLevel="0" collapsed="false">
      <c r="A4344" s="31" t="n">
        <v>42916.9166666667</v>
      </c>
      <c r="B4344" s="32" t="n">
        <v>134.181</v>
      </c>
      <c r="D4344" s="33" t="n">
        <f aca="false">WEEKDAY(A4344,2)</f>
        <v>5</v>
      </c>
      <c r="E4344" s="33" t="n">
        <f aca="false">HOUR(A4344)+MINUTE(A4344)/60</f>
        <v>22</v>
      </c>
      <c r="F4344" s="33" t="n">
        <f aca="false">IF(OR(D4344&gt;5,E4344&lt;8,E4344&gt;=18,COUNTIF($K$2:$K$10,INT(A4344))&gt;0),1,0)</f>
        <v>1</v>
      </c>
      <c r="G4344" s="34" t="n">
        <f aca="false">B4344/1</f>
        <v>134.181</v>
      </c>
      <c r="H4344" s="34" t="n">
        <f aca="false">IF(F4344=1,G4344,"")</f>
        <v>134.181</v>
      </c>
    </row>
    <row r="4345" customFormat="false" ht="15" hidden="false" customHeight="false" outlineLevel="0" collapsed="false">
      <c r="A4345" s="31" t="n">
        <v>42916.9583333333</v>
      </c>
      <c r="B4345" s="32" t="n">
        <v>77.079</v>
      </c>
      <c r="D4345" s="33" t="n">
        <f aca="false">WEEKDAY(A4345,2)</f>
        <v>5</v>
      </c>
      <c r="E4345" s="33" t="n">
        <f aca="false">HOUR(A4345)+MINUTE(A4345)/60</f>
        <v>23</v>
      </c>
      <c r="F4345" s="33" t="n">
        <f aca="false">IF(OR(D4345&gt;5,E4345&lt;8,E4345&gt;=18,COUNTIF($K$2:$K$10,INT(A4345))&gt;0),1,0)</f>
        <v>1</v>
      </c>
      <c r="G4345" s="34" t="n">
        <f aca="false">B4345/1</f>
        <v>77.079</v>
      </c>
      <c r="H4345" s="34" t="n">
        <f aca="false">IF(F4345=1,G4345,"")</f>
        <v>77.079</v>
      </c>
    </row>
    <row r="4346" customFormat="false" ht="15" hidden="false" customHeight="false" outlineLevel="0" collapsed="false">
      <c r="A4346" s="31" t="n">
        <v>42917</v>
      </c>
      <c r="B4346" s="32" t="n">
        <v>76.218</v>
      </c>
      <c r="D4346" s="33" t="n">
        <f aca="false">WEEKDAY(A4346,2)</f>
        <v>6</v>
      </c>
      <c r="E4346" s="33" t="n">
        <f aca="false">HOUR(A4346)+MINUTE(A4346)/60</f>
        <v>0</v>
      </c>
      <c r="F4346" s="33" t="n">
        <f aca="false">IF(OR(D4346&gt;5,E4346&lt;8,E4346&gt;=18,COUNTIF($K$2:$K$10,INT(A4346))&gt;0),1,0)</f>
        <v>1</v>
      </c>
      <c r="G4346" s="34" t="n">
        <f aca="false">B4346/1</f>
        <v>76.218</v>
      </c>
      <c r="H4346" s="34" t="n">
        <f aca="false">IF(F4346=1,G4346,"")</f>
        <v>76.218</v>
      </c>
    </row>
    <row r="4347" customFormat="false" ht="15" hidden="false" customHeight="false" outlineLevel="0" collapsed="false">
      <c r="A4347" s="31" t="n">
        <v>42917.0416666667</v>
      </c>
      <c r="B4347" s="32" t="n">
        <v>71.907</v>
      </c>
      <c r="D4347" s="33" t="n">
        <f aca="false">WEEKDAY(A4347,2)</f>
        <v>6</v>
      </c>
      <c r="E4347" s="33" t="n">
        <f aca="false">HOUR(A4347)+MINUTE(A4347)/60</f>
        <v>1</v>
      </c>
      <c r="F4347" s="33" t="n">
        <f aca="false">IF(OR(D4347&gt;5,E4347&lt;8,E4347&gt;=18,COUNTIF($K$2:$K$10,INT(A4347))&gt;0),1,0)</f>
        <v>1</v>
      </c>
      <c r="G4347" s="34" t="n">
        <f aca="false">B4347/1</f>
        <v>71.907</v>
      </c>
      <c r="H4347" s="34" t="n">
        <f aca="false">IF(F4347=1,G4347,"")</f>
        <v>71.907</v>
      </c>
    </row>
    <row r="4348" customFormat="false" ht="15" hidden="false" customHeight="false" outlineLevel="0" collapsed="false">
      <c r="A4348" s="31" t="n">
        <v>42917.0833333333</v>
      </c>
      <c r="B4348" s="32" t="n">
        <v>71.404</v>
      </c>
      <c r="D4348" s="33" t="n">
        <f aca="false">WEEKDAY(A4348,2)</f>
        <v>6</v>
      </c>
      <c r="E4348" s="33" t="n">
        <f aca="false">HOUR(A4348)+MINUTE(A4348)/60</f>
        <v>2</v>
      </c>
      <c r="F4348" s="33" t="n">
        <f aca="false">IF(OR(D4348&gt;5,E4348&lt;8,E4348&gt;=18,COUNTIF($K$2:$K$10,INT(A4348))&gt;0),1,0)</f>
        <v>1</v>
      </c>
      <c r="G4348" s="34" t="n">
        <f aca="false">B4348/1</f>
        <v>71.404</v>
      </c>
      <c r="H4348" s="34" t="n">
        <f aca="false">IF(F4348=1,G4348,"")</f>
        <v>71.404</v>
      </c>
    </row>
    <row r="4349" customFormat="false" ht="15" hidden="false" customHeight="false" outlineLevel="0" collapsed="false">
      <c r="A4349" s="31" t="n">
        <v>42917.125</v>
      </c>
      <c r="B4349" s="32" t="n">
        <v>71.151</v>
      </c>
      <c r="D4349" s="33" t="n">
        <f aca="false">WEEKDAY(A4349,2)</f>
        <v>6</v>
      </c>
      <c r="E4349" s="33" t="n">
        <f aca="false">HOUR(A4349)+MINUTE(A4349)/60</f>
        <v>3</v>
      </c>
      <c r="F4349" s="33" t="n">
        <f aca="false">IF(OR(D4349&gt;5,E4349&lt;8,E4349&gt;=18,COUNTIF($K$2:$K$10,INT(A4349))&gt;0),1,0)</f>
        <v>1</v>
      </c>
      <c r="G4349" s="34" t="n">
        <f aca="false">B4349/1</f>
        <v>71.151</v>
      </c>
      <c r="H4349" s="34" t="n">
        <f aca="false">IF(F4349=1,G4349,"")</f>
        <v>71.151</v>
      </c>
    </row>
    <row r="4350" customFormat="false" ht="15" hidden="false" customHeight="false" outlineLevel="0" collapsed="false">
      <c r="A4350" s="31" t="n">
        <v>42917.1666666667</v>
      </c>
      <c r="B4350" s="32" t="n">
        <v>71.497</v>
      </c>
      <c r="D4350" s="33" t="n">
        <f aca="false">WEEKDAY(A4350,2)</f>
        <v>6</v>
      </c>
      <c r="E4350" s="33" t="n">
        <f aca="false">HOUR(A4350)+MINUTE(A4350)/60</f>
        <v>4</v>
      </c>
      <c r="F4350" s="33" t="n">
        <f aca="false">IF(OR(D4350&gt;5,E4350&lt;8,E4350&gt;=18,COUNTIF($K$2:$K$10,INT(A4350))&gt;0),1,0)</f>
        <v>1</v>
      </c>
      <c r="G4350" s="34" t="n">
        <f aca="false">B4350/1</f>
        <v>71.497</v>
      </c>
      <c r="H4350" s="34" t="n">
        <f aca="false">IF(F4350=1,G4350,"")</f>
        <v>71.497</v>
      </c>
    </row>
    <row r="4351" customFormat="false" ht="15" hidden="false" customHeight="false" outlineLevel="0" collapsed="false">
      <c r="A4351" s="31" t="n">
        <v>42917.2083333333</v>
      </c>
      <c r="B4351" s="32" t="n">
        <v>70.55</v>
      </c>
      <c r="D4351" s="33" t="n">
        <f aca="false">WEEKDAY(A4351,2)</f>
        <v>6</v>
      </c>
      <c r="E4351" s="33" t="n">
        <f aca="false">HOUR(A4351)+MINUTE(A4351)/60</f>
        <v>5</v>
      </c>
      <c r="F4351" s="33" t="n">
        <f aca="false">IF(OR(D4351&gt;5,E4351&lt;8,E4351&gt;=18,COUNTIF($K$2:$K$10,INT(A4351))&gt;0),1,0)</f>
        <v>1</v>
      </c>
      <c r="G4351" s="34" t="n">
        <f aca="false">B4351/1</f>
        <v>70.55</v>
      </c>
      <c r="H4351" s="34" t="n">
        <f aca="false">IF(F4351=1,G4351,"")</f>
        <v>70.55</v>
      </c>
    </row>
    <row r="4352" customFormat="false" ht="15" hidden="false" customHeight="false" outlineLevel="0" collapsed="false">
      <c r="A4352" s="31" t="n">
        <v>42917.25</v>
      </c>
      <c r="B4352" s="32" t="n">
        <v>71.481</v>
      </c>
      <c r="D4352" s="33" t="n">
        <f aca="false">WEEKDAY(A4352,2)</f>
        <v>6</v>
      </c>
      <c r="E4352" s="33" t="n">
        <f aca="false">HOUR(A4352)+MINUTE(A4352)/60</f>
        <v>6</v>
      </c>
      <c r="F4352" s="33" t="n">
        <f aca="false">IF(OR(D4352&gt;5,E4352&lt;8,E4352&gt;=18,COUNTIF($K$2:$K$10,INT(A4352))&gt;0),1,0)</f>
        <v>1</v>
      </c>
      <c r="G4352" s="34" t="n">
        <f aca="false">B4352/1</f>
        <v>71.481</v>
      </c>
      <c r="H4352" s="34" t="n">
        <f aca="false">IF(F4352=1,G4352,"")</f>
        <v>71.481</v>
      </c>
    </row>
    <row r="4353" customFormat="false" ht="15" hidden="false" customHeight="false" outlineLevel="0" collapsed="false">
      <c r="A4353" s="31" t="n">
        <v>42917.2916666667</v>
      </c>
      <c r="B4353" s="32" t="n">
        <v>68.653</v>
      </c>
      <c r="D4353" s="33" t="n">
        <f aca="false">WEEKDAY(A4353,2)</f>
        <v>6</v>
      </c>
      <c r="E4353" s="33" t="n">
        <f aca="false">HOUR(A4353)+MINUTE(A4353)/60</f>
        <v>7</v>
      </c>
      <c r="F4353" s="33" t="n">
        <f aca="false">IF(OR(D4353&gt;5,E4353&lt;8,E4353&gt;=18,COUNTIF($K$2:$K$10,INT(A4353))&gt;0),1,0)</f>
        <v>1</v>
      </c>
      <c r="G4353" s="34" t="n">
        <f aca="false">B4353/1</f>
        <v>68.653</v>
      </c>
      <c r="H4353" s="34" t="n">
        <f aca="false">IF(F4353=1,G4353,"")</f>
        <v>68.653</v>
      </c>
    </row>
    <row r="4354" customFormat="false" ht="15" hidden="false" customHeight="false" outlineLevel="0" collapsed="false">
      <c r="A4354" s="31" t="n">
        <v>42917.3333333333</v>
      </c>
      <c r="B4354" s="32" t="n">
        <v>134.017</v>
      </c>
      <c r="D4354" s="33" t="n">
        <f aca="false">WEEKDAY(A4354,2)</f>
        <v>6</v>
      </c>
      <c r="E4354" s="33" t="n">
        <f aca="false">HOUR(A4354)+MINUTE(A4354)/60</f>
        <v>8</v>
      </c>
      <c r="F4354" s="33" t="n">
        <f aca="false">IF(OR(D4354&gt;5,E4354&lt;8,E4354&gt;=18,COUNTIF($K$2:$K$10,INT(A4354))&gt;0),1,0)</f>
        <v>1</v>
      </c>
      <c r="G4354" s="34" t="n">
        <f aca="false">B4354/1</f>
        <v>134.017</v>
      </c>
      <c r="H4354" s="34" t="n">
        <f aca="false">IF(F4354=1,G4354,"")</f>
        <v>134.017</v>
      </c>
    </row>
    <row r="4355" customFormat="false" ht="15" hidden="false" customHeight="false" outlineLevel="0" collapsed="false">
      <c r="A4355" s="31" t="n">
        <v>42917.375</v>
      </c>
      <c r="B4355" s="32" t="n">
        <v>182.099</v>
      </c>
      <c r="D4355" s="33" t="n">
        <f aca="false">WEEKDAY(A4355,2)</f>
        <v>6</v>
      </c>
      <c r="E4355" s="33" t="n">
        <f aca="false">HOUR(A4355)+MINUTE(A4355)/60</f>
        <v>9</v>
      </c>
      <c r="F4355" s="33" t="n">
        <f aca="false">IF(OR(D4355&gt;5,E4355&lt;8,E4355&gt;=18,COUNTIF($K$2:$K$10,INT(A4355))&gt;0),1,0)</f>
        <v>1</v>
      </c>
      <c r="G4355" s="34" t="n">
        <f aca="false">B4355/1</f>
        <v>182.099</v>
      </c>
      <c r="H4355" s="34" t="n">
        <f aca="false">IF(F4355=1,G4355,"")</f>
        <v>182.099</v>
      </c>
    </row>
    <row r="4356" customFormat="false" ht="15" hidden="false" customHeight="false" outlineLevel="0" collapsed="false">
      <c r="A4356" s="31" t="n">
        <v>42917.4166666667</v>
      </c>
      <c r="B4356" s="32" t="n">
        <v>182.909</v>
      </c>
      <c r="D4356" s="33" t="n">
        <f aca="false">WEEKDAY(A4356,2)</f>
        <v>6</v>
      </c>
      <c r="E4356" s="33" t="n">
        <f aca="false">HOUR(A4356)+MINUTE(A4356)/60</f>
        <v>10</v>
      </c>
      <c r="F4356" s="33" t="n">
        <f aca="false">IF(OR(D4356&gt;5,E4356&lt;8,E4356&gt;=18,COUNTIF($K$2:$K$10,INT(A4356))&gt;0),1,0)</f>
        <v>1</v>
      </c>
      <c r="G4356" s="34" t="n">
        <f aca="false">B4356/1</f>
        <v>182.909</v>
      </c>
      <c r="H4356" s="34" t="n">
        <f aca="false">IF(F4356=1,G4356,"")</f>
        <v>182.909</v>
      </c>
    </row>
    <row r="4357" customFormat="false" ht="15" hidden="false" customHeight="false" outlineLevel="0" collapsed="false">
      <c r="A4357" s="31" t="n">
        <v>42917.4583333333</v>
      </c>
      <c r="B4357" s="32" t="n">
        <v>180.836</v>
      </c>
      <c r="D4357" s="33" t="n">
        <f aca="false">WEEKDAY(A4357,2)</f>
        <v>6</v>
      </c>
      <c r="E4357" s="33" t="n">
        <f aca="false">HOUR(A4357)+MINUTE(A4357)/60</f>
        <v>11</v>
      </c>
      <c r="F4357" s="33" t="n">
        <f aca="false">IF(OR(D4357&gt;5,E4357&lt;8,E4357&gt;=18,COUNTIF($K$2:$K$10,INT(A4357))&gt;0),1,0)</f>
        <v>1</v>
      </c>
      <c r="G4357" s="34" t="n">
        <f aca="false">B4357/1</f>
        <v>180.836</v>
      </c>
      <c r="H4357" s="34" t="n">
        <f aca="false">IF(F4357=1,G4357,"")</f>
        <v>180.836</v>
      </c>
    </row>
    <row r="4358" customFormat="false" ht="15" hidden="false" customHeight="false" outlineLevel="0" collapsed="false">
      <c r="A4358" s="31" t="n">
        <v>42917.5</v>
      </c>
      <c r="B4358" s="32" t="n">
        <v>178.805</v>
      </c>
      <c r="D4358" s="33" t="n">
        <f aca="false">WEEKDAY(A4358,2)</f>
        <v>6</v>
      </c>
      <c r="E4358" s="33" t="n">
        <f aca="false">HOUR(A4358)+MINUTE(A4358)/60</f>
        <v>12</v>
      </c>
      <c r="F4358" s="33" t="n">
        <f aca="false">IF(OR(D4358&gt;5,E4358&lt;8,E4358&gt;=18,COUNTIF($K$2:$K$10,INT(A4358))&gt;0),1,0)</f>
        <v>1</v>
      </c>
      <c r="G4358" s="34" t="n">
        <f aca="false">B4358/1</f>
        <v>178.805</v>
      </c>
      <c r="H4358" s="34" t="n">
        <f aca="false">IF(F4358=1,G4358,"")</f>
        <v>178.805</v>
      </c>
    </row>
    <row r="4359" customFormat="false" ht="15" hidden="false" customHeight="false" outlineLevel="0" collapsed="false">
      <c r="A4359" s="31" t="n">
        <v>42917.5416666667</v>
      </c>
      <c r="B4359" s="32" t="n">
        <v>173.415</v>
      </c>
      <c r="D4359" s="33" t="n">
        <f aca="false">WEEKDAY(A4359,2)</f>
        <v>6</v>
      </c>
      <c r="E4359" s="33" t="n">
        <f aca="false">HOUR(A4359)+MINUTE(A4359)/60</f>
        <v>13</v>
      </c>
      <c r="F4359" s="33" t="n">
        <f aca="false">IF(OR(D4359&gt;5,E4359&lt;8,E4359&gt;=18,COUNTIF($K$2:$K$10,INT(A4359))&gt;0),1,0)</f>
        <v>1</v>
      </c>
      <c r="G4359" s="34" t="n">
        <f aca="false">B4359/1</f>
        <v>173.415</v>
      </c>
      <c r="H4359" s="34" t="n">
        <f aca="false">IF(F4359=1,G4359,"")</f>
        <v>173.415</v>
      </c>
    </row>
    <row r="4360" customFormat="false" ht="15" hidden="false" customHeight="false" outlineLevel="0" collapsed="false">
      <c r="A4360" s="31" t="n">
        <v>42917.5833333333</v>
      </c>
      <c r="B4360" s="32" t="n">
        <v>156.803</v>
      </c>
      <c r="D4360" s="33" t="n">
        <f aca="false">WEEKDAY(A4360,2)</f>
        <v>6</v>
      </c>
      <c r="E4360" s="33" t="n">
        <f aca="false">HOUR(A4360)+MINUTE(A4360)/60</f>
        <v>14</v>
      </c>
      <c r="F4360" s="33" t="n">
        <f aca="false">IF(OR(D4360&gt;5,E4360&lt;8,E4360&gt;=18,COUNTIF($K$2:$K$10,INT(A4360))&gt;0),1,0)</f>
        <v>1</v>
      </c>
      <c r="G4360" s="34" t="n">
        <f aca="false">B4360/1</f>
        <v>156.803</v>
      </c>
      <c r="H4360" s="34" t="n">
        <f aca="false">IF(F4360=1,G4360,"")</f>
        <v>156.803</v>
      </c>
    </row>
    <row r="4361" customFormat="false" ht="15" hidden="false" customHeight="false" outlineLevel="0" collapsed="false">
      <c r="A4361" s="31" t="n">
        <v>42917.625</v>
      </c>
      <c r="B4361" s="32" t="n">
        <v>151.831</v>
      </c>
      <c r="D4361" s="33" t="n">
        <f aca="false">WEEKDAY(A4361,2)</f>
        <v>6</v>
      </c>
      <c r="E4361" s="33" t="n">
        <f aca="false">HOUR(A4361)+MINUTE(A4361)/60</f>
        <v>15</v>
      </c>
      <c r="F4361" s="33" t="n">
        <f aca="false">IF(OR(D4361&gt;5,E4361&lt;8,E4361&gt;=18,COUNTIF($K$2:$K$10,INT(A4361))&gt;0),1,0)</f>
        <v>1</v>
      </c>
      <c r="G4361" s="34" t="n">
        <f aca="false">B4361/1</f>
        <v>151.831</v>
      </c>
      <c r="H4361" s="34" t="n">
        <f aca="false">IF(F4361=1,G4361,"")</f>
        <v>151.831</v>
      </c>
    </row>
    <row r="4362" customFormat="false" ht="15" hidden="false" customHeight="false" outlineLevel="0" collapsed="false">
      <c r="A4362" s="31" t="n">
        <v>42917.6666666667</v>
      </c>
      <c r="B4362" s="32" t="n">
        <v>153.384</v>
      </c>
      <c r="D4362" s="33" t="n">
        <f aca="false">WEEKDAY(A4362,2)</f>
        <v>6</v>
      </c>
      <c r="E4362" s="33" t="n">
        <f aca="false">HOUR(A4362)+MINUTE(A4362)/60</f>
        <v>16</v>
      </c>
      <c r="F4362" s="33" t="n">
        <f aca="false">IF(OR(D4362&gt;5,E4362&lt;8,E4362&gt;=18,COUNTIF($K$2:$K$10,INT(A4362))&gt;0),1,0)</f>
        <v>1</v>
      </c>
      <c r="G4362" s="34" t="n">
        <f aca="false">B4362/1</f>
        <v>153.384</v>
      </c>
      <c r="H4362" s="34" t="n">
        <f aca="false">IF(F4362=1,G4362,"")</f>
        <v>153.384</v>
      </c>
    </row>
    <row r="4363" customFormat="false" ht="15" hidden="false" customHeight="false" outlineLevel="0" collapsed="false">
      <c r="A4363" s="31" t="n">
        <v>42917.7083333333</v>
      </c>
      <c r="B4363" s="32" t="n">
        <v>148.664</v>
      </c>
      <c r="D4363" s="33" t="n">
        <f aca="false">WEEKDAY(A4363,2)</f>
        <v>6</v>
      </c>
      <c r="E4363" s="33" t="n">
        <f aca="false">HOUR(A4363)+MINUTE(A4363)/60</f>
        <v>17</v>
      </c>
      <c r="F4363" s="33" t="n">
        <f aca="false">IF(OR(D4363&gt;5,E4363&lt;8,E4363&gt;=18,COUNTIF($K$2:$K$10,INT(A4363))&gt;0),1,0)</f>
        <v>1</v>
      </c>
      <c r="G4363" s="34" t="n">
        <f aca="false">B4363/1</f>
        <v>148.664</v>
      </c>
      <c r="H4363" s="34" t="n">
        <f aca="false">IF(F4363=1,G4363,"")</f>
        <v>148.664</v>
      </c>
    </row>
    <row r="4364" customFormat="false" ht="15" hidden="false" customHeight="false" outlineLevel="0" collapsed="false">
      <c r="A4364" s="31" t="n">
        <v>42917.75</v>
      </c>
      <c r="B4364" s="32" t="n">
        <v>60.955</v>
      </c>
      <c r="D4364" s="33" t="n">
        <f aca="false">WEEKDAY(A4364,2)</f>
        <v>6</v>
      </c>
      <c r="E4364" s="33" t="n">
        <f aca="false">HOUR(A4364)+MINUTE(A4364)/60</f>
        <v>18</v>
      </c>
      <c r="F4364" s="33" t="n">
        <f aca="false">IF(OR(D4364&gt;5,E4364&lt;8,E4364&gt;=18,COUNTIF($K$2:$K$10,INT(A4364))&gt;0),1,0)</f>
        <v>1</v>
      </c>
      <c r="G4364" s="34" t="n">
        <f aca="false">B4364/1</f>
        <v>60.955</v>
      </c>
      <c r="H4364" s="34" t="n">
        <f aca="false">IF(F4364=1,G4364,"")</f>
        <v>60.955</v>
      </c>
    </row>
    <row r="4365" customFormat="false" ht="15" hidden="false" customHeight="false" outlineLevel="0" collapsed="false">
      <c r="A4365" s="31" t="n">
        <v>42917.7916666667</v>
      </c>
      <c r="B4365" s="32" t="n">
        <v>43.145</v>
      </c>
      <c r="D4365" s="33" t="n">
        <f aca="false">WEEKDAY(A4365,2)</f>
        <v>6</v>
      </c>
      <c r="E4365" s="33" t="n">
        <f aca="false">HOUR(A4365)+MINUTE(A4365)/60</f>
        <v>19</v>
      </c>
      <c r="F4365" s="33" t="n">
        <f aca="false">IF(OR(D4365&gt;5,E4365&lt;8,E4365&gt;=18,COUNTIF($K$2:$K$10,INT(A4365))&gt;0),1,0)</f>
        <v>1</v>
      </c>
      <c r="G4365" s="34" t="n">
        <f aca="false">B4365/1</f>
        <v>43.145</v>
      </c>
      <c r="H4365" s="34" t="n">
        <f aca="false">IF(F4365=1,G4365,"")</f>
        <v>43.145</v>
      </c>
    </row>
    <row r="4366" customFormat="false" ht="15" hidden="false" customHeight="false" outlineLevel="0" collapsed="false">
      <c r="A4366" s="31" t="n">
        <v>42917.8333333333</v>
      </c>
      <c r="B4366" s="32" t="n">
        <v>42.185</v>
      </c>
      <c r="D4366" s="33" t="n">
        <f aca="false">WEEKDAY(A4366,2)</f>
        <v>6</v>
      </c>
      <c r="E4366" s="33" t="n">
        <f aca="false">HOUR(A4366)+MINUTE(A4366)/60</f>
        <v>20</v>
      </c>
      <c r="F4366" s="33" t="n">
        <f aca="false">IF(OR(D4366&gt;5,E4366&lt;8,E4366&gt;=18,COUNTIF($K$2:$K$10,INT(A4366))&gt;0),1,0)</f>
        <v>1</v>
      </c>
      <c r="G4366" s="34" t="n">
        <f aca="false">B4366/1</f>
        <v>42.185</v>
      </c>
      <c r="H4366" s="34" t="n">
        <f aca="false">IF(F4366=1,G4366,"")</f>
        <v>42.185</v>
      </c>
    </row>
    <row r="4367" customFormat="false" ht="15" hidden="false" customHeight="false" outlineLevel="0" collapsed="false">
      <c r="A4367" s="31" t="n">
        <v>42917.875</v>
      </c>
      <c r="B4367" s="32" t="n">
        <v>42.461</v>
      </c>
      <c r="D4367" s="33" t="n">
        <f aca="false">WEEKDAY(A4367,2)</f>
        <v>6</v>
      </c>
      <c r="E4367" s="33" t="n">
        <f aca="false">HOUR(A4367)+MINUTE(A4367)/60</f>
        <v>21</v>
      </c>
      <c r="F4367" s="33" t="n">
        <f aca="false">IF(OR(D4367&gt;5,E4367&lt;8,E4367&gt;=18,COUNTIF($K$2:$K$10,INT(A4367))&gt;0),1,0)</f>
        <v>1</v>
      </c>
      <c r="G4367" s="34" t="n">
        <f aca="false">B4367/1</f>
        <v>42.461</v>
      </c>
      <c r="H4367" s="34" t="n">
        <f aca="false">IF(F4367=1,G4367,"")</f>
        <v>42.461</v>
      </c>
    </row>
    <row r="4368" customFormat="false" ht="15" hidden="false" customHeight="false" outlineLevel="0" collapsed="false">
      <c r="A4368" s="31" t="n">
        <v>42917.9166666667</v>
      </c>
      <c r="B4368" s="32" t="n">
        <v>44.691</v>
      </c>
      <c r="D4368" s="33" t="n">
        <f aca="false">WEEKDAY(A4368,2)</f>
        <v>6</v>
      </c>
      <c r="E4368" s="33" t="n">
        <f aca="false">HOUR(A4368)+MINUTE(A4368)/60</f>
        <v>22</v>
      </c>
      <c r="F4368" s="33" t="n">
        <f aca="false">IF(OR(D4368&gt;5,E4368&lt;8,E4368&gt;=18,COUNTIF($K$2:$K$10,INT(A4368))&gt;0),1,0)</f>
        <v>1</v>
      </c>
      <c r="G4368" s="34" t="n">
        <f aca="false">B4368/1</f>
        <v>44.691</v>
      </c>
      <c r="H4368" s="34" t="n">
        <f aca="false">IF(F4368=1,G4368,"")</f>
        <v>44.691</v>
      </c>
    </row>
    <row r="4369" customFormat="false" ht="15" hidden="false" customHeight="false" outlineLevel="0" collapsed="false">
      <c r="A4369" s="31" t="n">
        <v>42917.9583333333</v>
      </c>
      <c r="B4369" s="32" t="n">
        <v>44.882</v>
      </c>
      <c r="D4369" s="33" t="n">
        <f aca="false">WEEKDAY(A4369,2)</f>
        <v>6</v>
      </c>
      <c r="E4369" s="33" t="n">
        <f aca="false">HOUR(A4369)+MINUTE(A4369)/60</f>
        <v>23</v>
      </c>
      <c r="F4369" s="33" t="n">
        <f aca="false">IF(OR(D4369&gt;5,E4369&lt;8,E4369&gt;=18,COUNTIF($K$2:$K$10,INT(A4369))&gt;0),1,0)</f>
        <v>1</v>
      </c>
      <c r="G4369" s="34" t="n">
        <f aca="false">B4369/1</f>
        <v>44.882</v>
      </c>
      <c r="H4369" s="34" t="n">
        <f aca="false">IF(F4369=1,G4369,"")</f>
        <v>44.882</v>
      </c>
    </row>
    <row r="4370" customFormat="false" ht="15" hidden="false" customHeight="false" outlineLevel="0" collapsed="false">
      <c r="A4370" s="31" t="n">
        <v>42918</v>
      </c>
      <c r="B4370" s="32" t="n">
        <v>44.632</v>
      </c>
      <c r="D4370" s="33" t="n">
        <f aca="false">WEEKDAY(A4370,2)</f>
        <v>7</v>
      </c>
      <c r="E4370" s="33" t="n">
        <f aca="false">HOUR(A4370)+MINUTE(A4370)/60</f>
        <v>0</v>
      </c>
      <c r="F4370" s="33" t="n">
        <f aca="false">IF(OR(D4370&gt;5,E4370&lt;8,E4370&gt;=18,COUNTIF($K$2:$K$10,INT(A4370))&gt;0),1,0)</f>
        <v>1</v>
      </c>
      <c r="G4370" s="34" t="n">
        <f aca="false">B4370/1</f>
        <v>44.632</v>
      </c>
      <c r="H4370" s="34" t="n">
        <f aca="false">IF(F4370=1,G4370,"")</f>
        <v>44.632</v>
      </c>
    </row>
    <row r="4371" customFormat="false" ht="15" hidden="false" customHeight="false" outlineLevel="0" collapsed="false">
      <c r="A4371" s="31" t="n">
        <v>42918.0416666667</v>
      </c>
      <c r="B4371" s="32" t="n">
        <v>44.695</v>
      </c>
      <c r="D4371" s="33" t="n">
        <f aca="false">WEEKDAY(A4371,2)</f>
        <v>7</v>
      </c>
      <c r="E4371" s="33" t="n">
        <f aca="false">HOUR(A4371)+MINUTE(A4371)/60</f>
        <v>1</v>
      </c>
      <c r="F4371" s="33" t="n">
        <f aca="false">IF(OR(D4371&gt;5,E4371&lt;8,E4371&gt;=18,COUNTIF($K$2:$K$10,INT(A4371))&gt;0),1,0)</f>
        <v>1</v>
      </c>
      <c r="G4371" s="34" t="n">
        <f aca="false">B4371/1</f>
        <v>44.695</v>
      </c>
      <c r="H4371" s="34" t="n">
        <f aca="false">IF(F4371=1,G4371,"")</f>
        <v>44.695</v>
      </c>
    </row>
    <row r="4372" customFormat="false" ht="15" hidden="false" customHeight="false" outlineLevel="0" collapsed="false">
      <c r="A4372" s="31" t="n">
        <v>42918.0833333333</v>
      </c>
      <c r="B4372" s="32" t="n">
        <v>44.895</v>
      </c>
      <c r="D4372" s="33" t="n">
        <f aca="false">WEEKDAY(A4372,2)</f>
        <v>7</v>
      </c>
      <c r="E4372" s="33" t="n">
        <f aca="false">HOUR(A4372)+MINUTE(A4372)/60</f>
        <v>2</v>
      </c>
      <c r="F4372" s="33" t="n">
        <f aca="false">IF(OR(D4372&gt;5,E4372&lt;8,E4372&gt;=18,COUNTIF($K$2:$K$10,INT(A4372))&gt;0),1,0)</f>
        <v>1</v>
      </c>
      <c r="G4372" s="34" t="n">
        <f aca="false">B4372/1</f>
        <v>44.895</v>
      </c>
      <c r="H4372" s="34" t="n">
        <f aca="false">IF(F4372=1,G4372,"")</f>
        <v>44.895</v>
      </c>
    </row>
    <row r="4373" customFormat="false" ht="15" hidden="false" customHeight="false" outlineLevel="0" collapsed="false">
      <c r="A4373" s="31" t="n">
        <v>42918.125</v>
      </c>
      <c r="B4373" s="32" t="n">
        <v>44.752</v>
      </c>
      <c r="D4373" s="33" t="n">
        <f aca="false">WEEKDAY(A4373,2)</f>
        <v>7</v>
      </c>
      <c r="E4373" s="33" t="n">
        <f aca="false">HOUR(A4373)+MINUTE(A4373)/60</f>
        <v>3</v>
      </c>
      <c r="F4373" s="33" t="n">
        <f aca="false">IF(OR(D4373&gt;5,E4373&lt;8,E4373&gt;=18,COUNTIF($K$2:$K$10,INT(A4373))&gt;0),1,0)</f>
        <v>1</v>
      </c>
      <c r="G4373" s="34" t="n">
        <f aca="false">B4373/1</f>
        <v>44.752</v>
      </c>
      <c r="H4373" s="34" t="n">
        <f aca="false">IF(F4373=1,G4373,"")</f>
        <v>44.752</v>
      </c>
    </row>
    <row r="4374" customFormat="false" ht="15" hidden="false" customHeight="false" outlineLevel="0" collapsed="false">
      <c r="A4374" s="31" t="n">
        <v>42918.1666666667</v>
      </c>
      <c r="B4374" s="32" t="n">
        <v>44.921</v>
      </c>
      <c r="D4374" s="33" t="n">
        <f aca="false">WEEKDAY(A4374,2)</f>
        <v>7</v>
      </c>
      <c r="E4374" s="33" t="n">
        <f aca="false">HOUR(A4374)+MINUTE(A4374)/60</f>
        <v>4</v>
      </c>
      <c r="F4374" s="33" t="n">
        <f aca="false">IF(OR(D4374&gt;5,E4374&lt;8,E4374&gt;=18,COUNTIF($K$2:$K$10,INT(A4374))&gt;0),1,0)</f>
        <v>1</v>
      </c>
      <c r="G4374" s="34" t="n">
        <f aca="false">B4374/1</f>
        <v>44.921</v>
      </c>
      <c r="H4374" s="34" t="n">
        <f aca="false">IF(F4374=1,G4374,"")</f>
        <v>44.921</v>
      </c>
    </row>
    <row r="4375" customFormat="false" ht="15" hidden="false" customHeight="false" outlineLevel="0" collapsed="false">
      <c r="A4375" s="31" t="n">
        <v>42918.2083333333</v>
      </c>
      <c r="B4375" s="32" t="n">
        <v>44.972</v>
      </c>
      <c r="D4375" s="33" t="n">
        <f aca="false">WEEKDAY(A4375,2)</f>
        <v>7</v>
      </c>
      <c r="E4375" s="33" t="n">
        <f aca="false">HOUR(A4375)+MINUTE(A4375)/60</f>
        <v>5</v>
      </c>
      <c r="F4375" s="33" t="n">
        <f aca="false">IF(OR(D4375&gt;5,E4375&lt;8,E4375&gt;=18,COUNTIF($K$2:$K$10,INT(A4375))&gt;0),1,0)</f>
        <v>1</v>
      </c>
      <c r="G4375" s="34" t="n">
        <f aca="false">B4375/1</f>
        <v>44.972</v>
      </c>
      <c r="H4375" s="34" t="n">
        <f aca="false">IF(F4375=1,G4375,"")</f>
        <v>44.972</v>
      </c>
    </row>
    <row r="4376" customFormat="false" ht="15" hidden="false" customHeight="false" outlineLevel="0" collapsed="false">
      <c r="A4376" s="31" t="n">
        <v>42918.25</v>
      </c>
      <c r="B4376" s="32" t="n">
        <v>45.162</v>
      </c>
      <c r="D4376" s="33" t="n">
        <f aca="false">WEEKDAY(A4376,2)</f>
        <v>7</v>
      </c>
      <c r="E4376" s="33" t="n">
        <f aca="false">HOUR(A4376)+MINUTE(A4376)/60</f>
        <v>6</v>
      </c>
      <c r="F4376" s="33" t="n">
        <f aca="false">IF(OR(D4376&gt;5,E4376&lt;8,E4376&gt;=18,COUNTIF($K$2:$K$10,INT(A4376))&gt;0),1,0)</f>
        <v>1</v>
      </c>
      <c r="G4376" s="34" t="n">
        <f aca="false">B4376/1</f>
        <v>45.162</v>
      </c>
      <c r="H4376" s="34" t="n">
        <f aca="false">IF(F4376=1,G4376,"")</f>
        <v>45.162</v>
      </c>
    </row>
    <row r="4377" customFormat="false" ht="15" hidden="false" customHeight="false" outlineLevel="0" collapsed="false">
      <c r="A4377" s="31" t="n">
        <v>42918.2916666667</v>
      </c>
      <c r="B4377" s="32" t="n">
        <v>43.108</v>
      </c>
      <c r="D4377" s="33" t="n">
        <f aca="false">WEEKDAY(A4377,2)</f>
        <v>7</v>
      </c>
      <c r="E4377" s="33" t="n">
        <f aca="false">HOUR(A4377)+MINUTE(A4377)/60</f>
        <v>7</v>
      </c>
      <c r="F4377" s="33" t="n">
        <f aca="false">IF(OR(D4377&gt;5,E4377&lt;8,E4377&gt;=18,COUNTIF($K$2:$K$10,INT(A4377))&gt;0),1,0)</f>
        <v>1</v>
      </c>
      <c r="G4377" s="34" t="n">
        <f aca="false">B4377/1</f>
        <v>43.108</v>
      </c>
      <c r="H4377" s="34" t="n">
        <f aca="false">IF(F4377=1,G4377,"")</f>
        <v>43.108</v>
      </c>
    </row>
    <row r="4378" customFormat="false" ht="15" hidden="false" customHeight="false" outlineLevel="0" collapsed="false">
      <c r="A4378" s="31" t="n">
        <v>42918.3333333333</v>
      </c>
      <c r="B4378" s="32" t="n">
        <v>43.537</v>
      </c>
      <c r="D4378" s="33" t="n">
        <f aca="false">WEEKDAY(A4378,2)</f>
        <v>7</v>
      </c>
      <c r="E4378" s="33" t="n">
        <f aca="false">HOUR(A4378)+MINUTE(A4378)/60</f>
        <v>8</v>
      </c>
      <c r="F4378" s="33" t="n">
        <f aca="false">IF(OR(D4378&gt;5,E4378&lt;8,E4378&gt;=18,COUNTIF($K$2:$K$10,INT(A4378))&gt;0),1,0)</f>
        <v>1</v>
      </c>
      <c r="G4378" s="34" t="n">
        <f aca="false">B4378/1</f>
        <v>43.537</v>
      </c>
      <c r="H4378" s="34" t="n">
        <f aca="false">IF(F4378=1,G4378,"")</f>
        <v>43.537</v>
      </c>
    </row>
    <row r="4379" customFormat="false" ht="15" hidden="false" customHeight="false" outlineLevel="0" collapsed="false">
      <c r="A4379" s="31" t="n">
        <v>42918.375</v>
      </c>
      <c r="B4379" s="32" t="n">
        <v>43.047</v>
      </c>
      <c r="D4379" s="33" t="n">
        <f aca="false">WEEKDAY(A4379,2)</f>
        <v>7</v>
      </c>
      <c r="E4379" s="33" t="n">
        <f aca="false">HOUR(A4379)+MINUTE(A4379)/60</f>
        <v>9</v>
      </c>
      <c r="F4379" s="33" t="n">
        <f aca="false">IF(OR(D4379&gt;5,E4379&lt;8,E4379&gt;=18,COUNTIF($K$2:$K$10,INT(A4379))&gt;0),1,0)</f>
        <v>1</v>
      </c>
      <c r="G4379" s="34" t="n">
        <f aca="false">B4379/1</f>
        <v>43.047</v>
      </c>
      <c r="H4379" s="34" t="n">
        <f aca="false">IF(F4379=1,G4379,"")</f>
        <v>43.047</v>
      </c>
    </row>
    <row r="4380" customFormat="false" ht="15" hidden="false" customHeight="false" outlineLevel="0" collapsed="false">
      <c r="A4380" s="31" t="n">
        <v>42918.4166666667</v>
      </c>
      <c r="B4380" s="32" t="n">
        <v>44.002</v>
      </c>
      <c r="D4380" s="33" t="n">
        <f aca="false">WEEKDAY(A4380,2)</f>
        <v>7</v>
      </c>
      <c r="E4380" s="33" t="n">
        <f aca="false">HOUR(A4380)+MINUTE(A4380)/60</f>
        <v>10</v>
      </c>
      <c r="F4380" s="33" t="n">
        <f aca="false">IF(OR(D4380&gt;5,E4380&lt;8,E4380&gt;=18,COUNTIF($K$2:$K$10,INT(A4380))&gt;0),1,0)</f>
        <v>1</v>
      </c>
      <c r="G4380" s="34" t="n">
        <f aca="false">B4380/1</f>
        <v>44.002</v>
      </c>
      <c r="H4380" s="34" t="n">
        <f aca="false">IF(F4380=1,G4380,"")</f>
        <v>44.002</v>
      </c>
    </row>
    <row r="4381" customFormat="false" ht="15" hidden="false" customHeight="false" outlineLevel="0" collapsed="false">
      <c r="A4381" s="31" t="n">
        <v>42918.4583333333</v>
      </c>
      <c r="B4381" s="32" t="n">
        <v>62.789</v>
      </c>
      <c r="D4381" s="33" t="n">
        <f aca="false">WEEKDAY(A4381,2)</f>
        <v>7</v>
      </c>
      <c r="E4381" s="33" t="n">
        <f aca="false">HOUR(A4381)+MINUTE(A4381)/60</f>
        <v>11</v>
      </c>
      <c r="F4381" s="33" t="n">
        <f aca="false">IF(OR(D4381&gt;5,E4381&lt;8,E4381&gt;=18,COUNTIF($K$2:$K$10,INT(A4381))&gt;0),1,0)</f>
        <v>1</v>
      </c>
      <c r="G4381" s="34" t="n">
        <f aca="false">B4381/1</f>
        <v>62.789</v>
      </c>
      <c r="H4381" s="34" t="n">
        <f aca="false">IF(F4381=1,G4381,"")</f>
        <v>62.789</v>
      </c>
    </row>
    <row r="4382" customFormat="false" ht="15" hidden="false" customHeight="false" outlineLevel="0" collapsed="false">
      <c r="A4382" s="31" t="n">
        <v>42918.5</v>
      </c>
      <c r="B4382" s="32" t="n">
        <v>57.803</v>
      </c>
      <c r="D4382" s="33" t="n">
        <f aca="false">WEEKDAY(A4382,2)</f>
        <v>7</v>
      </c>
      <c r="E4382" s="33" t="n">
        <f aca="false">HOUR(A4382)+MINUTE(A4382)/60</f>
        <v>12</v>
      </c>
      <c r="F4382" s="33" t="n">
        <f aca="false">IF(OR(D4382&gt;5,E4382&lt;8,E4382&gt;=18,COUNTIF($K$2:$K$10,INT(A4382))&gt;0),1,0)</f>
        <v>1</v>
      </c>
      <c r="G4382" s="34" t="n">
        <f aca="false">B4382/1</f>
        <v>57.803</v>
      </c>
      <c r="H4382" s="34" t="n">
        <f aca="false">IF(F4382=1,G4382,"")</f>
        <v>57.803</v>
      </c>
    </row>
    <row r="4383" customFormat="false" ht="15" hidden="false" customHeight="false" outlineLevel="0" collapsed="false">
      <c r="A4383" s="31" t="n">
        <v>42918.5416666667</v>
      </c>
      <c r="B4383" s="32" t="n">
        <v>108.066</v>
      </c>
      <c r="D4383" s="33" t="n">
        <f aca="false">WEEKDAY(A4383,2)</f>
        <v>7</v>
      </c>
      <c r="E4383" s="33" t="n">
        <f aca="false">HOUR(A4383)+MINUTE(A4383)/60</f>
        <v>13</v>
      </c>
      <c r="F4383" s="33" t="n">
        <f aca="false">IF(OR(D4383&gt;5,E4383&lt;8,E4383&gt;=18,COUNTIF($K$2:$K$10,INT(A4383))&gt;0),1,0)</f>
        <v>1</v>
      </c>
      <c r="G4383" s="34" t="n">
        <f aca="false">B4383/1</f>
        <v>108.066</v>
      </c>
      <c r="H4383" s="34" t="n">
        <f aca="false">IF(F4383=1,G4383,"")</f>
        <v>108.066</v>
      </c>
    </row>
    <row r="4384" customFormat="false" ht="15" hidden="false" customHeight="false" outlineLevel="0" collapsed="false">
      <c r="A4384" s="31" t="n">
        <v>42918.5833333333</v>
      </c>
      <c r="B4384" s="32" t="n">
        <v>127.758</v>
      </c>
      <c r="D4384" s="33" t="n">
        <f aca="false">WEEKDAY(A4384,2)</f>
        <v>7</v>
      </c>
      <c r="E4384" s="33" t="n">
        <f aca="false">HOUR(A4384)+MINUTE(A4384)/60</f>
        <v>14</v>
      </c>
      <c r="F4384" s="33" t="n">
        <f aca="false">IF(OR(D4384&gt;5,E4384&lt;8,E4384&gt;=18,COUNTIF($K$2:$K$10,INT(A4384))&gt;0),1,0)</f>
        <v>1</v>
      </c>
      <c r="G4384" s="34" t="n">
        <f aca="false">B4384/1</f>
        <v>127.758</v>
      </c>
      <c r="H4384" s="34" t="n">
        <f aca="false">IF(F4384=1,G4384,"")</f>
        <v>127.758</v>
      </c>
    </row>
    <row r="4385" customFormat="false" ht="15" hidden="false" customHeight="false" outlineLevel="0" collapsed="false">
      <c r="A4385" s="31" t="n">
        <v>42918.625</v>
      </c>
      <c r="B4385" s="32" t="n">
        <v>124.859</v>
      </c>
      <c r="D4385" s="33" t="n">
        <f aca="false">WEEKDAY(A4385,2)</f>
        <v>7</v>
      </c>
      <c r="E4385" s="33" t="n">
        <f aca="false">HOUR(A4385)+MINUTE(A4385)/60</f>
        <v>15</v>
      </c>
      <c r="F4385" s="33" t="n">
        <f aca="false">IF(OR(D4385&gt;5,E4385&lt;8,E4385&gt;=18,COUNTIF($K$2:$K$10,INT(A4385))&gt;0),1,0)</f>
        <v>1</v>
      </c>
      <c r="G4385" s="34" t="n">
        <f aca="false">B4385/1</f>
        <v>124.859</v>
      </c>
      <c r="H4385" s="34" t="n">
        <f aca="false">IF(F4385=1,G4385,"")</f>
        <v>124.859</v>
      </c>
    </row>
    <row r="4386" customFormat="false" ht="15" hidden="false" customHeight="false" outlineLevel="0" collapsed="false">
      <c r="A4386" s="31" t="n">
        <v>42918.6666666667</v>
      </c>
      <c r="B4386" s="32" t="n">
        <v>124.855</v>
      </c>
      <c r="D4386" s="33" t="n">
        <f aca="false">WEEKDAY(A4386,2)</f>
        <v>7</v>
      </c>
      <c r="E4386" s="33" t="n">
        <f aca="false">HOUR(A4386)+MINUTE(A4386)/60</f>
        <v>16</v>
      </c>
      <c r="F4386" s="33" t="n">
        <f aca="false">IF(OR(D4386&gt;5,E4386&lt;8,E4386&gt;=18,COUNTIF($K$2:$K$10,INT(A4386))&gt;0),1,0)</f>
        <v>1</v>
      </c>
      <c r="G4386" s="34" t="n">
        <f aca="false">B4386/1</f>
        <v>124.855</v>
      </c>
      <c r="H4386" s="34" t="n">
        <f aca="false">IF(F4386=1,G4386,"")</f>
        <v>124.855</v>
      </c>
    </row>
    <row r="4387" customFormat="false" ht="15" hidden="false" customHeight="false" outlineLevel="0" collapsed="false">
      <c r="A4387" s="31" t="n">
        <v>42918.7083333333</v>
      </c>
      <c r="B4387" s="32" t="n">
        <v>124.623</v>
      </c>
      <c r="D4387" s="33" t="n">
        <f aca="false">WEEKDAY(A4387,2)</f>
        <v>7</v>
      </c>
      <c r="E4387" s="33" t="n">
        <f aca="false">HOUR(A4387)+MINUTE(A4387)/60</f>
        <v>17</v>
      </c>
      <c r="F4387" s="33" t="n">
        <f aca="false">IF(OR(D4387&gt;5,E4387&lt;8,E4387&gt;=18,COUNTIF($K$2:$K$10,INT(A4387))&gt;0),1,0)</f>
        <v>1</v>
      </c>
      <c r="G4387" s="34" t="n">
        <f aca="false">B4387/1</f>
        <v>124.623</v>
      </c>
      <c r="H4387" s="34" t="n">
        <f aca="false">IF(F4387=1,G4387,"")</f>
        <v>124.623</v>
      </c>
    </row>
    <row r="4388" customFormat="false" ht="15" hidden="false" customHeight="false" outlineLevel="0" collapsed="false">
      <c r="A4388" s="31" t="n">
        <v>42918.75</v>
      </c>
      <c r="B4388" s="32" t="n">
        <v>50.197</v>
      </c>
      <c r="D4388" s="33" t="n">
        <f aca="false">WEEKDAY(A4388,2)</f>
        <v>7</v>
      </c>
      <c r="E4388" s="33" t="n">
        <f aca="false">HOUR(A4388)+MINUTE(A4388)/60</f>
        <v>18</v>
      </c>
      <c r="F4388" s="33" t="n">
        <f aca="false">IF(OR(D4388&gt;5,E4388&lt;8,E4388&gt;=18,COUNTIF($K$2:$K$10,INT(A4388))&gt;0),1,0)</f>
        <v>1</v>
      </c>
      <c r="G4388" s="34" t="n">
        <f aca="false">B4388/1</f>
        <v>50.197</v>
      </c>
      <c r="H4388" s="34" t="n">
        <f aca="false">IF(F4388=1,G4388,"")</f>
        <v>50.197</v>
      </c>
    </row>
    <row r="4389" customFormat="false" ht="15" hidden="false" customHeight="false" outlineLevel="0" collapsed="false">
      <c r="A4389" s="31" t="n">
        <v>42918.7916666667</v>
      </c>
      <c r="B4389" s="32" t="n">
        <v>43.915</v>
      </c>
      <c r="D4389" s="33" t="n">
        <f aca="false">WEEKDAY(A4389,2)</f>
        <v>7</v>
      </c>
      <c r="E4389" s="33" t="n">
        <f aca="false">HOUR(A4389)+MINUTE(A4389)/60</f>
        <v>19</v>
      </c>
      <c r="F4389" s="33" t="n">
        <f aca="false">IF(OR(D4389&gt;5,E4389&lt;8,E4389&gt;=18,COUNTIF($K$2:$K$10,INT(A4389))&gt;0),1,0)</f>
        <v>1</v>
      </c>
      <c r="G4389" s="34" t="n">
        <f aca="false">B4389/1</f>
        <v>43.915</v>
      </c>
      <c r="H4389" s="34" t="n">
        <f aca="false">IF(F4389=1,G4389,"")</f>
        <v>43.915</v>
      </c>
    </row>
    <row r="4390" customFormat="false" ht="15" hidden="false" customHeight="false" outlineLevel="0" collapsed="false">
      <c r="A4390" s="31" t="n">
        <v>42918.8333333333</v>
      </c>
      <c r="B4390" s="32" t="n">
        <v>43.252</v>
      </c>
      <c r="D4390" s="33" t="n">
        <f aca="false">WEEKDAY(A4390,2)</f>
        <v>7</v>
      </c>
      <c r="E4390" s="33" t="n">
        <f aca="false">HOUR(A4390)+MINUTE(A4390)/60</f>
        <v>20</v>
      </c>
      <c r="F4390" s="33" t="n">
        <f aca="false">IF(OR(D4390&gt;5,E4390&lt;8,E4390&gt;=18,COUNTIF($K$2:$K$10,INT(A4390))&gt;0),1,0)</f>
        <v>1</v>
      </c>
      <c r="G4390" s="34" t="n">
        <f aca="false">B4390/1</f>
        <v>43.252</v>
      </c>
      <c r="H4390" s="34" t="n">
        <f aca="false">IF(F4390=1,G4390,"")</f>
        <v>43.252</v>
      </c>
    </row>
    <row r="4391" customFormat="false" ht="15" hidden="false" customHeight="false" outlineLevel="0" collapsed="false">
      <c r="A4391" s="31" t="n">
        <v>42918.875</v>
      </c>
      <c r="B4391" s="32" t="n">
        <v>42.526</v>
      </c>
      <c r="D4391" s="33" t="n">
        <f aca="false">WEEKDAY(A4391,2)</f>
        <v>7</v>
      </c>
      <c r="E4391" s="33" t="n">
        <f aca="false">HOUR(A4391)+MINUTE(A4391)/60</f>
        <v>21</v>
      </c>
      <c r="F4391" s="33" t="n">
        <f aca="false">IF(OR(D4391&gt;5,E4391&lt;8,E4391&gt;=18,COUNTIF($K$2:$K$10,INT(A4391))&gt;0),1,0)</f>
        <v>1</v>
      </c>
      <c r="G4391" s="34" t="n">
        <f aca="false">B4391/1</f>
        <v>42.526</v>
      </c>
      <c r="H4391" s="34" t="n">
        <f aca="false">IF(F4391=1,G4391,"")</f>
        <v>42.526</v>
      </c>
    </row>
    <row r="4392" customFormat="false" ht="15" hidden="false" customHeight="false" outlineLevel="0" collapsed="false">
      <c r="A4392" s="31" t="n">
        <v>42918.9166666667</v>
      </c>
      <c r="B4392" s="32" t="n">
        <v>47.844</v>
      </c>
      <c r="D4392" s="33" t="n">
        <f aca="false">WEEKDAY(A4392,2)</f>
        <v>7</v>
      </c>
      <c r="E4392" s="33" t="n">
        <f aca="false">HOUR(A4392)+MINUTE(A4392)/60</f>
        <v>22</v>
      </c>
      <c r="F4392" s="33" t="n">
        <f aca="false">IF(OR(D4392&gt;5,E4392&lt;8,E4392&gt;=18,COUNTIF($K$2:$K$10,INT(A4392))&gt;0),1,0)</f>
        <v>1</v>
      </c>
      <c r="G4392" s="34" t="n">
        <f aca="false">B4392/1</f>
        <v>47.844</v>
      </c>
      <c r="H4392" s="34" t="n">
        <f aca="false">IF(F4392=1,G4392,"")</f>
        <v>47.844</v>
      </c>
    </row>
    <row r="4393" customFormat="false" ht="15" hidden="false" customHeight="false" outlineLevel="0" collapsed="false">
      <c r="A4393" s="31" t="n">
        <v>42918.9583333333</v>
      </c>
      <c r="B4393" s="32" t="n">
        <v>53.209</v>
      </c>
      <c r="D4393" s="33" t="n">
        <f aca="false">WEEKDAY(A4393,2)</f>
        <v>7</v>
      </c>
      <c r="E4393" s="33" t="n">
        <f aca="false">HOUR(A4393)+MINUTE(A4393)/60</f>
        <v>23</v>
      </c>
      <c r="F4393" s="33" t="n">
        <f aca="false">IF(OR(D4393&gt;5,E4393&lt;8,E4393&gt;=18,COUNTIF($K$2:$K$10,INT(A4393))&gt;0),1,0)</f>
        <v>1</v>
      </c>
      <c r="G4393" s="34" t="n">
        <f aca="false">B4393/1</f>
        <v>53.209</v>
      </c>
      <c r="H4393" s="34" t="n">
        <f aca="false">IF(F4393=1,G4393,"")</f>
        <v>53.209</v>
      </c>
    </row>
    <row r="4394" customFormat="false" ht="15" hidden="false" customHeight="false" outlineLevel="0" collapsed="false">
      <c r="A4394" s="31" t="n">
        <v>42919</v>
      </c>
      <c r="B4394" s="32" t="n">
        <v>63.649</v>
      </c>
      <c r="D4394" s="33" t="n">
        <f aca="false">WEEKDAY(A4394,2)</f>
        <v>1</v>
      </c>
      <c r="E4394" s="33" t="n">
        <f aca="false">HOUR(A4394)+MINUTE(A4394)/60</f>
        <v>0</v>
      </c>
      <c r="F4394" s="33" t="n">
        <f aca="false">IF(OR(D4394&gt;5,E4394&lt;8,E4394&gt;=18,COUNTIF($K$2:$K$10,INT(A4394))&gt;0),1,0)</f>
        <v>1</v>
      </c>
      <c r="G4394" s="34" t="n">
        <f aca="false">B4394/1</f>
        <v>63.649</v>
      </c>
      <c r="H4394" s="34" t="n">
        <f aca="false">IF(F4394=1,G4394,"")</f>
        <v>63.649</v>
      </c>
    </row>
    <row r="4395" customFormat="false" ht="15" hidden="false" customHeight="false" outlineLevel="0" collapsed="false">
      <c r="A4395" s="31" t="n">
        <v>42919.0416666667</v>
      </c>
      <c r="B4395" s="32" t="n">
        <v>62.024</v>
      </c>
      <c r="D4395" s="33" t="n">
        <f aca="false">WEEKDAY(A4395,2)</f>
        <v>1</v>
      </c>
      <c r="E4395" s="33" t="n">
        <f aca="false">HOUR(A4395)+MINUTE(A4395)/60</f>
        <v>1</v>
      </c>
      <c r="F4395" s="33" t="n">
        <f aca="false">IF(OR(D4395&gt;5,E4395&lt;8,E4395&gt;=18,COUNTIF($K$2:$K$10,INT(A4395))&gt;0),1,0)</f>
        <v>1</v>
      </c>
      <c r="G4395" s="34" t="n">
        <f aca="false">B4395/1</f>
        <v>62.024</v>
      </c>
      <c r="H4395" s="34" t="n">
        <f aca="false">IF(F4395=1,G4395,"")</f>
        <v>62.024</v>
      </c>
    </row>
    <row r="4396" customFormat="false" ht="15" hidden="false" customHeight="false" outlineLevel="0" collapsed="false">
      <c r="A4396" s="31" t="n">
        <v>42919.0833333333</v>
      </c>
      <c r="B4396" s="32" t="n">
        <v>60.041</v>
      </c>
      <c r="D4396" s="33" t="n">
        <f aca="false">WEEKDAY(A4396,2)</f>
        <v>1</v>
      </c>
      <c r="E4396" s="33" t="n">
        <f aca="false">HOUR(A4396)+MINUTE(A4396)/60</f>
        <v>2</v>
      </c>
      <c r="F4396" s="33" t="n">
        <f aca="false">IF(OR(D4396&gt;5,E4396&lt;8,E4396&gt;=18,COUNTIF($K$2:$K$10,INT(A4396))&gt;0),1,0)</f>
        <v>1</v>
      </c>
      <c r="G4396" s="34" t="n">
        <f aca="false">B4396/1</f>
        <v>60.041</v>
      </c>
      <c r="H4396" s="34" t="n">
        <f aca="false">IF(F4396=1,G4396,"")</f>
        <v>60.041</v>
      </c>
    </row>
    <row r="4397" customFormat="false" ht="15" hidden="false" customHeight="false" outlineLevel="0" collapsed="false">
      <c r="A4397" s="31" t="n">
        <v>42919.125</v>
      </c>
      <c r="B4397" s="32" t="n">
        <v>60.277</v>
      </c>
      <c r="D4397" s="33" t="n">
        <f aca="false">WEEKDAY(A4397,2)</f>
        <v>1</v>
      </c>
      <c r="E4397" s="33" t="n">
        <f aca="false">HOUR(A4397)+MINUTE(A4397)/60</f>
        <v>3</v>
      </c>
      <c r="F4397" s="33" t="n">
        <f aca="false">IF(OR(D4397&gt;5,E4397&lt;8,E4397&gt;=18,COUNTIF($K$2:$K$10,INT(A4397))&gt;0),1,0)</f>
        <v>1</v>
      </c>
      <c r="G4397" s="34" t="n">
        <f aca="false">B4397/1</f>
        <v>60.277</v>
      </c>
      <c r="H4397" s="34" t="n">
        <f aca="false">IF(F4397=1,G4397,"")</f>
        <v>60.277</v>
      </c>
    </row>
    <row r="4398" customFormat="false" ht="15" hidden="false" customHeight="false" outlineLevel="0" collapsed="false">
      <c r="A4398" s="31" t="n">
        <v>42919.1666666667</v>
      </c>
      <c r="B4398" s="32" t="n">
        <v>59.251</v>
      </c>
      <c r="D4398" s="33" t="n">
        <f aca="false">WEEKDAY(A4398,2)</f>
        <v>1</v>
      </c>
      <c r="E4398" s="33" t="n">
        <f aca="false">HOUR(A4398)+MINUTE(A4398)/60</f>
        <v>4</v>
      </c>
      <c r="F4398" s="33" t="n">
        <f aca="false">IF(OR(D4398&gt;5,E4398&lt;8,E4398&gt;=18,COUNTIF($K$2:$K$10,INT(A4398))&gt;0),1,0)</f>
        <v>1</v>
      </c>
      <c r="G4398" s="34" t="n">
        <f aca="false">B4398/1</f>
        <v>59.251</v>
      </c>
      <c r="H4398" s="34" t="n">
        <f aca="false">IF(F4398=1,G4398,"")</f>
        <v>59.251</v>
      </c>
    </row>
    <row r="4399" customFormat="false" ht="15" hidden="false" customHeight="false" outlineLevel="0" collapsed="false">
      <c r="A4399" s="31" t="n">
        <v>42919.2083333333</v>
      </c>
      <c r="B4399" s="32" t="n">
        <v>59.076</v>
      </c>
      <c r="D4399" s="33" t="n">
        <f aca="false">WEEKDAY(A4399,2)</f>
        <v>1</v>
      </c>
      <c r="E4399" s="33" t="n">
        <f aca="false">HOUR(A4399)+MINUTE(A4399)/60</f>
        <v>5</v>
      </c>
      <c r="F4399" s="33" t="n">
        <f aca="false">IF(OR(D4399&gt;5,E4399&lt;8,E4399&gt;=18,COUNTIF($K$2:$K$10,INT(A4399))&gt;0),1,0)</f>
        <v>1</v>
      </c>
      <c r="G4399" s="34" t="n">
        <f aca="false">B4399/1</f>
        <v>59.076</v>
      </c>
      <c r="H4399" s="34" t="n">
        <f aca="false">IF(F4399=1,G4399,"")</f>
        <v>59.076</v>
      </c>
    </row>
    <row r="4400" customFormat="false" ht="15" hidden="false" customHeight="false" outlineLevel="0" collapsed="false">
      <c r="A4400" s="31" t="n">
        <v>42919.25</v>
      </c>
      <c r="B4400" s="32" t="n">
        <v>52.628</v>
      </c>
      <c r="D4400" s="33" t="n">
        <f aca="false">WEEKDAY(A4400,2)</f>
        <v>1</v>
      </c>
      <c r="E4400" s="33" t="n">
        <f aca="false">HOUR(A4400)+MINUTE(A4400)/60</f>
        <v>6</v>
      </c>
      <c r="F4400" s="33" t="n">
        <f aca="false">IF(OR(D4400&gt;5,E4400&lt;8,E4400&gt;=18,COUNTIF($K$2:$K$10,INT(A4400))&gt;0),1,0)</f>
        <v>1</v>
      </c>
      <c r="G4400" s="34" t="n">
        <f aca="false">B4400/1</f>
        <v>52.628</v>
      </c>
      <c r="H4400" s="34" t="n">
        <f aca="false">IF(F4400=1,G4400,"")</f>
        <v>52.628</v>
      </c>
    </row>
    <row r="4401" customFormat="false" ht="15" hidden="false" customHeight="false" outlineLevel="0" collapsed="false">
      <c r="A4401" s="31" t="n">
        <v>42919.2916666667</v>
      </c>
      <c r="B4401" s="32" t="n">
        <v>70.203</v>
      </c>
      <c r="D4401" s="33" t="n">
        <f aca="false">WEEKDAY(A4401,2)</f>
        <v>1</v>
      </c>
      <c r="E4401" s="33" t="n">
        <f aca="false">HOUR(A4401)+MINUTE(A4401)/60</f>
        <v>7</v>
      </c>
      <c r="F4401" s="33" t="n">
        <f aca="false">IF(OR(D4401&gt;5,E4401&lt;8,E4401&gt;=18,COUNTIF($K$2:$K$10,INT(A4401))&gt;0),1,0)</f>
        <v>1</v>
      </c>
      <c r="G4401" s="34" t="n">
        <f aca="false">B4401/1</f>
        <v>70.203</v>
      </c>
      <c r="H4401" s="34" t="n">
        <f aca="false">IF(F4401=1,G4401,"")</f>
        <v>70.203</v>
      </c>
    </row>
    <row r="4402" customFormat="false" ht="15" hidden="false" customHeight="false" outlineLevel="0" collapsed="false">
      <c r="A4402" s="31" t="n">
        <v>42919.3333333333</v>
      </c>
      <c r="B4402" s="32" t="n">
        <v>160.008</v>
      </c>
      <c r="D4402" s="33" t="n">
        <f aca="false">WEEKDAY(A4402,2)</f>
        <v>1</v>
      </c>
      <c r="E4402" s="33" t="n">
        <f aca="false">HOUR(A4402)+MINUTE(A4402)/60</f>
        <v>8</v>
      </c>
      <c r="F4402" s="33" t="n">
        <f aca="false">IF(OR(D4402&gt;5,E4402&lt;8,E4402&gt;=18,COUNTIF($K$2:$K$10,INT(A4402))&gt;0),1,0)</f>
        <v>0</v>
      </c>
      <c r="G4402" s="34" t="n">
        <f aca="false">B4402/1</f>
        <v>160.008</v>
      </c>
      <c r="H4402" s="34" t="str">
        <f aca="false">IF(F4402=1,G4402,"")</f>
        <v/>
      </c>
    </row>
    <row r="4403" customFormat="false" ht="15" hidden="false" customHeight="false" outlineLevel="0" collapsed="false">
      <c r="A4403" s="31" t="n">
        <v>42919.375</v>
      </c>
      <c r="B4403" s="32" t="n">
        <v>175.692</v>
      </c>
      <c r="D4403" s="33" t="n">
        <f aca="false">WEEKDAY(A4403,2)</f>
        <v>1</v>
      </c>
      <c r="E4403" s="33" t="n">
        <f aca="false">HOUR(A4403)+MINUTE(A4403)/60</f>
        <v>9</v>
      </c>
      <c r="F4403" s="33" t="n">
        <f aca="false">IF(OR(D4403&gt;5,E4403&lt;8,E4403&gt;=18,COUNTIF($K$2:$K$10,INT(A4403))&gt;0),1,0)</f>
        <v>0</v>
      </c>
      <c r="G4403" s="34" t="n">
        <f aca="false">B4403/1</f>
        <v>175.692</v>
      </c>
      <c r="H4403" s="34" t="str">
        <f aca="false">IF(F4403=1,G4403,"")</f>
        <v/>
      </c>
    </row>
    <row r="4404" customFormat="false" ht="15" hidden="false" customHeight="false" outlineLevel="0" collapsed="false">
      <c r="A4404" s="31" t="n">
        <v>42919.4166666667</v>
      </c>
      <c r="B4404" s="32" t="n">
        <v>179.666</v>
      </c>
      <c r="D4404" s="33" t="n">
        <f aca="false">WEEKDAY(A4404,2)</f>
        <v>1</v>
      </c>
      <c r="E4404" s="33" t="n">
        <f aca="false">HOUR(A4404)+MINUTE(A4404)/60</f>
        <v>10</v>
      </c>
      <c r="F4404" s="33" t="n">
        <f aca="false">IF(OR(D4404&gt;5,E4404&lt;8,E4404&gt;=18,COUNTIF($K$2:$K$10,INT(A4404))&gt;0),1,0)</f>
        <v>0</v>
      </c>
      <c r="G4404" s="34" t="n">
        <f aca="false">B4404/1</f>
        <v>179.666</v>
      </c>
      <c r="H4404" s="34" t="str">
        <f aca="false">IF(F4404=1,G4404,"")</f>
        <v/>
      </c>
    </row>
    <row r="4405" customFormat="false" ht="15" hidden="false" customHeight="false" outlineLevel="0" collapsed="false">
      <c r="A4405" s="31" t="n">
        <v>42919.4583333333</v>
      </c>
      <c r="B4405" s="32" t="n">
        <v>181.641</v>
      </c>
      <c r="D4405" s="33" t="n">
        <f aca="false">WEEKDAY(A4405,2)</f>
        <v>1</v>
      </c>
      <c r="E4405" s="33" t="n">
        <f aca="false">HOUR(A4405)+MINUTE(A4405)/60</f>
        <v>11</v>
      </c>
      <c r="F4405" s="33" t="n">
        <f aca="false">IF(OR(D4405&gt;5,E4405&lt;8,E4405&gt;=18,COUNTIF($K$2:$K$10,INT(A4405))&gt;0),1,0)</f>
        <v>0</v>
      </c>
      <c r="G4405" s="34" t="n">
        <f aca="false">B4405/1</f>
        <v>181.641</v>
      </c>
      <c r="H4405" s="34" t="str">
        <f aca="false">IF(F4405=1,G4405,"")</f>
        <v/>
      </c>
    </row>
    <row r="4406" customFormat="false" ht="15" hidden="false" customHeight="false" outlineLevel="0" collapsed="false">
      <c r="A4406" s="31" t="n">
        <v>42919.5</v>
      </c>
      <c r="B4406" s="32" t="n">
        <v>185.019</v>
      </c>
      <c r="D4406" s="33" t="n">
        <f aca="false">WEEKDAY(A4406,2)</f>
        <v>1</v>
      </c>
      <c r="E4406" s="33" t="n">
        <f aca="false">HOUR(A4406)+MINUTE(A4406)/60</f>
        <v>12</v>
      </c>
      <c r="F4406" s="33" t="n">
        <f aca="false">IF(OR(D4406&gt;5,E4406&lt;8,E4406&gt;=18,COUNTIF($K$2:$K$10,INT(A4406))&gt;0),1,0)</f>
        <v>0</v>
      </c>
      <c r="G4406" s="34" t="n">
        <f aca="false">B4406/1</f>
        <v>185.019</v>
      </c>
      <c r="H4406" s="34" t="str">
        <f aca="false">IF(F4406=1,G4406,"")</f>
        <v/>
      </c>
    </row>
    <row r="4407" customFormat="false" ht="15" hidden="false" customHeight="false" outlineLevel="0" collapsed="false">
      <c r="A4407" s="31" t="n">
        <v>42919.5416666667</v>
      </c>
      <c r="B4407" s="32" t="n">
        <v>185.102</v>
      </c>
      <c r="D4407" s="33" t="n">
        <f aca="false">WEEKDAY(A4407,2)</f>
        <v>1</v>
      </c>
      <c r="E4407" s="33" t="n">
        <f aca="false">HOUR(A4407)+MINUTE(A4407)/60</f>
        <v>13</v>
      </c>
      <c r="F4407" s="33" t="n">
        <f aca="false">IF(OR(D4407&gt;5,E4407&lt;8,E4407&gt;=18,COUNTIF($K$2:$K$10,INT(A4407))&gt;0),1,0)</f>
        <v>0</v>
      </c>
      <c r="G4407" s="34" t="n">
        <f aca="false">B4407/1</f>
        <v>185.102</v>
      </c>
      <c r="H4407" s="34" t="str">
        <f aca="false">IF(F4407=1,G4407,"")</f>
        <v/>
      </c>
    </row>
    <row r="4408" customFormat="false" ht="15" hidden="false" customHeight="false" outlineLevel="0" collapsed="false">
      <c r="A4408" s="31" t="n">
        <v>42919.5833333333</v>
      </c>
      <c r="B4408" s="32" t="n">
        <v>185.236</v>
      </c>
      <c r="D4408" s="33" t="n">
        <f aca="false">WEEKDAY(A4408,2)</f>
        <v>1</v>
      </c>
      <c r="E4408" s="33" t="n">
        <f aca="false">HOUR(A4408)+MINUTE(A4408)/60</f>
        <v>14</v>
      </c>
      <c r="F4408" s="33" t="n">
        <f aca="false">IF(OR(D4408&gt;5,E4408&lt;8,E4408&gt;=18,COUNTIF($K$2:$K$10,INT(A4408))&gt;0),1,0)</f>
        <v>0</v>
      </c>
      <c r="G4408" s="34" t="n">
        <f aca="false">B4408/1</f>
        <v>185.236</v>
      </c>
      <c r="H4408" s="34" t="str">
        <f aca="false">IF(F4408=1,G4408,"")</f>
        <v/>
      </c>
    </row>
    <row r="4409" customFormat="false" ht="15" hidden="false" customHeight="false" outlineLevel="0" collapsed="false">
      <c r="A4409" s="31" t="n">
        <v>42919.625</v>
      </c>
      <c r="B4409" s="32" t="n">
        <v>184.919</v>
      </c>
      <c r="D4409" s="33" t="n">
        <f aca="false">WEEKDAY(A4409,2)</f>
        <v>1</v>
      </c>
      <c r="E4409" s="33" t="n">
        <f aca="false">HOUR(A4409)+MINUTE(A4409)/60</f>
        <v>15</v>
      </c>
      <c r="F4409" s="33" t="n">
        <f aca="false">IF(OR(D4409&gt;5,E4409&lt;8,E4409&gt;=18,COUNTIF($K$2:$K$10,INT(A4409))&gt;0),1,0)</f>
        <v>0</v>
      </c>
      <c r="G4409" s="34" t="n">
        <f aca="false">B4409/1</f>
        <v>184.919</v>
      </c>
      <c r="H4409" s="34" t="str">
        <f aca="false">IF(F4409=1,G4409,"")</f>
        <v/>
      </c>
    </row>
    <row r="4410" customFormat="false" ht="15" hidden="false" customHeight="false" outlineLevel="0" collapsed="false">
      <c r="A4410" s="31" t="n">
        <v>42919.6666666667</v>
      </c>
      <c r="B4410" s="32" t="n">
        <v>178</v>
      </c>
      <c r="D4410" s="33" t="n">
        <f aca="false">WEEKDAY(A4410,2)</f>
        <v>1</v>
      </c>
      <c r="E4410" s="33" t="n">
        <f aca="false">HOUR(A4410)+MINUTE(A4410)/60</f>
        <v>16</v>
      </c>
      <c r="F4410" s="33" t="n">
        <f aca="false">IF(OR(D4410&gt;5,E4410&lt;8,E4410&gt;=18,COUNTIF($K$2:$K$10,INT(A4410))&gt;0),1,0)</f>
        <v>0</v>
      </c>
      <c r="G4410" s="34" t="n">
        <f aca="false">B4410/1</f>
        <v>178</v>
      </c>
      <c r="H4410" s="34" t="str">
        <f aca="false">IF(F4410=1,G4410,"")</f>
        <v/>
      </c>
    </row>
    <row r="4411" customFormat="false" ht="15" hidden="false" customHeight="false" outlineLevel="0" collapsed="false">
      <c r="A4411" s="31" t="n">
        <v>42919.7083333333</v>
      </c>
      <c r="B4411" s="32" t="n">
        <v>171.064</v>
      </c>
      <c r="D4411" s="33" t="n">
        <f aca="false">WEEKDAY(A4411,2)</f>
        <v>1</v>
      </c>
      <c r="E4411" s="33" t="n">
        <f aca="false">HOUR(A4411)+MINUTE(A4411)/60</f>
        <v>17</v>
      </c>
      <c r="F4411" s="33" t="n">
        <f aca="false">IF(OR(D4411&gt;5,E4411&lt;8,E4411&gt;=18,COUNTIF($K$2:$K$10,INT(A4411))&gt;0),1,0)</f>
        <v>0</v>
      </c>
      <c r="G4411" s="34" t="n">
        <f aca="false">B4411/1</f>
        <v>171.064</v>
      </c>
      <c r="H4411" s="34" t="str">
        <f aca="false">IF(F4411=1,G4411,"")</f>
        <v/>
      </c>
    </row>
    <row r="4412" customFormat="false" ht="15" hidden="false" customHeight="false" outlineLevel="0" collapsed="false">
      <c r="A4412" s="31" t="n">
        <v>42919.75</v>
      </c>
      <c r="B4412" s="32" t="n">
        <v>169.214</v>
      </c>
      <c r="D4412" s="33" t="n">
        <f aca="false">WEEKDAY(A4412,2)</f>
        <v>1</v>
      </c>
      <c r="E4412" s="33" t="n">
        <f aca="false">HOUR(A4412)+MINUTE(A4412)/60</f>
        <v>18</v>
      </c>
      <c r="F4412" s="33" t="n">
        <f aca="false">IF(OR(D4412&gt;5,E4412&lt;8,E4412&gt;=18,COUNTIF($K$2:$K$10,INT(A4412))&gt;0),1,0)</f>
        <v>1</v>
      </c>
      <c r="G4412" s="34" t="n">
        <f aca="false">B4412/1</f>
        <v>169.214</v>
      </c>
      <c r="H4412" s="34" t="n">
        <f aca="false">IF(F4412=1,G4412,"")</f>
        <v>169.214</v>
      </c>
    </row>
    <row r="4413" customFormat="false" ht="15" hidden="false" customHeight="false" outlineLevel="0" collapsed="false">
      <c r="A4413" s="31" t="n">
        <v>42919.7916666667</v>
      </c>
      <c r="B4413" s="32" t="n">
        <v>164.854</v>
      </c>
      <c r="D4413" s="33" t="n">
        <f aca="false">WEEKDAY(A4413,2)</f>
        <v>1</v>
      </c>
      <c r="E4413" s="33" t="n">
        <f aca="false">HOUR(A4413)+MINUTE(A4413)/60</f>
        <v>19</v>
      </c>
      <c r="F4413" s="33" t="n">
        <f aca="false">IF(OR(D4413&gt;5,E4413&lt;8,E4413&gt;=18,COUNTIF($K$2:$K$10,INT(A4413))&gt;0),1,0)</f>
        <v>1</v>
      </c>
      <c r="G4413" s="34" t="n">
        <f aca="false">B4413/1</f>
        <v>164.854</v>
      </c>
      <c r="H4413" s="34" t="n">
        <f aca="false">IF(F4413=1,G4413,"")</f>
        <v>164.854</v>
      </c>
    </row>
    <row r="4414" customFormat="false" ht="15" hidden="false" customHeight="false" outlineLevel="0" collapsed="false">
      <c r="A4414" s="31" t="n">
        <v>42919.8333333333</v>
      </c>
      <c r="B4414" s="32" t="n">
        <v>163.507</v>
      </c>
      <c r="D4414" s="33" t="n">
        <f aca="false">WEEKDAY(A4414,2)</f>
        <v>1</v>
      </c>
      <c r="E4414" s="33" t="n">
        <f aca="false">HOUR(A4414)+MINUTE(A4414)/60</f>
        <v>20</v>
      </c>
      <c r="F4414" s="33" t="n">
        <f aca="false">IF(OR(D4414&gt;5,E4414&lt;8,E4414&gt;=18,COUNTIF($K$2:$K$10,INT(A4414))&gt;0),1,0)</f>
        <v>1</v>
      </c>
      <c r="G4414" s="34" t="n">
        <f aca="false">B4414/1</f>
        <v>163.507</v>
      </c>
      <c r="H4414" s="34" t="n">
        <f aca="false">IF(F4414=1,G4414,"")</f>
        <v>163.507</v>
      </c>
    </row>
    <row r="4415" customFormat="false" ht="15" hidden="false" customHeight="false" outlineLevel="0" collapsed="false">
      <c r="A4415" s="31" t="n">
        <v>42919.875</v>
      </c>
      <c r="B4415" s="32" t="n">
        <v>160.602</v>
      </c>
      <c r="D4415" s="33" t="n">
        <f aca="false">WEEKDAY(A4415,2)</f>
        <v>1</v>
      </c>
      <c r="E4415" s="33" t="n">
        <f aca="false">HOUR(A4415)+MINUTE(A4415)/60</f>
        <v>21</v>
      </c>
      <c r="F4415" s="33" t="n">
        <f aca="false">IF(OR(D4415&gt;5,E4415&lt;8,E4415&gt;=18,COUNTIF($K$2:$K$10,INT(A4415))&gt;0),1,0)</f>
        <v>1</v>
      </c>
      <c r="G4415" s="34" t="n">
        <f aca="false">B4415/1</f>
        <v>160.602</v>
      </c>
      <c r="H4415" s="34" t="n">
        <f aca="false">IF(F4415=1,G4415,"")</f>
        <v>160.602</v>
      </c>
    </row>
    <row r="4416" customFormat="false" ht="15" hidden="false" customHeight="false" outlineLevel="0" collapsed="false">
      <c r="A4416" s="31" t="n">
        <v>42919.9166666667</v>
      </c>
      <c r="B4416" s="32" t="n">
        <v>110.108</v>
      </c>
      <c r="D4416" s="33" t="n">
        <f aca="false">WEEKDAY(A4416,2)</f>
        <v>1</v>
      </c>
      <c r="E4416" s="33" t="n">
        <f aca="false">HOUR(A4416)+MINUTE(A4416)/60</f>
        <v>22</v>
      </c>
      <c r="F4416" s="33" t="n">
        <f aca="false">IF(OR(D4416&gt;5,E4416&lt;8,E4416&gt;=18,COUNTIF($K$2:$K$10,INT(A4416))&gt;0),1,0)</f>
        <v>1</v>
      </c>
      <c r="G4416" s="34" t="n">
        <f aca="false">B4416/1</f>
        <v>110.108</v>
      </c>
      <c r="H4416" s="34" t="n">
        <f aca="false">IF(F4416=1,G4416,"")</f>
        <v>110.108</v>
      </c>
    </row>
    <row r="4417" customFormat="false" ht="15" hidden="false" customHeight="false" outlineLevel="0" collapsed="false">
      <c r="A4417" s="31" t="n">
        <v>42919.9583333333</v>
      </c>
      <c r="B4417" s="32" t="n">
        <v>48.217</v>
      </c>
      <c r="D4417" s="33" t="n">
        <f aca="false">WEEKDAY(A4417,2)</f>
        <v>1</v>
      </c>
      <c r="E4417" s="33" t="n">
        <f aca="false">HOUR(A4417)+MINUTE(A4417)/60</f>
        <v>23</v>
      </c>
      <c r="F4417" s="33" t="n">
        <f aca="false">IF(OR(D4417&gt;5,E4417&lt;8,E4417&gt;=18,COUNTIF($K$2:$K$10,INT(A4417))&gt;0),1,0)</f>
        <v>1</v>
      </c>
      <c r="G4417" s="34" t="n">
        <f aca="false">B4417/1</f>
        <v>48.217</v>
      </c>
      <c r="H4417" s="34" t="n">
        <f aca="false">IF(F4417=1,G4417,"")</f>
        <v>48.217</v>
      </c>
    </row>
    <row r="4418" customFormat="false" ht="15" hidden="false" customHeight="false" outlineLevel="0" collapsed="false">
      <c r="A4418" s="31" t="n">
        <v>42920</v>
      </c>
      <c r="B4418" s="32" t="n">
        <v>47.343</v>
      </c>
      <c r="D4418" s="33" t="n">
        <f aca="false">WEEKDAY(A4418,2)</f>
        <v>2</v>
      </c>
      <c r="E4418" s="33" t="n">
        <f aca="false">HOUR(A4418)+MINUTE(A4418)/60</f>
        <v>0</v>
      </c>
      <c r="F4418" s="33" t="n">
        <f aca="false">IF(OR(D4418&gt;5,E4418&lt;8,E4418&gt;=18,COUNTIF($K$2:$K$10,INT(A4418))&gt;0),1,0)</f>
        <v>1</v>
      </c>
      <c r="G4418" s="34" t="n">
        <f aca="false">B4418/1</f>
        <v>47.343</v>
      </c>
      <c r="H4418" s="34" t="n">
        <f aca="false">IF(F4418=1,G4418,"")</f>
        <v>47.343</v>
      </c>
    </row>
    <row r="4419" customFormat="false" ht="15" hidden="false" customHeight="false" outlineLevel="0" collapsed="false">
      <c r="A4419" s="31" t="n">
        <v>42920.0416666667</v>
      </c>
      <c r="B4419" s="32" t="n">
        <v>46.969</v>
      </c>
      <c r="D4419" s="33" t="n">
        <f aca="false">WEEKDAY(A4419,2)</f>
        <v>2</v>
      </c>
      <c r="E4419" s="33" t="n">
        <f aca="false">HOUR(A4419)+MINUTE(A4419)/60</f>
        <v>1</v>
      </c>
      <c r="F4419" s="33" t="n">
        <f aca="false">IF(OR(D4419&gt;5,E4419&lt;8,E4419&gt;=18,COUNTIF($K$2:$K$10,INT(A4419))&gt;0),1,0)</f>
        <v>1</v>
      </c>
      <c r="G4419" s="34" t="n">
        <f aca="false">B4419/1</f>
        <v>46.969</v>
      </c>
      <c r="H4419" s="34" t="n">
        <f aca="false">IF(F4419=1,G4419,"")</f>
        <v>46.969</v>
      </c>
    </row>
    <row r="4420" customFormat="false" ht="15" hidden="false" customHeight="false" outlineLevel="0" collapsed="false">
      <c r="A4420" s="31" t="n">
        <v>42920.0833333333</v>
      </c>
      <c r="B4420" s="32" t="n">
        <v>47.093</v>
      </c>
      <c r="D4420" s="33" t="n">
        <f aca="false">WEEKDAY(A4420,2)</f>
        <v>2</v>
      </c>
      <c r="E4420" s="33" t="n">
        <f aca="false">HOUR(A4420)+MINUTE(A4420)/60</f>
        <v>2</v>
      </c>
      <c r="F4420" s="33" t="n">
        <f aca="false">IF(OR(D4420&gt;5,E4420&lt;8,E4420&gt;=18,COUNTIF($K$2:$K$10,INT(A4420))&gt;0),1,0)</f>
        <v>1</v>
      </c>
      <c r="G4420" s="34" t="n">
        <f aca="false">B4420/1</f>
        <v>47.093</v>
      </c>
      <c r="H4420" s="34" t="n">
        <f aca="false">IF(F4420=1,G4420,"")</f>
        <v>47.093</v>
      </c>
    </row>
    <row r="4421" customFormat="false" ht="15" hidden="false" customHeight="false" outlineLevel="0" collapsed="false">
      <c r="A4421" s="31" t="n">
        <v>42920.125</v>
      </c>
      <c r="B4421" s="32" t="n">
        <v>46.594</v>
      </c>
      <c r="D4421" s="33" t="n">
        <f aca="false">WEEKDAY(A4421,2)</f>
        <v>2</v>
      </c>
      <c r="E4421" s="33" t="n">
        <f aca="false">HOUR(A4421)+MINUTE(A4421)/60</f>
        <v>3</v>
      </c>
      <c r="F4421" s="33" t="n">
        <f aca="false">IF(OR(D4421&gt;5,E4421&lt;8,E4421&gt;=18,COUNTIF($K$2:$K$10,INT(A4421))&gt;0),1,0)</f>
        <v>1</v>
      </c>
      <c r="G4421" s="34" t="n">
        <f aca="false">B4421/1</f>
        <v>46.594</v>
      </c>
      <c r="H4421" s="34" t="n">
        <f aca="false">IF(F4421=1,G4421,"")</f>
        <v>46.594</v>
      </c>
    </row>
    <row r="4422" customFormat="false" ht="15" hidden="false" customHeight="false" outlineLevel="0" collapsed="false">
      <c r="A4422" s="31" t="n">
        <v>42920.1666666667</v>
      </c>
      <c r="B4422" s="32" t="n">
        <v>46.796</v>
      </c>
      <c r="D4422" s="33" t="n">
        <f aca="false">WEEKDAY(A4422,2)</f>
        <v>2</v>
      </c>
      <c r="E4422" s="33" t="n">
        <f aca="false">HOUR(A4422)+MINUTE(A4422)/60</f>
        <v>4</v>
      </c>
      <c r="F4422" s="33" t="n">
        <f aca="false">IF(OR(D4422&gt;5,E4422&lt;8,E4422&gt;=18,COUNTIF($K$2:$K$10,INT(A4422))&gt;0),1,0)</f>
        <v>1</v>
      </c>
      <c r="G4422" s="34" t="n">
        <f aca="false">B4422/1</f>
        <v>46.796</v>
      </c>
      <c r="H4422" s="34" t="n">
        <f aca="false">IF(F4422=1,G4422,"")</f>
        <v>46.796</v>
      </c>
    </row>
    <row r="4423" customFormat="false" ht="15" hidden="false" customHeight="false" outlineLevel="0" collapsed="false">
      <c r="A4423" s="31" t="n">
        <v>42920.2083333333</v>
      </c>
      <c r="B4423" s="32" t="n">
        <v>46.07</v>
      </c>
      <c r="D4423" s="33" t="n">
        <f aca="false">WEEKDAY(A4423,2)</f>
        <v>2</v>
      </c>
      <c r="E4423" s="33" t="n">
        <f aca="false">HOUR(A4423)+MINUTE(A4423)/60</f>
        <v>5</v>
      </c>
      <c r="F4423" s="33" t="n">
        <f aca="false">IF(OR(D4423&gt;5,E4423&lt;8,E4423&gt;=18,COUNTIF($K$2:$K$10,INT(A4423))&gt;0),1,0)</f>
        <v>1</v>
      </c>
      <c r="G4423" s="34" t="n">
        <f aca="false">B4423/1</f>
        <v>46.07</v>
      </c>
      <c r="H4423" s="34" t="n">
        <f aca="false">IF(F4423=1,G4423,"")</f>
        <v>46.07</v>
      </c>
    </row>
    <row r="4424" customFormat="false" ht="15" hidden="false" customHeight="false" outlineLevel="0" collapsed="false">
      <c r="A4424" s="31" t="n">
        <v>42920.25</v>
      </c>
      <c r="B4424" s="32" t="n">
        <v>47.174</v>
      </c>
      <c r="D4424" s="33" t="n">
        <f aca="false">WEEKDAY(A4424,2)</f>
        <v>2</v>
      </c>
      <c r="E4424" s="33" t="n">
        <f aca="false">HOUR(A4424)+MINUTE(A4424)/60</f>
        <v>6</v>
      </c>
      <c r="F4424" s="33" t="n">
        <f aca="false">IF(OR(D4424&gt;5,E4424&lt;8,E4424&gt;=18,COUNTIF($K$2:$K$10,INT(A4424))&gt;0),1,0)</f>
        <v>1</v>
      </c>
      <c r="G4424" s="34" t="n">
        <f aca="false">B4424/1</f>
        <v>47.174</v>
      </c>
      <c r="H4424" s="34" t="n">
        <f aca="false">IF(F4424=1,G4424,"")</f>
        <v>47.174</v>
      </c>
    </row>
    <row r="4425" customFormat="false" ht="15" hidden="false" customHeight="false" outlineLevel="0" collapsed="false">
      <c r="A4425" s="31" t="n">
        <v>42920.2916666667</v>
      </c>
      <c r="B4425" s="32" t="n">
        <v>52.33</v>
      </c>
      <c r="D4425" s="33" t="n">
        <f aca="false">WEEKDAY(A4425,2)</f>
        <v>2</v>
      </c>
      <c r="E4425" s="33" t="n">
        <f aca="false">HOUR(A4425)+MINUTE(A4425)/60</f>
        <v>7</v>
      </c>
      <c r="F4425" s="33" t="n">
        <f aca="false">IF(OR(D4425&gt;5,E4425&lt;8,E4425&gt;=18,COUNTIF($K$2:$K$10,INT(A4425))&gt;0),1,0)</f>
        <v>1</v>
      </c>
      <c r="G4425" s="34" t="n">
        <f aca="false">B4425/1</f>
        <v>52.33</v>
      </c>
      <c r="H4425" s="34" t="n">
        <f aca="false">IF(F4425=1,G4425,"")</f>
        <v>52.33</v>
      </c>
    </row>
    <row r="4426" customFormat="false" ht="15" hidden="false" customHeight="false" outlineLevel="0" collapsed="false">
      <c r="A4426" s="31" t="n">
        <v>42920.3333333333</v>
      </c>
      <c r="B4426" s="32" t="n">
        <v>154.397</v>
      </c>
      <c r="D4426" s="33" t="n">
        <f aca="false">WEEKDAY(A4426,2)</f>
        <v>2</v>
      </c>
      <c r="E4426" s="33" t="n">
        <f aca="false">HOUR(A4426)+MINUTE(A4426)/60</f>
        <v>8</v>
      </c>
      <c r="F4426" s="33" t="n">
        <f aca="false">IF(OR(D4426&gt;5,E4426&lt;8,E4426&gt;=18,COUNTIF($K$2:$K$10,INT(A4426))&gt;0),1,0)</f>
        <v>1</v>
      </c>
      <c r="G4426" s="34" t="n">
        <f aca="false">B4426/1</f>
        <v>154.397</v>
      </c>
      <c r="H4426" s="34" t="n">
        <f aca="false">IF(F4426=1,G4426,"")</f>
        <v>154.397</v>
      </c>
    </row>
    <row r="4427" customFormat="false" ht="15" hidden="false" customHeight="false" outlineLevel="0" collapsed="false">
      <c r="A4427" s="31" t="n">
        <v>42920.375</v>
      </c>
      <c r="B4427" s="32" t="n">
        <v>173.044</v>
      </c>
      <c r="D4427" s="33" t="n">
        <f aca="false">WEEKDAY(A4427,2)</f>
        <v>2</v>
      </c>
      <c r="E4427" s="33" t="n">
        <f aca="false">HOUR(A4427)+MINUTE(A4427)/60</f>
        <v>9</v>
      </c>
      <c r="F4427" s="33" t="n">
        <f aca="false">IF(OR(D4427&gt;5,E4427&lt;8,E4427&gt;=18,COUNTIF($K$2:$K$10,INT(A4427))&gt;0),1,0)</f>
        <v>1</v>
      </c>
      <c r="G4427" s="34" t="n">
        <f aca="false">B4427/1</f>
        <v>173.044</v>
      </c>
      <c r="H4427" s="34" t="n">
        <f aca="false">IF(F4427=1,G4427,"")</f>
        <v>173.044</v>
      </c>
    </row>
    <row r="4428" customFormat="false" ht="15" hidden="false" customHeight="false" outlineLevel="0" collapsed="false">
      <c r="A4428" s="31" t="n">
        <v>42920.4166666667</v>
      </c>
      <c r="B4428" s="32" t="n">
        <v>178.93</v>
      </c>
      <c r="D4428" s="33" t="n">
        <f aca="false">WEEKDAY(A4428,2)</f>
        <v>2</v>
      </c>
      <c r="E4428" s="33" t="n">
        <f aca="false">HOUR(A4428)+MINUTE(A4428)/60</f>
        <v>10</v>
      </c>
      <c r="F4428" s="33" t="n">
        <f aca="false">IF(OR(D4428&gt;5,E4428&lt;8,E4428&gt;=18,COUNTIF($K$2:$K$10,INT(A4428))&gt;0),1,0)</f>
        <v>1</v>
      </c>
      <c r="G4428" s="34" t="n">
        <f aca="false">B4428/1</f>
        <v>178.93</v>
      </c>
      <c r="H4428" s="34" t="n">
        <f aca="false">IF(F4428=1,G4428,"")</f>
        <v>178.93</v>
      </c>
    </row>
    <row r="4429" customFormat="false" ht="15" hidden="false" customHeight="false" outlineLevel="0" collapsed="false">
      <c r="A4429" s="31" t="n">
        <v>42920.4583333333</v>
      </c>
      <c r="B4429" s="32" t="n">
        <v>181.164</v>
      </c>
      <c r="D4429" s="33" t="n">
        <f aca="false">WEEKDAY(A4429,2)</f>
        <v>2</v>
      </c>
      <c r="E4429" s="33" t="n">
        <f aca="false">HOUR(A4429)+MINUTE(A4429)/60</f>
        <v>11</v>
      </c>
      <c r="F4429" s="33" t="n">
        <f aca="false">IF(OR(D4429&gt;5,E4429&lt;8,E4429&gt;=18,COUNTIF($K$2:$K$10,INT(A4429))&gt;0),1,0)</f>
        <v>1</v>
      </c>
      <c r="G4429" s="34" t="n">
        <f aca="false">B4429/1</f>
        <v>181.164</v>
      </c>
      <c r="H4429" s="34" t="n">
        <f aca="false">IF(F4429=1,G4429,"")</f>
        <v>181.164</v>
      </c>
    </row>
    <row r="4430" customFormat="false" ht="15" hidden="false" customHeight="false" outlineLevel="0" collapsed="false">
      <c r="A4430" s="31" t="n">
        <v>42920.5</v>
      </c>
      <c r="B4430" s="32" t="n">
        <v>184.537</v>
      </c>
      <c r="D4430" s="33" t="n">
        <f aca="false">WEEKDAY(A4430,2)</f>
        <v>2</v>
      </c>
      <c r="E4430" s="33" t="n">
        <f aca="false">HOUR(A4430)+MINUTE(A4430)/60</f>
        <v>12</v>
      </c>
      <c r="F4430" s="33" t="n">
        <f aca="false">IF(OR(D4430&gt;5,E4430&lt;8,E4430&gt;=18,COUNTIF($K$2:$K$10,INT(A4430))&gt;0),1,0)</f>
        <v>1</v>
      </c>
      <c r="G4430" s="34" t="n">
        <f aca="false">B4430/1</f>
        <v>184.537</v>
      </c>
      <c r="H4430" s="34" t="n">
        <f aca="false">IF(F4430=1,G4430,"")</f>
        <v>184.537</v>
      </c>
    </row>
    <row r="4431" customFormat="false" ht="15" hidden="false" customHeight="false" outlineLevel="0" collapsed="false">
      <c r="A4431" s="31" t="n">
        <v>42920.5416666667</v>
      </c>
      <c r="B4431" s="32" t="n">
        <v>184.187</v>
      </c>
      <c r="D4431" s="33" t="n">
        <f aca="false">WEEKDAY(A4431,2)</f>
        <v>2</v>
      </c>
      <c r="E4431" s="33" t="n">
        <f aca="false">HOUR(A4431)+MINUTE(A4431)/60</f>
        <v>13</v>
      </c>
      <c r="F4431" s="33" t="n">
        <f aca="false">IF(OR(D4431&gt;5,E4431&lt;8,E4431&gt;=18,COUNTIF($K$2:$K$10,INT(A4431))&gt;0),1,0)</f>
        <v>1</v>
      </c>
      <c r="G4431" s="34" t="n">
        <f aca="false">B4431/1</f>
        <v>184.187</v>
      </c>
      <c r="H4431" s="34" t="n">
        <f aca="false">IF(F4431=1,G4431,"")</f>
        <v>184.187</v>
      </c>
    </row>
    <row r="4432" customFormat="false" ht="15" hidden="false" customHeight="false" outlineLevel="0" collapsed="false">
      <c r="A4432" s="31" t="n">
        <v>42920.5833333333</v>
      </c>
      <c r="B4432" s="32" t="n">
        <v>185.136</v>
      </c>
      <c r="D4432" s="33" t="n">
        <f aca="false">WEEKDAY(A4432,2)</f>
        <v>2</v>
      </c>
      <c r="E4432" s="33" t="n">
        <f aca="false">HOUR(A4432)+MINUTE(A4432)/60</f>
        <v>14</v>
      </c>
      <c r="F4432" s="33" t="n">
        <f aca="false">IF(OR(D4432&gt;5,E4432&lt;8,E4432&gt;=18,COUNTIF($K$2:$K$10,INT(A4432))&gt;0),1,0)</f>
        <v>1</v>
      </c>
      <c r="G4432" s="34" t="n">
        <f aca="false">B4432/1</f>
        <v>185.136</v>
      </c>
      <c r="H4432" s="34" t="n">
        <f aca="false">IF(F4432=1,G4432,"")</f>
        <v>185.136</v>
      </c>
    </row>
    <row r="4433" customFormat="false" ht="15" hidden="false" customHeight="false" outlineLevel="0" collapsed="false">
      <c r="A4433" s="31" t="n">
        <v>42920.625</v>
      </c>
      <c r="B4433" s="32" t="n">
        <v>185.093</v>
      </c>
      <c r="D4433" s="33" t="n">
        <f aca="false">WEEKDAY(A4433,2)</f>
        <v>2</v>
      </c>
      <c r="E4433" s="33" t="n">
        <f aca="false">HOUR(A4433)+MINUTE(A4433)/60</f>
        <v>15</v>
      </c>
      <c r="F4433" s="33" t="n">
        <f aca="false">IF(OR(D4433&gt;5,E4433&lt;8,E4433&gt;=18,COUNTIF($K$2:$K$10,INT(A4433))&gt;0),1,0)</f>
        <v>1</v>
      </c>
      <c r="G4433" s="34" t="n">
        <f aca="false">B4433/1</f>
        <v>185.093</v>
      </c>
      <c r="H4433" s="34" t="n">
        <f aca="false">IF(F4433=1,G4433,"")</f>
        <v>185.093</v>
      </c>
    </row>
    <row r="4434" customFormat="false" ht="15" hidden="false" customHeight="false" outlineLevel="0" collapsed="false">
      <c r="A4434" s="31" t="n">
        <v>42920.6666666667</v>
      </c>
      <c r="B4434" s="32" t="n">
        <v>185.667</v>
      </c>
      <c r="D4434" s="33" t="n">
        <f aca="false">WEEKDAY(A4434,2)</f>
        <v>2</v>
      </c>
      <c r="E4434" s="33" t="n">
        <f aca="false">HOUR(A4434)+MINUTE(A4434)/60</f>
        <v>16</v>
      </c>
      <c r="F4434" s="33" t="n">
        <f aca="false">IF(OR(D4434&gt;5,E4434&lt;8,E4434&gt;=18,COUNTIF($K$2:$K$10,INT(A4434))&gt;0),1,0)</f>
        <v>1</v>
      </c>
      <c r="G4434" s="34" t="n">
        <f aca="false">B4434/1</f>
        <v>185.667</v>
      </c>
      <c r="H4434" s="34" t="n">
        <f aca="false">IF(F4434=1,G4434,"")</f>
        <v>185.667</v>
      </c>
    </row>
    <row r="4435" customFormat="false" ht="15" hidden="false" customHeight="false" outlineLevel="0" collapsed="false">
      <c r="A4435" s="31" t="n">
        <v>42920.7083333333</v>
      </c>
      <c r="B4435" s="32" t="n">
        <v>185.885</v>
      </c>
      <c r="D4435" s="33" t="n">
        <f aca="false">WEEKDAY(A4435,2)</f>
        <v>2</v>
      </c>
      <c r="E4435" s="33" t="n">
        <f aca="false">HOUR(A4435)+MINUTE(A4435)/60</f>
        <v>17</v>
      </c>
      <c r="F4435" s="33" t="n">
        <f aca="false">IF(OR(D4435&gt;5,E4435&lt;8,E4435&gt;=18,COUNTIF($K$2:$K$10,INT(A4435))&gt;0),1,0)</f>
        <v>1</v>
      </c>
      <c r="G4435" s="34" t="n">
        <f aca="false">B4435/1</f>
        <v>185.885</v>
      </c>
      <c r="H4435" s="34" t="n">
        <f aca="false">IF(F4435=1,G4435,"")</f>
        <v>185.885</v>
      </c>
    </row>
    <row r="4436" customFormat="false" ht="15" hidden="false" customHeight="false" outlineLevel="0" collapsed="false">
      <c r="A4436" s="31" t="n">
        <v>42920.75</v>
      </c>
      <c r="B4436" s="32" t="n">
        <v>185.108</v>
      </c>
      <c r="D4436" s="33" t="n">
        <f aca="false">WEEKDAY(A4436,2)</f>
        <v>2</v>
      </c>
      <c r="E4436" s="33" t="n">
        <f aca="false">HOUR(A4436)+MINUTE(A4436)/60</f>
        <v>18</v>
      </c>
      <c r="F4436" s="33" t="n">
        <f aca="false">IF(OR(D4436&gt;5,E4436&lt;8,E4436&gt;=18,COUNTIF($K$2:$K$10,INT(A4436))&gt;0),1,0)</f>
        <v>1</v>
      </c>
      <c r="G4436" s="34" t="n">
        <f aca="false">B4436/1</f>
        <v>185.108</v>
      </c>
      <c r="H4436" s="34" t="n">
        <f aca="false">IF(F4436=1,G4436,"")</f>
        <v>185.108</v>
      </c>
    </row>
    <row r="4437" customFormat="false" ht="15" hidden="false" customHeight="false" outlineLevel="0" collapsed="false">
      <c r="A4437" s="31" t="n">
        <v>42920.7916666667</v>
      </c>
      <c r="B4437" s="32" t="n">
        <v>185.609</v>
      </c>
      <c r="D4437" s="33" t="n">
        <f aca="false">WEEKDAY(A4437,2)</f>
        <v>2</v>
      </c>
      <c r="E4437" s="33" t="n">
        <f aca="false">HOUR(A4437)+MINUTE(A4437)/60</f>
        <v>19</v>
      </c>
      <c r="F4437" s="33" t="n">
        <f aca="false">IF(OR(D4437&gt;5,E4437&lt;8,E4437&gt;=18,COUNTIF($K$2:$K$10,INT(A4437))&gt;0),1,0)</f>
        <v>1</v>
      </c>
      <c r="G4437" s="34" t="n">
        <f aca="false">B4437/1</f>
        <v>185.609</v>
      </c>
      <c r="H4437" s="34" t="n">
        <f aca="false">IF(F4437=1,G4437,"")</f>
        <v>185.609</v>
      </c>
    </row>
    <row r="4438" customFormat="false" ht="15" hidden="false" customHeight="false" outlineLevel="0" collapsed="false">
      <c r="A4438" s="31" t="n">
        <v>42920.8333333333</v>
      </c>
      <c r="B4438" s="32" t="n">
        <v>182.982</v>
      </c>
      <c r="D4438" s="33" t="n">
        <f aca="false">WEEKDAY(A4438,2)</f>
        <v>2</v>
      </c>
      <c r="E4438" s="33" t="n">
        <f aca="false">HOUR(A4438)+MINUTE(A4438)/60</f>
        <v>20</v>
      </c>
      <c r="F4438" s="33" t="n">
        <f aca="false">IF(OR(D4438&gt;5,E4438&lt;8,E4438&gt;=18,COUNTIF($K$2:$K$10,INT(A4438))&gt;0),1,0)</f>
        <v>1</v>
      </c>
      <c r="G4438" s="34" t="n">
        <f aca="false">B4438/1</f>
        <v>182.982</v>
      </c>
      <c r="H4438" s="34" t="n">
        <f aca="false">IF(F4438=1,G4438,"")</f>
        <v>182.982</v>
      </c>
    </row>
    <row r="4439" customFormat="false" ht="15" hidden="false" customHeight="false" outlineLevel="0" collapsed="false">
      <c r="A4439" s="31" t="n">
        <v>42920.875</v>
      </c>
      <c r="B4439" s="32" t="n">
        <v>183.14</v>
      </c>
      <c r="D4439" s="33" t="n">
        <f aca="false">WEEKDAY(A4439,2)</f>
        <v>2</v>
      </c>
      <c r="E4439" s="33" t="n">
        <f aca="false">HOUR(A4439)+MINUTE(A4439)/60</f>
        <v>21</v>
      </c>
      <c r="F4439" s="33" t="n">
        <f aca="false">IF(OR(D4439&gt;5,E4439&lt;8,E4439&gt;=18,COUNTIF($K$2:$K$10,INT(A4439))&gt;0),1,0)</f>
        <v>1</v>
      </c>
      <c r="G4439" s="34" t="n">
        <f aca="false">B4439/1</f>
        <v>183.14</v>
      </c>
      <c r="H4439" s="34" t="n">
        <f aca="false">IF(F4439=1,G4439,"")</f>
        <v>183.14</v>
      </c>
    </row>
    <row r="4440" customFormat="false" ht="15" hidden="false" customHeight="false" outlineLevel="0" collapsed="false">
      <c r="A4440" s="31" t="n">
        <v>42920.9166666667</v>
      </c>
      <c r="B4440" s="32" t="n">
        <v>185.28</v>
      </c>
      <c r="D4440" s="33" t="n">
        <f aca="false">WEEKDAY(A4440,2)</f>
        <v>2</v>
      </c>
      <c r="E4440" s="33" t="n">
        <f aca="false">HOUR(A4440)+MINUTE(A4440)/60</f>
        <v>22</v>
      </c>
      <c r="F4440" s="33" t="n">
        <f aca="false">IF(OR(D4440&gt;5,E4440&lt;8,E4440&gt;=18,COUNTIF($K$2:$K$10,INT(A4440))&gt;0),1,0)</f>
        <v>1</v>
      </c>
      <c r="G4440" s="34" t="n">
        <f aca="false">B4440/1</f>
        <v>185.28</v>
      </c>
      <c r="H4440" s="34" t="n">
        <f aca="false">IF(F4440=1,G4440,"")</f>
        <v>185.28</v>
      </c>
    </row>
    <row r="4441" customFormat="false" ht="15" hidden="false" customHeight="false" outlineLevel="0" collapsed="false">
      <c r="A4441" s="31" t="n">
        <v>42920.9583333333</v>
      </c>
      <c r="B4441" s="32" t="n">
        <v>186.192</v>
      </c>
      <c r="D4441" s="33" t="n">
        <f aca="false">WEEKDAY(A4441,2)</f>
        <v>2</v>
      </c>
      <c r="E4441" s="33" t="n">
        <f aca="false">HOUR(A4441)+MINUTE(A4441)/60</f>
        <v>23</v>
      </c>
      <c r="F4441" s="33" t="n">
        <f aca="false">IF(OR(D4441&gt;5,E4441&lt;8,E4441&gt;=18,COUNTIF($K$2:$K$10,INT(A4441))&gt;0),1,0)</f>
        <v>1</v>
      </c>
      <c r="G4441" s="34" t="n">
        <f aca="false">B4441/1</f>
        <v>186.192</v>
      </c>
      <c r="H4441" s="34" t="n">
        <f aca="false">IF(F4441=1,G4441,"")</f>
        <v>186.192</v>
      </c>
    </row>
    <row r="4442" customFormat="false" ht="15" hidden="false" customHeight="false" outlineLevel="0" collapsed="false">
      <c r="A4442" s="31" t="n">
        <v>42921</v>
      </c>
      <c r="B4442" s="32" t="n">
        <v>186.407</v>
      </c>
      <c r="D4442" s="33" t="n">
        <f aca="false">WEEKDAY(A4442,2)</f>
        <v>3</v>
      </c>
      <c r="E4442" s="33" t="n">
        <f aca="false">HOUR(A4442)+MINUTE(A4442)/60</f>
        <v>0</v>
      </c>
      <c r="F4442" s="33" t="n">
        <f aca="false">IF(OR(D4442&gt;5,E4442&lt;8,E4442&gt;=18,COUNTIF($K$2:$K$10,INT(A4442))&gt;0),1,0)</f>
        <v>1</v>
      </c>
      <c r="G4442" s="34" t="n">
        <f aca="false">B4442/1</f>
        <v>186.407</v>
      </c>
      <c r="H4442" s="34" t="n">
        <f aca="false">IF(F4442=1,G4442,"")</f>
        <v>186.407</v>
      </c>
    </row>
    <row r="4443" customFormat="false" ht="15" hidden="false" customHeight="false" outlineLevel="0" collapsed="false">
      <c r="A4443" s="31" t="n">
        <v>42921.0416666667</v>
      </c>
      <c r="B4443" s="32" t="n">
        <v>118.815</v>
      </c>
      <c r="D4443" s="33" t="n">
        <f aca="false">WEEKDAY(A4443,2)</f>
        <v>3</v>
      </c>
      <c r="E4443" s="33" t="n">
        <f aca="false">HOUR(A4443)+MINUTE(A4443)/60</f>
        <v>1</v>
      </c>
      <c r="F4443" s="33" t="n">
        <f aca="false">IF(OR(D4443&gt;5,E4443&lt;8,E4443&gt;=18,COUNTIF($K$2:$K$10,INT(A4443))&gt;0),1,0)</f>
        <v>1</v>
      </c>
      <c r="G4443" s="34" t="n">
        <f aca="false">B4443/1</f>
        <v>118.815</v>
      </c>
      <c r="H4443" s="34" t="n">
        <f aca="false">IF(F4443=1,G4443,"")</f>
        <v>118.815</v>
      </c>
    </row>
    <row r="4444" customFormat="false" ht="15" hidden="false" customHeight="false" outlineLevel="0" collapsed="false">
      <c r="A4444" s="31" t="n">
        <v>42921.0833333333</v>
      </c>
      <c r="B4444" s="32" t="n">
        <v>74.305</v>
      </c>
      <c r="D4444" s="33" t="n">
        <f aca="false">WEEKDAY(A4444,2)</f>
        <v>3</v>
      </c>
      <c r="E4444" s="33" t="n">
        <f aca="false">HOUR(A4444)+MINUTE(A4444)/60</f>
        <v>2</v>
      </c>
      <c r="F4444" s="33" t="n">
        <f aca="false">IF(OR(D4444&gt;5,E4444&lt;8,E4444&gt;=18,COUNTIF($K$2:$K$10,INT(A4444))&gt;0),1,0)</f>
        <v>1</v>
      </c>
      <c r="G4444" s="34" t="n">
        <f aca="false">B4444/1</f>
        <v>74.305</v>
      </c>
      <c r="H4444" s="34" t="n">
        <f aca="false">IF(F4444=1,G4444,"")</f>
        <v>74.305</v>
      </c>
    </row>
    <row r="4445" customFormat="false" ht="15" hidden="false" customHeight="false" outlineLevel="0" collapsed="false">
      <c r="A4445" s="31" t="n">
        <v>42921.125</v>
      </c>
      <c r="B4445" s="32" t="n">
        <v>79.114</v>
      </c>
      <c r="D4445" s="33" t="n">
        <f aca="false">WEEKDAY(A4445,2)</f>
        <v>3</v>
      </c>
      <c r="E4445" s="33" t="n">
        <f aca="false">HOUR(A4445)+MINUTE(A4445)/60</f>
        <v>3</v>
      </c>
      <c r="F4445" s="33" t="n">
        <f aca="false">IF(OR(D4445&gt;5,E4445&lt;8,E4445&gt;=18,COUNTIF($K$2:$K$10,INT(A4445))&gt;0),1,0)</f>
        <v>1</v>
      </c>
      <c r="G4445" s="34" t="n">
        <f aca="false">B4445/1</f>
        <v>79.114</v>
      </c>
      <c r="H4445" s="34" t="n">
        <f aca="false">IF(F4445=1,G4445,"")</f>
        <v>79.114</v>
      </c>
    </row>
    <row r="4446" customFormat="false" ht="15" hidden="false" customHeight="false" outlineLevel="0" collapsed="false">
      <c r="A4446" s="31" t="n">
        <v>42921.1666666667</v>
      </c>
      <c r="B4446" s="32" t="n">
        <v>85.237</v>
      </c>
      <c r="D4446" s="33" t="n">
        <f aca="false">WEEKDAY(A4446,2)</f>
        <v>3</v>
      </c>
      <c r="E4446" s="33" t="n">
        <f aca="false">HOUR(A4446)+MINUTE(A4446)/60</f>
        <v>4</v>
      </c>
      <c r="F4446" s="33" t="n">
        <f aca="false">IF(OR(D4446&gt;5,E4446&lt;8,E4446&gt;=18,COUNTIF($K$2:$K$10,INT(A4446))&gt;0),1,0)</f>
        <v>1</v>
      </c>
      <c r="G4446" s="34" t="n">
        <f aca="false">B4446/1</f>
        <v>85.237</v>
      </c>
      <c r="H4446" s="34" t="n">
        <f aca="false">IF(F4446=1,G4446,"")</f>
        <v>85.237</v>
      </c>
    </row>
    <row r="4447" customFormat="false" ht="15" hidden="false" customHeight="false" outlineLevel="0" collapsed="false">
      <c r="A4447" s="31" t="n">
        <v>42921.2083333333</v>
      </c>
      <c r="B4447" s="32" t="n">
        <v>84.842</v>
      </c>
      <c r="D4447" s="33" t="n">
        <f aca="false">WEEKDAY(A4447,2)</f>
        <v>3</v>
      </c>
      <c r="E4447" s="33" t="n">
        <f aca="false">HOUR(A4447)+MINUTE(A4447)/60</f>
        <v>5</v>
      </c>
      <c r="F4447" s="33" t="n">
        <f aca="false">IF(OR(D4447&gt;5,E4447&lt;8,E4447&gt;=18,COUNTIF($K$2:$K$10,INT(A4447))&gt;0),1,0)</f>
        <v>1</v>
      </c>
      <c r="G4447" s="34" t="n">
        <f aca="false">B4447/1</f>
        <v>84.842</v>
      </c>
      <c r="H4447" s="34" t="n">
        <f aca="false">IF(F4447=1,G4447,"")</f>
        <v>84.842</v>
      </c>
    </row>
    <row r="4448" customFormat="false" ht="15" hidden="false" customHeight="false" outlineLevel="0" collapsed="false">
      <c r="A4448" s="31" t="n">
        <v>42921.25</v>
      </c>
      <c r="B4448" s="32" t="n">
        <v>87.258</v>
      </c>
      <c r="D4448" s="33" t="n">
        <f aca="false">WEEKDAY(A4448,2)</f>
        <v>3</v>
      </c>
      <c r="E4448" s="33" t="n">
        <f aca="false">HOUR(A4448)+MINUTE(A4448)/60</f>
        <v>6</v>
      </c>
      <c r="F4448" s="33" t="n">
        <f aca="false">IF(OR(D4448&gt;5,E4448&lt;8,E4448&gt;=18,COUNTIF($K$2:$K$10,INT(A4448))&gt;0),1,0)</f>
        <v>1</v>
      </c>
      <c r="G4448" s="34" t="n">
        <f aca="false">B4448/1</f>
        <v>87.258</v>
      </c>
      <c r="H4448" s="34" t="n">
        <f aca="false">IF(F4448=1,G4448,"")</f>
        <v>87.258</v>
      </c>
    </row>
    <row r="4449" customFormat="false" ht="15" hidden="false" customHeight="false" outlineLevel="0" collapsed="false">
      <c r="A4449" s="31" t="n">
        <v>42921.2916666667</v>
      </c>
      <c r="B4449" s="32" t="n">
        <v>79.849</v>
      </c>
      <c r="D4449" s="33" t="n">
        <f aca="false">WEEKDAY(A4449,2)</f>
        <v>3</v>
      </c>
      <c r="E4449" s="33" t="n">
        <f aca="false">HOUR(A4449)+MINUTE(A4449)/60</f>
        <v>7</v>
      </c>
      <c r="F4449" s="33" t="n">
        <f aca="false">IF(OR(D4449&gt;5,E4449&lt;8,E4449&gt;=18,COUNTIF($K$2:$K$10,INT(A4449))&gt;0),1,0)</f>
        <v>1</v>
      </c>
      <c r="G4449" s="34" t="n">
        <f aca="false">B4449/1</f>
        <v>79.849</v>
      </c>
      <c r="H4449" s="34" t="n">
        <f aca="false">IF(F4449=1,G4449,"")</f>
        <v>79.849</v>
      </c>
    </row>
    <row r="4450" customFormat="false" ht="15" hidden="false" customHeight="false" outlineLevel="0" collapsed="false">
      <c r="A4450" s="31" t="n">
        <v>42921.3333333333</v>
      </c>
      <c r="B4450" s="32" t="n">
        <v>185.667</v>
      </c>
      <c r="D4450" s="33" t="n">
        <f aca="false">WEEKDAY(A4450,2)</f>
        <v>3</v>
      </c>
      <c r="E4450" s="33" t="n">
        <f aca="false">HOUR(A4450)+MINUTE(A4450)/60</f>
        <v>8</v>
      </c>
      <c r="F4450" s="33" t="n">
        <f aca="false">IF(OR(D4450&gt;5,E4450&lt;8,E4450&gt;=18,COUNTIF($K$2:$K$10,INT(A4450))&gt;0),1,0)</f>
        <v>0</v>
      </c>
      <c r="G4450" s="34" t="n">
        <f aca="false">B4450/1</f>
        <v>185.667</v>
      </c>
      <c r="H4450" s="34" t="str">
        <f aca="false">IF(F4450=1,G4450,"")</f>
        <v/>
      </c>
    </row>
    <row r="4451" customFormat="false" ht="15" hidden="false" customHeight="false" outlineLevel="0" collapsed="false">
      <c r="A4451" s="31" t="n">
        <v>42921.375</v>
      </c>
      <c r="B4451" s="32" t="n">
        <v>208.389</v>
      </c>
      <c r="D4451" s="33" t="n">
        <f aca="false">WEEKDAY(A4451,2)</f>
        <v>3</v>
      </c>
      <c r="E4451" s="33" t="n">
        <f aca="false">HOUR(A4451)+MINUTE(A4451)/60</f>
        <v>9</v>
      </c>
      <c r="F4451" s="33" t="n">
        <f aca="false">IF(OR(D4451&gt;5,E4451&lt;8,E4451&gt;=18,COUNTIF($K$2:$K$10,INT(A4451))&gt;0),1,0)</f>
        <v>0</v>
      </c>
      <c r="G4451" s="34" t="n">
        <f aca="false">B4451/1</f>
        <v>208.389</v>
      </c>
      <c r="H4451" s="34" t="str">
        <f aca="false">IF(F4451=1,G4451,"")</f>
        <v/>
      </c>
    </row>
    <row r="4452" customFormat="false" ht="15" hidden="false" customHeight="false" outlineLevel="0" collapsed="false">
      <c r="A4452" s="31" t="n">
        <v>42921.4166666667</v>
      </c>
      <c r="B4452" s="32" t="n">
        <v>218.131</v>
      </c>
      <c r="D4452" s="33" t="n">
        <f aca="false">WEEKDAY(A4452,2)</f>
        <v>3</v>
      </c>
      <c r="E4452" s="33" t="n">
        <f aca="false">HOUR(A4452)+MINUTE(A4452)/60</f>
        <v>10</v>
      </c>
      <c r="F4452" s="33" t="n">
        <f aca="false">IF(OR(D4452&gt;5,E4452&lt;8,E4452&gt;=18,COUNTIF($K$2:$K$10,INT(A4452))&gt;0),1,0)</f>
        <v>0</v>
      </c>
      <c r="G4452" s="34" t="n">
        <f aca="false">B4452/1</f>
        <v>218.131</v>
      </c>
      <c r="H4452" s="34" t="str">
        <f aca="false">IF(F4452=1,G4452,"")</f>
        <v/>
      </c>
    </row>
    <row r="4453" customFormat="false" ht="15" hidden="false" customHeight="false" outlineLevel="0" collapsed="false">
      <c r="A4453" s="31" t="n">
        <v>42921.4583333333</v>
      </c>
      <c r="B4453" s="32" t="n">
        <v>222.863</v>
      </c>
      <c r="D4453" s="33" t="n">
        <f aca="false">WEEKDAY(A4453,2)</f>
        <v>3</v>
      </c>
      <c r="E4453" s="33" t="n">
        <f aca="false">HOUR(A4453)+MINUTE(A4453)/60</f>
        <v>11</v>
      </c>
      <c r="F4453" s="33" t="n">
        <f aca="false">IF(OR(D4453&gt;5,E4453&lt;8,E4453&gt;=18,COUNTIF($K$2:$K$10,INT(A4453))&gt;0),1,0)</f>
        <v>0</v>
      </c>
      <c r="G4453" s="34" t="n">
        <f aca="false">B4453/1</f>
        <v>222.863</v>
      </c>
      <c r="H4453" s="34" t="str">
        <f aca="false">IF(F4453=1,G4453,"")</f>
        <v/>
      </c>
    </row>
    <row r="4454" customFormat="false" ht="15" hidden="false" customHeight="false" outlineLevel="0" collapsed="false">
      <c r="A4454" s="31" t="n">
        <v>42921.5</v>
      </c>
      <c r="B4454" s="32" t="n">
        <v>228.04</v>
      </c>
      <c r="D4454" s="33" t="n">
        <f aca="false">WEEKDAY(A4454,2)</f>
        <v>3</v>
      </c>
      <c r="E4454" s="33" t="n">
        <f aca="false">HOUR(A4454)+MINUTE(A4454)/60</f>
        <v>12</v>
      </c>
      <c r="F4454" s="33" t="n">
        <f aca="false">IF(OR(D4454&gt;5,E4454&lt;8,E4454&gt;=18,COUNTIF($K$2:$K$10,INT(A4454))&gt;0),1,0)</f>
        <v>0</v>
      </c>
      <c r="G4454" s="34" t="n">
        <f aca="false">B4454/1</f>
        <v>228.04</v>
      </c>
      <c r="H4454" s="34" t="str">
        <f aca="false">IF(F4454=1,G4454,"")</f>
        <v/>
      </c>
    </row>
    <row r="4455" customFormat="false" ht="15" hidden="false" customHeight="false" outlineLevel="0" collapsed="false">
      <c r="A4455" s="31" t="n">
        <v>42921.5416666667</v>
      </c>
      <c r="B4455" s="32" t="n">
        <v>226.317</v>
      </c>
      <c r="D4455" s="33" t="n">
        <f aca="false">WEEKDAY(A4455,2)</f>
        <v>3</v>
      </c>
      <c r="E4455" s="33" t="n">
        <f aca="false">HOUR(A4455)+MINUTE(A4455)/60</f>
        <v>13</v>
      </c>
      <c r="F4455" s="33" t="n">
        <f aca="false">IF(OR(D4455&gt;5,E4455&lt;8,E4455&gt;=18,COUNTIF($K$2:$K$10,INT(A4455))&gt;0),1,0)</f>
        <v>0</v>
      </c>
      <c r="G4455" s="34" t="n">
        <f aca="false">B4455/1</f>
        <v>226.317</v>
      </c>
      <c r="H4455" s="34" t="str">
        <f aca="false">IF(F4455=1,G4455,"")</f>
        <v/>
      </c>
    </row>
    <row r="4456" customFormat="false" ht="15" hidden="false" customHeight="false" outlineLevel="0" collapsed="false">
      <c r="A4456" s="31" t="n">
        <v>42921.5833333333</v>
      </c>
      <c r="B4456" s="32" t="n">
        <v>228.556</v>
      </c>
      <c r="D4456" s="33" t="n">
        <f aca="false">WEEKDAY(A4456,2)</f>
        <v>3</v>
      </c>
      <c r="E4456" s="33" t="n">
        <f aca="false">HOUR(A4456)+MINUTE(A4456)/60</f>
        <v>14</v>
      </c>
      <c r="F4456" s="33" t="n">
        <f aca="false">IF(OR(D4456&gt;5,E4456&lt;8,E4456&gt;=18,COUNTIF($K$2:$K$10,INT(A4456))&gt;0),1,0)</f>
        <v>0</v>
      </c>
      <c r="G4456" s="34" t="n">
        <f aca="false">B4456/1</f>
        <v>228.556</v>
      </c>
      <c r="H4456" s="34" t="str">
        <f aca="false">IF(F4456=1,G4456,"")</f>
        <v/>
      </c>
    </row>
    <row r="4457" customFormat="false" ht="15" hidden="false" customHeight="false" outlineLevel="0" collapsed="false">
      <c r="A4457" s="31" t="n">
        <v>42921.625</v>
      </c>
      <c r="B4457" s="32" t="n">
        <v>230.299</v>
      </c>
      <c r="D4457" s="33" t="n">
        <f aca="false">WEEKDAY(A4457,2)</f>
        <v>3</v>
      </c>
      <c r="E4457" s="33" t="n">
        <f aca="false">HOUR(A4457)+MINUTE(A4457)/60</f>
        <v>15</v>
      </c>
      <c r="F4457" s="33" t="n">
        <f aca="false">IF(OR(D4457&gt;5,E4457&lt;8,E4457&gt;=18,COUNTIF($K$2:$K$10,INT(A4457))&gt;0),1,0)</f>
        <v>0</v>
      </c>
      <c r="G4457" s="34" t="n">
        <f aca="false">B4457/1</f>
        <v>230.299</v>
      </c>
      <c r="H4457" s="34" t="str">
        <f aca="false">IF(F4457=1,G4457,"")</f>
        <v/>
      </c>
    </row>
    <row r="4458" customFormat="false" ht="15" hidden="false" customHeight="false" outlineLevel="0" collapsed="false">
      <c r="A4458" s="31" t="n">
        <v>42921.6666666667</v>
      </c>
      <c r="B4458" s="32" t="n">
        <v>229.497</v>
      </c>
      <c r="D4458" s="33" t="n">
        <f aca="false">WEEKDAY(A4458,2)</f>
        <v>3</v>
      </c>
      <c r="E4458" s="33" t="n">
        <f aca="false">HOUR(A4458)+MINUTE(A4458)/60</f>
        <v>16</v>
      </c>
      <c r="F4458" s="33" t="n">
        <f aca="false">IF(OR(D4458&gt;5,E4458&lt;8,E4458&gt;=18,COUNTIF($K$2:$K$10,INT(A4458))&gt;0),1,0)</f>
        <v>0</v>
      </c>
      <c r="G4458" s="34" t="n">
        <f aca="false">B4458/1</f>
        <v>229.497</v>
      </c>
      <c r="H4458" s="34" t="str">
        <f aca="false">IF(F4458=1,G4458,"")</f>
        <v/>
      </c>
    </row>
    <row r="4459" customFormat="false" ht="15" hidden="false" customHeight="false" outlineLevel="0" collapsed="false">
      <c r="A4459" s="31" t="n">
        <v>42921.7083333333</v>
      </c>
      <c r="B4459" s="32" t="n">
        <v>222.391</v>
      </c>
      <c r="D4459" s="33" t="n">
        <f aca="false">WEEKDAY(A4459,2)</f>
        <v>3</v>
      </c>
      <c r="E4459" s="33" t="n">
        <f aca="false">HOUR(A4459)+MINUTE(A4459)/60</f>
        <v>17</v>
      </c>
      <c r="F4459" s="33" t="n">
        <f aca="false">IF(OR(D4459&gt;5,E4459&lt;8,E4459&gt;=18,COUNTIF($K$2:$K$10,INT(A4459))&gt;0),1,0)</f>
        <v>0</v>
      </c>
      <c r="G4459" s="34" t="n">
        <f aca="false">B4459/1</f>
        <v>222.391</v>
      </c>
      <c r="H4459" s="34" t="str">
        <f aca="false">IF(F4459=1,G4459,"")</f>
        <v/>
      </c>
    </row>
    <row r="4460" customFormat="false" ht="15" hidden="false" customHeight="false" outlineLevel="0" collapsed="false">
      <c r="A4460" s="31" t="n">
        <v>42921.75</v>
      </c>
      <c r="B4460" s="32" t="n">
        <v>207.247</v>
      </c>
      <c r="D4460" s="33" t="n">
        <f aca="false">WEEKDAY(A4460,2)</f>
        <v>3</v>
      </c>
      <c r="E4460" s="33" t="n">
        <f aca="false">HOUR(A4460)+MINUTE(A4460)/60</f>
        <v>18</v>
      </c>
      <c r="F4460" s="33" t="n">
        <f aca="false">IF(OR(D4460&gt;5,E4460&lt;8,E4460&gt;=18,COUNTIF($K$2:$K$10,INT(A4460))&gt;0),1,0)</f>
        <v>1</v>
      </c>
      <c r="G4460" s="34" t="n">
        <f aca="false">B4460/1</f>
        <v>207.247</v>
      </c>
      <c r="H4460" s="34" t="n">
        <f aca="false">IF(F4460=1,G4460,"")</f>
        <v>207.247</v>
      </c>
    </row>
    <row r="4461" customFormat="false" ht="15" hidden="false" customHeight="false" outlineLevel="0" collapsed="false">
      <c r="A4461" s="31" t="n">
        <v>42921.7916666667</v>
      </c>
      <c r="B4461" s="32" t="n">
        <v>202.046</v>
      </c>
      <c r="D4461" s="33" t="n">
        <f aca="false">WEEKDAY(A4461,2)</f>
        <v>3</v>
      </c>
      <c r="E4461" s="33" t="n">
        <f aca="false">HOUR(A4461)+MINUTE(A4461)/60</f>
        <v>19</v>
      </c>
      <c r="F4461" s="33" t="n">
        <f aca="false">IF(OR(D4461&gt;5,E4461&lt;8,E4461&gt;=18,COUNTIF($K$2:$K$10,INT(A4461))&gt;0),1,0)</f>
        <v>1</v>
      </c>
      <c r="G4461" s="34" t="n">
        <f aca="false">B4461/1</f>
        <v>202.046</v>
      </c>
      <c r="H4461" s="34" t="n">
        <f aca="false">IF(F4461=1,G4461,"")</f>
        <v>202.046</v>
      </c>
    </row>
    <row r="4462" customFormat="false" ht="15" hidden="false" customHeight="false" outlineLevel="0" collapsed="false">
      <c r="A4462" s="31" t="n">
        <v>42921.8333333333</v>
      </c>
      <c r="B4462" s="32" t="n">
        <v>195.626</v>
      </c>
      <c r="D4462" s="33" t="n">
        <f aca="false">WEEKDAY(A4462,2)</f>
        <v>3</v>
      </c>
      <c r="E4462" s="33" t="n">
        <f aca="false">HOUR(A4462)+MINUTE(A4462)/60</f>
        <v>20</v>
      </c>
      <c r="F4462" s="33" t="n">
        <f aca="false">IF(OR(D4462&gt;5,E4462&lt;8,E4462&gt;=18,COUNTIF($K$2:$K$10,INT(A4462))&gt;0),1,0)</f>
        <v>1</v>
      </c>
      <c r="G4462" s="34" t="n">
        <f aca="false">B4462/1</f>
        <v>195.626</v>
      </c>
      <c r="H4462" s="34" t="n">
        <f aca="false">IF(F4462=1,G4462,"")</f>
        <v>195.626</v>
      </c>
    </row>
    <row r="4463" customFormat="false" ht="15" hidden="false" customHeight="false" outlineLevel="0" collapsed="false">
      <c r="A4463" s="31" t="n">
        <v>42921.875</v>
      </c>
      <c r="B4463" s="32" t="n">
        <v>192.99</v>
      </c>
      <c r="D4463" s="33" t="n">
        <f aca="false">WEEKDAY(A4463,2)</f>
        <v>3</v>
      </c>
      <c r="E4463" s="33" t="n">
        <f aca="false">HOUR(A4463)+MINUTE(A4463)/60</f>
        <v>21</v>
      </c>
      <c r="F4463" s="33" t="n">
        <f aca="false">IF(OR(D4463&gt;5,E4463&lt;8,E4463&gt;=18,COUNTIF($K$2:$K$10,INT(A4463))&gt;0),1,0)</f>
        <v>1</v>
      </c>
      <c r="G4463" s="34" t="n">
        <f aca="false">B4463/1</f>
        <v>192.99</v>
      </c>
      <c r="H4463" s="34" t="n">
        <f aca="false">IF(F4463=1,G4463,"")</f>
        <v>192.99</v>
      </c>
    </row>
    <row r="4464" customFormat="false" ht="15" hidden="false" customHeight="false" outlineLevel="0" collapsed="false">
      <c r="A4464" s="31" t="n">
        <v>42921.9166666667</v>
      </c>
      <c r="B4464" s="32" t="n">
        <v>194.035</v>
      </c>
      <c r="D4464" s="33" t="n">
        <f aca="false">WEEKDAY(A4464,2)</f>
        <v>3</v>
      </c>
      <c r="E4464" s="33" t="n">
        <f aca="false">HOUR(A4464)+MINUTE(A4464)/60</f>
        <v>22</v>
      </c>
      <c r="F4464" s="33" t="n">
        <f aca="false">IF(OR(D4464&gt;5,E4464&lt;8,E4464&gt;=18,COUNTIF($K$2:$K$10,INT(A4464))&gt;0),1,0)</f>
        <v>1</v>
      </c>
      <c r="G4464" s="34" t="n">
        <f aca="false">B4464/1</f>
        <v>194.035</v>
      </c>
      <c r="H4464" s="34" t="n">
        <f aca="false">IF(F4464=1,G4464,"")</f>
        <v>194.035</v>
      </c>
    </row>
    <row r="4465" customFormat="false" ht="15" hidden="false" customHeight="false" outlineLevel="0" collapsed="false">
      <c r="A4465" s="31" t="n">
        <v>42921.9583333333</v>
      </c>
      <c r="B4465" s="32" t="n">
        <v>192.329</v>
      </c>
      <c r="D4465" s="33" t="n">
        <f aca="false">WEEKDAY(A4465,2)</f>
        <v>3</v>
      </c>
      <c r="E4465" s="33" t="n">
        <f aca="false">HOUR(A4465)+MINUTE(A4465)/60</f>
        <v>23</v>
      </c>
      <c r="F4465" s="33" t="n">
        <f aca="false">IF(OR(D4465&gt;5,E4465&lt;8,E4465&gt;=18,COUNTIF($K$2:$K$10,INT(A4465))&gt;0),1,0)</f>
        <v>1</v>
      </c>
      <c r="G4465" s="34" t="n">
        <f aca="false">B4465/1</f>
        <v>192.329</v>
      </c>
      <c r="H4465" s="34" t="n">
        <f aca="false">IF(F4465=1,G4465,"")</f>
        <v>192.329</v>
      </c>
    </row>
    <row r="4466" customFormat="false" ht="15" hidden="false" customHeight="false" outlineLevel="0" collapsed="false">
      <c r="A4466" s="31" t="n">
        <v>42922</v>
      </c>
      <c r="B4466" s="32" t="n">
        <v>193.568</v>
      </c>
      <c r="D4466" s="33" t="n">
        <f aca="false">WEEKDAY(A4466,2)</f>
        <v>4</v>
      </c>
      <c r="E4466" s="33" t="n">
        <f aca="false">HOUR(A4466)+MINUTE(A4466)/60</f>
        <v>0</v>
      </c>
      <c r="F4466" s="33" t="n">
        <f aca="false">IF(OR(D4466&gt;5,E4466&lt;8,E4466&gt;=18,COUNTIF($K$2:$K$10,INT(A4466))&gt;0),1,0)</f>
        <v>1</v>
      </c>
      <c r="G4466" s="34" t="n">
        <f aca="false">B4466/1</f>
        <v>193.568</v>
      </c>
      <c r="H4466" s="34" t="n">
        <f aca="false">IF(F4466=1,G4466,"")</f>
        <v>193.568</v>
      </c>
    </row>
    <row r="4467" customFormat="false" ht="15" hidden="false" customHeight="false" outlineLevel="0" collapsed="false">
      <c r="A4467" s="31" t="n">
        <v>42922.0416666667</v>
      </c>
      <c r="B4467" s="32" t="n">
        <v>192.327</v>
      </c>
      <c r="D4467" s="33" t="n">
        <f aca="false">WEEKDAY(A4467,2)</f>
        <v>4</v>
      </c>
      <c r="E4467" s="33" t="n">
        <f aca="false">HOUR(A4467)+MINUTE(A4467)/60</f>
        <v>1</v>
      </c>
      <c r="F4467" s="33" t="n">
        <f aca="false">IF(OR(D4467&gt;5,E4467&lt;8,E4467&gt;=18,COUNTIF($K$2:$K$10,INT(A4467))&gt;0),1,0)</f>
        <v>1</v>
      </c>
      <c r="G4467" s="34" t="n">
        <f aca="false">B4467/1</f>
        <v>192.327</v>
      </c>
      <c r="H4467" s="34" t="n">
        <f aca="false">IF(F4467=1,G4467,"")</f>
        <v>192.327</v>
      </c>
    </row>
    <row r="4468" customFormat="false" ht="15" hidden="false" customHeight="false" outlineLevel="0" collapsed="false">
      <c r="A4468" s="31" t="n">
        <v>42922.0833333333</v>
      </c>
      <c r="B4468" s="32" t="n">
        <v>191.31</v>
      </c>
      <c r="D4468" s="33" t="n">
        <f aca="false">WEEKDAY(A4468,2)</f>
        <v>4</v>
      </c>
      <c r="E4468" s="33" t="n">
        <f aca="false">HOUR(A4468)+MINUTE(A4468)/60</f>
        <v>2</v>
      </c>
      <c r="F4468" s="33" t="n">
        <f aca="false">IF(OR(D4468&gt;5,E4468&lt;8,E4468&gt;=18,COUNTIF($K$2:$K$10,INT(A4468))&gt;0),1,0)</f>
        <v>1</v>
      </c>
      <c r="G4468" s="34" t="n">
        <f aca="false">B4468/1</f>
        <v>191.31</v>
      </c>
      <c r="H4468" s="34" t="n">
        <f aca="false">IF(F4468=1,G4468,"")</f>
        <v>191.31</v>
      </c>
    </row>
    <row r="4469" customFormat="false" ht="15" hidden="false" customHeight="false" outlineLevel="0" collapsed="false">
      <c r="A4469" s="31" t="n">
        <v>42922.125</v>
      </c>
      <c r="B4469" s="32" t="n">
        <v>190.709</v>
      </c>
      <c r="D4469" s="33" t="n">
        <f aca="false">WEEKDAY(A4469,2)</f>
        <v>4</v>
      </c>
      <c r="E4469" s="33" t="n">
        <f aca="false">HOUR(A4469)+MINUTE(A4469)/60</f>
        <v>3</v>
      </c>
      <c r="F4469" s="33" t="n">
        <f aca="false">IF(OR(D4469&gt;5,E4469&lt;8,E4469&gt;=18,COUNTIF($K$2:$K$10,INT(A4469))&gt;0),1,0)</f>
        <v>1</v>
      </c>
      <c r="G4469" s="34" t="n">
        <f aca="false">B4469/1</f>
        <v>190.709</v>
      </c>
      <c r="H4469" s="34" t="n">
        <f aca="false">IF(F4469=1,G4469,"")</f>
        <v>190.709</v>
      </c>
    </row>
    <row r="4470" customFormat="false" ht="15" hidden="false" customHeight="false" outlineLevel="0" collapsed="false">
      <c r="A4470" s="31" t="n">
        <v>42922.1666666667</v>
      </c>
      <c r="B4470" s="32" t="n">
        <v>99.126</v>
      </c>
      <c r="D4470" s="33" t="n">
        <f aca="false">WEEKDAY(A4470,2)</f>
        <v>4</v>
      </c>
      <c r="E4470" s="33" t="n">
        <f aca="false">HOUR(A4470)+MINUTE(A4470)/60</f>
        <v>4</v>
      </c>
      <c r="F4470" s="33" t="n">
        <f aca="false">IF(OR(D4470&gt;5,E4470&lt;8,E4470&gt;=18,COUNTIF($K$2:$K$10,INT(A4470))&gt;0),1,0)</f>
        <v>1</v>
      </c>
      <c r="G4470" s="34" t="n">
        <f aca="false">B4470/1</f>
        <v>99.126</v>
      </c>
      <c r="H4470" s="34" t="n">
        <f aca="false">IF(F4470=1,G4470,"")</f>
        <v>99.126</v>
      </c>
    </row>
    <row r="4471" customFormat="false" ht="15" hidden="false" customHeight="false" outlineLevel="0" collapsed="false">
      <c r="A4471" s="31" t="n">
        <v>42922.2083333333</v>
      </c>
      <c r="B4471" s="32" t="n">
        <v>125.096</v>
      </c>
      <c r="D4471" s="33" t="n">
        <f aca="false">WEEKDAY(A4471,2)</f>
        <v>4</v>
      </c>
      <c r="E4471" s="33" t="n">
        <f aca="false">HOUR(A4471)+MINUTE(A4471)/60</f>
        <v>5</v>
      </c>
      <c r="F4471" s="33" t="n">
        <f aca="false">IF(OR(D4471&gt;5,E4471&lt;8,E4471&gt;=18,COUNTIF($K$2:$K$10,INT(A4471))&gt;0),1,0)</f>
        <v>1</v>
      </c>
      <c r="G4471" s="34" t="n">
        <f aca="false">B4471/1</f>
        <v>125.096</v>
      </c>
      <c r="H4471" s="34" t="n">
        <f aca="false">IF(F4471=1,G4471,"")</f>
        <v>125.096</v>
      </c>
    </row>
    <row r="4472" customFormat="false" ht="15" hidden="false" customHeight="false" outlineLevel="0" collapsed="false">
      <c r="A4472" s="31" t="n">
        <v>42922.25</v>
      </c>
      <c r="B4472" s="32" t="n">
        <v>124.458</v>
      </c>
      <c r="D4472" s="33" t="n">
        <f aca="false">WEEKDAY(A4472,2)</f>
        <v>4</v>
      </c>
      <c r="E4472" s="33" t="n">
        <f aca="false">HOUR(A4472)+MINUTE(A4472)/60</f>
        <v>6</v>
      </c>
      <c r="F4472" s="33" t="n">
        <f aca="false">IF(OR(D4472&gt;5,E4472&lt;8,E4472&gt;=18,COUNTIF($K$2:$K$10,INT(A4472))&gt;0),1,0)</f>
        <v>1</v>
      </c>
      <c r="G4472" s="34" t="n">
        <f aca="false">B4472/1</f>
        <v>124.458</v>
      </c>
      <c r="H4472" s="34" t="n">
        <f aca="false">IF(F4472=1,G4472,"")</f>
        <v>124.458</v>
      </c>
    </row>
    <row r="4473" customFormat="false" ht="15" hidden="false" customHeight="false" outlineLevel="0" collapsed="false">
      <c r="A4473" s="31" t="n">
        <v>42922.2916666667</v>
      </c>
      <c r="B4473" s="32" t="n">
        <v>104.648</v>
      </c>
      <c r="D4473" s="33" t="n">
        <f aca="false">WEEKDAY(A4473,2)</f>
        <v>4</v>
      </c>
      <c r="E4473" s="33" t="n">
        <f aca="false">HOUR(A4473)+MINUTE(A4473)/60</f>
        <v>7</v>
      </c>
      <c r="F4473" s="33" t="n">
        <f aca="false">IF(OR(D4473&gt;5,E4473&lt;8,E4473&gt;=18,COUNTIF($K$2:$K$10,INT(A4473))&gt;0),1,0)</f>
        <v>1</v>
      </c>
      <c r="G4473" s="34" t="n">
        <f aca="false">B4473/1</f>
        <v>104.648</v>
      </c>
      <c r="H4473" s="34" t="n">
        <f aca="false">IF(F4473=1,G4473,"")</f>
        <v>104.648</v>
      </c>
    </row>
    <row r="4474" customFormat="false" ht="15" hidden="false" customHeight="false" outlineLevel="0" collapsed="false">
      <c r="A4474" s="31" t="n">
        <v>42922.3333333333</v>
      </c>
      <c r="B4474" s="32" t="n">
        <v>179.66</v>
      </c>
      <c r="D4474" s="33" t="n">
        <f aca="false">WEEKDAY(A4474,2)</f>
        <v>4</v>
      </c>
      <c r="E4474" s="33" t="n">
        <f aca="false">HOUR(A4474)+MINUTE(A4474)/60</f>
        <v>8</v>
      </c>
      <c r="F4474" s="33" t="n">
        <f aca="false">IF(OR(D4474&gt;5,E4474&lt;8,E4474&gt;=18,COUNTIF($K$2:$K$10,INT(A4474))&gt;0),1,0)</f>
        <v>0</v>
      </c>
      <c r="G4474" s="34" t="n">
        <f aca="false">B4474/1</f>
        <v>179.66</v>
      </c>
      <c r="H4474" s="34" t="str">
        <f aca="false">IF(F4474=1,G4474,"")</f>
        <v/>
      </c>
    </row>
    <row r="4475" customFormat="false" ht="15" hidden="false" customHeight="false" outlineLevel="0" collapsed="false">
      <c r="A4475" s="31" t="n">
        <v>42922.375</v>
      </c>
      <c r="B4475" s="32" t="n">
        <v>206.039</v>
      </c>
      <c r="D4475" s="33" t="n">
        <f aca="false">WEEKDAY(A4475,2)</f>
        <v>4</v>
      </c>
      <c r="E4475" s="33" t="n">
        <f aca="false">HOUR(A4475)+MINUTE(A4475)/60</f>
        <v>9</v>
      </c>
      <c r="F4475" s="33" t="n">
        <f aca="false">IF(OR(D4475&gt;5,E4475&lt;8,E4475&gt;=18,COUNTIF($K$2:$K$10,INT(A4475))&gt;0),1,0)</f>
        <v>0</v>
      </c>
      <c r="G4475" s="34" t="n">
        <f aca="false">B4475/1</f>
        <v>206.039</v>
      </c>
      <c r="H4475" s="34" t="str">
        <f aca="false">IF(F4475=1,G4475,"")</f>
        <v/>
      </c>
    </row>
    <row r="4476" customFormat="false" ht="15" hidden="false" customHeight="false" outlineLevel="0" collapsed="false">
      <c r="A4476" s="31" t="n">
        <v>42922.4166666667</v>
      </c>
      <c r="B4476" s="32" t="n">
        <v>218.716</v>
      </c>
      <c r="D4476" s="33" t="n">
        <f aca="false">WEEKDAY(A4476,2)</f>
        <v>4</v>
      </c>
      <c r="E4476" s="33" t="n">
        <f aca="false">HOUR(A4476)+MINUTE(A4476)/60</f>
        <v>10</v>
      </c>
      <c r="F4476" s="33" t="n">
        <f aca="false">IF(OR(D4476&gt;5,E4476&lt;8,E4476&gt;=18,COUNTIF($K$2:$K$10,INT(A4476))&gt;0),1,0)</f>
        <v>0</v>
      </c>
      <c r="G4476" s="34" t="n">
        <f aca="false">B4476/1</f>
        <v>218.716</v>
      </c>
      <c r="H4476" s="34" t="str">
        <f aca="false">IF(F4476=1,G4476,"")</f>
        <v/>
      </c>
    </row>
    <row r="4477" customFormat="false" ht="15" hidden="false" customHeight="false" outlineLevel="0" collapsed="false">
      <c r="A4477" s="31" t="n">
        <v>42922.4583333333</v>
      </c>
      <c r="B4477" s="32" t="n">
        <v>229.378</v>
      </c>
      <c r="D4477" s="33" t="n">
        <f aca="false">WEEKDAY(A4477,2)</f>
        <v>4</v>
      </c>
      <c r="E4477" s="33" t="n">
        <f aca="false">HOUR(A4477)+MINUTE(A4477)/60</f>
        <v>11</v>
      </c>
      <c r="F4477" s="33" t="n">
        <f aca="false">IF(OR(D4477&gt;5,E4477&lt;8,E4477&gt;=18,COUNTIF($K$2:$K$10,INT(A4477))&gt;0),1,0)</f>
        <v>0</v>
      </c>
      <c r="G4477" s="34" t="n">
        <f aca="false">B4477/1</f>
        <v>229.378</v>
      </c>
      <c r="H4477" s="34" t="str">
        <f aca="false">IF(F4477=1,G4477,"")</f>
        <v/>
      </c>
    </row>
    <row r="4478" customFormat="false" ht="15" hidden="false" customHeight="false" outlineLevel="0" collapsed="false">
      <c r="A4478" s="31" t="n">
        <v>42922.5</v>
      </c>
      <c r="B4478" s="32" t="n">
        <v>234.297</v>
      </c>
      <c r="D4478" s="33" t="n">
        <f aca="false">WEEKDAY(A4478,2)</f>
        <v>4</v>
      </c>
      <c r="E4478" s="33" t="n">
        <f aca="false">HOUR(A4478)+MINUTE(A4478)/60</f>
        <v>12</v>
      </c>
      <c r="F4478" s="33" t="n">
        <f aca="false">IF(OR(D4478&gt;5,E4478&lt;8,E4478&gt;=18,COUNTIF($K$2:$K$10,INT(A4478))&gt;0),1,0)</f>
        <v>0</v>
      </c>
      <c r="G4478" s="34" t="n">
        <f aca="false">B4478/1</f>
        <v>234.297</v>
      </c>
      <c r="H4478" s="34" t="str">
        <f aca="false">IF(F4478=1,G4478,"")</f>
        <v/>
      </c>
    </row>
    <row r="4479" customFormat="false" ht="15" hidden="false" customHeight="false" outlineLevel="0" collapsed="false">
      <c r="A4479" s="31" t="n">
        <v>42922.5416666667</v>
      </c>
      <c r="B4479" s="32" t="n">
        <v>231.19</v>
      </c>
      <c r="D4479" s="33" t="n">
        <f aca="false">WEEKDAY(A4479,2)</f>
        <v>4</v>
      </c>
      <c r="E4479" s="33" t="n">
        <f aca="false">HOUR(A4479)+MINUTE(A4479)/60</f>
        <v>13</v>
      </c>
      <c r="F4479" s="33" t="n">
        <f aca="false">IF(OR(D4479&gt;5,E4479&lt;8,E4479&gt;=18,COUNTIF($K$2:$K$10,INT(A4479))&gt;0),1,0)</f>
        <v>0</v>
      </c>
      <c r="G4479" s="34" t="n">
        <f aca="false">B4479/1</f>
        <v>231.19</v>
      </c>
      <c r="H4479" s="34" t="str">
        <f aca="false">IF(F4479=1,G4479,"")</f>
        <v/>
      </c>
    </row>
    <row r="4480" customFormat="false" ht="15" hidden="false" customHeight="false" outlineLevel="0" collapsed="false">
      <c r="A4480" s="31" t="n">
        <v>42922.5833333333</v>
      </c>
      <c r="B4480" s="32" t="n">
        <v>233.314</v>
      </c>
      <c r="D4480" s="33" t="n">
        <f aca="false">WEEKDAY(A4480,2)</f>
        <v>4</v>
      </c>
      <c r="E4480" s="33" t="n">
        <f aca="false">HOUR(A4480)+MINUTE(A4480)/60</f>
        <v>14</v>
      </c>
      <c r="F4480" s="33" t="n">
        <f aca="false">IF(OR(D4480&gt;5,E4480&lt;8,E4480&gt;=18,COUNTIF($K$2:$K$10,INT(A4480))&gt;0),1,0)</f>
        <v>0</v>
      </c>
      <c r="G4480" s="34" t="n">
        <f aca="false">B4480/1</f>
        <v>233.314</v>
      </c>
      <c r="H4480" s="34" t="str">
        <f aca="false">IF(F4480=1,G4480,"")</f>
        <v/>
      </c>
    </row>
    <row r="4481" customFormat="false" ht="15" hidden="false" customHeight="false" outlineLevel="0" collapsed="false">
      <c r="A4481" s="31" t="n">
        <v>42922.625</v>
      </c>
      <c r="B4481" s="32" t="n">
        <v>232.582</v>
      </c>
      <c r="D4481" s="33" t="n">
        <f aca="false">WEEKDAY(A4481,2)</f>
        <v>4</v>
      </c>
      <c r="E4481" s="33" t="n">
        <f aca="false">HOUR(A4481)+MINUTE(A4481)/60</f>
        <v>15</v>
      </c>
      <c r="F4481" s="33" t="n">
        <f aca="false">IF(OR(D4481&gt;5,E4481&lt;8,E4481&gt;=18,COUNTIF($K$2:$K$10,INT(A4481))&gt;0),1,0)</f>
        <v>0</v>
      </c>
      <c r="G4481" s="34" t="n">
        <f aca="false">B4481/1</f>
        <v>232.582</v>
      </c>
      <c r="H4481" s="34" t="str">
        <f aca="false">IF(F4481=1,G4481,"")</f>
        <v/>
      </c>
    </row>
    <row r="4482" customFormat="false" ht="15" hidden="false" customHeight="false" outlineLevel="0" collapsed="false">
      <c r="A4482" s="31" t="n">
        <v>42922.6666666667</v>
      </c>
      <c r="B4482" s="32" t="n">
        <v>232.175</v>
      </c>
      <c r="D4482" s="33" t="n">
        <f aca="false">WEEKDAY(A4482,2)</f>
        <v>4</v>
      </c>
      <c r="E4482" s="33" t="n">
        <f aca="false">HOUR(A4482)+MINUTE(A4482)/60</f>
        <v>16</v>
      </c>
      <c r="F4482" s="33" t="n">
        <f aca="false">IF(OR(D4482&gt;5,E4482&lt;8,E4482&gt;=18,COUNTIF($K$2:$K$10,INT(A4482))&gt;0),1,0)</f>
        <v>0</v>
      </c>
      <c r="G4482" s="34" t="n">
        <f aca="false">B4482/1</f>
        <v>232.175</v>
      </c>
      <c r="H4482" s="34" t="str">
        <f aca="false">IF(F4482=1,G4482,"")</f>
        <v/>
      </c>
    </row>
    <row r="4483" customFormat="false" ht="15" hidden="false" customHeight="false" outlineLevel="0" collapsed="false">
      <c r="A4483" s="31" t="n">
        <v>42922.7083333333</v>
      </c>
      <c r="B4483" s="32" t="n">
        <v>222.436</v>
      </c>
      <c r="D4483" s="33" t="n">
        <f aca="false">WEEKDAY(A4483,2)</f>
        <v>4</v>
      </c>
      <c r="E4483" s="33" t="n">
        <f aca="false">HOUR(A4483)+MINUTE(A4483)/60</f>
        <v>17</v>
      </c>
      <c r="F4483" s="33" t="n">
        <f aca="false">IF(OR(D4483&gt;5,E4483&lt;8,E4483&gt;=18,COUNTIF($K$2:$K$10,INT(A4483))&gt;0),1,0)</f>
        <v>0</v>
      </c>
      <c r="G4483" s="34" t="n">
        <f aca="false">B4483/1</f>
        <v>222.436</v>
      </c>
      <c r="H4483" s="34" t="str">
        <f aca="false">IF(F4483=1,G4483,"")</f>
        <v/>
      </c>
    </row>
    <row r="4484" customFormat="false" ht="15" hidden="false" customHeight="false" outlineLevel="0" collapsed="false">
      <c r="A4484" s="31" t="n">
        <v>42922.75</v>
      </c>
      <c r="B4484" s="32" t="n">
        <v>208.481</v>
      </c>
      <c r="D4484" s="33" t="n">
        <f aca="false">WEEKDAY(A4484,2)</f>
        <v>4</v>
      </c>
      <c r="E4484" s="33" t="n">
        <f aca="false">HOUR(A4484)+MINUTE(A4484)/60</f>
        <v>18</v>
      </c>
      <c r="F4484" s="33" t="n">
        <f aca="false">IF(OR(D4484&gt;5,E4484&lt;8,E4484&gt;=18,COUNTIF($K$2:$K$10,INT(A4484))&gt;0),1,0)</f>
        <v>1</v>
      </c>
      <c r="G4484" s="34" t="n">
        <f aca="false">B4484/1</f>
        <v>208.481</v>
      </c>
      <c r="H4484" s="34" t="n">
        <f aca="false">IF(F4484=1,G4484,"")</f>
        <v>208.481</v>
      </c>
    </row>
    <row r="4485" customFormat="false" ht="15" hidden="false" customHeight="false" outlineLevel="0" collapsed="false">
      <c r="A4485" s="31" t="n">
        <v>42922.7916666667</v>
      </c>
      <c r="B4485" s="32" t="n">
        <v>200.644</v>
      </c>
      <c r="D4485" s="33" t="n">
        <f aca="false">WEEKDAY(A4485,2)</f>
        <v>4</v>
      </c>
      <c r="E4485" s="33" t="n">
        <f aca="false">HOUR(A4485)+MINUTE(A4485)/60</f>
        <v>19</v>
      </c>
      <c r="F4485" s="33" t="n">
        <f aca="false">IF(OR(D4485&gt;5,E4485&lt;8,E4485&gt;=18,COUNTIF($K$2:$K$10,INT(A4485))&gt;0),1,0)</f>
        <v>1</v>
      </c>
      <c r="G4485" s="34" t="n">
        <f aca="false">B4485/1</f>
        <v>200.644</v>
      </c>
      <c r="H4485" s="34" t="n">
        <f aca="false">IF(F4485=1,G4485,"")</f>
        <v>200.644</v>
      </c>
    </row>
    <row r="4486" customFormat="false" ht="15" hidden="false" customHeight="false" outlineLevel="0" collapsed="false">
      <c r="A4486" s="31" t="n">
        <v>42922.8333333333</v>
      </c>
      <c r="B4486" s="32" t="n">
        <v>198.94</v>
      </c>
      <c r="D4486" s="33" t="n">
        <f aca="false">WEEKDAY(A4486,2)</f>
        <v>4</v>
      </c>
      <c r="E4486" s="33" t="n">
        <f aca="false">HOUR(A4486)+MINUTE(A4486)/60</f>
        <v>20</v>
      </c>
      <c r="F4486" s="33" t="n">
        <f aca="false">IF(OR(D4486&gt;5,E4486&lt;8,E4486&gt;=18,COUNTIF($K$2:$K$10,INT(A4486))&gt;0),1,0)</f>
        <v>1</v>
      </c>
      <c r="G4486" s="34" t="n">
        <f aca="false">B4486/1</f>
        <v>198.94</v>
      </c>
      <c r="H4486" s="34" t="n">
        <f aca="false">IF(F4486=1,G4486,"")</f>
        <v>198.94</v>
      </c>
    </row>
    <row r="4487" customFormat="false" ht="15" hidden="false" customHeight="false" outlineLevel="0" collapsed="false">
      <c r="A4487" s="31" t="n">
        <v>42922.875</v>
      </c>
      <c r="B4487" s="32" t="n">
        <v>194.941</v>
      </c>
      <c r="D4487" s="33" t="n">
        <f aca="false">WEEKDAY(A4487,2)</f>
        <v>4</v>
      </c>
      <c r="E4487" s="33" t="n">
        <f aca="false">HOUR(A4487)+MINUTE(A4487)/60</f>
        <v>21</v>
      </c>
      <c r="F4487" s="33" t="n">
        <f aca="false">IF(OR(D4487&gt;5,E4487&lt;8,E4487&gt;=18,COUNTIF($K$2:$K$10,INT(A4487))&gt;0),1,0)</f>
        <v>1</v>
      </c>
      <c r="G4487" s="34" t="n">
        <f aca="false">B4487/1</f>
        <v>194.941</v>
      </c>
      <c r="H4487" s="34" t="n">
        <f aca="false">IF(F4487=1,G4487,"")</f>
        <v>194.941</v>
      </c>
    </row>
    <row r="4488" customFormat="false" ht="15" hidden="false" customHeight="false" outlineLevel="0" collapsed="false">
      <c r="A4488" s="31" t="n">
        <v>42922.9166666667</v>
      </c>
      <c r="B4488" s="32" t="n">
        <v>195.925</v>
      </c>
      <c r="D4488" s="33" t="n">
        <f aca="false">WEEKDAY(A4488,2)</f>
        <v>4</v>
      </c>
      <c r="E4488" s="33" t="n">
        <f aca="false">HOUR(A4488)+MINUTE(A4488)/60</f>
        <v>22</v>
      </c>
      <c r="F4488" s="33" t="n">
        <f aca="false">IF(OR(D4488&gt;5,E4488&lt;8,E4488&gt;=18,COUNTIF($K$2:$K$10,INT(A4488))&gt;0),1,0)</f>
        <v>1</v>
      </c>
      <c r="G4488" s="34" t="n">
        <f aca="false">B4488/1</f>
        <v>195.925</v>
      </c>
      <c r="H4488" s="34" t="n">
        <f aca="false">IF(F4488=1,G4488,"")</f>
        <v>195.925</v>
      </c>
    </row>
    <row r="4489" customFormat="false" ht="15" hidden="false" customHeight="false" outlineLevel="0" collapsed="false">
      <c r="A4489" s="31" t="n">
        <v>42922.9583333333</v>
      </c>
      <c r="B4489" s="32" t="n">
        <v>142.302</v>
      </c>
      <c r="D4489" s="33" t="n">
        <f aca="false">WEEKDAY(A4489,2)</f>
        <v>4</v>
      </c>
      <c r="E4489" s="33" t="n">
        <f aca="false">HOUR(A4489)+MINUTE(A4489)/60</f>
        <v>23</v>
      </c>
      <c r="F4489" s="33" t="n">
        <f aca="false">IF(OR(D4489&gt;5,E4489&lt;8,E4489&gt;=18,COUNTIF($K$2:$K$10,INT(A4489))&gt;0),1,0)</f>
        <v>1</v>
      </c>
      <c r="G4489" s="34" t="n">
        <f aca="false">B4489/1</f>
        <v>142.302</v>
      </c>
      <c r="H4489" s="34" t="n">
        <f aca="false">IF(F4489=1,G4489,"")</f>
        <v>142.302</v>
      </c>
    </row>
    <row r="4490" customFormat="false" ht="15" hidden="false" customHeight="false" outlineLevel="0" collapsed="false">
      <c r="A4490" s="31" t="n">
        <v>42923</v>
      </c>
      <c r="B4490" s="32" t="n">
        <v>122.234</v>
      </c>
      <c r="D4490" s="33" t="n">
        <f aca="false">WEEKDAY(A4490,2)</f>
        <v>5</v>
      </c>
      <c r="E4490" s="33" t="n">
        <f aca="false">HOUR(A4490)+MINUTE(A4490)/60</f>
        <v>0</v>
      </c>
      <c r="F4490" s="33" t="n">
        <f aca="false">IF(OR(D4490&gt;5,E4490&lt;8,E4490&gt;=18,COUNTIF($K$2:$K$10,INT(A4490))&gt;0),1,0)</f>
        <v>1</v>
      </c>
      <c r="G4490" s="34" t="n">
        <f aca="false">B4490/1</f>
        <v>122.234</v>
      </c>
      <c r="H4490" s="34" t="n">
        <f aca="false">IF(F4490=1,G4490,"")</f>
        <v>122.234</v>
      </c>
    </row>
    <row r="4491" customFormat="false" ht="15" hidden="false" customHeight="false" outlineLevel="0" collapsed="false">
      <c r="A4491" s="31" t="n">
        <v>42923.0416666667</v>
      </c>
      <c r="B4491" s="32" t="n">
        <v>122.356</v>
      </c>
      <c r="D4491" s="33" t="n">
        <f aca="false">WEEKDAY(A4491,2)</f>
        <v>5</v>
      </c>
      <c r="E4491" s="33" t="n">
        <f aca="false">HOUR(A4491)+MINUTE(A4491)/60</f>
        <v>1</v>
      </c>
      <c r="F4491" s="33" t="n">
        <f aca="false">IF(OR(D4491&gt;5,E4491&lt;8,E4491&gt;=18,COUNTIF($K$2:$K$10,INT(A4491))&gt;0),1,0)</f>
        <v>1</v>
      </c>
      <c r="G4491" s="34" t="n">
        <f aca="false">B4491/1</f>
        <v>122.356</v>
      </c>
      <c r="H4491" s="34" t="n">
        <f aca="false">IF(F4491=1,G4491,"")</f>
        <v>122.356</v>
      </c>
    </row>
    <row r="4492" customFormat="false" ht="15" hidden="false" customHeight="false" outlineLevel="0" collapsed="false">
      <c r="A4492" s="31" t="n">
        <v>42923.0833333333</v>
      </c>
      <c r="B4492" s="32" t="n">
        <v>122.386</v>
      </c>
      <c r="D4492" s="33" t="n">
        <f aca="false">WEEKDAY(A4492,2)</f>
        <v>5</v>
      </c>
      <c r="E4492" s="33" t="n">
        <f aca="false">HOUR(A4492)+MINUTE(A4492)/60</f>
        <v>2</v>
      </c>
      <c r="F4492" s="33" t="n">
        <f aca="false">IF(OR(D4492&gt;5,E4492&lt;8,E4492&gt;=18,COUNTIF($K$2:$K$10,INT(A4492))&gt;0),1,0)</f>
        <v>1</v>
      </c>
      <c r="G4492" s="34" t="n">
        <f aca="false">B4492/1</f>
        <v>122.386</v>
      </c>
      <c r="H4492" s="34" t="n">
        <f aca="false">IF(F4492=1,G4492,"")</f>
        <v>122.386</v>
      </c>
    </row>
    <row r="4493" customFormat="false" ht="15" hidden="false" customHeight="false" outlineLevel="0" collapsed="false">
      <c r="A4493" s="31" t="n">
        <v>42923.125</v>
      </c>
      <c r="B4493" s="32" t="n">
        <v>131.658</v>
      </c>
      <c r="D4493" s="33" t="n">
        <f aca="false">WEEKDAY(A4493,2)</f>
        <v>5</v>
      </c>
      <c r="E4493" s="33" t="n">
        <f aca="false">HOUR(A4493)+MINUTE(A4493)/60</f>
        <v>3</v>
      </c>
      <c r="F4493" s="33" t="n">
        <f aca="false">IF(OR(D4493&gt;5,E4493&lt;8,E4493&gt;=18,COUNTIF($K$2:$K$10,INT(A4493))&gt;0),1,0)</f>
        <v>1</v>
      </c>
      <c r="G4493" s="34" t="n">
        <f aca="false">B4493/1</f>
        <v>131.658</v>
      </c>
      <c r="H4493" s="34" t="n">
        <f aca="false">IF(F4493=1,G4493,"")</f>
        <v>131.658</v>
      </c>
    </row>
    <row r="4494" customFormat="false" ht="15" hidden="false" customHeight="false" outlineLevel="0" collapsed="false">
      <c r="A4494" s="31" t="n">
        <v>42923.1666666667</v>
      </c>
      <c r="B4494" s="32" t="n">
        <v>129.682</v>
      </c>
      <c r="D4494" s="33" t="n">
        <f aca="false">WEEKDAY(A4494,2)</f>
        <v>5</v>
      </c>
      <c r="E4494" s="33" t="n">
        <f aca="false">HOUR(A4494)+MINUTE(A4494)/60</f>
        <v>4</v>
      </c>
      <c r="F4494" s="33" t="n">
        <f aca="false">IF(OR(D4494&gt;5,E4494&lt;8,E4494&gt;=18,COUNTIF($K$2:$K$10,INT(A4494))&gt;0),1,0)</f>
        <v>1</v>
      </c>
      <c r="G4494" s="34" t="n">
        <f aca="false">B4494/1</f>
        <v>129.682</v>
      </c>
      <c r="H4494" s="34" t="n">
        <f aca="false">IF(F4494=1,G4494,"")</f>
        <v>129.682</v>
      </c>
    </row>
    <row r="4495" customFormat="false" ht="15" hidden="false" customHeight="false" outlineLevel="0" collapsed="false">
      <c r="A4495" s="31" t="n">
        <v>42923.2083333333</v>
      </c>
      <c r="B4495" s="32" t="n">
        <v>130.024</v>
      </c>
      <c r="D4495" s="33" t="n">
        <f aca="false">WEEKDAY(A4495,2)</f>
        <v>5</v>
      </c>
      <c r="E4495" s="33" t="n">
        <f aca="false">HOUR(A4495)+MINUTE(A4495)/60</f>
        <v>5</v>
      </c>
      <c r="F4495" s="33" t="n">
        <f aca="false">IF(OR(D4495&gt;5,E4495&lt;8,E4495&gt;=18,COUNTIF($K$2:$K$10,INT(A4495))&gt;0),1,0)</f>
        <v>1</v>
      </c>
      <c r="G4495" s="34" t="n">
        <f aca="false">B4495/1</f>
        <v>130.024</v>
      </c>
      <c r="H4495" s="34" t="n">
        <f aca="false">IF(F4495=1,G4495,"")</f>
        <v>130.024</v>
      </c>
    </row>
    <row r="4496" customFormat="false" ht="15" hidden="false" customHeight="false" outlineLevel="0" collapsed="false">
      <c r="A4496" s="31" t="n">
        <v>42923.25</v>
      </c>
      <c r="B4496" s="32" t="n">
        <v>106.626</v>
      </c>
      <c r="D4496" s="33" t="n">
        <f aca="false">WEEKDAY(A4496,2)</f>
        <v>5</v>
      </c>
      <c r="E4496" s="33" t="n">
        <f aca="false">HOUR(A4496)+MINUTE(A4496)/60</f>
        <v>6</v>
      </c>
      <c r="F4496" s="33" t="n">
        <f aca="false">IF(OR(D4496&gt;5,E4496&lt;8,E4496&gt;=18,COUNTIF($K$2:$K$10,INT(A4496))&gt;0),1,0)</f>
        <v>1</v>
      </c>
      <c r="G4496" s="34" t="n">
        <f aca="false">B4496/1</f>
        <v>106.626</v>
      </c>
      <c r="H4496" s="34" t="n">
        <f aca="false">IF(F4496=1,G4496,"")</f>
        <v>106.626</v>
      </c>
    </row>
    <row r="4497" customFormat="false" ht="15" hidden="false" customHeight="false" outlineLevel="0" collapsed="false">
      <c r="A4497" s="31" t="n">
        <v>42923.2916666667</v>
      </c>
      <c r="B4497" s="32" t="n">
        <v>76.549</v>
      </c>
      <c r="D4497" s="33" t="n">
        <f aca="false">WEEKDAY(A4497,2)</f>
        <v>5</v>
      </c>
      <c r="E4497" s="33" t="n">
        <f aca="false">HOUR(A4497)+MINUTE(A4497)/60</f>
        <v>7</v>
      </c>
      <c r="F4497" s="33" t="n">
        <f aca="false">IF(OR(D4497&gt;5,E4497&lt;8,E4497&gt;=18,COUNTIF($K$2:$K$10,INT(A4497))&gt;0),1,0)</f>
        <v>1</v>
      </c>
      <c r="G4497" s="34" t="n">
        <f aca="false">B4497/1</f>
        <v>76.549</v>
      </c>
      <c r="H4497" s="34" t="n">
        <f aca="false">IF(F4497=1,G4497,"")</f>
        <v>76.549</v>
      </c>
    </row>
    <row r="4498" customFormat="false" ht="15" hidden="false" customHeight="false" outlineLevel="0" collapsed="false">
      <c r="A4498" s="31" t="n">
        <v>42923.3333333333</v>
      </c>
      <c r="B4498" s="32" t="n">
        <v>186.545</v>
      </c>
      <c r="D4498" s="33" t="n">
        <f aca="false">WEEKDAY(A4498,2)</f>
        <v>5</v>
      </c>
      <c r="E4498" s="33" t="n">
        <f aca="false">HOUR(A4498)+MINUTE(A4498)/60</f>
        <v>8</v>
      </c>
      <c r="F4498" s="33" t="n">
        <f aca="false">IF(OR(D4498&gt;5,E4498&lt;8,E4498&gt;=18,COUNTIF($K$2:$K$10,INT(A4498))&gt;0),1,0)</f>
        <v>0</v>
      </c>
      <c r="G4498" s="34" t="n">
        <f aca="false">B4498/1</f>
        <v>186.545</v>
      </c>
      <c r="H4498" s="34" t="str">
        <f aca="false">IF(F4498=1,G4498,"")</f>
        <v/>
      </c>
    </row>
    <row r="4499" customFormat="false" ht="15" hidden="false" customHeight="false" outlineLevel="0" collapsed="false">
      <c r="A4499" s="31" t="n">
        <v>42923.375</v>
      </c>
      <c r="B4499" s="32" t="n">
        <v>205.646</v>
      </c>
      <c r="D4499" s="33" t="n">
        <f aca="false">WEEKDAY(A4499,2)</f>
        <v>5</v>
      </c>
      <c r="E4499" s="33" t="n">
        <f aca="false">HOUR(A4499)+MINUTE(A4499)/60</f>
        <v>9</v>
      </c>
      <c r="F4499" s="33" t="n">
        <f aca="false">IF(OR(D4499&gt;5,E4499&lt;8,E4499&gt;=18,COUNTIF($K$2:$K$10,INT(A4499))&gt;0),1,0)</f>
        <v>0</v>
      </c>
      <c r="G4499" s="34" t="n">
        <f aca="false">B4499/1</f>
        <v>205.646</v>
      </c>
      <c r="H4499" s="34" t="str">
        <f aca="false">IF(F4499=1,G4499,"")</f>
        <v/>
      </c>
    </row>
    <row r="4500" customFormat="false" ht="15" hidden="false" customHeight="false" outlineLevel="0" collapsed="false">
      <c r="A4500" s="31" t="n">
        <v>42923.4166666667</v>
      </c>
      <c r="B4500" s="32" t="n">
        <v>214.117</v>
      </c>
      <c r="D4500" s="33" t="n">
        <f aca="false">WEEKDAY(A4500,2)</f>
        <v>5</v>
      </c>
      <c r="E4500" s="33" t="n">
        <f aca="false">HOUR(A4500)+MINUTE(A4500)/60</f>
        <v>10</v>
      </c>
      <c r="F4500" s="33" t="n">
        <f aca="false">IF(OR(D4500&gt;5,E4500&lt;8,E4500&gt;=18,COUNTIF($K$2:$K$10,INT(A4500))&gt;0),1,0)</f>
        <v>0</v>
      </c>
      <c r="G4500" s="34" t="n">
        <f aca="false">B4500/1</f>
        <v>214.117</v>
      </c>
      <c r="H4500" s="34" t="str">
        <f aca="false">IF(F4500=1,G4500,"")</f>
        <v/>
      </c>
    </row>
    <row r="4501" customFormat="false" ht="15" hidden="false" customHeight="false" outlineLevel="0" collapsed="false">
      <c r="A4501" s="31" t="n">
        <v>42923.4583333333</v>
      </c>
      <c r="B4501" s="32" t="n">
        <v>219.273</v>
      </c>
      <c r="D4501" s="33" t="n">
        <f aca="false">WEEKDAY(A4501,2)</f>
        <v>5</v>
      </c>
      <c r="E4501" s="33" t="n">
        <f aca="false">HOUR(A4501)+MINUTE(A4501)/60</f>
        <v>11</v>
      </c>
      <c r="F4501" s="33" t="n">
        <f aca="false">IF(OR(D4501&gt;5,E4501&lt;8,E4501&gt;=18,COUNTIF($K$2:$K$10,INT(A4501))&gt;0),1,0)</f>
        <v>0</v>
      </c>
      <c r="G4501" s="34" t="n">
        <f aca="false">B4501/1</f>
        <v>219.273</v>
      </c>
      <c r="H4501" s="34" t="str">
        <f aca="false">IF(F4501=1,G4501,"")</f>
        <v/>
      </c>
    </row>
    <row r="4502" customFormat="false" ht="15" hidden="false" customHeight="false" outlineLevel="0" collapsed="false">
      <c r="A4502" s="31" t="n">
        <v>42923.5</v>
      </c>
      <c r="B4502" s="32" t="n">
        <v>223.759</v>
      </c>
      <c r="D4502" s="33" t="n">
        <f aca="false">WEEKDAY(A4502,2)</f>
        <v>5</v>
      </c>
      <c r="E4502" s="33" t="n">
        <f aca="false">HOUR(A4502)+MINUTE(A4502)/60</f>
        <v>12</v>
      </c>
      <c r="F4502" s="33" t="n">
        <f aca="false">IF(OR(D4502&gt;5,E4502&lt;8,E4502&gt;=18,COUNTIF($K$2:$K$10,INT(A4502))&gt;0),1,0)</f>
        <v>0</v>
      </c>
      <c r="G4502" s="34" t="n">
        <f aca="false">B4502/1</f>
        <v>223.759</v>
      </c>
      <c r="H4502" s="34" t="str">
        <f aca="false">IF(F4502=1,G4502,"")</f>
        <v/>
      </c>
    </row>
    <row r="4503" customFormat="false" ht="15" hidden="false" customHeight="false" outlineLevel="0" collapsed="false">
      <c r="A4503" s="31" t="n">
        <v>42923.5416666667</v>
      </c>
      <c r="B4503" s="32" t="n">
        <v>223.291</v>
      </c>
      <c r="D4503" s="33" t="n">
        <f aca="false">WEEKDAY(A4503,2)</f>
        <v>5</v>
      </c>
      <c r="E4503" s="33" t="n">
        <f aca="false">HOUR(A4503)+MINUTE(A4503)/60</f>
        <v>13</v>
      </c>
      <c r="F4503" s="33" t="n">
        <f aca="false">IF(OR(D4503&gt;5,E4503&lt;8,E4503&gt;=18,COUNTIF($K$2:$K$10,INT(A4503))&gt;0),1,0)</f>
        <v>0</v>
      </c>
      <c r="G4503" s="34" t="n">
        <f aca="false">B4503/1</f>
        <v>223.291</v>
      </c>
      <c r="H4503" s="34" t="str">
        <f aca="false">IF(F4503=1,G4503,"")</f>
        <v/>
      </c>
    </row>
    <row r="4504" customFormat="false" ht="15" hidden="false" customHeight="false" outlineLevel="0" collapsed="false">
      <c r="A4504" s="31" t="n">
        <v>42923.5833333333</v>
      </c>
      <c r="B4504" s="32" t="n">
        <v>219.554</v>
      </c>
      <c r="D4504" s="33" t="n">
        <f aca="false">WEEKDAY(A4504,2)</f>
        <v>5</v>
      </c>
      <c r="E4504" s="33" t="n">
        <f aca="false">HOUR(A4504)+MINUTE(A4504)/60</f>
        <v>14</v>
      </c>
      <c r="F4504" s="33" t="n">
        <f aca="false">IF(OR(D4504&gt;5,E4504&lt;8,E4504&gt;=18,COUNTIF($K$2:$K$10,INT(A4504))&gt;0),1,0)</f>
        <v>0</v>
      </c>
      <c r="G4504" s="34" t="n">
        <f aca="false">B4504/1</f>
        <v>219.554</v>
      </c>
      <c r="H4504" s="34" t="str">
        <f aca="false">IF(F4504=1,G4504,"")</f>
        <v/>
      </c>
    </row>
    <row r="4505" customFormat="false" ht="15" hidden="false" customHeight="false" outlineLevel="0" collapsed="false">
      <c r="A4505" s="31" t="n">
        <v>42923.625</v>
      </c>
      <c r="B4505" s="32" t="n">
        <v>220.128</v>
      </c>
      <c r="D4505" s="33" t="n">
        <f aca="false">WEEKDAY(A4505,2)</f>
        <v>5</v>
      </c>
      <c r="E4505" s="33" t="n">
        <f aca="false">HOUR(A4505)+MINUTE(A4505)/60</f>
        <v>15</v>
      </c>
      <c r="F4505" s="33" t="n">
        <f aca="false">IF(OR(D4505&gt;5,E4505&lt;8,E4505&gt;=18,COUNTIF($K$2:$K$10,INT(A4505))&gt;0),1,0)</f>
        <v>0</v>
      </c>
      <c r="G4505" s="34" t="n">
        <f aca="false">B4505/1</f>
        <v>220.128</v>
      </c>
      <c r="H4505" s="34" t="str">
        <f aca="false">IF(F4505=1,G4505,"")</f>
        <v/>
      </c>
    </row>
    <row r="4506" customFormat="false" ht="15" hidden="false" customHeight="false" outlineLevel="0" collapsed="false">
      <c r="A4506" s="31" t="n">
        <v>42923.6666666667</v>
      </c>
      <c r="B4506" s="32" t="n">
        <v>220.014</v>
      </c>
      <c r="D4506" s="33" t="n">
        <f aca="false">WEEKDAY(A4506,2)</f>
        <v>5</v>
      </c>
      <c r="E4506" s="33" t="n">
        <f aca="false">HOUR(A4506)+MINUTE(A4506)/60</f>
        <v>16</v>
      </c>
      <c r="F4506" s="33" t="n">
        <f aca="false">IF(OR(D4506&gt;5,E4506&lt;8,E4506&gt;=18,COUNTIF($K$2:$K$10,INT(A4506))&gt;0),1,0)</f>
        <v>0</v>
      </c>
      <c r="G4506" s="34" t="n">
        <f aca="false">B4506/1</f>
        <v>220.014</v>
      </c>
      <c r="H4506" s="34" t="str">
        <f aca="false">IF(F4506=1,G4506,"")</f>
        <v/>
      </c>
    </row>
    <row r="4507" customFormat="false" ht="15" hidden="false" customHeight="false" outlineLevel="0" collapsed="false">
      <c r="A4507" s="31" t="n">
        <v>42923.7083333333</v>
      </c>
      <c r="B4507" s="32" t="n">
        <v>211.559</v>
      </c>
      <c r="D4507" s="33" t="n">
        <f aca="false">WEEKDAY(A4507,2)</f>
        <v>5</v>
      </c>
      <c r="E4507" s="33" t="n">
        <f aca="false">HOUR(A4507)+MINUTE(A4507)/60</f>
        <v>17</v>
      </c>
      <c r="F4507" s="33" t="n">
        <f aca="false">IF(OR(D4507&gt;5,E4507&lt;8,E4507&gt;=18,COUNTIF($K$2:$K$10,INT(A4507))&gt;0),1,0)</f>
        <v>0</v>
      </c>
      <c r="G4507" s="34" t="n">
        <f aca="false">B4507/1</f>
        <v>211.559</v>
      </c>
      <c r="H4507" s="34" t="str">
        <f aca="false">IF(F4507=1,G4507,"")</f>
        <v/>
      </c>
    </row>
    <row r="4508" customFormat="false" ht="15" hidden="false" customHeight="false" outlineLevel="0" collapsed="false">
      <c r="A4508" s="31" t="n">
        <v>42923.75</v>
      </c>
      <c r="B4508" s="32" t="n">
        <v>199.038</v>
      </c>
      <c r="D4508" s="33" t="n">
        <f aca="false">WEEKDAY(A4508,2)</f>
        <v>5</v>
      </c>
      <c r="E4508" s="33" t="n">
        <f aca="false">HOUR(A4508)+MINUTE(A4508)/60</f>
        <v>18</v>
      </c>
      <c r="F4508" s="33" t="n">
        <f aca="false">IF(OR(D4508&gt;5,E4508&lt;8,E4508&gt;=18,COUNTIF($K$2:$K$10,INT(A4508))&gt;0),1,0)</f>
        <v>1</v>
      </c>
      <c r="G4508" s="34" t="n">
        <f aca="false">B4508/1</f>
        <v>199.038</v>
      </c>
      <c r="H4508" s="34" t="n">
        <f aca="false">IF(F4508=1,G4508,"")</f>
        <v>199.038</v>
      </c>
    </row>
    <row r="4509" customFormat="false" ht="15" hidden="false" customHeight="false" outlineLevel="0" collapsed="false">
      <c r="A4509" s="31" t="n">
        <v>42923.7916666667</v>
      </c>
      <c r="B4509" s="32" t="n">
        <v>194.849</v>
      </c>
      <c r="D4509" s="33" t="n">
        <f aca="false">WEEKDAY(A4509,2)</f>
        <v>5</v>
      </c>
      <c r="E4509" s="33" t="n">
        <f aca="false">HOUR(A4509)+MINUTE(A4509)/60</f>
        <v>19</v>
      </c>
      <c r="F4509" s="33" t="n">
        <f aca="false">IF(OR(D4509&gt;5,E4509&lt;8,E4509&gt;=18,COUNTIF($K$2:$K$10,INT(A4509))&gt;0),1,0)</f>
        <v>1</v>
      </c>
      <c r="G4509" s="34" t="n">
        <f aca="false">B4509/1</f>
        <v>194.849</v>
      </c>
      <c r="H4509" s="34" t="n">
        <f aca="false">IF(F4509=1,G4509,"")</f>
        <v>194.849</v>
      </c>
    </row>
    <row r="4510" customFormat="false" ht="15" hidden="false" customHeight="false" outlineLevel="0" collapsed="false">
      <c r="A4510" s="31" t="n">
        <v>42923.8333333333</v>
      </c>
      <c r="B4510" s="32" t="n">
        <v>191.85</v>
      </c>
      <c r="D4510" s="33" t="n">
        <f aca="false">WEEKDAY(A4510,2)</f>
        <v>5</v>
      </c>
      <c r="E4510" s="33" t="n">
        <f aca="false">HOUR(A4510)+MINUTE(A4510)/60</f>
        <v>20</v>
      </c>
      <c r="F4510" s="33" t="n">
        <f aca="false">IF(OR(D4510&gt;5,E4510&lt;8,E4510&gt;=18,COUNTIF($K$2:$K$10,INT(A4510))&gt;0),1,0)</f>
        <v>1</v>
      </c>
      <c r="G4510" s="34" t="n">
        <f aca="false">B4510/1</f>
        <v>191.85</v>
      </c>
      <c r="H4510" s="34" t="n">
        <f aca="false">IF(F4510=1,G4510,"")</f>
        <v>191.85</v>
      </c>
    </row>
    <row r="4511" customFormat="false" ht="15" hidden="false" customHeight="false" outlineLevel="0" collapsed="false">
      <c r="A4511" s="31" t="n">
        <v>42923.875</v>
      </c>
      <c r="B4511" s="32" t="n">
        <v>186.338</v>
      </c>
      <c r="D4511" s="33" t="n">
        <f aca="false">WEEKDAY(A4511,2)</f>
        <v>5</v>
      </c>
      <c r="E4511" s="33" t="n">
        <f aca="false">HOUR(A4511)+MINUTE(A4511)/60</f>
        <v>21</v>
      </c>
      <c r="F4511" s="33" t="n">
        <f aca="false">IF(OR(D4511&gt;5,E4511&lt;8,E4511&gt;=18,COUNTIF($K$2:$K$10,INT(A4511))&gt;0),1,0)</f>
        <v>1</v>
      </c>
      <c r="G4511" s="34" t="n">
        <f aca="false">B4511/1</f>
        <v>186.338</v>
      </c>
      <c r="H4511" s="34" t="n">
        <f aca="false">IF(F4511=1,G4511,"")</f>
        <v>186.338</v>
      </c>
    </row>
    <row r="4512" customFormat="false" ht="15" hidden="false" customHeight="false" outlineLevel="0" collapsed="false">
      <c r="A4512" s="31" t="n">
        <v>42923.9166666667</v>
      </c>
      <c r="B4512" s="32" t="n">
        <v>132.692</v>
      </c>
      <c r="D4512" s="33" t="n">
        <f aca="false">WEEKDAY(A4512,2)</f>
        <v>5</v>
      </c>
      <c r="E4512" s="33" t="n">
        <f aca="false">HOUR(A4512)+MINUTE(A4512)/60</f>
        <v>22</v>
      </c>
      <c r="F4512" s="33" t="n">
        <f aca="false">IF(OR(D4512&gt;5,E4512&lt;8,E4512&gt;=18,COUNTIF($K$2:$K$10,INT(A4512))&gt;0),1,0)</f>
        <v>1</v>
      </c>
      <c r="G4512" s="34" t="n">
        <f aca="false">B4512/1</f>
        <v>132.692</v>
      </c>
      <c r="H4512" s="34" t="n">
        <f aca="false">IF(F4512=1,G4512,"")</f>
        <v>132.692</v>
      </c>
    </row>
    <row r="4513" customFormat="false" ht="15" hidden="false" customHeight="false" outlineLevel="0" collapsed="false">
      <c r="A4513" s="31" t="n">
        <v>42923.9583333333</v>
      </c>
      <c r="B4513" s="32" t="n">
        <v>72.404</v>
      </c>
      <c r="D4513" s="33" t="n">
        <f aca="false">WEEKDAY(A4513,2)</f>
        <v>5</v>
      </c>
      <c r="E4513" s="33" t="n">
        <f aca="false">HOUR(A4513)+MINUTE(A4513)/60</f>
        <v>23</v>
      </c>
      <c r="F4513" s="33" t="n">
        <f aca="false">IF(OR(D4513&gt;5,E4513&lt;8,E4513&gt;=18,COUNTIF($K$2:$K$10,INT(A4513))&gt;0),1,0)</f>
        <v>1</v>
      </c>
      <c r="G4513" s="34" t="n">
        <f aca="false">B4513/1</f>
        <v>72.404</v>
      </c>
      <c r="H4513" s="34" t="n">
        <f aca="false">IF(F4513=1,G4513,"")</f>
        <v>72.404</v>
      </c>
    </row>
    <row r="4514" customFormat="false" ht="15" hidden="false" customHeight="false" outlineLevel="0" collapsed="false">
      <c r="A4514" s="31" t="n">
        <v>42924</v>
      </c>
      <c r="B4514" s="32" t="n">
        <v>71.261</v>
      </c>
      <c r="D4514" s="33" t="n">
        <f aca="false">WEEKDAY(A4514,2)</f>
        <v>6</v>
      </c>
      <c r="E4514" s="33" t="n">
        <f aca="false">HOUR(A4514)+MINUTE(A4514)/60</f>
        <v>0</v>
      </c>
      <c r="F4514" s="33" t="n">
        <f aca="false">IF(OR(D4514&gt;5,E4514&lt;8,E4514&gt;=18,COUNTIF($K$2:$K$10,INT(A4514))&gt;0),1,0)</f>
        <v>1</v>
      </c>
      <c r="G4514" s="34" t="n">
        <f aca="false">B4514/1</f>
        <v>71.261</v>
      </c>
      <c r="H4514" s="34" t="n">
        <f aca="false">IF(F4514=1,G4514,"")</f>
        <v>71.261</v>
      </c>
    </row>
    <row r="4515" customFormat="false" ht="15" hidden="false" customHeight="false" outlineLevel="0" collapsed="false">
      <c r="A4515" s="31" t="n">
        <v>42924.0416666667</v>
      </c>
      <c r="B4515" s="32" t="n">
        <v>68.885</v>
      </c>
      <c r="D4515" s="33" t="n">
        <f aca="false">WEEKDAY(A4515,2)</f>
        <v>6</v>
      </c>
      <c r="E4515" s="33" t="n">
        <f aca="false">HOUR(A4515)+MINUTE(A4515)/60</f>
        <v>1</v>
      </c>
      <c r="F4515" s="33" t="n">
        <f aca="false">IF(OR(D4515&gt;5,E4515&lt;8,E4515&gt;=18,COUNTIF($K$2:$K$10,INT(A4515))&gt;0),1,0)</f>
        <v>1</v>
      </c>
      <c r="G4515" s="34" t="n">
        <f aca="false">B4515/1</f>
        <v>68.885</v>
      </c>
      <c r="H4515" s="34" t="n">
        <f aca="false">IF(F4515=1,G4515,"")</f>
        <v>68.885</v>
      </c>
    </row>
    <row r="4516" customFormat="false" ht="15" hidden="false" customHeight="false" outlineLevel="0" collapsed="false">
      <c r="A4516" s="31" t="n">
        <v>42924.0833333333</v>
      </c>
      <c r="B4516" s="32" t="n">
        <v>68.454</v>
      </c>
      <c r="D4516" s="33" t="n">
        <f aca="false">WEEKDAY(A4516,2)</f>
        <v>6</v>
      </c>
      <c r="E4516" s="33" t="n">
        <f aca="false">HOUR(A4516)+MINUTE(A4516)/60</f>
        <v>2</v>
      </c>
      <c r="F4516" s="33" t="n">
        <f aca="false">IF(OR(D4516&gt;5,E4516&lt;8,E4516&gt;=18,COUNTIF($K$2:$K$10,INT(A4516))&gt;0),1,0)</f>
        <v>1</v>
      </c>
      <c r="G4516" s="34" t="n">
        <f aca="false">B4516/1</f>
        <v>68.454</v>
      </c>
      <c r="H4516" s="34" t="n">
        <f aca="false">IF(F4516=1,G4516,"")</f>
        <v>68.454</v>
      </c>
    </row>
    <row r="4517" customFormat="false" ht="15" hidden="false" customHeight="false" outlineLevel="0" collapsed="false">
      <c r="A4517" s="31" t="n">
        <v>42924.125</v>
      </c>
      <c r="B4517" s="32" t="n">
        <v>70.676</v>
      </c>
      <c r="D4517" s="33" t="n">
        <f aca="false">WEEKDAY(A4517,2)</f>
        <v>6</v>
      </c>
      <c r="E4517" s="33" t="n">
        <f aca="false">HOUR(A4517)+MINUTE(A4517)/60</f>
        <v>3</v>
      </c>
      <c r="F4517" s="33" t="n">
        <f aca="false">IF(OR(D4517&gt;5,E4517&lt;8,E4517&gt;=18,COUNTIF($K$2:$K$10,INT(A4517))&gt;0),1,0)</f>
        <v>1</v>
      </c>
      <c r="G4517" s="34" t="n">
        <f aca="false">B4517/1</f>
        <v>70.676</v>
      </c>
      <c r="H4517" s="34" t="n">
        <f aca="false">IF(F4517=1,G4517,"")</f>
        <v>70.676</v>
      </c>
    </row>
    <row r="4518" customFormat="false" ht="15" hidden="false" customHeight="false" outlineLevel="0" collapsed="false">
      <c r="A4518" s="31" t="n">
        <v>42924.1666666667</v>
      </c>
      <c r="B4518" s="32" t="n">
        <v>67.228</v>
      </c>
      <c r="D4518" s="33" t="n">
        <f aca="false">WEEKDAY(A4518,2)</f>
        <v>6</v>
      </c>
      <c r="E4518" s="33" t="n">
        <f aca="false">HOUR(A4518)+MINUTE(A4518)/60</f>
        <v>4</v>
      </c>
      <c r="F4518" s="33" t="n">
        <f aca="false">IF(OR(D4518&gt;5,E4518&lt;8,E4518&gt;=18,COUNTIF($K$2:$K$10,INT(A4518))&gt;0),1,0)</f>
        <v>1</v>
      </c>
      <c r="G4518" s="34" t="n">
        <f aca="false">B4518/1</f>
        <v>67.228</v>
      </c>
      <c r="H4518" s="34" t="n">
        <f aca="false">IF(F4518=1,G4518,"")</f>
        <v>67.228</v>
      </c>
    </row>
    <row r="4519" customFormat="false" ht="15" hidden="false" customHeight="false" outlineLevel="0" collapsed="false">
      <c r="A4519" s="31" t="n">
        <v>42924.2083333333</v>
      </c>
      <c r="B4519" s="32" t="n">
        <v>68.232</v>
      </c>
      <c r="D4519" s="33" t="n">
        <f aca="false">WEEKDAY(A4519,2)</f>
        <v>6</v>
      </c>
      <c r="E4519" s="33" t="n">
        <f aca="false">HOUR(A4519)+MINUTE(A4519)/60</f>
        <v>5</v>
      </c>
      <c r="F4519" s="33" t="n">
        <f aca="false">IF(OR(D4519&gt;5,E4519&lt;8,E4519&gt;=18,COUNTIF($K$2:$K$10,INT(A4519))&gt;0),1,0)</f>
        <v>1</v>
      </c>
      <c r="G4519" s="34" t="n">
        <f aca="false">B4519/1</f>
        <v>68.232</v>
      </c>
      <c r="H4519" s="34" t="n">
        <f aca="false">IF(F4519=1,G4519,"")</f>
        <v>68.232</v>
      </c>
    </row>
    <row r="4520" customFormat="false" ht="15" hidden="false" customHeight="false" outlineLevel="0" collapsed="false">
      <c r="A4520" s="31" t="n">
        <v>42924.25</v>
      </c>
      <c r="B4520" s="32" t="n">
        <v>68.317</v>
      </c>
      <c r="D4520" s="33" t="n">
        <f aca="false">WEEKDAY(A4520,2)</f>
        <v>6</v>
      </c>
      <c r="E4520" s="33" t="n">
        <f aca="false">HOUR(A4520)+MINUTE(A4520)/60</f>
        <v>6</v>
      </c>
      <c r="F4520" s="33" t="n">
        <f aca="false">IF(OR(D4520&gt;5,E4520&lt;8,E4520&gt;=18,COUNTIF($K$2:$K$10,INT(A4520))&gt;0),1,0)</f>
        <v>1</v>
      </c>
      <c r="G4520" s="34" t="n">
        <f aca="false">B4520/1</f>
        <v>68.317</v>
      </c>
      <c r="H4520" s="34" t="n">
        <f aca="false">IF(F4520=1,G4520,"")</f>
        <v>68.317</v>
      </c>
    </row>
    <row r="4521" customFormat="false" ht="15" hidden="false" customHeight="false" outlineLevel="0" collapsed="false">
      <c r="A4521" s="31" t="n">
        <v>42924.2916666667</v>
      </c>
      <c r="B4521" s="32" t="n">
        <v>66.403</v>
      </c>
      <c r="D4521" s="33" t="n">
        <f aca="false">WEEKDAY(A4521,2)</f>
        <v>6</v>
      </c>
      <c r="E4521" s="33" t="n">
        <f aca="false">HOUR(A4521)+MINUTE(A4521)/60</f>
        <v>7</v>
      </c>
      <c r="F4521" s="33" t="n">
        <f aca="false">IF(OR(D4521&gt;5,E4521&lt;8,E4521&gt;=18,COUNTIF($K$2:$K$10,INT(A4521))&gt;0),1,0)</f>
        <v>1</v>
      </c>
      <c r="G4521" s="34" t="n">
        <f aca="false">B4521/1</f>
        <v>66.403</v>
      </c>
      <c r="H4521" s="34" t="n">
        <f aca="false">IF(F4521=1,G4521,"")</f>
        <v>66.403</v>
      </c>
    </row>
    <row r="4522" customFormat="false" ht="15" hidden="false" customHeight="false" outlineLevel="0" collapsed="false">
      <c r="A4522" s="31" t="n">
        <v>42924.3333333333</v>
      </c>
      <c r="B4522" s="32" t="n">
        <v>134.259</v>
      </c>
      <c r="D4522" s="33" t="n">
        <f aca="false">WEEKDAY(A4522,2)</f>
        <v>6</v>
      </c>
      <c r="E4522" s="33" t="n">
        <f aca="false">HOUR(A4522)+MINUTE(A4522)/60</f>
        <v>8</v>
      </c>
      <c r="F4522" s="33" t="n">
        <f aca="false">IF(OR(D4522&gt;5,E4522&lt;8,E4522&gt;=18,COUNTIF($K$2:$K$10,INT(A4522))&gt;0),1,0)</f>
        <v>1</v>
      </c>
      <c r="G4522" s="34" t="n">
        <f aca="false">B4522/1</f>
        <v>134.259</v>
      </c>
      <c r="H4522" s="34" t="n">
        <f aca="false">IF(F4522=1,G4522,"")</f>
        <v>134.259</v>
      </c>
    </row>
    <row r="4523" customFormat="false" ht="15" hidden="false" customHeight="false" outlineLevel="0" collapsed="false">
      <c r="A4523" s="31" t="n">
        <v>42924.375</v>
      </c>
      <c r="B4523" s="32" t="n">
        <v>182.526</v>
      </c>
      <c r="D4523" s="33" t="n">
        <f aca="false">WEEKDAY(A4523,2)</f>
        <v>6</v>
      </c>
      <c r="E4523" s="33" t="n">
        <f aca="false">HOUR(A4523)+MINUTE(A4523)/60</f>
        <v>9</v>
      </c>
      <c r="F4523" s="33" t="n">
        <f aca="false">IF(OR(D4523&gt;5,E4523&lt;8,E4523&gt;=18,COUNTIF($K$2:$K$10,INT(A4523))&gt;0),1,0)</f>
        <v>1</v>
      </c>
      <c r="G4523" s="34" t="n">
        <f aca="false">B4523/1</f>
        <v>182.526</v>
      </c>
      <c r="H4523" s="34" t="n">
        <f aca="false">IF(F4523=1,G4523,"")</f>
        <v>182.526</v>
      </c>
    </row>
    <row r="4524" customFormat="false" ht="15" hidden="false" customHeight="false" outlineLevel="0" collapsed="false">
      <c r="A4524" s="31" t="n">
        <v>42924.4166666667</v>
      </c>
      <c r="B4524" s="32" t="n">
        <v>185.369</v>
      </c>
      <c r="D4524" s="33" t="n">
        <f aca="false">WEEKDAY(A4524,2)</f>
        <v>6</v>
      </c>
      <c r="E4524" s="33" t="n">
        <f aca="false">HOUR(A4524)+MINUTE(A4524)/60</f>
        <v>10</v>
      </c>
      <c r="F4524" s="33" t="n">
        <f aca="false">IF(OR(D4524&gt;5,E4524&lt;8,E4524&gt;=18,COUNTIF($K$2:$K$10,INT(A4524))&gt;0),1,0)</f>
        <v>1</v>
      </c>
      <c r="G4524" s="34" t="n">
        <f aca="false">B4524/1</f>
        <v>185.369</v>
      </c>
      <c r="H4524" s="34" t="n">
        <f aca="false">IF(F4524=1,G4524,"")</f>
        <v>185.369</v>
      </c>
    </row>
    <row r="4525" customFormat="false" ht="15" hidden="false" customHeight="false" outlineLevel="0" collapsed="false">
      <c r="A4525" s="31" t="n">
        <v>42924.4583333333</v>
      </c>
      <c r="B4525" s="32" t="n">
        <v>186.757</v>
      </c>
      <c r="D4525" s="33" t="n">
        <f aca="false">WEEKDAY(A4525,2)</f>
        <v>6</v>
      </c>
      <c r="E4525" s="33" t="n">
        <f aca="false">HOUR(A4525)+MINUTE(A4525)/60</f>
        <v>11</v>
      </c>
      <c r="F4525" s="33" t="n">
        <f aca="false">IF(OR(D4525&gt;5,E4525&lt;8,E4525&gt;=18,COUNTIF($K$2:$K$10,INT(A4525))&gt;0),1,0)</f>
        <v>1</v>
      </c>
      <c r="G4525" s="34" t="n">
        <f aca="false">B4525/1</f>
        <v>186.757</v>
      </c>
      <c r="H4525" s="34" t="n">
        <f aca="false">IF(F4525=1,G4525,"")</f>
        <v>186.757</v>
      </c>
    </row>
    <row r="4526" customFormat="false" ht="15" hidden="false" customHeight="false" outlineLevel="0" collapsed="false">
      <c r="A4526" s="31" t="n">
        <v>42924.5</v>
      </c>
      <c r="B4526" s="32" t="n">
        <v>181.541</v>
      </c>
      <c r="D4526" s="33" t="n">
        <f aca="false">WEEKDAY(A4526,2)</f>
        <v>6</v>
      </c>
      <c r="E4526" s="33" t="n">
        <f aca="false">HOUR(A4526)+MINUTE(A4526)/60</f>
        <v>12</v>
      </c>
      <c r="F4526" s="33" t="n">
        <f aca="false">IF(OR(D4526&gt;5,E4526&lt;8,E4526&gt;=18,COUNTIF($K$2:$K$10,INT(A4526))&gt;0),1,0)</f>
        <v>1</v>
      </c>
      <c r="G4526" s="34" t="n">
        <f aca="false">B4526/1</f>
        <v>181.541</v>
      </c>
      <c r="H4526" s="34" t="n">
        <f aca="false">IF(F4526=1,G4526,"")</f>
        <v>181.541</v>
      </c>
    </row>
    <row r="4527" customFormat="false" ht="15" hidden="false" customHeight="false" outlineLevel="0" collapsed="false">
      <c r="A4527" s="31" t="n">
        <v>42924.5416666667</v>
      </c>
      <c r="B4527" s="32" t="n">
        <v>180.776</v>
      </c>
      <c r="D4527" s="33" t="n">
        <f aca="false">WEEKDAY(A4527,2)</f>
        <v>6</v>
      </c>
      <c r="E4527" s="33" t="n">
        <f aca="false">HOUR(A4527)+MINUTE(A4527)/60</f>
        <v>13</v>
      </c>
      <c r="F4527" s="33" t="n">
        <f aca="false">IF(OR(D4527&gt;5,E4527&lt;8,E4527&gt;=18,COUNTIF($K$2:$K$10,INT(A4527))&gt;0),1,0)</f>
        <v>1</v>
      </c>
      <c r="G4527" s="34" t="n">
        <f aca="false">B4527/1</f>
        <v>180.776</v>
      </c>
      <c r="H4527" s="34" t="n">
        <f aca="false">IF(F4527=1,G4527,"")</f>
        <v>180.776</v>
      </c>
    </row>
    <row r="4528" customFormat="false" ht="15" hidden="false" customHeight="false" outlineLevel="0" collapsed="false">
      <c r="A4528" s="31" t="n">
        <v>42924.5833333333</v>
      </c>
      <c r="B4528" s="32" t="n">
        <v>180.783</v>
      </c>
      <c r="D4528" s="33" t="n">
        <f aca="false">WEEKDAY(A4528,2)</f>
        <v>6</v>
      </c>
      <c r="E4528" s="33" t="n">
        <f aca="false">HOUR(A4528)+MINUTE(A4528)/60</f>
        <v>14</v>
      </c>
      <c r="F4528" s="33" t="n">
        <f aca="false">IF(OR(D4528&gt;5,E4528&lt;8,E4528&gt;=18,COUNTIF($K$2:$K$10,INT(A4528))&gt;0),1,0)</f>
        <v>1</v>
      </c>
      <c r="G4528" s="34" t="n">
        <f aca="false">B4528/1</f>
        <v>180.783</v>
      </c>
      <c r="H4528" s="34" t="n">
        <f aca="false">IF(F4528=1,G4528,"")</f>
        <v>180.783</v>
      </c>
    </row>
    <row r="4529" customFormat="false" ht="15" hidden="false" customHeight="false" outlineLevel="0" collapsed="false">
      <c r="A4529" s="31" t="n">
        <v>42924.625</v>
      </c>
      <c r="B4529" s="32" t="n">
        <v>178.449</v>
      </c>
      <c r="D4529" s="33" t="n">
        <f aca="false">WEEKDAY(A4529,2)</f>
        <v>6</v>
      </c>
      <c r="E4529" s="33" t="n">
        <f aca="false">HOUR(A4529)+MINUTE(A4529)/60</f>
        <v>15</v>
      </c>
      <c r="F4529" s="33" t="n">
        <f aca="false">IF(OR(D4529&gt;5,E4529&lt;8,E4529&gt;=18,COUNTIF($K$2:$K$10,INT(A4529))&gt;0),1,0)</f>
        <v>1</v>
      </c>
      <c r="G4529" s="34" t="n">
        <f aca="false">B4529/1</f>
        <v>178.449</v>
      </c>
      <c r="H4529" s="34" t="n">
        <f aca="false">IF(F4529=1,G4529,"")</f>
        <v>178.449</v>
      </c>
    </row>
    <row r="4530" customFormat="false" ht="15" hidden="false" customHeight="false" outlineLevel="0" collapsed="false">
      <c r="A4530" s="31" t="n">
        <v>42924.6666666667</v>
      </c>
      <c r="B4530" s="32" t="n">
        <v>163.032</v>
      </c>
      <c r="D4530" s="33" t="n">
        <f aca="false">WEEKDAY(A4530,2)</f>
        <v>6</v>
      </c>
      <c r="E4530" s="33" t="n">
        <f aca="false">HOUR(A4530)+MINUTE(A4530)/60</f>
        <v>16</v>
      </c>
      <c r="F4530" s="33" t="n">
        <f aca="false">IF(OR(D4530&gt;5,E4530&lt;8,E4530&gt;=18,COUNTIF($K$2:$K$10,INT(A4530))&gt;0),1,0)</f>
        <v>1</v>
      </c>
      <c r="G4530" s="34" t="n">
        <f aca="false">B4530/1</f>
        <v>163.032</v>
      </c>
      <c r="H4530" s="34" t="n">
        <f aca="false">IF(F4530=1,G4530,"")</f>
        <v>163.032</v>
      </c>
    </row>
    <row r="4531" customFormat="false" ht="15" hidden="false" customHeight="false" outlineLevel="0" collapsed="false">
      <c r="A4531" s="31" t="n">
        <v>42924.7083333333</v>
      </c>
      <c r="B4531" s="32" t="n">
        <v>155.199</v>
      </c>
      <c r="D4531" s="33" t="n">
        <f aca="false">WEEKDAY(A4531,2)</f>
        <v>6</v>
      </c>
      <c r="E4531" s="33" t="n">
        <f aca="false">HOUR(A4531)+MINUTE(A4531)/60</f>
        <v>17</v>
      </c>
      <c r="F4531" s="33" t="n">
        <f aca="false">IF(OR(D4531&gt;5,E4531&lt;8,E4531&gt;=18,COUNTIF($K$2:$K$10,INT(A4531))&gt;0),1,0)</f>
        <v>1</v>
      </c>
      <c r="G4531" s="34" t="n">
        <f aca="false">B4531/1</f>
        <v>155.199</v>
      </c>
      <c r="H4531" s="34" t="n">
        <f aca="false">IF(F4531=1,G4531,"")</f>
        <v>155.199</v>
      </c>
    </row>
    <row r="4532" customFormat="false" ht="15" hidden="false" customHeight="false" outlineLevel="0" collapsed="false">
      <c r="A4532" s="31" t="n">
        <v>42924.75</v>
      </c>
      <c r="B4532" s="32" t="n">
        <v>65.13</v>
      </c>
      <c r="D4532" s="33" t="n">
        <f aca="false">WEEKDAY(A4532,2)</f>
        <v>6</v>
      </c>
      <c r="E4532" s="33" t="n">
        <f aca="false">HOUR(A4532)+MINUTE(A4532)/60</f>
        <v>18</v>
      </c>
      <c r="F4532" s="33" t="n">
        <f aca="false">IF(OR(D4532&gt;5,E4532&lt;8,E4532&gt;=18,COUNTIF($K$2:$K$10,INT(A4532))&gt;0),1,0)</f>
        <v>1</v>
      </c>
      <c r="G4532" s="34" t="n">
        <f aca="false">B4532/1</f>
        <v>65.13</v>
      </c>
      <c r="H4532" s="34" t="n">
        <f aca="false">IF(F4532=1,G4532,"")</f>
        <v>65.13</v>
      </c>
    </row>
    <row r="4533" customFormat="false" ht="15" hidden="false" customHeight="false" outlineLevel="0" collapsed="false">
      <c r="A4533" s="31" t="n">
        <v>42924.7916666667</v>
      </c>
      <c r="B4533" s="32" t="n">
        <v>48.215</v>
      </c>
      <c r="D4533" s="33" t="n">
        <f aca="false">WEEKDAY(A4533,2)</f>
        <v>6</v>
      </c>
      <c r="E4533" s="33" t="n">
        <f aca="false">HOUR(A4533)+MINUTE(A4533)/60</f>
        <v>19</v>
      </c>
      <c r="F4533" s="33" t="n">
        <f aca="false">IF(OR(D4533&gt;5,E4533&lt;8,E4533&gt;=18,COUNTIF($K$2:$K$10,INT(A4533))&gt;0),1,0)</f>
        <v>1</v>
      </c>
      <c r="G4533" s="34" t="n">
        <f aca="false">B4533/1</f>
        <v>48.215</v>
      </c>
      <c r="H4533" s="34" t="n">
        <f aca="false">IF(F4533=1,G4533,"")</f>
        <v>48.215</v>
      </c>
    </row>
    <row r="4534" customFormat="false" ht="15" hidden="false" customHeight="false" outlineLevel="0" collapsed="false">
      <c r="A4534" s="31" t="n">
        <v>42924.8333333333</v>
      </c>
      <c r="B4534" s="32" t="n">
        <v>46.637</v>
      </c>
      <c r="D4534" s="33" t="n">
        <f aca="false">WEEKDAY(A4534,2)</f>
        <v>6</v>
      </c>
      <c r="E4534" s="33" t="n">
        <f aca="false">HOUR(A4534)+MINUTE(A4534)/60</f>
        <v>20</v>
      </c>
      <c r="F4534" s="33" t="n">
        <f aca="false">IF(OR(D4534&gt;5,E4534&lt;8,E4534&gt;=18,COUNTIF($K$2:$K$10,INT(A4534))&gt;0),1,0)</f>
        <v>1</v>
      </c>
      <c r="G4534" s="34" t="n">
        <f aca="false">B4534/1</f>
        <v>46.637</v>
      </c>
      <c r="H4534" s="34" t="n">
        <f aca="false">IF(F4534=1,G4534,"")</f>
        <v>46.637</v>
      </c>
    </row>
    <row r="4535" customFormat="false" ht="15" hidden="false" customHeight="false" outlineLevel="0" collapsed="false">
      <c r="A4535" s="31" t="n">
        <v>42924.875</v>
      </c>
      <c r="B4535" s="32" t="n">
        <v>45.074</v>
      </c>
      <c r="D4535" s="33" t="n">
        <f aca="false">WEEKDAY(A4535,2)</f>
        <v>6</v>
      </c>
      <c r="E4535" s="33" t="n">
        <f aca="false">HOUR(A4535)+MINUTE(A4535)/60</f>
        <v>21</v>
      </c>
      <c r="F4535" s="33" t="n">
        <f aca="false">IF(OR(D4535&gt;5,E4535&lt;8,E4535&gt;=18,COUNTIF($K$2:$K$10,INT(A4535))&gt;0),1,0)</f>
        <v>1</v>
      </c>
      <c r="G4535" s="34" t="n">
        <f aca="false">B4535/1</f>
        <v>45.074</v>
      </c>
      <c r="H4535" s="34" t="n">
        <f aca="false">IF(F4535=1,G4535,"")</f>
        <v>45.074</v>
      </c>
    </row>
    <row r="4536" customFormat="false" ht="15" hidden="false" customHeight="false" outlineLevel="0" collapsed="false">
      <c r="A4536" s="31" t="n">
        <v>42924.9166666667</v>
      </c>
      <c r="B4536" s="32" t="n">
        <v>47.53</v>
      </c>
      <c r="D4536" s="33" t="n">
        <f aca="false">WEEKDAY(A4536,2)</f>
        <v>6</v>
      </c>
      <c r="E4536" s="33" t="n">
        <f aca="false">HOUR(A4536)+MINUTE(A4536)/60</f>
        <v>22</v>
      </c>
      <c r="F4536" s="33" t="n">
        <f aca="false">IF(OR(D4536&gt;5,E4536&lt;8,E4536&gt;=18,COUNTIF($K$2:$K$10,INT(A4536))&gt;0),1,0)</f>
        <v>1</v>
      </c>
      <c r="G4536" s="34" t="n">
        <f aca="false">B4536/1</f>
        <v>47.53</v>
      </c>
      <c r="H4536" s="34" t="n">
        <f aca="false">IF(F4536=1,G4536,"")</f>
        <v>47.53</v>
      </c>
    </row>
    <row r="4537" customFormat="false" ht="15" hidden="false" customHeight="false" outlineLevel="0" collapsed="false">
      <c r="A4537" s="31" t="n">
        <v>42924.9583333333</v>
      </c>
      <c r="B4537" s="32" t="n">
        <v>47.437</v>
      </c>
      <c r="D4537" s="33" t="n">
        <f aca="false">WEEKDAY(A4537,2)</f>
        <v>6</v>
      </c>
      <c r="E4537" s="33" t="n">
        <f aca="false">HOUR(A4537)+MINUTE(A4537)/60</f>
        <v>23</v>
      </c>
      <c r="F4537" s="33" t="n">
        <f aca="false">IF(OR(D4537&gt;5,E4537&lt;8,E4537&gt;=18,COUNTIF($K$2:$K$10,INT(A4537))&gt;0),1,0)</f>
        <v>1</v>
      </c>
      <c r="G4537" s="34" t="n">
        <f aca="false">B4537/1</f>
        <v>47.437</v>
      </c>
      <c r="H4537" s="34" t="n">
        <f aca="false">IF(F4537=1,G4537,"")</f>
        <v>47.437</v>
      </c>
    </row>
    <row r="4538" customFormat="false" ht="15" hidden="false" customHeight="false" outlineLevel="0" collapsed="false">
      <c r="A4538" s="31" t="n">
        <v>42925</v>
      </c>
      <c r="B4538" s="32" t="n">
        <v>47.379</v>
      </c>
      <c r="D4538" s="33" t="n">
        <f aca="false">WEEKDAY(A4538,2)</f>
        <v>7</v>
      </c>
      <c r="E4538" s="33" t="n">
        <f aca="false">HOUR(A4538)+MINUTE(A4538)/60</f>
        <v>0</v>
      </c>
      <c r="F4538" s="33" t="n">
        <f aca="false">IF(OR(D4538&gt;5,E4538&lt;8,E4538&gt;=18,COUNTIF($K$2:$K$10,INT(A4538))&gt;0),1,0)</f>
        <v>1</v>
      </c>
      <c r="G4538" s="34" t="n">
        <f aca="false">B4538/1</f>
        <v>47.379</v>
      </c>
      <c r="H4538" s="34" t="n">
        <f aca="false">IF(F4538=1,G4538,"")</f>
        <v>47.379</v>
      </c>
    </row>
    <row r="4539" customFormat="false" ht="15" hidden="false" customHeight="false" outlineLevel="0" collapsed="false">
      <c r="A4539" s="31" t="n">
        <v>42925.0416666667</v>
      </c>
      <c r="B4539" s="32" t="n">
        <v>46.64</v>
      </c>
      <c r="D4539" s="33" t="n">
        <f aca="false">WEEKDAY(A4539,2)</f>
        <v>7</v>
      </c>
      <c r="E4539" s="33" t="n">
        <f aca="false">HOUR(A4539)+MINUTE(A4539)/60</f>
        <v>1</v>
      </c>
      <c r="F4539" s="33" t="n">
        <f aca="false">IF(OR(D4539&gt;5,E4539&lt;8,E4539&gt;=18,COUNTIF($K$2:$K$10,INT(A4539))&gt;0),1,0)</f>
        <v>1</v>
      </c>
      <c r="G4539" s="34" t="n">
        <f aca="false">B4539/1</f>
        <v>46.64</v>
      </c>
      <c r="H4539" s="34" t="n">
        <f aca="false">IF(F4539=1,G4539,"")</f>
        <v>46.64</v>
      </c>
    </row>
    <row r="4540" customFormat="false" ht="15" hidden="false" customHeight="false" outlineLevel="0" collapsed="false">
      <c r="A4540" s="31" t="n">
        <v>42925.0833333333</v>
      </c>
      <c r="B4540" s="32" t="n">
        <v>47.22</v>
      </c>
      <c r="D4540" s="33" t="n">
        <f aca="false">WEEKDAY(A4540,2)</f>
        <v>7</v>
      </c>
      <c r="E4540" s="33" t="n">
        <f aca="false">HOUR(A4540)+MINUTE(A4540)/60</f>
        <v>2</v>
      </c>
      <c r="F4540" s="33" t="n">
        <f aca="false">IF(OR(D4540&gt;5,E4540&lt;8,E4540&gt;=18,COUNTIF($K$2:$K$10,INT(A4540))&gt;0),1,0)</f>
        <v>1</v>
      </c>
      <c r="G4540" s="34" t="n">
        <f aca="false">B4540/1</f>
        <v>47.22</v>
      </c>
      <c r="H4540" s="34" t="n">
        <f aca="false">IF(F4540=1,G4540,"")</f>
        <v>47.22</v>
      </c>
    </row>
    <row r="4541" customFormat="false" ht="15" hidden="false" customHeight="false" outlineLevel="0" collapsed="false">
      <c r="A4541" s="31" t="n">
        <v>42925.125</v>
      </c>
      <c r="B4541" s="32" t="n">
        <v>47.349</v>
      </c>
      <c r="D4541" s="33" t="n">
        <f aca="false">WEEKDAY(A4541,2)</f>
        <v>7</v>
      </c>
      <c r="E4541" s="33" t="n">
        <f aca="false">HOUR(A4541)+MINUTE(A4541)/60</f>
        <v>3</v>
      </c>
      <c r="F4541" s="33" t="n">
        <f aca="false">IF(OR(D4541&gt;5,E4541&lt;8,E4541&gt;=18,COUNTIF($K$2:$K$10,INT(A4541))&gt;0),1,0)</f>
        <v>1</v>
      </c>
      <c r="G4541" s="34" t="n">
        <f aca="false">B4541/1</f>
        <v>47.349</v>
      </c>
      <c r="H4541" s="34" t="n">
        <f aca="false">IF(F4541=1,G4541,"")</f>
        <v>47.349</v>
      </c>
    </row>
    <row r="4542" customFormat="false" ht="15" hidden="false" customHeight="false" outlineLevel="0" collapsed="false">
      <c r="A4542" s="31" t="n">
        <v>42925.1666666667</v>
      </c>
      <c r="B4542" s="32" t="n">
        <v>47.194</v>
      </c>
      <c r="D4542" s="33" t="n">
        <f aca="false">WEEKDAY(A4542,2)</f>
        <v>7</v>
      </c>
      <c r="E4542" s="33" t="n">
        <f aca="false">HOUR(A4542)+MINUTE(A4542)/60</f>
        <v>4</v>
      </c>
      <c r="F4542" s="33" t="n">
        <f aca="false">IF(OR(D4542&gt;5,E4542&lt;8,E4542&gt;=18,COUNTIF($K$2:$K$10,INT(A4542))&gt;0),1,0)</f>
        <v>1</v>
      </c>
      <c r="G4542" s="34" t="n">
        <f aca="false">B4542/1</f>
        <v>47.194</v>
      </c>
      <c r="H4542" s="34" t="n">
        <f aca="false">IF(F4542=1,G4542,"")</f>
        <v>47.194</v>
      </c>
    </row>
    <row r="4543" customFormat="false" ht="15" hidden="false" customHeight="false" outlineLevel="0" collapsed="false">
      <c r="A4543" s="31" t="n">
        <v>42925.2083333333</v>
      </c>
      <c r="B4543" s="32" t="n">
        <v>47.534</v>
      </c>
      <c r="D4543" s="33" t="n">
        <f aca="false">WEEKDAY(A4543,2)</f>
        <v>7</v>
      </c>
      <c r="E4543" s="33" t="n">
        <f aca="false">HOUR(A4543)+MINUTE(A4543)/60</f>
        <v>5</v>
      </c>
      <c r="F4543" s="33" t="n">
        <f aca="false">IF(OR(D4543&gt;5,E4543&lt;8,E4543&gt;=18,COUNTIF($K$2:$K$10,INT(A4543))&gt;0),1,0)</f>
        <v>1</v>
      </c>
      <c r="G4543" s="34" t="n">
        <f aca="false">B4543/1</f>
        <v>47.534</v>
      </c>
      <c r="H4543" s="34" t="n">
        <f aca="false">IF(F4543=1,G4543,"")</f>
        <v>47.534</v>
      </c>
    </row>
    <row r="4544" customFormat="false" ht="15" hidden="false" customHeight="false" outlineLevel="0" collapsed="false">
      <c r="A4544" s="31" t="n">
        <v>42925.25</v>
      </c>
      <c r="B4544" s="32" t="n">
        <v>49.604</v>
      </c>
      <c r="D4544" s="33" t="n">
        <f aca="false">WEEKDAY(A4544,2)</f>
        <v>7</v>
      </c>
      <c r="E4544" s="33" t="n">
        <f aca="false">HOUR(A4544)+MINUTE(A4544)/60</f>
        <v>6</v>
      </c>
      <c r="F4544" s="33" t="n">
        <f aca="false">IF(OR(D4544&gt;5,E4544&lt;8,E4544&gt;=18,COUNTIF($K$2:$K$10,INT(A4544))&gt;0),1,0)</f>
        <v>1</v>
      </c>
      <c r="G4544" s="34" t="n">
        <f aca="false">B4544/1</f>
        <v>49.604</v>
      </c>
      <c r="H4544" s="34" t="n">
        <f aca="false">IF(F4544=1,G4544,"")</f>
        <v>49.604</v>
      </c>
    </row>
    <row r="4545" customFormat="false" ht="15" hidden="false" customHeight="false" outlineLevel="0" collapsed="false">
      <c r="A4545" s="31" t="n">
        <v>42925.2916666667</v>
      </c>
      <c r="B4545" s="32" t="n">
        <v>50.548</v>
      </c>
      <c r="D4545" s="33" t="n">
        <f aca="false">WEEKDAY(A4545,2)</f>
        <v>7</v>
      </c>
      <c r="E4545" s="33" t="n">
        <f aca="false">HOUR(A4545)+MINUTE(A4545)/60</f>
        <v>7</v>
      </c>
      <c r="F4545" s="33" t="n">
        <f aca="false">IF(OR(D4545&gt;5,E4545&lt;8,E4545&gt;=18,COUNTIF($K$2:$K$10,INT(A4545))&gt;0),1,0)</f>
        <v>1</v>
      </c>
      <c r="G4545" s="34" t="n">
        <f aca="false">B4545/1</f>
        <v>50.548</v>
      </c>
      <c r="H4545" s="34" t="n">
        <f aca="false">IF(F4545=1,G4545,"")</f>
        <v>50.548</v>
      </c>
    </row>
    <row r="4546" customFormat="false" ht="15" hidden="false" customHeight="false" outlineLevel="0" collapsed="false">
      <c r="A4546" s="31" t="n">
        <v>42925.3333333333</v>
      </c>
      <c r="B4546" s="32" t="n">
        <v>46.987</v>
      </c>
      <c r="D4546" s="33" t="n">
        <f aca="false">WEEKDAY(A4546,2)</f>
        <v>7</v>
      </c>
      <c r="E4546" s="33" t="n">
        <f aca="false">HOUR(A4546)+MINUTE(A4546)/60</f>
        <v>8</v>
      </c>
      <c r="F4546" s="33" t="n">
        <f aca="false">IF(OR(D4546&gt;5,E4546&lt;8,E4546&gt;=18,COUNTIF($K$2:$K$10,INT(A4546))&gt;0),1,0)</f>
        <v>1</v>
      </c>
      <c r="G4546" s="34" t="n">
        <f aca="false">B4546/1</f>
        <v>46.987</v>
      </c>
      <c r="H4546" s="34" t="n">
        <f aca="false">IF(F4546=1,G4546,"")</f>
        <v>46.987</v>
      </c>
    </row>
    <row r="4547" customFormat="false" ht="15" hidden="false" customHeight="false" outlineLevel="0" collapsed="false">
      <c r="A4547" s="31" t="n">
        <v>42925.375</v>
      </c>
      <c r="B4547" s="32" t="n">
        <v>50.423</v>
      </c>
      <c r="D4547" s="33" t="n">
        <f aca="false">WEEKDAY(A4547,2)</f>
        <v>7</v>
      </c>
      <c r="E4547" s="33" t="n">
        <f aca="false">HOUR(A4547)+MINUTE(A4547)/60</f>
        <v>9</v>
      </c>
      <c r="F4547" s="33" t="n">
        <f aca="false">IF(OR(D4547&gt;5,E4547&lt;8,E4547&gt;=18,COUNTIF($K$2:$K$10,INT(A4547))&gt;0),1,0)</f>
        <v>1</v>
      </c>
      <c r="G4547" s="34" t="n">
        <f aca="false">B4547/1</f>
        <v>50.423</v>
      </c>
      <c r="H4547" s="34" t="n">
        <f aca="false">IF(F4547=1,G4547,"")</f>
        <v>50.423</v>
      </c>
    </row>
    <row r="4548" customFormat="false" ht="15" hidden="false" customHeight="false" outlineLevel="0" collapsed="false">
      <c r="A4548" s="31" t="n">
        <v>42925.4166666667</v>
      </c>
      <c r="B4548" s="32" t="n">
        <v>51.349</v>
      </c>
      <c r="D4548" s="33" t="n">
        <f aca="false">WEEKDAY(A4548,2)</f>
        <v>7</v>
      </c>
      <c r="E4548" s="33" t="n">
        <f aca="false">HOUR(A4548)+MINUTE(A4548)/60</f>
        <v>10</v>
      </c>
      <c r="F4548" s="33" t="n">
        <f aca="false">IF(OR(D4548&gt;5,E4548&lt;8,E4548&gt;=18,COUNTIF($K$2:$K$10,INT(A4548))&gt;0),1,0)</f>
        <v>1</v>
      </c>
      <c r="G4548" s="34" t="n">
        <f aca="false">B4548/1</f>
        <v>51.349</v>
      </c>
      <c r="H4548" s="34" t="n">
        <f aca="false">IF(F4548=1,G4548,"")</f>
        <v>51.349</v>
      </c>
    </row>
    <row r="4549" customFormat="false" ht="15" hidden="false" customHeight="false" outlineLevel="0" collapsed="false">
      <c r="A4549" s="31" t="n">
        <v>42925.4583333333</v>
      </c>
      <c r="B4549" s="32" t="n">
        <v>50.735</v>
      </c>
      <c r="D4549" s="33" t="n">
        <f aca="false">WEEKDAY(A4549,2)</f>
        <v>7</v>
      </c>
      <c r="E4549" s="33" t="n">
        <f aca="false">HOUR(A4549)+MINUTE(A4549)/60</f>
        <v>11</v>
      </c>
      <c r="F4549" s="33" t="n">
        <f aca="false">IF(OR(D4549&gt;5,E4549&lt;8,E4549&gt;=18,COUNTIF($K$2:$K$10,INT(A4549))&gt;0),1,0)</f>
        <v>1</v>
      </c>
      <c r="G4549" s="34" t="n">
        <f aca="false">B4549/1</f>
        <v>50.735</v>
      </c>
      <c r="H4549" s="34" t="n">
        <f aca="false">IF(F4549=1,G4549,"")</f>
        <v>50.735</v>
      </c>
    </row>
    <row r="4550" customFormat="false" ht="15" hidden="false" customHeight="false" outlineLevel="0" collapsed="false">
      <c r="A4550" s="31" t="n">
        <v>42925.5</v>
      </c>
      <c r="B4550" s="32" t="n">
        <v>58.644</v>
      </c>
      <c r="D4550" s="33" t="n">
        <f aca="false">WEEKDAY(A4550,2)</f>
        <v>7</v>
      </c>
      <c r="E4550" s="33" t="n">
        <f aca="false">HOUR(A4550)+MINUTE(A4550)/60</f>
        <v>12</v>
      </c>
      <c r="F4550" s="33" t="n">
        <f aca="false">IF(OR(D4550&gt;5,E4550&lt;8,E4550&gt;=18,COUNTIF($K$2:$K$10,INT(A4550))&gt;0),1,0)</f>
        <v>1</v>
      </c>
      <c r="G4550" s="34" t="n">
        <f aca="false">B4550/1</f>
        <v>58.644</v>
      </c>
      <c r="H4550" s="34" t="n">
        <f aca="false">IF(F4550=1,G4550,"")</f>
        <v>58.644</v>
      </c>
    </row>
    <row r="4551" customFormat="false" ht="15" hidden="false" customHeight="false" outlineLevel="0" collapsed="false">
      <c r="A4551" s="31" t="n">
        <v>42925.5416666667</v>
      </c>
      <c r="B4551" s="32" t="n">
        <v>117.641</v>
      </c>
      <c r="D4551" s="33" t="n">
        <f aca="false">WEEKDAY(A4551,2)</f>
        <v>7</v>
      </c>
      <c r="E4551" s="33" t="n">
        <f aca="false">HOUR(A4551)+MINUTE(A4551)/60</f>
        <v>13</v>
      </c>
      <c r="F4551" s="33" t="n">
        <f aca="false">IF(OR(D4551&gt;5,E4551&lt;8,E4551&gt;=18,COUNTIF($K$2:$K$10,INT(A4551))&gt;0),1,0)</f>
        <v>1</v>
      </c>
      <c r="G4551" s="34" t="n">
        <f aca="false">B4551/1</f>
        <v>117.641</v>
      </c>
      <c r="H4551" s="34" t="n">
        <f aca="false">IF(F4551=1,G4551,"")</f>
        <v>117.641</v>
      </c>
    </row>
    <row r="4552" customFormat="false" ht="15" hidden="false" customHeight="false" outlineLevel="0" collapsed="false">
      <c r="A4552" s="31" t="n">
        <v>42925.5833333333</v>
      </c>
      <c r="B4552" s="32" t="n">
        <v>137.102</v>
      </c>
      <c r="D4552" s="33" t="n">
        <f aca="false">WEEKDAY(A4552,2)</f>
        <v>7</v>
      </c>
      <c r="E4552" s="33" t="n">
        <f aca="false">HOUR(A4552)+MINUTE(A4552)/60</f>
        <v>14</v>
      </c>
      <c r="F4552" s="33" t="n">
        <f aca="false">IF(OR(D4552&gt;5,E4552&lt;8,E4552&gt;=18,COUNTIF($K$2:$K$10,INT(A4552))&gt;0),1,0)</f>
        <v>1</v>
      </c>
      <c r="G4552" s="34" t="n">
        <f aca="false">B4552/1</f>
        <v>137.102</v>
      </c>
      <c r="H4552" s="34" t="n">
        <f aca="false">IF(F4552=1,G4552,"")</f>
        <v>137.102</v>
      </c>
    </row>
    <row r="4553" customFormat="false" ht="15" hidden="false" customHeight="false" outlineLevel="0" collapsed="false">
      <c r="A4553" s="31" t="n">
        <v>42925.625</v>
      </c>
      <c r="B4553" s="32" t="n">
        <v>131.223</v>
      </c>
      <c r="D4553" s="33" t="n">
        <f aca="false">WEEKDAY(A4553,2)</f>
        <v>7</v>
      </c>
      <c r="E4553" s="33" t="n">
        <f aca="false">HOUR(A4553)+MINUTE(A4553)/60</f>
        <v>15</v>
      </c>
      <c r="F4553" s="33" t="n">
        <f aca="false">IF(OR(D4553&gt;5,E4553&lt;8,E4553&gt;=18,COUNTIF($K$2:$K$10,INT(A4553))&gt;0),1,0)</f>
        <v>1</v>
      </c>
      <c r="G4553" s="34" t="n">
        <f aca="false">B4553/1</f>
        <v>131.223</v>
      </c>
      <c r="H4553" s="34" t="n">
        <f aca="false">IF(F4553=1,G4553,"")</f>
        <v>131.223</v>
      </c>
    </row>
    <row r="4554" customFormat="false" ht="15" hidden="false" customHeight="false" outlineLevel="0" collapsed="false">
      <c r="A4554" s="31" t="n">
        <v>42925.6666666667</v>
      </c>
      <c r="B4554" s="32" t="n">
        <v>151.912</v>
      </c>
      <c r="D4554" s="33" t="n">
        <f aca="false">WEEKDAY(A4554,2)</f>
        <v>7</v>
      </c>
      <c r="E4554" s="33" t="n">
        <f aca="false">HOUR(A4554)+MINUTE(A4554)/60</f>
        <v>16</v>
      </c>
      <c r="F4554" s="33" t="n">
        <f aca="false">IF(OR(D4554&gt;5,E4554&lt;8,E4554&gt;=18,COUNTIF($K$2:$K$10,INT(A4554))&gt;0),1,0)</f>
        <v>1</v>
      </c>
      <c r="G4554" s="34" t="n">
        <f aca="false">B4554/1</f>
        <v>151.912</v>
      </c>
      <c r="H4554" s="34" t="n">
        <f aca="false">IF(F4554=1,G4554,"")</f>
        <v>151.912</v>
      </c>
    </row>
    <row r="4555" customFormat="false" ht="15" hidden="false" customHeight="false" outlineLevel="0" collapsed="false">
      <c r="A4555" s="31" t="n">
        <v>42925.7083333333</v>
      </c>
      <c r="B4555" s="32" t="n">
        <v>171.644</v>
      </c>
      <c r="D4555" s="33" t="n">
        <f aca="false">WEEKDAY(A4555,2)</f>
        <v>7</v>
      </c>
      <c r="E4555" s="33" t="n">
        <f aca="false">HOUR(A4555)+MINUTE(A4555)/60</f>
        <v>17</v>
      </c>
      <c r="F4555" s="33" t="n">
        <f aca="false">IF(OR(D4555&gt;5,E4555&lt;8,E4555&gt;=18,COUNTIF($K$2:$K$10,INT(A4555))&gt;0),1,0)</f>
        <v>1</v>
      </c>
      <c r="G4555" s="34" t="n">
        <f aca="false">B4555/1</f>
        <v>171.644</v>
      </c>
      <c r="H4555" s="34" t="n">
        <f aca="false">IF(F4555=1,G4555,"")</f>
        <v>171.644</v>
      </c>
    </row>
    <row r="4556" customFormat="false" ht="15" hidden="false" customHeight="false" outlineLevel="0" collapsed="false">
      <c r="A4556" s="31" t="n">
        <v>42925.75</v>
      </c>
      <c r="B4556" s="32" t="n">
        <v>180.771</v>
      </c>
      <c r="D4556" s="33" t="n">
        <f aca="false">WEEKDAY(A4556,2)</f>
        <v>7</v>
      </c>
      <c r="E4556" s="33" t="n">
        <f aca="false">HOUR(A4556)+MINUTE(A4556)/60</f>
        <v>18</v>
      </c>
      <c r="F4556" s="33" t="n">
        <f aca="false">IF(OR(D4556&gt;5,E4556&lt;8,E4556&gt;=18,COUNTIF($K$2:$K$10,INT(A4556))&gt;0),1,0)</f>
        <v>1</v>
      </c>
      <c r="G4556" s="34" t="n">
        <f aca="false">B4556/1</f>
        <v>180.771</v>
      </c>
      <c r="H4556" s="34" t="n">
        <f aca="false">IF(F4556=1,G4556,"")</f>
        <v>180.771</v>
      </c>
    </row>
    <row r="4557" customFormat="false" ht="15" hidden="false" customHeight="false" outlineLevel="0" collapsed="false">
      <c r="A4557" s="31" t="n">
        <v>42925.7916666667</v>
      </c>
      <c r="B4557" s="32" t="n">
        <v>180.3</v>
      </c>
      <c r="D4557" s="33" t="n">
        <f aca="false">WEEKDAY(A4557,2)</f>
        <v>7</v>
      </c>
      <c r="E4557" s="33" t="n">
        <f aca="false">HOUR(A4557)+MINUTE(A4557)/60</f>
        <v>19</v>
      </c>
      <c r="F4557" s="33" t="n">
        <f aca="false">IF(OR(D4557&gt;5,E4557&lt;8,E4557&gt;=18,COUNTIF($K$2:$K$10,INT(A4557))&gt;0),1,0)</f>
        <v>1</v>
      </c>
      <c r="G4557" s="34" t="n">
        <f aca="false">B4557/1</f>
        <v>180.3</v>
      </c>
      <c r="H4557" s="34" t="n">
        <f aca="false">IF(F4557=1,G4557,"")</f>
        <v>180.3</v>
      </c>
    </row>
    <row r="4558" customFormat="false" ht="15" hidden="false" customHeight="false" outlineLevel="0" collapsed="false">
      <c r="A4558" s="31" t="n">
        <v>42925.8333333333</v>
      </c>
      <c r="B4558" s="32" t="n">
        <v>183.295</v>
      </c>
      <c r="D4558" s="33" t="n">
        <f aca="false">WEEKDAY(A4558,2)</f>
        <v>7</v>
      </c>
      <c r="E4558" s="33" t="n">
        <f aca="false">HOUR(A4558)+MINUTE(A4558)/60</f>
        <v>20</v>
      </c>
      <c r="F4558" s="33" t="n">
        <f aca="false">IF(OR(D4558&gt;5,E4558&lt;8,E4558&gt;=18,COUNTIF($K$2:$K$10,INT(A4558))&gt;0),1,0)</f>
        <v>1</v>
      </c>
      <c r="G4558" s="34" t="n">
        <f aca="false">B4558/1</f>
        <v>183.295</v>
      </c>
      <c r="H4558" s="34" t="n">
        <f aca="false">IF(F4558=1,G4558,"")</f>
        <v>183.295</v>
      </c>
    </row>
    <row r="4559" customFormat="false" ht="15" hidden="false" customHeight="false" outlineLevel="0" collapsed="false">
      <c r="A4559" s="31" t="n">
        <v>42925.875</v>
      </c>
      <c r="B4559" s="32" t="n">
        <v>157.345</v>
      </c>
      <c r="D4559" s="33" t="n">
        <f aca="false">WEEKDAY(A4559,2)</f>
        <v>7</v>
      </c>
      <c r="E4559" s="33" t="n">
        <f aca="false">HOUR(A4559)+MINUTE(A4559)/60</f>
        <v>21</v>
      </c>
      <c r="F4559" s="33" t="n">
        <f aca="false">IF(OR(D4559&gt;5,E4559&lt;8,E4559&gt;=18,COUNTIF($K$2:$K$10,INT(A4559))&gt;0),1,0)</f>
        <v>1</v>
      </c>
      <c r="G4559" s="34" t="n">
        <f aca="false">B4559/1</f>
        <v>157.345</v>
      </c>
      <c r="H4559" s="34" t="n">
        <f aca="false">IF(F4559=1,G4559,"")</f>
        <v>157.345</v>
      </c>
    </row>
    <row r="4560" customFormat="false" ht="15" hidden="false" customHeight="false" outlineLevel="0" collapsed="false">
      <c r="A4560" s="31" t="n">
        <v>42925.9166666667</v>
      </c>
      <c r="B4560" s="32" t="n">
        <v>69.152</v>
      </c>
      <c r="D4560" s="33" t="n">
        <f aca="false">WEEKDAY(A4560,2)</f>
        <v>7</v>
      </c>
      <c r="E4560" s="33" t="n">
        <f aca="false">HOUR(A4560)+MINUTE(A4560)/60</f>
        <v>22</v>
      </c>
      <c r="F4560" s="33" t="n">
        <f aca="false">IF(OR(D4560&gt;5,E4560&lt;8,E4560&gt;=18,COUNTIF($K$2:$K$10,INT(A4560))&gt;0),1,0)</f>
        <v>1</v>
      </c>
      <c r="G4560" s="34" t="n">
        <f aca="false">B4560/1</f>
        <v>69.152</v>
      </c>
      <c r="H4560" s="34" t="n">
        <f aca="false">IF(F4560=1,G4560,"")</f>
        <v>69.152</v>
      </c>
    </row>
    <row r="4561" customFormat="false" ht="15" hidden="false" customHeight="false" outlineLevel="0" collapsed="false">
      <c r="A4561" s="31" t="n">
        <v>42925.9583333333</v>
      </c>
      <c r="B4561" s="32" t="n">
        <v>81.89</v>
      </c>
      <c r="D4561" s="33" t="n">
        <f aca="false">WEEKDAY(A4561,2)</f>
        <v>7</v>
      </c>
      <c r="E4561" s="33" t="n">
        <f aca="false">HOUR(A4561)+MINUTE(A4561)/60</f>
        <v>23</v>
      </c>
      <c r="F4561" s="33" t="n">
        <f aca="false">IF(OR(D4561&gt;5,E4561&lt;8,E4561&gt;=18,COUNTIF($K$2:$K$10,INT(A4561))&gt;0),1,0)</f>
        <v>1</v>
      </c>
      <c r="G4561" s="34" t="n">
        <f aca="false">B4561/1</f>
        <v>81.89</v>
      </c>
      <c r="H4561" s="34" t="n">
        <f aca="false">IF(F4561=1,G4561,"")</f>
        <v>81.89</v>
      </c>
    </row>
    <row r="4562" customFormat="false" ht="15" hidden="false" customHeight="false" outlineLevel="0" collapsed="false">
      <c r="A4562" s="31" t="n">
        <v>42926</v>
      </c>
      <c r="B4562" s="32" t="n">
        <v>85.15</v>
      </c>
      <c r="D4562" s="33" t="n">
        <f aca="false">WEEKDAY(A4562,2)</f>
        <v>1</v>
      </c>
      <c r="E4562" s="33" t="n">
        <f aca="false">HOUR(A4562)+MINUTE(A4562)/60</f>
        <v>0</v>
      </c>
      <c r="F4562" s="33" t="n">
        <f aca="false">IF(OR(D4562&gt;5,E4562&lt;8,E4562&gt;=18,COUNTIF($K$2:$K$10,INT(A4562))&gt;0),1,0)</f>
        <v>1</v>
      </c>
      <c r="G4562" s="34" t="n">
        <f aca="false">B4562/1</f>
        <v>85.15</v>
      </c>
      <c r="H4562" s="34" t="n">
        <f aca="false">IF(F4562=1,G4562,"")</f>
        <v>85.15</v>
      </c>
    </row>
    <row r="4563" customFormat="false" ht="15" hidden="false" customHeight="false" outlineLevel="0" collapsed="false">
      <c r="A4563" s="31" t="n">
        <v>42926.0416666667</v>
      </c>
      <c r="B4563" s="32" t="n">
        <v>92.331</v>
      </c>
      <c r="D4563" s="33" t="n">
        <f aca="false">WEEKDAY(A4563,2)</f>
        <v>1</v>
      </c>
      <c r="E4563" s="33" t="n">
        <f aca="false">HOUR(A4563)+MINUTE(A4563)/60</f>
        <v>1</v>
      </c>
      <c r="F4563" s="33" t="n">
        <f aca="false">IF(OR(D4563&gt;5,E4563&lt;8,E4563&gt;=18,COUNTIF($K$2:$K$10,INT(A4563))&gt;0),1,0)</f>
        <v>1</v>
      </c>
      <c r="G4563" s="34" t="n">
        <f aca="false">B4563/1</f>
        <v>92.331</v>
      </c>
      <c r="H4563" s="34" t="n">
        <f aca="false">IF(F4563=1,G4563,"")</f>
        <v>92.331</v>
      </c>
    </row>
    <row r="4564" customFormat="false" ht="15" hidden="false" customHeight="false" outlineLevel="0" collapsed="false">
      <c r="A4564" s="31" t="n">
        <v>42926.0833333333</v>
      </c>
      <c r="B4564" s="32" t="n">
        <v>91.251</v>
      </c>
      <c r="D4564" s="33" t="n">
        <f aca="false">WEEKDAY(A4564,2)</f>
        <v>1</v>
      </c>
      <c r="E4564" s="33" t="n">
        <f aca="false">HOUR(A4564)+MINUTE(A4564)/60</f>
        <v>2</v>
      </c>
      <c r="F4564" s="33" t="n">
        <f aca="false">IF(OR(D4564&gt;5,E4564&lt;8,E4564&gt;=18,COUNTIF($K$2:$K$10,INT(A4564))&gt;0),1,0)</f>
        <v>1</v>
      </c>
      <c r="G4564" s="34" t="n">
        <f aca="false">B4564/1</f>
        <v>91.251</v>
      </c>
      <c r="H4564" s="34" t="n">
        <f aca="false">IF(F4564=1,G4564,"")</f>
        <v>91.251</v>
      </c>
    </row>
    <row r="4565" customFormat="false" ht="15" hidden="false" customHeight="false" outlineLevel="0" collapsed="false">
      <c r="A4565" s="31" t="n">
        <v>42926.125</v>
      </c>
      <c r="B4565" s="32" t="n">
        <v>91.138</v>
      </c>
      <c r="D4565" s="33" t="n">
        <f aca="false">WEEKDAY(A4565,2)</f>
        <v>1</v>
      </c>
      <c r="E4565" s="33" t="n">
        <f aca="false">HOUR(A4565)+MINUTE(A4565)/60</f>
        <v>3</v>
      </c>
      <c r="F4565" s="33" t="n">
        <f aca="false">IF(OR(D4565&gt;5,E4565&lt;8,E4565&gt;=18,COUNTIF($K$2:$K$10,INT(A4565))&gt;0),1,0)</f>
        <v>1</v>
      </c>
      <c r="G4565" s="34" t="n">
        <f aca="false">B4565/1</f>
        <v>91.138</v>
      </c>
      <c r="H4565" s="34" t="n">
        <f aca="false">IF(F4565=1,G4565,"")</f>
        <v>91.138</v>
      </c>
    </row>
    <row r="4566" customFormat="false" ht="15" hidden="false" customHeight="false" outlineLevel="0" collapsed="false">
      <c r="A4566" s="31" t="n">
        <v>42926.1666666667</v>
      </c>
      <c r="B4566" s="32" t="n">
        <v>91.32</v>
      </c>
      <c r="D4566" s="33" t="n">
        <f aca="false">WEEKDAY(A4566,2)</f>
        <v>1</v>
      </c>
      <c r="E4566" s="33" t="n">
        <f aca="false">HOUR(A4566)+MINUTE(A4566)/60</f>
        <v>4</v>
      </c>
      <c r="F4566" s="33" t="n">
        <f aca="false">IF(OR(D4566&gt;5,E4566&lt;8,E4566&gt;=18,COUNTIF($K$2:$K$10,INT(A4566))&gt;0),1,0)</f>
        <v>1</v>
      </c>
      <c r="G4566" s="34" t="n">
        <f aca="false">B4566/1</f>
        <v>91.32</v>
      </c>
      <c r="H4566" s="34" t="n">
        <f aca="false">IF(F4566=1,G4566,"")</f>
        <v>91.32</v>
      </c>
    </row>
    <row r="4567" customFormat="false" ht="15" hidden="false" customHeight="false" outlineLevel="0" collapsed="false">
      <c r="A4567" s="31" t="n">
        <v>42926.2083333333</v>
      </c>
      <c r="B4567" s="32" t="n">
        <v>90.165</v>
      </c>
      <c r="D4567" s="33" t="n">
        <f aca="false">WEEKDAY(A4567,2)</f>
        <v>1</v>
      </c>
      <c r="E4567" s="33" t="n">
        <f aca="false">HOUR(A4567)+MINUTE(A4567)/60</f>
        <v>5</v>
      </c>
      <c r="F4567" s="33" t="n">
        <f aca="false">IF(OR(D4567&gt;5,E4567&lt;8,E4567&gt;=18,COUNTIF($K$2:$K$10,INT(A4567))&gt;0),1,0)</f>
        <v>1</v>
      </c>
      <c r="G4567" s="34" t="n">
        <f aca="false">B4567/1</f>
        <v>90.165</v>
      </c>
      <c r="H4567" s="34" t="n">
        <f aca="false">IF(F4567=1,G4567,"")</f>
        <v>90.165</v>
      </c>
    </row>
    <row r="4568" customFormat="false" ht="15" hidden="false" customHeight="false" outlineLevel="0" collapsed="false">
      <c r="A4568" s="31" t="n">
        <v>42926.25</v>
      </c>
      <c r="B4568" s="32" t="n">
        <v>85.686</v>
      </c>
      <c r="D4568" s="33" t="n">
        <f aca="false">WEEKDAY(A4568,2)</f>
        <v>1</v>
      </c>
      <c r="E4568" s="33" t="n">
        <f aca="false">HOUR(A4568)+MINUTE(A4568)/60</f>
        <v>6</v>
      </c>
      <c r="F4568" s="33" t="n">
        <f aca="false">IF(OR(D4568&gt;5,E4568&lt;8,E4568&gt;=18,COUNTIF($K$2:$K$10,INT(A4568))&gt;0),1,0)</f>
        <v>1</v>
      </c>
      <c r="G4568" s="34" t="n">
        <f aca="false">B4568/1</f>
        <v>85.686</v>
      </c>
      <c r="H4568" s="34" t="n">
        <f aca="false">IF(F4568=1,G4568,"")</f>
        <v>85.686</v>
      </c>
    </row>
    <row r="4569" customFormat="false" ht="15" hidden="false" customHeight="false" outlineLevel="0" collapsed="false">
      <c r="A4569" s="31" t="n">
        <v>42926.2916666667</v>
      </c>
      <c r="B4569" s="32" t="n">
        <v>104.953</v>
      </c>
      <c r="D4569" s="33" t="n">
        <f aca="false">WEEKDAY(A4569,2)</f>
        <v>1</v>
      </c>
      <c r="E4569" s="33" t="n">
        <f aca="false">HOUR(A4569)+MINUTE(A4569)/60</f>
        <v>7</v>
      </c>
      <c r="F4569" s="33" t="n">
        <f aca="false">IF(OR(D4569&gt;5,E4569&lt;8,E4569&gt;=18,COUNTIF($K$2:$K$10,INT(A4569))&gt;0),1,0)</f>
        <v>1</v>
      </c>
      <c r="G4569" s="34" t="n">
        <f aca="false">B4569/1</f>
        <v>104.953</v>
      </c>
      <c r="H4569" s="34" t="n">
        <f aca="false">IF(F4569=1,G4569,"")</f>
        <v>104.953</v>
      </c>
    </row>
    <row r="4570" customFormat="false" ht="15" hidden="false" customHeight="false" outlineLevel="0" collapsed="false">
      <c r="A4570" s="31" t="n">
        <v>42926.3333333333</v>
      </c>
      <c r="B4570" s="32" t="n">
        <v>188.488</v>
      </c>
      <c r="D4570" s="33" t="n">
        <f aca="false">WEEKDAY(A4570,2)</f>
        <v>1</v>
      </c>
      <c r="E4570" s="33" t="n">
        <f aca="false">HOUR(A4570)+MINUTE(A4570)/60</f>
        <v>8</v>
      </c>
      <c r="F4570" s="33" t="n">
        <f aca="false">IF(OR(D4570&gt;5,E4570&lt;8,E4570&gt;=18,COUNTIF($K$2:$K$10,INT(A4570))&gt;0),1,0)</f>
        <v>0</v>
      </c>
      <c r="G4570" s="34" t="n">
        <f aca="false">B4570/1</f>
        <v>188.488</v>
      </c>
      <c r="H4570" s="34" t="str">
        <f aca="false">IF(F4570=1,G4570,"")</f>
        <v/>
      </c>
    </row>
    <row r="4571" customFormat="false" ht="15" hidden="false" customHeight="false" outlineLevel="0" collapsed="false">
      <c r="A4571" s="31" t="n">
        <v>42926.375</v>
      </c>
      <c r="B4571" s="32" t="n">
        <v>215.896</v>
      </c>
      <c r="D4571" s="33" t="n">
        <f aca="false">WEEKDAY(A4571,2)</f>
        <v>1</v>
      </c>
      <c r="E4571" s="33" t="n">
        <f aca="false">HOUR(A4571)+MINUTE(A4571)/60</f>
        <v>9</v>
      </c>
      <c r="F4571" s="33" t="n">
        <f aca="false">IF(OR(D4571&gt;5,E4571&lt;8,E4571&gt;=18,COUNTIF($K$2:$K$10,INT(A4571))&gt;0),1,0)</f>
        <v>0</v>
      </c>
      <c r="G4571" s="34" t="n">
        <f aca="false">B4571/1</f>
        <v>215.896</v>
      </c>
      <c r="H4571" s="34" t="str">
        <f aca="false">IF(F4571=1,G4571,"")</f>
        <v/>
      </c>
    </row>
    <row r="4572" customFormat="false" ht="15" hidden="false" customHeight="false" outlineLevel="0" collapsed="false">
      <c r="A4572" s="31" t="n">
        <v>42926.4166666667</v>
      </c>
      <c r="B4572" s="32" t="n">
        <v>230.916</v>
      </c>
      <c r="D4572" s="33" t="n">
        <f aca="false">WEEKDAY(A4572,2)</f>
        <v>1</v>
      </c>
      <c r="E4572" s="33" t="n">
        <f aca="false">HOUR(A4572)+MINUTE(A4572)/60</f>
        <v>10</v>
      </c>
      <c r="F4572" s="33" t="n">
        <f aca="false">IF(OR(D4572&gt;5,E4572&lt;8,E4572&gt;=18,COUNTIF($K$2:$K$10,INT(A4572))&gt;0),1,0)</f>
        <v>0</v>
      </c>
      <c r="G4572" s="34" t="n">
        <f aca="false">B4572/1</f>
        <v>230.916</v>
      </c>
      <c r="H4572" s="34" t="str">
        <f aca="false">IF(F4572=1,G4572,"")</f>
        <v/>
      </c>
    </row>
    <row r="4573" customFormat="false" ht="15" hidden="false" customHeight="false" outlineLevel="0" collapsed="false">
      <c r="A4573" s="31" t="n">
        <v>42926.4583333333</v>
      </c>
      <c r="B4573" s="32" t="n">
        <v>239.08</v>
      </c>
      <c r="D4573" s="33" t="n">
        <f aca="false">WEEKDAY(A4573,2)</f>
        <v>1</v>
      </c>
      <c r="E4573" s="33" t="n">
        <f aca="false">HOUR(A4573)+MINUTE(A4573)/60</f>
        <v>11</v>
      </c>
      <c r="F4573" s="33" t="n">
        <f aca="false">IF(OR(D4573&gt;5,E4573&lt;8,E4573&gt;=18,COUNTIF($K$2:$K$10,INT(A4573))&gt;0),1,0)</f>
        <v>0</v>
      </c>
      <c r="G4573" s="34" t="n">
        <f aca="false">B4573/1</f>
        <v>239.08</v>
      </c>
      <c r="H4573" s="34" t="str">
        <f aca="false">IF(F4573=1,G4573,"")</f>
        <v/>
      </c>
    </row>
    <row r="4574" customFormat="false" ht="15" hidden="false" customHeight="false" outlineLevel="0" collapsed="false">
      <c r="A4574" s="31" t="n">
        <v>42926.5</v>
      </c>
      <c r="B4574" s="32" t="n">
        <v>239.188</v>
      </c>
      <c r="D4574" s="33" t="n">
        <f aca="false">WEEKDAY(A4574,2)</f>
        <v>1</v>
      </c>
      <c r="E4574" s="33" t="n">
        <f aca="false">HOUR(A4574)+MINUTE(A4574)/60</f>
        <v>12</v>
      </c>
      <c r="F4574" s="33" t="n">
        <f aca="false">IF(OR(D4574&gt;5,E4574&lt;8,E4574&gt;=18,COUNTIF($K$2:$K$10,INT(A4574))&gt;0),1,0)</f>
        <v>0</v>
      </c>
      <c r="G4574" s="34" t="n">
        <f aca="false">B4574/1</f>
        <v>239.188</v>
      </c>
      <c r="H4574" s="34" t="str">
        <f aca="false">IF(F4574=1,G4574,"")</f>
        <v/>
      </c>
    </row>
    <row r="4575" customFormat="false" ht="15" hidden="false" customHeight="false" outlineLevel="0" collapsed="false">
      <c r="A4575" s="31" t="n">
        <v>42926.5416666667</v>
      </c>
      <c r="B4575" s="32" t="n">
        <v>240.969</v>
      </c>
      <c r="D4575" s="33" t="n">
        <f aca="false">WEEKDAY(A4575,2)</f>
        <v>1</v>
      </c>
      <c r="E4575" s="33" t="n">
        <f aca="false">HOUR(A4575)+MINUTE(A4575)/60</f>
        <v>13</v>
      </c>
      <c r="F4575" s="33" t="n">
        <f aca="false">IF(OR(D4575&gt;5,E4575&lt;8,E4575&gt;=18,COUNTIF($K$2:$K$10,INT(A4575))&gt;0),1,0)</f>
        <v>0</v>
      </c>
      <c r="G4575" s="34" t="n">
        <f aca="false">B4575/1</f>
        <v>240.969</v>
      </c>
      <c r="H4575" s="34" t="str">
        <f aca="false">IF(F4575=1,G4575,"")</f>
        <v/>
      </c>
    </row>
    <row r="4576" customFormat="false" ht="15" hidden="false" customHeight="false" outlineLevel="0" collapsed="false">
      <c r="A4576" s="31" t="n">
        <v>42926.5833333333</v>
      </c>
      <c r="B4576" s="32" t="n">
        <v>241.965</v>
      </c>
      <c r="D4576" s="33" t="n">
        <f aca="false">WEEKDAY(A4576,2)</f>
        <v>1</v>
      </c>
      <c r="E4576" s="33" t="n">
        <f aca="false">HOUR(A4576)+MINUTE(A4576)/60</f>
        <v>14</v>
      </c>
      <c r="F4576" s="33" t="n">
        <f aca="false">IF(OR(D4576&gt;5,E4576&lt;8,E4576&gt;=18,COUNTIF($K$2:$K$10,INT(A4576))&gt;0),1,0)</f>
        <v>0</v>
      </c>
      <c r="G4576" s="34" t="n">
        <f aca="false">B4576/1</f>
        <v>241.965</v>
      </c>
      <c r="H4576" s="34" t="str">
        <f aca="false">IF(F4576=1,G4576,"")</f>
        <v/>
      </c>
    </row>
    <row r="4577" customFormat="false" ht="15" hidden="false" customHeight="false" outlineLevel="0" collapsed="false">
      <c r="A4577" s="31" t="n">
        <v>42926.625</v>
      </c>
      <c r="B4577" s="32" t="n">
        <v>235.46</v>
      </c>
      <c r="D4577" s="33" t="n">
        <f aca="false">WEEKDAY(A4577,2)</f>
        <v>1</v>
      </c>
      <c r="E4577" s="33" t="n">
        <f aca="false">HOUR(A4577)+MINUTE(A4577)/60</f>
        <v>15</v>
      </c>
      <c r="F4577" s="33" t="n">
        <f aca="false">IF(OR(D4577&gt;5,E4577&lt;8,E4577&gt;=18,COUNTIF($K$2:$K$10,INT(A4577))&gt;0),1,0)</f>
        <v>0</v>
      </c>
      <c r="G4577" s="34" t="n">
        <f aca="false">B4577/1</f>
        <v>235.46</v>
      </c>
      <c r="H4577" s="34" t="str">
        <f aca="false">IF(F4577=1,G4577,"")</f>
        <v/>
      </c>
    </row>
    <row r="4578" customFormat="false" ht="15" hidden="false" customHeight="false" outlineLevel="0" collapsed="false">
      <c r="A4578" s="31" t="n">
        <v>42926.6666666667</v>
      </c>
      <c r="B4578" s="32" t="n">
        <v>226.254</v>
      </c>
      <c r="D4578" s="33" t="n">
        <f aca="false">WEEKDAY(A4578,2)</f>
        <v>1</v>
      </c>
      <c r="E4578" s="33" t="n">
        <f aca="false">HOUR(A4578)+MINUTE(A4578)/60</f>
        <v>16</v>
      </c>
      <c r="F4578" s="33" t="n">
        <f aca="false">IF(OR(D4578&gt;5,E4578&lt;8,E4578&gt;=18,COUNTIF($K$2:$K$10,INT(A4578))&gt;0),1,0)</f>
        <v>0</v>
      </c>
      <c r="G4578" s="34" t="n">
        <f aca="false">B4578/1</f>
        <v>226.254</v>
      </c>
      <c r="H4578" s="34" t="str">
        <f aca="false">IF(F4578=1,G4578,"")</f>
        <v/>
      </c>
    </row>
    <row r="4579" customFormat="false" ht="15" hidden="false" customHeight="false" outlineLevel="0" collapsed="false">
      <c r="A4579" s="31" t="n">
        <v>42926.7083333333</v>
      </c>
      <c r="B4579" s="32" t="n">
        <v>220.961</v>
      </c>
      <c r="D4579" s="33" t="n">
        <f aca="false">WEEKDAY(A4579,2)</f>
        <v>1</v>
      </c>
      <c r="E4579" s="33" t="n">
        <f aca="false">HOUR(A4579)+MINUTE(A4579)/60</f>
        <v>17</v>
      </c>
      <c r="F4579" s="33" t="n">
        <f aca="false">IF(OR(D4579&gt;5,E4579&lt;8,E4579&gt;=18,COUNTIF($K$2:$K$10,INT(A4579))&gt;0),1,0)</f>
        <v>0</v>
      </c>
      <c r="G4579" s="34" t="n">
        <f aca="false">B4579/1</f>
        <v>220.961</v>
      </c>
      <c r="H4579" s="34" t="str">
        <f aca="false">IF(F4579=1,G4579,"")</f>
        <v/>
      </c>
    </row>
    <row r="4580" customFormat="false" ht="15" hidden="false" customHeight="false" outlineLevel="0" collapsed="false">
      <c r="A4580" s="31" t="n">
        <v>42926.75</v>
      </c>
      <c r="B4580" s="32" t="n">
        <v>208.195</v>
      </c>
      <c r="D4580" s="33" t="n">
        <f aca="false">WEEKDAY(A4580,2)</f>
        <v>1</v>
      </c>
      <c r="E4580" s="33" t="n">
        <f aca="false">HOUR(A4580)+MINUTE(A4580)/60</f>
        <v>18</v>
      </c>
      <c r="F4580" s="33" t="n">
        <f aca="false">IF(OR(D4580&gt;5,E4580&lt;8,E4580&gt;=18,COUNTIF($K$2:$K$10,INT(A4580))&gt;0),1,0)</f>
        <v>1</v>
      </c>
      <c r="G4580" s="34" t="n">
        <f aca="false">B4580/1</f>
        <v>208.195</v>
      </c>
      <c r="H4580" s="34" t="n">
        <f aca="false">IF(F4580=1,G4580,"")</f>
        <v>208.195</v>
      </c>
    </row>
    <row r="4581" customFormat="false" ht="15" hidden="false" customHeight="false" outlineLevel="0" collapsed="false">
      <c r="A4581" s="31" t="n">
        <v>42926.7916666667</v>
      </c>
      <c r="B4581" s="32" t="n">
        <v>202.398</v>
      </c>
      <c r="D4581" s="33" t="n">
        <f aca="false">WEEKDAY(A4581,2)</f>
        <v>1</v>
      </c>
      <c r="E4581" s="33" t="n">
        <f aca="false">HOUR(A4581)+MINUTE(A4581)/60</f>
        <v>19</v>
      </c>
      <c r="F4581" s="33" t="n">
        <f aca="false">IF(OR(D4581&gt;5,E4581&lt;8,E4581&gt;=18,COUNTIF($K$2:$K$10,INT(A4581))&gt;0),1,0)</f>
        <v>1</v>
      </c>
      <c r="G4581" s="34" t="n">
        <f aca="false">B4581/1</f>
        <v>202.398</v>
      </c>
      <c r="H4581" s="34" t="n">
        <f aca="false">IF(F4581=1,G4581,"")</f>
        <v>202.398</v>
      </c>
    </row>
    <row r="4582" customFormat="false" ht="15" hidden="false" customHeight="false" outlineLevel="0" collapsed="false">
      <c r="A4582" s="31" t="n">
        <v>42926.8333333333</v>
      </c>
      <c r="B4582" s="32" t="n">
        <v>194.091</v>
      </c>
      <c r="D4582" s="33" t="n">
        <f aca="false">WEEKDAY(A4582,2)</f>
        <v>1</v>
      </c>
      <c r="E4582" s="33" t="n">
        <f aca="false">HOUR(A4582)+MINUTE(A4582)/60</f>
        <v>20</v>
      </c>
      <c r="F4582" s="33" t="n">
        <f aca="false">IF(OR(D4582&gt;5,E4582&lt;8,E4582&gt;=18,COUNTIF($K$2:$K$10,INT(A4582))&gt;0),1,0)</f>
        <v>1</v>
      </c>
      <c r="G4582" s="34" t="n">
        <f aca="false">B4582/1</f>
        <v>194.091</v>
      </c>
      <c r="H4582" s="34" t="n">
        <f aca="false">IF(F4582=1,G4582,"")</f>
        <v>194.091</v>
      </c>
    </row>
    <row r="4583" customFormat="false" ht="15" hidden="false" customHeight="false" outlineLevel="0" collapsed="false">
      <c r="A4583" s="31" t="n">
        <v>42926.875</v>
      </c>
      <c r="B4583" s="32" t="n">
        <v>192.516</v>
      </c>
      <c r="D4583" s="33" t="n">
        <f aca="false">WEEKDAY(A4583,2)</f>
        <v>1</v>
      </c>
      <c r="E4583" s="33" t="n">
        <f aca="false">HOUR(A4583)+MINUTE(A4583)/60</f>
        <v>21</v>
      </c>
      <c r="F4583" s="33" t="n">
        <f aca="false">IF(OR(D4583&gt;5,E4583&lt;8,E4583&gt;=18,COUNTIF($K$2:$K$10,INT(A4583))&gt;0),1,0)</f>
        <v>1</v>
      </c>
      <c r="G4583" s="34" t="n">
        <f aca="false">B4583/1</f>
        <v>192.516</v>
      </c>
      <c r="H4583" s="34" t="n">
        <f aca="false">IF(F4583=1,G4583,"")</f>
        <v>192.516</v>
      </c>
    </row>
    <row r="4584" customFormat="false" ht="15" hidden="false" customHeight="false" outlineLevel="0" collapsed="false">
      <c r="A4584" s="31" t="n">
        <v>42926.9166666667</v>
      </c>
      <c r="B4584" s="32" t="n">
        <v>142.235</v>
      </c>
      <c r="D4584" s="33" t="n">
        <f aca="false">WEEKDAY(A4584,2)</f>
        <v>1</v>
      </c>
      <c r="E4584" s="33" t="n">
        <f aca="false">HOUR(A4584)+MINUTE(A4584)/60</f>
        <v>22</v>
      </c>
      <c r="F4584" s="33" t="n">
        <f aca="false">IF(OR(D4584&gt;5,E4584&lt;8,E4584&gt;=18,COUNTIF($K$2:$K$10,INT(A4584))&gt;0),1,0)</f>
        <v>1</v>
      </c>
      <c r="G4584" s="34" t="n">
        <f aca="false">B4584/1</f>
        <v>142.235</v>
      </c>
      <c r="H4584" s="34" t="n">
        <f aca="false">IF(F4584=1,G4584,"")</f>
        <v>142.235</v>
      </c>
    </row>
    <row r="4585" customFormat="false" ht="15" hidden="false" customHeight="false" outlineLevel="0" collapsed="false">
      <c r="A4585" s="31" t="n">
        <v>42926.9583333333</v>
      </c>
      <c r="B4585" s="32" t="n">
        <v>94.756</v>
      </c>
      <c r="D4585" s="33" t="n">
        <f aca="false">WEEKDAY(A4585,2)</f>
        <v>1</v>
      </c>
      <c r="E4585" s="33" t="n">
        <f aca="false">HOUR(A4585)+MINUTE(A4585)/60</f>
        <v>23</v>
      </c>
      <c r="F4585" s="33" t="n">
        <f aca="false">IF(OR(D4585&gt;5,E4585&lt;8,E4585&gt;=18,COUNTIF($K$2:$K$10,INT(A4585))&gt;0),1,0)</f>
        <v>1</v>
      </c>
      <c r="G4585" s="34" t="n">
        <f aca="false">B4585/1</f>
        <v>94.756</v>
      </c>
      <c r="H4585" s="34" t="n">
        <f aca="false">IF(F4585=1,G4585,"")</f>
        <v>94.756</v>
      </c>
    </row>
    <row r="4586" customFormat="false" ht="15" hidden="false" customHeight="false" outlineLevel="0" collapsed="false">
      <c r="A4586" s="31" t="n">
        <v>42927</v>
      </c>
      <c r="B4586" s="32" t="n">
        <v>94.699</v>
      </c>
      <c r="D4586" s="33" t="n">
        <f aca="false">WEEKDAY(A4586,2)</f>
        <v>2</v>
      </c>
      <c r="E4586" s="33" t="n">
        <f aca="false">HOUR(A4586)+MINUTE(A4586)/60</f>
        <v>0</v>
      </c>
      <c r="F4586" s="33" t="n">
        <f aca="false">IF(OR(D4586&gt;5,E4586&lt;8,E4586&gt;=18,COUNTIF($K$2:$K$10,INT(A4586))&gt;0),1,0)</f>
        <v>1</v>
      </c>
      <c r="G4586" s="34" t="n">
        <f aca="false">B4586/1</f>
        <v>94.699</v>
      </c>
      <c r="H4586" s="34" t="n">
        <f aca="false">IF(F4586=1,G4586,"")</f>
        <v>94.699</v>
      </c>
    </row>
    <row r="4587" customFormat="false" ht="15" hidden="false" customHeight="false" outlineLevel="0" collapsed="false">
      <c r="A4587" s="31" t="n">
        <v>42927.0416666667</v>
      </c>
      <c r="B4587" s="32" t="n">
        <v>96.536</v>
      </c>
      <c r="D4587" s="33" t="n">
        <f aca="false">WEEKDAY(A4587,2)</f>
        <v>2</v>
      </c>
      <c r="E4587" s="33" t="n">
        <f aca="false">HOUR(A4587)+MINUTE(A4587)/60</f>
        <v>1</v>
      </c>
      <c r="F4587" s="33" t="n">
        <f aca="false">IF(OR(D4587&gt;5,E4587&lt;8,E4587&gt;=18,COUNTIF($K$2:$K$10,INT(A4587))&gt;0),1,0)</f>
        <v>1</v>
      </c>
      <c r="G4587" s="34" t="n">
        <f aca="false">B4587/1</f>
        <v>96.536</v>
      </c>
      <c r="H4587" s="34" t="n">
        <f aca="false">IF(F4587=1,G4587,"")</f>
        <v>96.536</v>
      </c>
    </row>
    <row r="4588" customFormat="false" ht="15" hidden="false" customHeight="false" outlineLevel="0" collapsed="false">
      <c r="A4588" s="31" t="n">
        <v>42927.0833333333</v>
      </c>
      <c r="B4588" s="32" t="n">
        <v>116.441</v>
      </c>
      <c r="D4588" s="33" t="n">
        <f aca="false">WEEKDAY(A4588,2)</f>
        <v>2</v>
      </c>
      <c r="E4588" s="33" t="n">
        <f aca="false">HOUR(A4588)+MINUTE(A4588)/60</f>
        <v>2</v>
      </c>
      <c r="F4588" s="33" t="n">
        <f aca="false">IF(OR(D4588&gt;5,E4588&lt;8,E4588&gt;=18,COUNTIF($K$2:$K$10,INT(A4588))&gt;0),1,0)</f>
        <v>1</v>
      </c>
      <c r="G4588" s="34" t="n">
        <f aca="false">B4588/1</f>
        <v>116.441</v>
      </c>
      <c r="H4588" s="34" t="n">
        <f aca="false">IF(F4588=1,G4588,"")</f>
        <v>116.441</v>
      </c>
    </row>
    <row r="4589" customFormat="false" ht="15" hidden="false" customHeight="false" outlineLevel="0" collapsed="false">
      <c r="A4589" s="31" t="n">
        <v>42927.125</v>
      </c>
      <c r="B4589" s="32" t="n">
        <v>127.275</v>
      </c>
      <c r="D4589" s="33" t="n">
        <f aca="false">WEEKDAY(A4589,2)</f>
        <v>2</v>
      </c>
      <c r="E4589" s="33" t="n">
        <f aca="false">HOUR(A4589)+MINUTE(A4589)/60</f>
        <v>3</v>
      </c>
      <c r="F4589" s="33" t="n">
        <f aca="false">IF(OR(D4589&gt;5,E4589&lt;8,E4589&gt;=18,COUNTIF($K$2:$K$10,INT(A4589))&gt;0),1,0)</f>
        <v>1</v>
      </c>
      <c r="G4589" s="34" t="n">
        <f aca="false">B4589/1</f>
        <v>127.275</v>
      </c>
      <c r="H4589" s="34" t="n">
        <f aca="false">IF(F4589=1,G4589,"")</f>
        <v>127.275</v>
      </c>
    </row>
    <row r="4590" customFormat="false" ht="15" hidden="false" customHeight="false" outlineLevel="0" collapsed="false">
      <c r="A4590" s="31" t="n">
        <v>42927.1666666667</v>
      </c>
      <c r="B4590" s="32" t="n">
        <v>128.178</v>
      </c>
      <c r="D4590" s="33" t="n">
        <f aca="false">WEEKDAY(A4590,2)</f>
        <v>2</v>
      </c>
      <c r="E4590" s="33" t="n">
        <f aca="false">HOUR(A4590)+MINUTE(A4590)/60</f>
        <v>4</v>
      </c>
      <c r="F4590" s="33" t="n">
        <f aca="false">IF(OR(D4590&gt;5,E4590&lt;8,E4590&gt;=18,COUNTIF($K$2:$K$10,INT(A4590))&gt;0),1,0)</f>
        <v>1</v>
      </c>
      <c r="G4590" s="34" t="n">
        <f aca="false">B4590/1</f>
        <v>128.178</v>
      </c>
      <c r="H4590" s="34" t="n">
        <f aca="false">IF(F4590=1,G4590,"")</f>
        <v>128.178</v>
      </c>
    </row>
    <row r="4591" customFormat="false" ht="15" hidden="false" customHeight="false" outlineLevel="0" collapsed="false">
      <c r="A4591" s="31" t="n">
        <v>42927.2083333333</v>
      </c>
      <c r="B4591" s="32" t="n">
        <v>127.591</v>
      </c>
      <c r="D4591" s="33" t="n">
        <f aca="false">WEEKDAY(A4591,2)</f>
        <v>2</v>
      </c>
      <c r="E4591" s="33" t="n">
        <f aca="false">HOUR(A4591)+MINUTE(A4591)/60</f>
        <v>5</v>
      </c>
      <c r="F4591" s="33" t="n">
        <f aca="false">IF(OR(D4591&gt;5,E4591&lt;8,E4591&gt;=18,COUNTIF($K$2:$K$10,INT(A4591))&gt;0),1,0)</f>
        <v>1</v>
      </c>
      <c r="G4591" s="34" t="n">
        <f aca="false">B4591/1</f>
        <v>127.591</v>
      </c>
      <c r="H4591" s="34" t="n">
        <f aca="false">IF(F4591=1,G4591,"")</f>
        <v>127.591</v>
      </c>
    </row>
    <row r="4592" customFormat="false" ht="15" hidden="false" customHeight="false" outlineLevel="0" collapsed="false">
      <c r="A4592" s="31" t="n">
        <v>42927.25</v>
      </c>
      <c r="B4592" s="32" t="n">
        <v>108.563</v>
      </c>
      <c r="D4592" s="33" t="n">
        <f aca="false">WEEKDAY(A4592,2)</f>
        <v>2</v>
      </c>
      <c r="E4592" s="33" t="n">
        <f aca="false">HOUR(A4592)+MINUTE(A4592)/60</f>
        <v>6</v>
      </c>
      <c r="F4592" s="33" t="n">
        <f aca="false">IF(OR(D4592&gt;5,E4592&lt;8,E4592&gt;=18,COUNTIF($K$2:$K$10,INT(A4592))&gt;0),1,0)</f>
        <v>1</v>
      </c>
      <c r="G4592" s="34" t="n">
        <f aca="false">B4592/1</f>
        <v>108.563</v>
      </c>
      <c r="H4592" s="34" t="n">
        <f aca="false">IF(F4592=1,G4592,"")</f>
        <v>108.563</v>
      </c>
    </row>
    <row r="4593" customFormat="false" ht="15" hidden="false" customHeight="false" outlineLevel="0" collapsed="false">
      <c r="A4593" s="31" t="n">
        <v>42927.2916666667</v>
      </c>
      <c r="B4593" s="32" t="n">
        <v>81.696</v>
      </c>
      <c r="D4593" s="33" t="n">
        <f aca="false">WEEKDAY(A4593,2)</f>
        <v>2</v>
      </c>
      <c r="E4593" s="33" t="n">
        <f aca="false">HOUR(A4593)+MINUTE(A4593)/60</f>
        <v>7</v>
      </c>
      <c r="F4593" s="33" t="n">
        <f aca="false">IF(OR(D4593&gt;5,E4593&lt;8,E4593&gt;=18,COUNTIF($K$2:$K$10,INT(A4593))&gt;0),1,0)</f>
        <v>1</v>
      </c>
      <c r="G4593" s="34" t="n">
        <f aca="false">B4593/1</f>
        <v>81.696</v>
      </c>
      <c r="H4593" s="34" t="n">
        <f aca="false">IF(F4593=1,G4593,"")</f>
        <v>81.696</v>
      </c>
    </row>
    <row r="4594" customFormat="false" ht="15" hidden="false" customHeight="false" outlineLevel="0" collapsed="false">
      <c r="A4594" s="31" t="n">
        <v>42927.3333333333</v>
      </c>
      <c r="B4594" s="32" t="n">
        <v>190.853</v>
      </c>
      <c r="D4594" s="33" t="n">
        <f aca="false">WEEKDAY(A4594,2)</f>
        <v>2</v>
      </c>
      <c r="E4594" s="33" t="n">
        <f aca="false">HOUR(A4594)+MINUTE(A4594)/60</f>
        <v>8</v>
      </c>
      <c r="F4594" s="33" t="n">
        <f aca="false">IF(OR(D4594&gt;5,E4594&lt;8,E4594&gt;=18,COUNTIF($K$2:$K$10,INT(A4594))&gt;0),1,0)</f>
        <v>0</v>
      </c>
      <c r="G4594" s="34" t="n">
        <f aca="false">B4594/1</f>
        <v>190.853</v>
      </c>
      <c r="H4594" s="34" t="str">
        <f aca="false">IF(F4594=1,G4594,"")</f>
        <v/>
      </c>
    </row>
    <row r="4595" customFormat="false" ht="15" hidden="false" customHeight="false" outlineLevel="0" collapsed="false">
      <c r="A4595" s="31" t="n">
        <v>42927.375</v>
      </c>
      <c r="B4595" s="32" t="n">
        <v>220.059</v>
      </c>
      <c r="D4595" s="33" t="n">
        <f aca="false">WEEKDAY(A4595,2)</f>
        <v>2</v>
      </c>
      <c r="E4595" s="33" t="n">
        <f aca="false">HOUR(A4595)+MINUTE(A4595)/60</f>
        <v>9</v>
      </c>
      <c r="F4595" s="33" t="n">
        <f aca="false">IF(OR(D4595&gt;5,E4595&lt;8,E4595&gt;=18,COUNTIF($K$2:$K$10,INT(A4595))&gt;0),1,0)</f>
        <v>0</v>
      </c>
      <c r="G4595" s="34" t="n">
        <f aca="false">B4595/1</f>
        <v>220.059</v>
      </c>
      <c r="H4595" s="34" t="str">
        <f aca="false">IF(F4595=1,G4595,"")</f>
        <v/>
      </c>
    </row>
    <row r="4596" customFormat="false" ht="15" hidden="false" customHeight="false" outlineLevel="0" collapsed="false">
      <c r="A4596" s="31" t="n">
        <v>42927.4166666667</v>
      </c>
      <c r="B4596" s="32" t="n">
        <v>234.625</v>
      </c>
      <c r="D4596" s="33" t="n">
        <f aca="false">WEEKDAY(A4596,2)</f>
        <v>2</v>
      </c>
      <c r="E4596" s="33" t="n">
        <f aca="false">HOUR(A4596)+MINUTE(A4596)/60</f>
        <v>10</v>
      </c>
      <c r="F4596" s="33" t="n">
        <f aca="false">IF(OR(D4596&gt;5,E4596&lt;8,E4596&gt;=18,COUNTIF($K$2:$K$10,INT(A4596))&gt;0),1,0)</f>
        <v>0</v>
      </c>
      <c r="G4596" s="34" t="n">
        <f aca="false">B4596/1</f>
        <v>234.625</v>
      </c>
      <c r="H4596" s="34" t="str">
        <f aca="false">IF(F4596=1,G4596,"")</f>
        <v/>
      </c>
    </row>
    <row r="4597" customFormat="false" ht="15" hidden="false" customHeight="false" outlineLevel="0" collapsed="false">
      <c r="A4597" s="31" t="n">
        <v>42927.4583333333</v>
      </c>
      <c r="B4597" s="32" t="n">
        <v>237.196</v>
      </c>
      <c r="D4597" s="33" t="n">
        <f aca="false">WEEKDAY(A4597,2)</f>
        <v>2</v>
      </c>
      <c r="E4597" s="33" t="n">
        <f aca="false">HOUR(A4597)+MINUTE(A4597)/60</f>
        <v>11</v>
      </c>
      <c r="F4597" s="33" t="n">
        <f aca="false">IF(OR(D4597&gt;5,E4597&lt;8,E4597&gt;=18,COUNTIF($K$2:$K$10,INT(A4597))&gt;0),1,0)</f>
        <v>0</v>
      </c>
      <c r="G4597" s="34" t="n">
        <f aca="false">B4597/1</f>
        <v>237.196</v>
      </c>
      <c r="H4597" s="34" t="str">
        <f aca="false">IF(F4597=1,G4597,"")</f>
        <v/>
      </c>
    </row>
    <row r="4598" customFormat="false" ht="15" hidden="false" customHeight="false" outlineLevel="0" collapsed="false">
      <c r="A4598" s="31" t="n">
        <v>42927.5</v>
      </c>
      <c r="B4598" s="32" t="n">
        <v>239.002</v>
      </c>
      <c r="D4598" s="33" t="n">
        <f aca="false">WEEKDAY(A4598,2)</f>
        <v>2</v>
      </c>
      <c r="E4598" s="33" t="n">
        <f aca="false">HOUR(A4598)+MINUTE(A4598)/60</f>
        <v>12</v>
      </c>
      <c r="F4598" s="33" t="n">
        <f aca="false">IF(OR(D4598&gt;5,E4598&lt;8,E4598&gt;=18,COUNTIF($K$2:$K$10,INT(A4598))&gt;0),1,0)</f>
        <v>0</v>
      </c>
      <c r="G4598" s="34" t="n">
        <f aca="false">B4598/1</f>
        <v>239.002</v>
      </c>
      <c r="H4598" s="34" t="str">
        <f aca="false">IF(F4598=1,G4598,"")</f>
        <v/>
      </c>
    </row>
    <row r="4599" customFormat="false" ht="15" hidden="false" customHeight="false" outlineLevel="0" collapsed="false">
      <c r="A4599" s="31" t="n">
        <v>42927.5416666667</v>
      </c>
      <c r="B4599" s="32" t="n">
        <v>235.037</v>
      </c>
      <c r="D4599" s="33" t="n">
        <f aca="false">WEEKDAY(A4599,2)</f>
        <v>2</v>
      </c>
      <c r="E4599" s="33" t="n">
        <f aca="false">HOUR(A4599)+MINUTE(A4599)/60</f>
        <v>13</v>
      </c>
      <c r="F4599" s="33" t="n">
        <f aca="false">IF(OR(D4599&gt;5,E4599&lt;8,E4599&gt;=18,COUNTIF($K$2:$K$10,INT(A4599))&gt;0),1,0)</f>
        <v>0</v>
      </c>
      <c r="G4599" s="34" t="n">
        <f aca="false">B4599/1</f>
        <v>235.037</v>
      </c>
      <c r="H4599" s="34" t="str">
        <f aca="false">IF(F4599=1,G4599,"")</f>
        <v/>
      </c>
    </row>
    <row r="4600" customFormat="false" ht="15" hidden="false" customHeight="false" outlineLevel="0" collapsed="false">
      <c r="A4600" s="31" t="n">
        <v>42927.5833333333</v>
      </c>
      <c r="B4600" s="32" t="n">
        <v>238.013</v>
      </c>
      <c r="D4600" s="33" t="n">
        <f aca="false">WEEKDAY(A4600,2)</f>
        <v>2</v>
      </c>
      <c r="E4600" s="33" t="n">
        <f aca="false">HOUR(A4600)+MINUTE(A4600)/60</f>
        <v>14</v>
      </c>
      <c r="F4600" s="33" t="n">
        <f aca="false">IF(OR(D4600&gt;5,E4600&lt;8,E4600&gt;=18,COUNTIF($K$2:$K$10,INT(A4600))&gt;0),1,0)</f>
        <v>0</v>
      </c>
      <c r="G4600" s="34" t="n">
        <f aca="false">B4600/1</f>
        <v>238.013</v>
      </c>
      <c r="H4600" s="34" t="str">
        <f aca="false">IF(F4600=1,G4600,"")</f>
        <v/>
      </c>
    </row>
    <row r="4601" customFormat="false" ht="15" hidden="false" customHeight="false" outlineLevel="0" collapsed="false">
      <c r="A4601" s="31" t="n">
        <v>42927.625</v>
      </c>
      <c r="B4601" s="32" t="n">
        <v>236.411</v>
      </c>
      <c r="D4601" s="33" t="n">
        <f aca="false">WEEKDAY(A4601,2)</f>
        <v>2</v>
      </c>
      <c r="E4601" s="33" t="n">
        <f aca="false">HOUR(A4601)+MINUTE(A4601)/60</f>
        <v>15</v>
      </c>
      <c r="F4601" s="33" t="n">
        <f aca="false">IF(OR(D4601&gt;5,E4601&lt;8,E4601&gt;=18,COUNTIF($K$2:$K$10,INT(A4601))&gt;0),1,0)</f>
        <v>0</v>
      </c>
      <c r="G4601" s="34" t="n">
        <f aca="false">B4601/1</f>
        <v>236.411</v>
      </c>
      <c r="H4601" s="34" t="str">
        <f aca="false">IF(F4601=1,G4601,"")</f>
        <v/>
      </c>
    </row>
    <row r="4602" customFormat="false" ht="15" hidden="false" customHeight="false" outlineLevel="0" collapsed="false">
      <c r="A4602" s="31" t="n">
        <v>42927.6666666667</v>
      </c>
      <c r="B4602" s="32" t="n">
        <v>230.802</v>
      </c>
      <c r="D4602" s="33" t="n">
        <f aca="false">WEEKDAY(A4602,2)</f>
        <v>2</v>
      </c>
      <c r="E4602" s="33" t="n">
        <f aca="false">HOUR(A4602)+MINUTE(A4602)/60</f>
        <v>16</v>
      </c>
      <c r="F4602" s="33" t="n">
        <f aca="false">IF(OR(D4602&gt;5,E4602&lt;8,E4602&gt;=18,COUNTIF($K$2:$K$10,INT(A4602))&gt;0),1,0)</f>
        <v>0</v>
      </c>
      <c r="G4602" s="34" t="n">
        <f aca="false">B4602/1</f>
        <v>230.802</v>
      </c>
      <c r="H4602" s="34" t="str">
        <f aca="false">IF(F4602=1,G4602,"")</f>
        <v/>
      </c>
    </row>
    <row r="4603" customFormat="false" ht="15" hidden="false" customHeight="false" outlineLevel="0" collapsed="false">
      <c r="A4603" s="31" t="n">
        <v>42927.7083333333</v>
      </c>
      <c r="B4603" s="32" t="n">
        <v>220.233</v>
      </c>
      <c r="D4603" s="33" t="n">
        <f aca="false">WEEKDAY(A4603,2)</f>
        <v>2</v>
      </c>
      <c r="E4603" s="33" t="n">
        <f aca="false">HOUR(A4603)+MINUTE(A4603)/60</f>
        <v>17</v>
      </c>
      <c r="F4603" s="33" t="n">
        <f aca="false">IF(OR(D4603&gt;5,E4603&lt;8,E4603&gt;=18,COUNTIF($K$2:$K$10,INT(A4603))&gt;0),1,0)</f>
        <v>0</v>
      </c>
      <c r="G4603" s="34" t="n">
        <f aca="false">B4603/1</f>
        <v>220.233</v>
      </c>
      <c r="H4603" s="34" t="str">
        <f aca="false">IF(F4603=1,G4603,"")</f>
        <v/>
      </c>
    </row>
    <row r="4604" customFormat="false" ht="15" hidden="false" customHeight="false" outlineLevel="0" collapsed="false">
      <c r="A4604" s="31" t="n">
        <v>42927.75</v>
      </c>
      <c r="B4604" s="32" t="n">
        <v>207.312</v>
      </c>
      <c r="D4604" s="33" t="n">
        <f aca="false">WEEKDAY(A4604,2)</f>
        <v>2</v>
      </c>
      <c r="E4604" s="33" t="n">
        <f aca="false">HOUR(A4604)+MINUTE(A4604)/60</f>
        <v>18</v>
      </c>
      <c r="F4604" s="33" t="n">
        <f aca="false">IF(OR(D4604&gt;5,E4604&lt;8,E4604&gt;=18,COUNTIF($K$2:$K$10,INT(A4604))&gt;0),1,0)</f>
        <v>1</v>
      </c>
      <c r="G4604" s="34" t="n">
        <f aca="false">B4604/1</f>
        <v>207.312</v>
      </c>
      <c r="H4604" s="34" t="n">
        <f aca="false">IF(F4604=1,G4604,"")</f>
        <v>207.312</v>
      </c>
    </row>
    <row r="4605" customFormat="false" ht="15" hidden="false" customHeight="false" outlineLevel="0" collapsed="false">
      <c r="A4605" s="31" t="n">
        <v>42927.7916666667</v>
      </c>
      <c r="B4605" s="32" t="n">
        <v>202.143</v>
      </c>
      <c r="D4605" s="33" t="n">
        <f aca="false">WEEKDAY(A4605,2)</f>
        <v>2</v>
      </c>
      <c r="E4605" s="33" t="n">
        <f aca="false">HOUR(A4605)+MINUTE(A4605)/60</f>
        <v>19</v>
      </c>
      <c r="F4605" s="33" t="n">
        <f aca="false">IF(OR(D4605&gt;5,E4605&lt;8,E4605&gt;=18,COUNTIF($K$2:$K$10,INT(A4605))&gt;0),1,0)</f>
        <v>1</v>
      </c>
      <c r="G4605" s="34" t="n">
        <f aca="false">B4605/1</f>
        <v>202.143</v>
      </c>
      <c r="H4605" s="34" t="n">
        <f aca="false">IF(F4605=1,G4605,"")</f>
        <v>202.143</v>
      </c>
    </row>
    <row r="4606" customFormat="false" ht="15" hidden="false" customHeight="false" outlineLevel="0" collapsed="false">
      <c r="A4606" s="31" t="n">
        <v>42927.8333333333</v>
      </c>
      <c r="B4606" s="32" t="n">
        <v>199.235</v>
      </c>
      <c r="D4606" s="33" t="n">
        <f aca="false">WEEKDAY(A4606,2)</f>
        <v>2</v>
      </c>
      <c r="E4606" s="33" t="n">
        <f aca="false">HOUR(A4606)+MINUTE(A4606)/60</f>
        <v>20</v>
      </c>
      <c r="F4606" s="33" t="n">
        <f aca="false">IF(OR(D4606&gt;5,E4606&lt;8,E4606&gt;=18,COUNTIF($K$2:$K$10,INT(A4606))&gt;0),1,0)</f>
        <v>1</v>
      </c>
      <c r="G4606" s="34" t="n">
        <f aca="false">B4606/1</f>
        <v>199.235</v>
      </c>
      <c r="H4606" s="34" t="n">
        <f aca="false">IF(F4606=1,G4606,"")</f>
        <v>199.235</v>
      </c>
    </row>
    <row r="4607" customFormat="false" ht="15" hidden="false" customHeight="false" outlineLevel="0" collapsed="false">
      <c r="A4607" s="31" t="n">
        <v>42927.875</v>
      </c>
      <c r="B4607" s="32" t="n">
        <v>196.663</v>
      </c>
      <c r="D4607" s="33" t="n">
        <f aca="false">WEEKDAY(A4607,2)</f>
        <v>2</v>
      </c>
      <c r="E4607" s="33" t="n">
        <f aca="false">HOUR(A4607)+MINUTE(A4607)/60</f>
        <v>21</v>
      </c>
      <c r="F4607" s="33" t="n">
        <f aca="false">IF(OR(D4607&gt;5,E4607&lt;8,E4607&gt;=18,COUNTIF($K$2:$K$10,INT(A4607))&gt;0),1,0)</f>
        <v>1</v>
      </c>
      <c r="G4607" s="34" t="n">
        <f aca="false">B4607/1</f>
        <v>196.663</v>
      </c>
      <c r="H4607" s="34" t="n">
        <f aca="false">IF(F4607=1,G4607,"")</f>
        <v>196.663</v>
      </c>
    </row>
    <row r="4608" customFormat="false" ht="15" hidden="false" customHeight="false" outlineLevel="0" collapsed="false">
      <c r="A4608" s="31" t="n">
        <v>42927.9166666667</v>
      </c>
      <c r="B4608" s="32" t="n">
        <v>197.214</v>
      </c>
      <c r="D4608" s="33" t="n">
        <f aca="false">WEEKDAY(A4608,2)</f>
        <v>2</v>
      </c>
      <c r="E4608" s="33" t="n">
        <f aca="false">HOUR(A4608)+MINUTE(A4608)/60</f>
        <v>22</v>
      </c>
      <c r="F4608" s="33" t="n">
        <f aca="false">IF(OR(D4608&gt;5,E4608&lt;8,E4608&gt;=18,COUNTIF($K$2:$K$10,INT(A4608))&gt;0),1,0)</f>
        <v>1</v>
      </c>
      <c r="G4608" s="34" t="n">
        <f aca="false">B4608/1</f>
        <v>197.214</v>
      </c>
      <c r="H4608" s="34" t="n">
        <f aca="false">IF(F4608=1,G4608,"")</f>
        <v>197.214</v>
      </c>
    </row>
    <row r="4609" customFormat="false" ht="15" hidden="false" customHeight="false" outlineLevel="0" collapsed="false">
      <c r="A4609" s="31" t="n">
        <v>42927.9583333333</v>
      </c>
      <c r="B4609" s="32" t="n">
        <v>194.795</v>
      </c>
      <c r="D4609" s="33" t="n">
        <f aca="false">WEEKDAY(A4609,2)</f>
        <v>2</v>
      </c>
      <c r="E4609" s="33" t="n">
        <f aca="false">HOUR(A4609)+MINUTE(A4609)/60</f>
        <v>23</v>
      </c>
      <c r="F4609" s="33" t="n">
        <f aca="false">IF(OR(D4609&gt;5,E4609&lt;8,E4609&gt;=18,COUNTIF($K$2:$K$10,INT(A4609))&gt;0),1,0)</f>
        <v>1</v>
      </c>
      <c r="G4609" s="34" t="n">
        <f aca="false">B4609/1</f>
        <v>194.795</v>
      </c>
      <c r="H4609" s="34" t="n">
        <f aca="false">IF(F4609=1,G4609,"")</f>
        <v>194.795</v>
      </c>
    </row>
    <row r="4610" customFormat="false" ht="15" hidden="false" customHeight="false" outlineLevel="0" collapsed="false">
      <c r="A4610" s="31" t="n">
        <v>42928</v>
      </c>
      <c r="B4610" s="32" t="n">
        <v>196.501</v>
      </c>
      <c r="D4610" s="33" t="n">
        <f aca="false">WEEKDAY(A4610,2)</f>
        <v>3</v>
      </c>
      <c r="E4610" s="33" t="n">
        <f aca="false">HOUR(A4610)+MINUTE(A4610)/60</f>
        <v>0</v>
      </c>
      <c r="F4610" s="33" t="n">
        <f aca="false">IF(OR(D4610&gt;5,E4610&lt;8,E4610&gt;=18,COUNTIF($K$2:$K$10,INT(A4610))&gt;0),1,0)</f>
        <v>1</v>
      </c>
      <c r="G4610" s="34" t="n">
        <f aca="false">B4610/1</f>
        <v>196.501</v>
      </c>
      <c r="H4610" s="34" t="n">
        <f aca="false">IF(F4610=1,G4610,"")</f>
        <v>196.501</v>
      </c>
    </row>
    <row r="4611" customFormat="false" ht="15" hidden="false" customHeight="false" outlineLevel="0" collapsed="false">
      <c r="A4611" s="31" t="n">
        <v>42928.0416666667</v>
      </c>
      <c r="B4611" s="32" t="n">
        <v>196.026</v>
      </c>
      <c r="D4611" s="33" t="n">
        <f aca="false">WEEKDAY(A4611,2)</f>
        <v>3</v>
      </c>
      <c r="E4611" s="33" t="n">
        <f aca="false">HOUR(A4611)+MINUTE(A4611)/60</f>
        <v>1</v>
      </c>
      <c r="F4611" s="33" t="n">
        <f aca="false">IF(OR(D4611&gt;5,E4611&lt;8,E4611&gt;=18,COUNTIF($K$2:$K$10,INT(A4611))&gt;0),1,0)</f>
        <v>1</v>
      </c>
      <c r="G4611" s="34" t="n">
        <f aca="false">B4611/1</f>
        <v>196.026</v>
      </c>
      <c r="H4611" s="34" t="n">
        <f aca="false">IF(F4611=1,G4611,"")</f>
        <v>196.026</v>
      </c>
    </row>
    <row r="4612" customFormat="false" ht="15" hidden="false" customHeight="false" outlineLevel="0" collapsed="false">
      <c r="A4612" s="31" t="n">
        <v>42928.0833333333</v>
      </c>
      <c r="B4612" s="32" t="n">
        <v>194.439</v>
      </c>
      <c r="D4612" s="33" t="n">
        <f aca="false">WEEKDAY(A4612,2)</f>
        <v>3</v>
      </c>
      <c r="E4612" s="33" t="n">
        <f aca="false">HOUR(A4612)+MINUTE(A4612)/60</f>
        <v>2</v>
      </c>
      <c r="F4612" s="33" t="n">
        <f aca="false">IF(OR(D4612&gt;5,E4612&lt;8,E4612&gt;=18,COUNTIF($K$2:$K$10,INT(A4612))&gt;0),1,0)</f>
        <v>1</v>
      </c>
      <c r="G4612" s="34" t="n">
        <f aca="false">B4612/1</f>
        <v>194.439</v>
      </c>
      <c r="H4612" s="34" t="n">
        <f aca="false">IF(F4612=1,G4612,"")</f>
        <v>194.439</v>
      </c>
    </row>
    <row r="4613" customFormat="false" ht="15" hidden="false" customHeight="false" outlineLevel="0" collapsed="false">
      <c r="A4613" s="31" t="n">
        <v>42928.125</v>
      </c>
      <c r="B4613" s="32" t="n">
        <v>182.256</v>
      </c>
      <c r="D4613" s="33" t="n">
        <f aca="false">WEEKDAY(A4613,2)</f>
        <v>3</v>
      </c>
      <c r="E4613" s="33" t="n">
        <f aca="false">HOUR(A4613)+MINUTE(A4613)/60</f>
        <v>3</v>
      </c>
      <c r="F4613" s="33" t="n">
        <f aca="false">IF(OR(D4613&gt;5,E4613&lt;8,E4613&gt;=18,COUNTIF($K$2:$K$10,INT(A4613))&gt;0),1,0)</f>
        <v>1</v>
      </c>
      <c r="G4613" s="34" t="n">
        <f aca="false">B4613/1</f>
        <v>182.256</v>
      </c>
      <c r="H4613" s="34" t="n">
        <f aca="false">IF(F4613=1,G4613,"")</f>
        <v>182.256</v>
      </c>
    </row>
    <row r="4614" customFormat="false" ht="15" hidden="false" customHeight="false" outlineLevel="0" collapsed="false">
      <c r="A4614" s="31" t="n">
        <v>42928.1666666667</v>
      </c>
      <c r="B4614" s="32" t="n">
        <v>93.495</v>
      </c>
      <c r="D4614" s="33" t="n">
        <f aca="false">WEEKDAY(A4614,2)</f>
        <v>3</v>
      </c>
      <c r="E4614" s="33" t="n">
        <f aca="false">HOUR(A4614)+MINUTE(A4614)/60</f>
        <v>4</v>
      </c>
      <c r="F4614" s="33" t="n">
        <f aca="false">IF(OR(D4614&gt;5,E4614&lt;8,E4614&gt;=18,COUNTIF($K$2:$K$10,INT(A4614))&gt;0),1,0)</f>
        <v>1</v>
      </c>
      <c r="G4614" s="34" t="n">
        <f aca="false">B4614/1</f>
        <v>93.495</v>
      </c>
      <c r="H4614" s="34" t="n">
        <f aca="false">IF(F4614=1,G4614,"")</f>
        <v>93.495</v>
      </c>
    </row>
    <row r="4615" customFormat="false" ht="15" hidden="false" customHeight="false" outlineLevel="0" collapsed="false">
      <c r="A4615" s="31" t="n">
        <v>42928.2083333333</v>
      </c>
      <c r="B4615" s="32" t="n">
        <v>115.055</v>
      </c>
      <c r="D4615" s="33" t="n">
        <f aca="false">WEEKDAY(A4615,2)</f>
        <v>3</v>
      </c>
      <c r="E4615" s="33" t="n">
        <f aca="false">HOUR(A4615)+MINUTE(A4615)/60</f>
        <v>5</v>
      </c>
      <c r="F4615" s="33" t="n">
        <f aca="false">IF(OR(D4615&gt;5,E4615&lt;8,E4615&gt;=18,COUNTIF($K$2:$K$10,INT(A4615))&gt;0),1,0)</f>
        <v>1</v>
      </c>
      <c r="G4615" s="34" t="n">
        <f aca="false">B4615/1</f>
        <v>115.055</v>
      </c>
      <c r="H4615" s="34" t="n">
        <f aca="false">IF(F4615=1,G4615,"")</f>
        <v>115.055</v>
      </c>
    </row>
    <row r="4616" customFormat="false" ht="15" hidden="false" customHeight="false" outlineLevel="0" collapsed="false">
      <c r="A4616" s="31" t="n">
        <v>42928.25</v>
      </c>
      <c r="B4616" s="32" t="n">
        <v>114.571</v>
      </c>
      <c r="D4616" s="33" t="n">
        <f aca="false">WEEKDAY(A4616,2)</f>
        <v>3</v>
      </c>
      <c r="E4616" s="33" t="n">
        <f aca="false">HOUR(A4616)+MINUTE(A4616)/60</f>
        <v>6</v>
      </c>
      <c r="F4616" s="33" t="n">
        <f aca="false">IF(OR(D4616&gt;5,E4616&lt;8,E4616&gt;=18,COUNTIF($K$2:$K$10,INT(A4616))&gt;0),1,0)</f>
        <v>1</v>
      </c>
      <c r="G4616" s="34" t="n">
        <f aca="false">B4616/1</f>
        <v>114.571</v>
      </c>
      <c r="H4616" s="34" t="n">
        <f aca="false">IF(F4616=1,G4616,"")</f>
        <v>114.571</v>
      </c>
    </row>
    <row r="4617" customFormat="false" ht="15" hidden="false" customHeight="false" outlineLevel="0" collapsed="false">
      <c r="A4617" s="31" t="n">
        <v>42928.2916666667</v>
      </c>
      <c r="B4617" s="32" t="n">
        <v>86.15</v>
      </c>
      <c r="D4617" s="33" t="n">
        <f aca="false">WEEKDAY(A4617,2)</f>
        <v>3</v>
      </c>
      <c r="E4617" s="33" t="n">
        <f aca="false">HOUR(A4617)+MINUTE(A4617)/60</f>
        <v>7</v>
      </c>
      <c r="F4617" s="33" t="n">
        <f aca="false">IF(OR(D4617&gt;5,E4617&lt;8,E4617&gt;=18,COUNTIF($K$2:$K$10,INT(A4617))&gt;0),1,0)</f>
        <v>1</v>
      </c>
      <c r="G4617" s="34" t="n">
        <f aca="false">B4617/1</f>
        <v>86.15</v>
      </c>
      <c r="H4617" s="34" t="n">
        <f aca="false">IF(F4617=1,G4617,"")</f>
        <v>86.15</v>
      </c>
    </row>
    <row r="4618" customFormat="false" ht="15" hidden="false" customHeight="false" outlineLevel="0" collapsed="false">
      <c r="A4618" s="31" t="n">
        <v>42928.3333333333</v>
      </c>
      <c r="B4618" s="32" t="n">
        <v>206.983</v>
      </c>
      <c r="D4618" s="33" t="n">
        <f aca="false">WEEKDAY(A4618,2)</f>
        <v>3</v>
      </c>
      <c r="E4618" s="33" t="n">
        <f aca="false">HOUR(A4618)+MINUTE(A4618)/60</f>
        <v>8</v>
      </c>
      <c r="F4618" s="33" t="n">
        <f aca="false">IF(OR(D4618&gt;5,E4618&lt;8,E4618&gt;=18,COUNTIF($K$2:$K$10,INT(A4618))&gt;0),1,0)</f>
        <v>0</v>
      </c>
      <c r="G4618" s="34" t="n">
        <f aca="false">B4618/1</f>
        <v>206.983</v>
      </c>
      <c r="H4618" s="34" t="str">
        <f aca="false">IF(F4618=1,G4618,"")</f>
        <v/>
      </c>
    </row>
    <row r="4619" customFormat="false" ht="15" hidden="false" customHeight="false" outlineLevel="0" collapsed="false">
      <c r="A4619" s="31" t="n">
        <v>42928.375</v>
      </c>
      <c r="B4619" s="32" t="n">
        <v>206.975</v>
      </c>
      <c r="D4619" s="33" t="n">
        <f aca="false">WEEKDAY(A4619,2)</f>
        <v>3</v>
      </c>
      <c r="E4619" s="33" t="n">
        <f aca="false">HOUR(A4619)+MINUTE(A4619)/60</f>
        <v>9</v>
      </c>
      <c r="F4619" s="33" t="n">
        <f aca="false">IF(OR(D4619&gt;5,E4619&lt;8,E4619&gt;=18,COUNTIF($K$2:$K$10,INT(A4619))&gt;0),1,0)</f>
        <v>0</v>
      </c>
      <c r="G4619" s="34" t="n">
        <f aca="false">B4619/1</f>
        <v>206.975</v>
      </c>
      <c r="H4619" s="34" t="str">
        <f aca="false">IF(F4619=1,G4619,"")</f>
        <v/>
      </c>
    </row>
    <row r="4620" customFormat="false" ht="15" hidden="false" customHeight="false" outlineLevel="0" collapsed="false">
      <c r="A4620" s="31" t="n">
        <v>42928.4166666667</v>
      </c>
      <c r="B4620" s="32" t="n">
        <v>240.669</v>
      </c>
      <c r="D4620" s="33" t="n">
        <f aca="false">WEEKDAY(A4620,2)</f>
        <v>3</v>
      </c>
      <c r="E4620" s="33" t="n">
        <f aca="false">HOUR(A4620)+MINUTE(A4620)/60</f>
        <v>10</v>
      </c>
      <c r="F4620" s="33" t="n">
        <f aca="false">IF(OR(D4620&gt;5,E4620&lt;8,E4620&gt;=18,COUNTIF($K$2:$K$10,INT(A4620))&gt;0),1,0)</f>
        <v>0</v>
      </c>
      <c r="G4620" s="34" t="n">
        <f aca="false">B4620/1</f>
        <v>240.669</v>
      </c>
      <c r="H4620" s="34" t="str">
        <f aca="false">IF(F4620=1,G4620,"")</f>
        <v/>
      </c>
    </row>
    <row r="4621" customFormat="false" ht="15" hidden="false" customHeight="false" outlineLevel="0" collapsed="false">
      <c r="A4621" s="31" t="n">
        <v>42928.4583333333</v>
      </c>
      <c r="B4621" s="32" t="n">
        <v>246.415</v>
      </c>
      <c r="D4621" s="33" t="n">
        <f aca="false">WEEKDAY(A4621,2)</f>
        <v>3</v>
      </c>
      <c r="E4621" s="33" t="n">
        <f aca="false">HOUR(A4621)+MINUTE(A4621)/60</f>
        <v>11</v>
      </c>
      <c r="F4621" s="33" t="n">
        <f aca="false">IF(OR(D4621&gt;5,E4621&lt;8,E4621&gt;=18,COUNTIF($K$2:$K$10,INT(A4621))&gt;0),1,0)</f>
        <v>0</v>
      </c>
      <c r="G4621" s="34" t="n">
        <f aca="false">B4621/1</f>
        <v>246.415</v>
      </c>
      <c r="H4621" s="34" t="str">
        <f aca="false">IF(F4621=1,G4621,"")</f>
        <v/>
      </c>
    </row>
    <row r="4622" customFormat="false" ht="15" hidden="false" customHeight="false" outlineLevel="0" collapsed="false">
      <c r="A4622" s="31" t="n">
        <v>42928.5</v>
      </c>
      <c r="B4622" s="32" t="n">
        <v>261.79</v>
      </c>
      <c r="D4622" s="33" t="n">
        <f aca="false">WEEKDAY(A4622,2)</f>
        <v>3</v>
      </c>
      <c r="E4622" s="33" t="n">
        <f aca="false">HOUR(A4622)+MINUTE(A4622)/60</f>
        <v>12</v>
      </c>
      <c r="F4622" s="33" t="n">
        <f aca="false">IF(OR(D4622&gt;5,E4622&lt;8,E4622&gt;=18,COUNTIF($K$2:$K$10,INT(A4622))&gt;0),1,0)</f>
        <v>0</v>
      </c>
      <c r="G4622" s="34" t="n">
        <f aca="false">B4622/1</f>
        <v>261.79</v>
      </c>
      <c r="H4622" s="34" t="str">
        <f aca="false">IF(F4622=1,G4622,"")</f>
        <v/>
      </c>
    </row>
    <row r="4623" customFormat="false" ht="15" hidden="false" customHeight="false" outlineLevel="0" collapsed="false">
      <c r="A4623" s="31" t="n">
        <v>42928.5416666667</v>
      </c>
      <c r="B4623" s="32" t="n">
        <v>230.049</v>
      </c>
      <c r="D4623" s="33" t="n">
        <f aca="false">WEEKDAY(A4623,2)</f>
        <v>3</v>
      </c>
      <c r="E4623" s="33" t="n">
        <f aca="false">HOUR(A4623)+MINUTE(A4623)/60</f>
        <v>13</v>
      </c>
      <c r="F4623" s="33" t="n">
        <f aca="false">IF(OR(D4623&gt;5,E4623&lt;8,E4623&gt;=18,COUNTIF($K$2:$K$10,INT(A4623))&gt;0),1,0)</f>
        <v>0</v>
      </c>
      <c r="G4623" s="34" t="n">
        <f aca="false">B4623/1</f>
        <v>230.049</v>
      </c>
      <c r="H4623" s="34" t="str">
        <f aca="false">IF(F4623=1,G4623,"")</f>
        <v/>
      </c>
    </row>
    <row r="4624" customFormat="false" ht="15" hidden="false" customHeight="false" outlineLevel="0" collapsed="false">
      <c r="A4624" s="31" t="n">
        <v>42928.5833333333</v>
      </c>
      <c r="B4624" s="32" t="n">
        <v>249.8</v>
      </c>
      <c r="D4624" s="33" t="n">
        <f aca="false">WEEKDAY(A4624,2)</f>
        <v>3</v>
      </c>
      <c r="E4624" s="33" t="n">
        <f aca="false">HOUR(A4624)+MINUTE(A4624)/60</f>
        <v>14</v>
      </c>
      <c r="F4624" s="33" t="n">
        <f aca="false">IF(OR(D4624&gt;5,E4624&lt;8,E4624&gt;=18,COUNTIF($K$2:$K$10,INT(A4624))&gt;0),1,0)</f>
        <v>0</v>
      </c>
      <c r="G4624" s="34" t="n">
        <f aca="false">B4624/1</f>
        <v>249.8</v>
      </c>
      <c r="H4624" s="34" t="str">
        <f aca="false">IF(F4624=1,G4624,"")</f>
        <v/>
      </c>
    </row>
    <row r="4625" customFormat="false" ht="15" hidden="false" customHeight="false" outlineLevel="0" collapsed="false">
      <c r="A4625" s="31" t="n">
        <v>42928.625</v>
      </c>
      <c r="B4625" s="32" t="n">
        <v>247.153</v>
      </c>
      <c r="D4625" s="33" t="n">
        <f aca="false">WEEKDAY(A4625,2)</f>
        <v>3</v>
      </c>
      <c r="E4625" s="33" t="n">
        <f aca="false">HOUR(A4625)+MINUTE(A4625)/60</f>
        <v>15</v>
      </c>
      <c r="F4625" s="33" t="n">
        <f aca="false">IF(OR(D4625&gt;5,E4625&lt;8,E4625&gt;=18,COUNTIF($K$2:$K$10,INT(A4625))&gt;0),1,0)</f>
        <v>0</v>
      </c>
      <c r="G4625" s="34" t="n">
        <f aca="false">B4625/1</f>
        <v>247.153</v>
      </c>
      <c r="H4625" s="34" t="str">
        <f aca="false">IF(F4625=1,G4625,"")</f>
        <v/>
      </c>
    </row>
    <row r="4626" customFormat="false" ht="15" hidden="false" customHeight="false" outlineLevel="0" collapsed="false">
      <c r="A4626" s="31" t="n">
        <v>42928.6666666667</v>
      </c>
      <c r="B4626" s="32" t="n">
        <v>239.272</v>
      </c>
      <c r="D4626" s="33" t="n">
        <f aca="false">WEEKDAY(A4626,2)</f>
        <v>3</v>
      </c>
      <c r="E4626" s="33" t="n">
        <f aca="false">HOUR(A4626)+MINUTE(A4626)/60</f>
        <v>16</v>
      </c>
      <c r="F4626" s="33" t="n">
        <f aca="false">IF(OR(D4626&gt;5,E4626&lt;8,E4626&gt;=18,COUNTIF($K$2:$K$10,INT(A4626))&gt;0),1,0)</f>
        <v>0</v>
      </c>
      <c r="G4626" s="34" t="n">
        <f aca="false">B4626/1</f>
        <v>239.272</v>
      </c>
      <c r="H4626" s="34" t="str">
        <f aca="false">IF(F4626=1,G4626,"")</f>
        <v/>
      </c>
    </row>
    <row r="4627" customFormat="false" ht="15" hidden="false" customHeight="false" outlineLevel="0" collapsed="false">
      <c r="A4627" s="31" t="n">
        <v>42928.7083333333</v>
      </c>
      <c r="B4627" s="32" t="n">
        <v>228.335</v>
      </c>
      <c r="D4627" s="33" t="n">
        <f aca="false">WEEKDAY(A4627,2)</f>
        <v>3</v>
      </c>
      <c r="E4627" s="33" t="n">
        <f aca="false">HOUR(A4627)+MINUTE(A4627)/60</f>
        <v>17</v>
      </c>
      <c r="F4627" s="33" t="n">
        <f aca="false">IF(OR(D4627&gt;5,E4627&lt;8,E4627&gt;=18,COUNTIF($K$2:$K$10,INT(A4627))&gt;0),1,0)</f>
        <v>0</v>
      </c>
      <c r="G4627" s="34" t="n">
        <f aca="false">B4627/1</f>
        <v>228.335</v>
      </c>
      <c r="H4627" s="34" t="str">
        <f aca="false">IF(F4627=1,G4627,"")</f>
        <v/>
      </c>
    </row>
    <row r="4628" customFormat="false" ht="15" hidden="false" customHeight="false" outlineLevel="0" collapsed="false">
      <c r="A4628" s="31" t="n">
        <v>42928.75</v>
      </c>
      <c r="B4628" s="32" t="n">
        <v>214.586</v>
      </c>
      <c r="D4628" s="33" t="n">
        <f aca="false">WEEKDAY(A4628,2)</f>
        <v>3</v>
      </c>
      <c r="E4628" s="33" t="n">
        <f aca="false">HOUR(A4628)+MINUTE(A4628)/60</f>
        <v>18</v>
      </c>
      <c r="F4628" s="33" t="n">
        <f aca="false">IF(OR(D4628&gt;5,E4628&lt;8,E4628&gt;=18,COUNTIF($K$2:$K$10,INT(A4628))&gt;0),1,0)</f>
        <v>1</v>
      </c>
      <c r="G4628" s="34" t="n">
        <f aca="false">B4628/1</f>
        <v>214.586</v>
      </c>
      <c r="H4628" s="34" t="n">
        <f aca="false">IF(F4628=1,G4628,"")</f>
        <v>214.586</v>
      </c>
    </row>
    <row r="4629" customFormat="false" ht="15" hidden="false" customHeight="false" outlineLevel="0" collapsed="false">
      <c r="A4629" s="31" t="n">
        <v>42928.7916666667</v>
      </c>
      <c r="B4629" s="32" t="n">
        <v>202.026</v>
      </c>
      <c r="D4629" s="33" t="n">
        <f aca="false">WEEKDAY(A4629,2)</f>
        <v>3</v>
      </c>
      <c r="E4629" s="33" t="n">
        <f aca="false">HOUR(A4629)+MINUTE(A4629)/60</f>
        <v>19</v>
      </c>
      <c r="F4629" s="33" t="n">
        <f aca="false">IF(OR(D4629&gt;5,E4629&lt;8,E4629&gt;=18,COUNTIF($K$2:$K$10,INT(A4629))&gt;0),1,0)</f>
        <v>1</v>
      </c>
      <c r="G4629" s="34" t="n">
        <f aca="false">B4629/1</f>
        <v>202.026</v>
      </c>
      <c r="H4629" s="34" t="n">
        <f aca="false">IF(F4629=1,G4629,"")</f>
        <v>202.026</v>
      </c>
    </row>
    <row r="4630" customFormat="false" ht="15" hidden="false" customHeight="false" outlineLevel="0" collapsed="false">
      <c r="A4630" s="31" t="n">
        <v>42928.8333333333</v>
      </c>
      <c r="B4630" s="32" t="n">
        <v>199.229</v>
      </c>
      <c r="D4630" s="33" t="n">
        <f aca="false">WEEKDAY(A4630,2)</f>
        <v>3</v>
      </c>
      <c r="E4630" s="33" t="n">
        <f aca="false">HOUR(A4630)+MINUTE(A4630)/60</f>
        <v>20</v>
      </c>
      <c r="F4630" s="33" t="n">
        <f aca="false">IF(OR(D4630&gt;5,E4630&lt;8,E4630&gt;=18,COUNTIF($K$2:$K$10,INT(A4630))&gt;0),1,0)</f>
        <v>1</v>
      </c>
      <c r="G4630" s="34" t="n">
        <f aca="false">B4630/1</f>
        <v>199.229</v>
      </c>
      <c r="H4630" s="34" t="n">
        <f aca="false">IF(F4630=1,G4630,"")</f>
        <v>199.229</v>
      </c>
    </row>
    <row r="4631" customFormat="false" ht="15" hidden="false" customHeight="false" outlineLevel="0" collapsed="false">
      <c r="A4631" s="31" t="n">
        <v>42928.875</v>
      </c>
      <c r="B4631" s="32" t="n">
        <v>195.006</v>
      </c>
      <c r="D4631" s="33" t="n">
        <f aca="false">WEEKDAY(A4631,2)</f>
        <v>3</v>
      </c>
      <c r="E4631" s="33" t="n">
        <f aca="false">HOUR(A4631)+MINUTE(A4631)/60</f>
        <v>21</v>
      </c>
      <c r="F4631" s="33" t="n">
        <f aca="false">IF(OR(D4631&gt;5,E4631&lt;8,E4631&gt;=18,COUNTIF($K$2:$K$10,INT(A4631))&gt;0),1,0)</f>
        <v>1</v>
      </c>
      <c r="G4631" s="34" t="n">
        <f aca="false">B4631/1</f>
        <v>195.006</v>
      </c>
      <c r="H4631" s="34" t="n">
        <f aca="false">IF(F4631=1,G4631,"")</f>
        <v>195.006</v>
      </c>
    </row>
    <row r="4632" customFormat="false" ht="15" hidden="false" customHeight="false" outlineLevel="0" collapsed="false">
      <c r="A4632" s="31" t="n">
        <v>42928.9166666667</v>
      </c>
      <c r="B4632" s="32" t="n">
        <v>146.964</v>
      </c>
      <c r="D4632" s="33" t="n">
        <f aca="false">WEEKDAY(A4632,2)</f>
        <v>3</v>
      </c>
      <c r="E4632" s="33" t="n">
        <f aca="false">HOUR(A4632)+MINUTE(A4632)/60</f>
        <v>22</v>
      </c>
      <c r="F4632" s="33" t="n">
        <f aca="false">IF(OR(D4632&gt;5,E4632&lt;8,E4632&gt;=18,COUNTIF($K$2:$K$10,INT(A4632))&gt;0),1,0)</f>
        <v>1</v>
      </c>
      <c r="G4632" s="34" t="n">
        <f aca="false">B4632/1</f>
        <v>146.964</v>
      </c>
      <c r="H4632" s="34" t="n">
        <f aca="false">IF(F4632=1,G4632,"")</f>
        <v>146.964</v>
      </c>
    </row>
    <row r="4633" customFormat="false" ht="15" hidden="false" customHeight="false" outlineLevel="0" collapsed="false">
      <c r="A4633" s="31" t="n">
        <v>42928.9583333333</v>
      </c>
      <c r="B4633" s="32" t="n">
        <v>87.882</v>
      </c>
      <c r="D4633" s="33" t="n">
        <f aca="false">WEEKDAY(A4633,2)</f>
        <v>3</v>
      </c>
      <c r="E4633" s="33" t="n">
        <f aca="false">HOUR(A4633)+MINUTE(A4633)/60</f>
        <v>23</v>
      </c>
      <c r="F4633" s="33" t="n">
        <f aca="false">IF(OR(D4633&gt;5,E4633&lt;8,E4633&gt;=18,COUNTIF($K$2:$K$10,INT(A4633))&gt;0),1,0)</f>
        <v>1</v>
      </c>
      <c r="G4633" s="34" t="n">
        <f aca="false">B4633/1</f>
        <v>87.882</v>
      </c>
      <c r="H4633" s="34" t="n">
        <f aca="false">IF(F4633=1,G4633,"")</f>
        <v>87.882</v>
      </c>
    </row>
    <row r="4634" customFormat="false" ht="15" hidden="false" customHeight="false" outlineLevel="0" collapsed="false">
      <c r="A4634" s="31" t="n">
        <v>42929</v>
      </c>
      <c r="B4634" s="32" t="n">
        <v>85.701</v>
      </c>
      <c r="D4634" s="33" t="n">
        <f aca="false">WEEKDAY(A4634,2)</f>
        <v>4</v>
      </c>
      <c r="E4634" s="33" t="n">
        <f aca="false">HOUR(A4634)+MINUTE(A4634)/60</f>
        <v>0</v>
      </c>
      <c r="F4634" s="33" t="n">
        <f aca="false">IF(OR(D4634&gt;5,E4634&lt;8,E4634&gt;=18,COUNTIF($K$2:$K$10,INT(A4634))&gt;0),1,0)</f>
        <v>1</v>
      </c>
      <c r="G4634" s="34" t="n">
        <f aca="false">B4634/1</f>
        <v>85.701</v>
      </c>
      <c r="H4634" s="34" t="n">
        <f aca="false">IF(F4634=1,G4634,"")</f>
        <v>85.701</v>
      </c>
    </row>
    <row r="4635" customFormat="false" ht="15" hidden="false" customHeight="false" outlineLevel="0" collapsed="false">
      <c r="A4635" s="31" t="n">
        <v>42929.0416666667</v>
      </c>
      <c r="B4635" s="32" t="n">
        <v>84.493</v>
      </c>
      <c r="D4635" s="33" t="n">
        <f aca="false">WEEKDAY(A4635,2)</f>
        <v>4</v>
      </c>
      <c r="E4635" s="33" t="n">
        <f aca="false">HOUR(A4635)+MINUTE(A4635)/60</f>
        <v>1</v>
      </c>
      <c r="F4635" s="33" t="n">
        <f aca="false">IF(OR(D4635&gt;5,E4635&lt;8,E4635&gt;=18,COUNTIF($K$2:$K$10,INT(A4635))&gt;0),1,0)</f>
        <v>1</v>
      </c>
      <c r="G4635" s="34" t="n">
        <f aca="false">B4635/1</f>
        <v>84.493</v>
      </c>
      <c r="H4635" s="34" t="n">
        <f aca="false">IF(F4635=1,G4635,"")</f>
        <v>84.493</v>
      </c>
    </row>
    <row r="4636" customFormat="false" ht="15" hidden="false" customHeight="false" outlineLevel="0" collapsed="false">
      <c r="A4636" s="31" t="n">
        <v>42929.0833333333</v>
      </c>
      <c r="B4636" s="32" t="n">
        <v>82.124</v>
      </c>
      <c r="D4636" s="33" t="n">
        <f aca="false">WEEKDAY(A4636,2)</f>
        <v>4</v>
      </c>
      <c r="E4636" s="33" t="n">
        <f aca="false">HOUR(A4636)+MINUTE(A4636)/60</f>
        <v>2</v>
      </c>
      <c r="F4636" s="33" t="n">
        <f aca="false">IF(OR(D4636&gt;5,E4636&lt;8,E4636&gt;=18,COUNTIF($K$2:$K$10,INT(A4636))&gt;0),1,0)</f>
        <v>1</v>
      </c>
      <c r="G4636" s="34" t="n">
        <f aca="false">B4636/1</f>
        <v>82.124</v>
      </c>
      <c r="H4636" s="34" t="n">
        <f aca="false">IF(F4636=1,G4636,"")</f>
        <v>82.124</v>
      </c>
    </row>
    <row r="4637" customFormat="false" ht="15" hidden="false" customHeight="false" outlineLevel="0" collapsed="false">
      <c r="A4637" s="31" t="n">
        <v>42929.125</v>
      </c>
      <c r="B4637" s="32" t="n">
        <v>119.088</v>
      </c>
      <c r="D4637" s="33" t="n">
        <f aca="false">WEEKDAY(A4637,2)</f>
        <v>4</v>
      </c>
      <c r="E4637" s="33" t="n">
        <f aca="false">HOUR(A4637)+MINUTE(A4637)/60</f>
        <v>3</v>
      </c>
      <c r="F4637" s="33" t="n">
        <f aca="false">IF(OR(D4637&gt;5,E4637&lt;8,E4637&gt;=18,COUNTIF($K$2:$K$10,INT(A4637))&gt;0),1,0)</f>
        <v>1</v>
      </c>
      <c r="G4637" s="34" t="n">
        <f aca="false">B4637/1</f>
        <v>119.088</v>
      </c>
      <c r="H4637" s="34" t="n">
        <f aca="false">IF(F4637=1,G4637,"")</f>
        <v>119.088</v>
      </c>
    </row>
    <row r="4638" customFormat="false" ht="15" hidden="false" customHeight="false" outlineLevel="0" collapsed="false">
      <c r="A4638" s="31" t="n">
        <v>42929.1666666667</v>
      </c>
      <c r="B4638" s="32" t="n">
        <v>122.144</v>
      </c>
      <c r="D4638" s="33" t="n">
        <f aca="false">WEEKDAY(A4638,2)</f>
        <v>4</v>
      </c>
      <c r="E4638" s="33" t="n">
        <f aca="false">HOUR(A4638)+MINUTE(A4638)/60</f>
        <v>4</v>
      </c>
      <c r="F4638" s="33" t="n">
        <f aca="false">IF(OR(D4638&gt;5,E4638&lt;8,E4638&gt;=18,COUNTIF($K$2:$K$10,INT(A4638))&gt;0),1,0)</f>
        <v>1</v>
      </c>
      <c r="G4638" s="34" t="n">
        <f aca="false">B4638/1</f>
        <v>122.144</v>
      </c>
      <c r="H4638" s="34" t="n">
        <f aca="false">IF(F4638=1,G4638,"")</f>
        <v>122.144</v>
      </c>
    </row>
    <row r="4639" customFormat="false" ht="15" hidden="false" customHeight="false" outlineLevel="0" collapsed="false">
      <c r="A4639" s="31" t="n">
        <v>42929.2083333333</v>
      </c>
      <c r="B4639" s="32" t="n">
        <v>120.013</v>
      </c>
      <c r="D4639" s="33" t="n">
        <f aca="false">WEEKDAY(A4639,2)</f>
        <v>4</v>
      </c>
      <c r="E4639" s="33" t="n">
        <f aca="false">HOUR(A4639)+MINUTE(A4639)/60</f>
        <v>5</v>
      </c>
      <c r="F4639" s="33" t="n">
        <f aca="false">IF(OR(D4639&gt;5,E4639&lt;8,E4639&gt;=18,COUNTIF($K$2:$K$10,INT(A4639))&gt;0),1,0)</f>
        <v>1</v>
      </c>
      <c r="G4639" s="34" t="n">
        <f aca="false">B4639/1</f>
        <v>120.013</v>
      </c>
      <c r="H4639" s="34" t="n">
        <f aca="false">IF(F4639=1,G4639,"")</f>
        <v>120.013</v>
      </c>
    </row>
    <row r="4640" customFormat="false" ht="15" hidden="false" customHeight="false" outlineLevel="0" collapsed="false">
      <c r="A4640" s="31" t="n">
        <v>42929.25</v>
      </c>
      <c r="B4640" s="32" t="n">
        <v>96.11</v>
      </c>
      <c r="D4640" s="33" t="n">
        <f aca="false">WEEKDAY(A4640,2)</f>
        <v>4</v>
      </c>
      <c r="E4640" s="33" t="n">
        <f aca="false">HOUR(A4640)+MINUTE(A4640)/60</f>
        <v>6</v>
      </c>
      <c r="F4640" s="33" t="n">
        <f aca="false">IF(OR(D4640&gt;5,E4640&lt;8,E4640&gt;=18,COUNTIF($K$2:$K$10,INT(A4640))&gt;0),1,0)</f>
        <v>1</v>
      </c>
      <c r="G4640" s="34" t="n">
        <f aca="false">B4640/1</f>
        <v>96.11</v>
      </c>
      <c r="H4640" s="34" t="n">
        <f aca="false">IF(F4640=1,G4640,"")</f>
        <v>96.11</v>
      </c>
    </row>
    <row r="4641" customFormat="false" ht="15" hidden="false" customHeight="false" outlineLevel="0" collapsed="false">
      <c r="A4641" s="31" t="n">
        <v>42929.2916666667</v>
      </c>
      <c r="B4641" s="32" t="n">
        <v>83.379</v>
      </c>
      <c r="D4641" s="33" t="n">
        <f aca="false">WEEKDAY(A4641,2)</f>
        <v>4</v>
      </c>
      <c r="E4641" s="33" t="n">
        <f aca="false">HOUR(A4641)+MINUTE(A4641)/60</f>
        <v>7</v>
      </c>
      <c r="F4641" s="33" t="n">
        <f aca="false">IF(OR(D4641&gt;5,E4641&lt;8,E4641&gt;=18,COUNTIF($K$2:$K$10,INT(A4641))&gt;0),1,0)</f>
        <v>1</v>
      </c>
      <c r="G4641" s="34" t="n">
        <f aca="false">B4641/1</f>
        <v>83.379</v>
      </c>
      <c r="H4641" s="34" t="n">
        <f aca="false">IF(F4641=1,G4641,"")</f>
        <v>83.379</v>
      </c>
    </row>
    <row r="4642" customFormat="false" ht="15" hidden="false" customHeight="false" outlineLevel="0" collapsed="false">
      <c r="A4642" s="31" t="n">
        <v>42929.3333333333</v>
      </c>
      <c r="B4642" s="32" t="n">
        <v>187.806</v>
      </c>
      <c r="D4642" s="33" t="n">
        <f aca="false">WEEKDAY(A4642,2)</f>
        <v>4</v>
      </c>
      <c r="E4642" s="33" t="n">
        <f aca="false">HOUR(A4642)+MINUTE(A4642)/60</f>
        <v>8</v>
      </c>
      <c r="F4642" s="33" t="n">
        <f aca="false">IF(OR(D4642&gt;5,E4642&lt;8,E4642&gt;=18,COUNTIF($K$2:$K$10,INT(A4642))&gt;0),1,0)</f>
        <v>0</v>
      </c>
      <c r="G4642" s="34" t="n">
        <f aca="false">B4642/1</f>
        <v>187.806</v>
      </c>
      <c r="H4642" s="34" t="str">
        <f aca="false">IF(F4642=1,G4642,"")</f>
        <v/>
      </c>
    </row>
    <row r="4643" customFormat="false" ht="15" hidden="false" customHeight="false" outlineLevel="0" collapsed="false">
      <c r="A4643" s="31" t="n">
        <v>42929.375</v>
      </c>
      <c r="B4643" s="32" t="n">
        <v>213.16</v>
      </c>
      <c r="D4643" s="33" t="n">
        <f aca="false">WEEKDAY(A4643,2)</f>
        <v>4</v>
      </c>
      <c r="E4643" s="33" t="n">
        <f aca="false">HOUR(A4643)+MINUTE(A4643)/60</f>
        <v>9</v>
      </c>
      <c r="F4643" s="33" t="n">
        <f aca="false">IF(OR(D4643&gt;5,E4643&lt;8,E4643&gt;=18,COUNTIF($K$2:$K$10,INT(A4643))&gt;0),1,0)</f>
        <v>0</v>
      </c>
      <c r="G4643" s="34" t="n">
        <f aca="false">B4643/1</f>
        <v>213.16</v>
      </c>
      <c r="H4643" s="34" t="str">
        <f aca="false">IF(F4643=1,G4643,"")</f>
        <v/>
      </c>
    </row>
    <row r="4644" customFormat="false" ht="15" hidden="false" customHeight="false" outlineLevel="0" collapsed="false">
      <c r="A4644" s="31" t="n">
        <v>42929.4166666667</v>
      </c>
      <c r="B4644" s="32" t="n">
        <v>223.516</v>
      </c>
      <c r="D4644" s="33" t="n">
        <f aca="false">WEEKDAY(A4644,2)</f>
        <v>4</v>
      </c>
      <c r="E4644" s="33" t="n">
        <f aca="false">HOUR(A4644)+MINUTE(A4644)/60</f>
        <v>10</v>
      </c>
      <c r="F4644" s="33" t="n">
        <f aca="false">IF(OR(D4644&gt;5,E4644&lt;8,E4644&gt;=18,COUNTIF($K$2:$K$10,INT(A4644))&gt;0),1,0)</f>
        <v>0</v>
      </c>
      <c r="G4644" s="34" t="n">
        <f aca="false">B4644/1</f>
        <v>223.516</v>
      </c>
      <c r="H4644" s="34" t="str">
        <f aca="false">IF(F4644=1,G4644,"")</f>
        <v/>
      </c>
    </row>
    <row r="4645" customFormat="false" ht="15" hidden="false" customHeight="false" outlineLevel="0" collapsed="false">
      <c r="A4645" s="31" t="n">
        <v>42929.4583333333</v>
      </c>
      <c r="B4645" s="32" t="n">
        <v>219.525</v>
      </c>
      <c r="D4645" s="33" t="n">
        <f aca="false">WEEKDAY(A4645,2)</f>
        <v>4</v>
      </c>
      <c r="E4645" s="33" t="n">
        <f aca="false">HOUR(A4645)+MINUTE(A4645)/60</f>
        <v>11</v>
      </c>
      <c r="F4645" s="33" t="n">
        <f aca="false">IF(OR(D4645&gt;5,E4645&lt;8,E4645&gt;=18,COUNTIF($K$2:$K$10,INT(A4645))&gt;0),1,0)</f>
        <v>0</v>
      </c>
      <c r="G4645" s="34" t="n">
        <f aca="false">B4645/1</f>
        <v>219.525</v>
      </c>
      <c r="H4645" s="34" t="str">
        <f aca="false">IF(F4645=1,G4645,"")</f>
        <v/>
      </c>
    </row>
    <row r="4646" customFormat="false" ht="15" hidden="false" customHeight="false" outlineLevel="0" collapsed="false">
      <c r="A4646" s="31" t="n">
        <v>42929.5</v>
      </c>
      <c r="B4646" s="32" t="n">
        <v>212.032</v>
      </c>
      <c r="D4646" s="33" t="n">
        <f aca="false">WEEKDAY(A4646,2)</f>
        <v>4</v>
      </c>
      <c r="E4646" s="33" t="n">
        <f aca="false">HOUR(A4646)+MINUTE(A4646)/60</f>
        <v>12</v>
      </c>
      <c r="F4646" s="33" t="n">
        <f aca="false">IF(OR(D4646&gt;5,E4646&lt;8,E4646&gt;=18,COUNTIF($K$2:$K$10,INT(A4646))&gt;0),1,0)</f>
        <v>0</v>
      </c>
      <c r="G4646" s="34" t="n">
        <f aca="false">B4646/1</f>
        <v>212.032</v>
      </c>
      <c r="H4646" s="34" t="str">
        <f aca="false">IF(F4646=1,G4646,"")</f>
        <v/>
      </c>
    </row>
    <row r="4647" customFormat="false" ht="15" hidden="false" customHeight="false" outlineLevel="0" collapsed="false">
      <c r="A4647" s="31" t="n">
        <v>42929.5416666667</v>
      </c>
      <c r="B4647" s="32" t="n">
        <v>208.707</v>
      </c>
      <c r="D4647" s="33" t="n">
        <f aca="false">WEEKDAY(A4647,2)</f>
        <v>4</v>
      </c>
      <c r="E4647" s="33" t="n">
        <f aca="false">HOUR(A4647)+MINUTE(A4647)/60</f>
        <v>13</v>
      </c>
      <c r="F4647" s="33" t="n">
        <f aca="false">IF(OR(D4647&gt;5,E4647&lt;8,E4647&gt;=18,COUNTIF($K$2:$K$10,INT(A4647))&gt;0),1,0)</f>
        <v>0</v>
      </c>
      <c r="G4647" s="34" t="n">
        <f aca="false">B4647/1</f>
        <v>208.707</v>
      </c>
      <c r="H4647" s="34" t="str">
        <f aca="false">IF(F4647=1,G4647,"")</f>
        <v/>
      </c>
    </row>
    <row r="4648" customFormat="false" ht="15" hidden="false" customHeight="false" outlineLevel="0" collapsed="false">
      <c r="A4648" s="31" t="n">
        <v>42929.5833333333</v>
      </c>
      <c r="B4648" s="32" t="n">
        <v>210.459</v>
      </c>
      <c r="D4648" s="33" t="n">
        <f aca="false">WEEKDAY(A4648,2)</f>
        <v>4</v>
      </c>
      <c r="E4648" s="33" t="n">
        <f aca="false">HOUR(A4648)+MINUTE(A4648)/60</f>
        <v>14</v>
      </c>
      <c r="F4648" s="33" t="n">
        <f aca="false">IF(OR(D4648&gt;5,E4648&lt;8,E4648&gt;=18,COUNTIF($K$2:$K$10,INT(A4648))&gt;0),1,0)</f>
        <v>0</v>
      </c>
      <c r="G4648" s="34" t="n">
        <f aca="false">B4648/1</f>
        <v>210.459</v>
      </c>
      <c r="H4648" s="34" t="str">
        <f aca="false">IF(F4648=1,G4648,"")</f>
        <v/>
      </c>
    </row>
    <row r="4649" customFormat="false" ht="15" hidden="false" customHeight="false" outlineLevel="0" collapsed="false">
      <c r="A4649" s="31" t="n">
        <v>42929.625</v>
      </c>
      <c r="B4649" s="32" t="n">
        <v>208.995</v>
      </c>
      <c r="D4649" s="33" t="n">
        <f aca="false">WEEKDAY(A4649,2)</f>
        <v>4</v>
      </c>
      <c r="E4649" s="33" t="n">
        <f aca="false">HOUR(A4649)+MINUTE(A4649)/60</f>
        <v>15</v>
      </c>
      <c r="F4649" s="33" t="n">
        <f aca="false">IF(OR(D4649&gt;5,E4649&lt;8,E4649&gt;=18,COUNTIF($K$2:$K$10,INT(A4649))&gt;0),1,0)</f>
        <v>0</v>
      </c>
      <c r="G4649" s="34" t="n">
        <f aca="false">B4649/1</f>
        <v>208.995</v>
      </c>
      <c r="H4649" s="34" t="str">
        <f aca="false">IF(F4649=1,G4649,"")</f>
        <v/>
      </c>
    </row>
    <row r="4650" customFormat="false" ht="15" hidden="false" customHeight="false" outlineLevel="0" collapsed="false">
      <c r="A4650" s="31" t="n">
        <v>42929.6666666667</v>
      </c>
      <c r="B4650" s="32" t="n">
        <v>203.103</v>
      </c>
      <c r="D4650" s="33" t="n">
        <f aca="false">WEEKDAY(A4650,2)</f>
        <v>4</v>
      </c>
      <c r="E4650" s="33" t="n">
        <f aca="false">HOUR(A4650)+MINUTE(A4650)/60</f>
        <v>16</v>
      </c>
      <c r="F4650" s="33" t="n">
        <f aca="false">IF(OR(D4650&gt;5,E4650&lt;8,E4650&gt;=18,COUNTIF($K$2:$K$10,INT(A4650))&gt;0),1,0)</f>
        <v>0</v>
      </c>
      <c r="G4650" s="34" t="n">
        <f aca="false">B4650/1</f>
        <v>203.103</v>
      </c>
      <c r="H4650" s="34" t="str">
        <f aca="false">IF(F4650=1,G4650,"")</f>
        <v/>
      </c>
    </row>
    <row r="4651" customFormat="false" ht="15" hidden="false" customHeight="false" outlineLevel="0" collapsed="false">
      <c r="A4651" s="31" t="n">
        <v>42929.7083333333</v>
      </c>
      <c r="B4651" s="32" t="n">
        <v>189.187</v>
      </c>
      <c r="D4651" s="33" t="n">
        <f aca="false">WEEKDAY(A4651,2)</f>
        <v>4</v>
      </c>
      <c r="E4651" s="33" t="n">
        <f aca="false">HOUR(A4651)+MINUTE(A4651)/60</f>
        <v>17</v>
      </c>
      <c r="F4651" s="33" t="n">
        <f aca="false">IF(OR(D4651&gt;5,E4651&lt;8,E4651&gt;=18,COUNTIF($K$2:$K$10,INT(A4651))&gt;0),1,0)</f>
        <v>0</v>
      </c>
      <c r="G4651" s="34" t="n">
        <f aca="false">B4651/1</f>
        <v>189.187</v>
      </c>
      <c r="H4651" s="34" t="str">
        <f aca="false">IF(F4651=1,G4651,"")</f>
        <v/>
      </c>
    </row>
    <row r="4652" customFormat="false" ht="15" hidden="false" customHeight="false" outlineLevel="0" collapsed="false">
      <c r="A4652" s="31" t="n">
        <v>42929.75</v>
      </c>
      <c r="B4652" s="32" t="n">
        <v>170.931</v>
      </c>
      <c r="D4652" s="33" t="n">
        <f aca="false">WEEKDAY(A4652,2)</f>
        <v>4</v>
      </c>
      <c r="E4652" s="33" t="n">
        <f aca="false">HOUR(A4652)+MINUTE(A4652)/60</f>
        <v>18</v>
      </c>
      <c r="F4652" s="33" t="n">
        <f aca="false">IF(OR(D4652&gt;5,E4652&lt;8,E4652&gt;=18,COUNTIF($K$2:$K$10,INT(A4652))&gt;0),1,0)</f>
        <v>1</v>
      </c>
      <c r="G4652" s="34" t="n">
        <f aca="false">B4652/1</f>
        <v>170.931</v>
      </c>
      <c r="H4652" s="34" t="n">
        <f aca="false">IF(F4652=1,G4652,"")</f>
        <v>170.931</v>
      </c>
    </row>
    <row r="4653" customFormat="false" ht="15" hidden="false" customHeight="false" outlineLevel="0" collapsed="false">
      <c r="A4653" s="31" t="n">
        <v>42929.7916666667</v>
      </c>
      <c r="B4653" s="32" t="n">
        <v>167.618</v>
      </c>
      <c r="D4653" s="33" t="n">
        <f aca="false">WEEKDAY(A4653,2)</f>
        <v>4</v>
      </c>
      <c r="E4653" s="33" t="n">
        <f aca="false">HOUR(A4653)+MINUTE(A4653)/60</f>
        <v>19</v>
      </c>
      <c r="F4653" s="33" t="n">
        <f aca="false">IF(OR(D4653&gt;5,E4653&lt;8,E4653&gt;=18,COUNTIF($K$2:$K$10,INT(A4653))&gt;0),1,0)</f>
        <v>1</v>
      </c>
      <c r="G4653" s="34" t="n">
        <f aca="false">B4653/1</f>
        <v>167.618</v>
      </c>
      <c r="H4653" s="34" t="n">
        <f aca="false">IF(F4653=1,G4653,"")</f>
        <v>167.618</v>
      </c>
    </row>
    <row r="4654" customFormat="false" ht="15" hidden="false" customHeight="false" outlineLevel="0" collapsed="false">
      <c r="A4654" s="31" t="n">
        <v>42929.8333333333</v>
      </c>
      <c r="B4654" s="32" t="n">
        <v>170.351</v>
      </c>
      <c r="D4654" s="33" t="n">
        <f aca="false">WEEKDAY(A4654,2)</f>
        <v>4</v>
      </c>
      <c r="E4654" s="33" t="n">
        <f aca="false">HOUR(A4654)+MINUTE(A4654)/60</f>
        <v>20</v>
      </c>
      <c r="F4654" s="33" t="n">
        <f aca="false">IF(OR(D4654&gt;5,E4654&lt;8,E4654&gt;=18,COUNTIF($K$2:$K$10,INT(A4654))&gt;0),1,0)</f>
        <v>1</v>
      </c>
      <c r="G4654" s="34" t="n">
        <f aca="false">B4654/1</f>
        <v>170.351</v>
      </c>
      <c r="H4654" s="34" t="n">
        <f aca="false">IF(F4654=1,G4654,"")</f>
        <v>170.351</v>
      </c>
    </row>
    <row r="4655" customFormat="false" ht="15" hidden="false" customHeight="false" outlineLevel="0" collapsed="false">
      <c r="A4655" s="31" t="n">
        <v>42929.875</v>
      </c>
      <c r="B4655" s="32" t="n">
        <v>170.854</v>
      </c>
      <c r="D4655" s="33" t="n">
        <f aca="false">WEEKDAY(A4655,2)</f>
        <v>4</v>
      </c>
      <c r="E4655" s="33" t="n">
        <f aca="false">HOUR(A4655)+MINUTE(A4655)/60</f>
        <v>21</v>
      </c>
      <c r="F4655" s="33" t="n">
        <f aca="false">IF(OR(D4655&gt;5,E4655&lt;8,E4655&gt;=18,COUNTIF($K$2:$K$10,INT(A4655))&gt;0),1,0)</f>
        <v>1</v>
      </c>
      <c r="G4655" s="34" t="n">
        <f aca="false">B4655/1</f>
        <v>170.854</v>
      </c>
      <c r="H4655" s="34" t="n">
        <f aca="false">IF(F4655=1,G4655,"")</f>
        <v>170.854</v>
      </c>
    </row>
    <row r="4656" customFormat="false" ht="15" hidden="false" customHeight="false" outlineLevel="0" collapsed="false">
      <c r="A4656" s="31" t="n">
        <v>42929.9166666667</v>
      </c>
      <c r="B4656" s="32" t="n">
        <v>120.249</v>
      </c>
      <c r="D4656" s="33" t="n">
        <f aca="false">WEEKDAY(A4656,2)</f>
        <v>4</v>
      </c>
      <c r="E4656" s="33" t="n">
        <f aca="false">HOUR(A4656)+MINUTE(A4656)/60</f>
        <v>22</v>
      </c>
      <c r="F4656" s="33" t="n">
        <f aca="false">IF(OR(D4656&gt;5,E4656&lt;8,E4656&gt;=18,COUNTIF($K$2:$K$10,INT(A4656))&gt;0),1,0)</f>
        <v>1</v>
      </c>
      <c r="G4656" s="34" t="n">
        <f aca="false">B4656/1</f>
        <v>120.249</v>
      </c>
      <c r="H4656" s="34" t="n">
        <f aca="false">IF(F4656=1,G4656,"")</f>
        <v>120.249</v>
      </c>
    </row>
    <row r="4657" customFormat="false" ht="15" hidden="false" customHeight="false" outlineLevel="0" collapsed="false">
      <c r="A4657" s="31" t="n">
        <v>42929.9583333333</v>
      </c>
      <c r="B4657" s="32" t="n">
        <v>83.342</v>
      </c>
      <c r="D4657" s="33" t="n">
        <f aca="false">WEEKDAY(A4657,2)</f>
        <v>4</v>
      </c>
      <c r="E4657" s="33" t="n">
        <f aca="false">HOUR(A4657)+MINUTE(A4657)/60</f>
        <v>23</v>
      </c>
      <c r="F4657" s="33" t="n">
        <f aca="false">IF(OR(D4657&gt;5,E4657&lt;8,E4657&gt;=18,COUNTIF($K$2:$K$10,INT(A4657))&gt;0),1,0)</f>
        <v>1</v>
      </c>
      <c r="G4657" s="34" t="n">
        <f aca="false">B4657/1</f>
        <v>83.342</v>
      </c>
      <c r="H4657" s="34" t="n">
        <f aca="false">IF(F4657=1,G4657,"")</f>
        <v>83.342</v>
      </c>
    </row>
    <row r="4658" customFormat="false" ht="15" hidden="false" customHeight="false" outlineLevel="0" collapsed="false">
      <c r="A4658" s="31" t="n">
        <v>42930</v>
      </c>
      <c r="B4658" s="32" t="n">
        <v>85.98</v>
      </c>
      <c r="D4658" s="33" t="n">
        <f aca="false">WEEKDAY(A4658,2)</f>
        <v>5</v>
      </c>
      <c r="E4658" s="33" t="n">
        <f aca="false">HOUR(A4658)+MINUTE(A4658)/60</f>
        <v>0</v>
      </c>
      <c r="F4658" s="33" t="n">
        <f aca="false">IF(OR(D4658&gt;5,E4658&lt;8,E4658&gt;=18,COUNTIF($K$2:$K$10,INT(A4658))&gt;0),1,0)</f>
        <v>1</v>
      </c>
      <c r="G4658" s="34" t="n">
        <f aca="false">B4658/1</f>
        <v>85.98</v>
      </c>
      <c r="H4658" s="34" t="n">
        <f aca="false">IF(F4658=1,G4658,"")</f>
        <v>85.98</v>
      </c>
    </row>
    <row r="4659" customFormat="false" ht="15" hidden="false" customHeight="false" outlineLevel="0" collapsed="false">
      <c r="A4659" s="31" t="n">
        <v>42930.0416666667</v>
      </c>
      <c r="B4659" s="32" t="n">
        <v>85.454</v>
      </c>
      <c r="D4659" s="33" t="n">
        <f aca="false">WEEKDAY(A4659,2)</f>
        <v>5</v>
      </c>
      <c r="E4659" s="33" t="n">
        <f aca="false">HOUR(A4659)+MINUTE(A4659)/60</f>
        <v>1</v>
      </c>
      <c r="F4659" s="33" t="n">
        <f aca="false">IF(OR(D4659&gt;5,E4659&lt;8,E4659&gt;=18,COUNTIF($K$2:$K$10,INT(A4659))&gt;0),1,0)</f>
        <v>1</v>
      </c>
      <c r="G4659" s="34" t="n">
        <f aca="false">B4659/1</f>
        <v>85.454</v>
      </c>
      <c r="H4659" s="34" t="n">
        <f aca="false">IF(F4659=1,G4659,"")</f>
        <v>85.454</v>
      </c>
    </row>
    <row r="4660" customFormat="false" ht="15" hidden="false" customHeight="false" outlineLevel="0" collapsed="false">
      <c r="A4660" s="31" t="n">
        <v>42930.0833333333</v>
      </c>
      <c r="B4660" s="32" t="n">
        <v>84.171</v>
      </c>
      <c r="D4660" s="33" t="n">
        <f aca="false">WEEKDAY(A4660,2)</f>
        <v>5</v>
      </c>
      <c r="E4660" s="33" t="n">
        <f aca="false">HOUR(A4660)+MINUTE(A4660)/60</f>
        <v>2</v>
      </c>
      <c r="F4660" s="33" t="n">
        <f aca="false">IF(OR(D4660&gt;5,E4660&lt;8,E4660&gt;=18,COUNTIF($K$2:$K$10,INT(A4660))&gt;0),1,0)</f>
        <v>1</v>
      </c>
      <c r="G4660" s="34" t="n">
        <f aca="false">B4660/1</f>
        <v>84.171</v>
      </c>
      <c r="H4660" s="34" t="n">
        <f aca="false">IF(F4660=1,G4660,"")</f>
        <v>84.171</v>
      </c>
    </row>
    <row r="4661" customFormat="false" ht="15" hidden="false" customHeight="false" outlineLevel="0" collapsed="false">
      <c r="A4661" s="31" t="n">
        <v>42930.125</v>
      </c>
      <c r="B4661" s="32" t="n">
        <v>83.294</v>
      </c>
      <c r="D4661" s="33" t="n">
        <f aca="false">WEEKDAY(A4661,2)</f>
        <v>5</v>
      </c>
      <c r="E4661" s="33" t="n">
        <f aca="false">HOUR(A4661)+MINUTE(A4661)/60</f>
        <v>3</v>
      </c>
      <c r="F4661" s="33" t="n">
        <f aca="false">IF(OR(D4661&gt;5,E4661&lt;8,E4661&gt;=18,COUNTIF($K$2:$K$10,INT(A4661))&gt;0),1,0)</f>
        <v>1</v>
      </c>
      <c r="G4661" s="34" t="n">
        <f aca="false">B4661/1</f>
        <v>83.294</v>
      </c>
      <c r="H4661" s="34" t="n">
        <f aca="false">IF(F4661=1,G4661,"")</f>
        <v>83.294</v>
      </c>
    </row>
    <row r="4662" customFormat="false" ht="15" hidden="false" customHeight="false" outlineLevel="0" collapsed="false">
      <c r="A4662" s="31" t="n">
        <v>42930.1666666667</v>
      </c>
      <c r="B4662" s="32" t="n">
        <v>82.783</v>
      </c>
      <c r="D4662" s="33" t="n">
        <f aca="false">WEEKDAY(A4662,2)</f>
        <v>5</v>
      </c>
      <c r="E4662" s="33" t="n">
        <f aca="false">HOUR(A4662)+MINUTE(A4662)/60</f>
        <v>4</v>
      </c>
      <c r="F4662" s="33" t="n">
        <f aca="false">IF(OR(D4662&gt;5,E4662&lt;8,E4662&gt;=18,COUNTIF($K$2:$K$10,INT(A4662))&gt;0),1,0)</f>
        <v>1</v>
      </c>
      <c r="G4662" s="34" t="n">
        <f aca="false">B4662/1</f>
        <v>82.783</v>
      </c>
      <c r="H4662" s="34" t="n">
        <f aca="false">IF(F4662=1,G4662,"")</f>
        <v>82.783</v>
      </c>
    </row>
    <row r="4663" customFormat="false" ht="15" hidden="false" customHeight="false" outlineLevel="0" collapsed="false">
      <c r="A4663" s="31" t="n">
        <v>42930.2083333333</v>
      </c>
      <c r="B4663" s="32" t="n">
        <v>81.902</v>
      </c>
      <c r="D4663" s="33" t="n">
        <f aca="false">WEEKDAY(A4663,2)</f>
        <v>5</v>
      </c>
      <c r="E4663" s="33" t="n">
        <f aca="false">HOUR(A4663)+MINUTE(A4663)/60</f>
        <v>5</v>
      </c>
      <c r="F4663" s="33" t="n">
        <f aca="false">IF(OR(D4663&gt;5,E4663&lt;8,E4663&gt;=18,COUNTIF($K$2:$K$10,INT(A4663))&gt;0),1,0)</f>
        <v>1</v>
      </c>
      <c r="G4663" s="34" t="n">
        <f aca="false">B4663/1</f>
        <v>81.902</v>
      </c>
      <c r="H4663" s="34" t="n">
        <f aca="false">IF(F4663=1,G4663,"")</f>
        <v>81.902</v>
      </c>
    </row>
    <row r="4664" customFormat="false" ht="15" hidden="false" customHeight="false" outlineLevel="0" collapsed="false">
      <c r="A4664" s="31" t="n">
        <v>42930.25</v>
      </c>
      <c r="B4664" s="32" t="n">
        <v>64.032</v>
      </c>
      <c r="D4664" s="33" t="n">
        <f aca="false">WEEKDAY(A4664,2)</f>
        <v>5</v>
      </c>
      <c r="E4664" s="33" t="n">
        <f aca="false">HOUR(A4664)+MINUTE(A4664)/60</f>
        <v>6</v>
      </c>
      <c r="F4664" s="33" t="n">
        <f aca="false">IF(OR(D4664&gt;5,E4664&lt;8,E4664&gt;=18,COUNTIF($K$2:$K$10,INT(A4664))&gt;0),1,0)</f>
        <v>1</v>
      </c>
      <c r="G4664" s="34" t="n">
        <f aca="false">B4664/1</f>
        <v>64.032</v>
      </c>
      <c r="H4664" s="34" t="n">
        <f aca="false">IF(F4664=1,G4664,"")</f>
        <v>64.032</v>
      </c>
    </row>
    <row r="4665" customFormat="false" ht="15" hidden="false" customHeight="false" outlineLevel="0" collapsed="false">
      <c r="A4665" s="31" t="n">
        <v>42930.2916666667</v>
      </c>
      <c r="B4665" s="32" t="n">
        <v>51.128</v>
      </c>
      <c r="D4665" s="33" t="n">
        <f aca="false">WEEKDAY(A4665,2)</f>
        <v>5</v>
      </c>
      <c r="E4665" s="33" t="n">
        <f aca="false">HOUR(A4665)+MINUTE(A4665)/60</f>
        <v>7</v>
      </c>
      <c r="F4665" s="33" t="n">
        <f aca="false">IF(OR(D4665&gt;5,E4665&lt;8,E4665&gt;=18,COUNTIF($K$2:$K$10,INT(A4665))&gt;0),1,0)</f>
        <v>1</v>
      </c>
      <c r="G4665" s="34" t="n">
        <f aca="false">B4665/1</f>
        <v>51.128</v>
      </c>
      <c r="H4665" s="34" t="n">
        <f aca="false">IF(F4665=1,G4665,"")</f>
        <v>51.128</v>
      </c>
    </row>
    <row r="4666" customFormat="false" ht="15" hidden="false" customHeight="false" outlineLevel="0" collapsed="false">
      <c r="A4666" s="31" t="n">
        <v>42930.3333333333</v>
      </c>
      <c r="B4666" s="32" t="n">
        <v>154.429</v>
      </c>
      <c r="D4666" s="33" t="n">
        <f aca="false">WEEKDAY(A4666,2)</f>
        <v>5</v>
      </c>
      <c r="E4666" s="33" t="n">
        <f aca="false">HOUR(A4666)+MINUTE(A4666)/60</f>
        <v>8</v>
      </c>
      <c r="F4666" s="33" t="n">
        <f aca="false">IF(OR(D4666&gt;5,E4666&lt;8,E4666&gt;=18,COUNTIF($K$2:$K$10,INT(A4666))&gt;0),1,0)</f>
        <v>0</v>
      </c>
      <c r="G4666" s="34" t="n">
        <f aca="false">B4666/1</f>
        <v>154.429</v>
      </c>
      <c r="H4666" s="34" t="str">
        <f aca="false">IF(F4666=1,G4666,"")</f>
        <v/>
      </c>
    </row>
    <row r="4667" customFormat="false" ht="15" hidden="false" customHeight="false" outlineLevel="0" collapsed="false">
      <c r="A4667" s="31" t="n">
        <v>42930.375</v>
      </c>
      <c r="B4667" s="32" t="n">
        <v>184.112</v>
      </c>
      <c r="D4667" s="33" t="n">
        <f aca="false">WEEKDAY(A4667,2)</f>
        <v>5</v>
      </c>
      <c r="E4667" s="33" t="n">
        <f aca="false">HOUR(A4667)+MINUTE(A4667)/60</f>
        <v>9</v>
      </c>
      <c r="F4667" s="33" t="n">
        <f aca="false">IF(OR(D4667&gt;5,E4667&lt;8,E4667&gt;=18,COUNTIF($K$2:$K$10,INT(A4667))&gt;0),1,0)</f>
        <v>0</v>
      </c>
      <c r="G4667" s="34" t="n">
        <f aca="false">B4667/1</f>
        <v>184.112</v>
      </c>
      <c r="H4667" s="34" t="str">
        <f aca="false">IF(F4667=1,G4667,"")</f>
        <v/>
      </c>
    </row>
    <row r="4668" customFormat="false" ht="15" hidden="false" customHeight="false" outlineLevel="0" collapsed="false">
      <c r="A4668" s="31" t="n">
        <v>42930.4166666667</v>
      </c>
      <c r="B4668" s="32" t="n">
        <v>197.407</v>
      </c>
      <c r="D4668" s="33" t="n">
        <f aca="false">WEEKDAY(A4668,2)</f>
        <v>5</v>
      </c>
      <c r="E4668" s="33" t="n">
        <f aca="false">HOUR(A4668)+MINUTE(A4668)/60</f>
        <v>10</v>
      </c>
      <c r="F4668" s="33" t="n">
        <f aca="false">IF(OR(D4668&gt;5,E4668&lt;8,E4668&gt;=18,COUNTIF($K$2:$K$10,INT(A4668))&gt;0),1,0)</f>
        <v>0</v>
      </c>
      <c r="G4668" s="34" t="n">
        <f aca="false">B4668/1</f>
        <v>197.407</v>
      </c>
      <c r="H4668" s="34" t="str">
        <f aca="false">IF(F4668=1,G4668,"")</f>
        <v/>
      </c>
    </row>
    <row r="4669" customFormat="false" ht="15" hidden="false" customHeight="false" outlineLevel="0" collapsed="false">
      <c r="A4669" s="31" t="n">
        <v>42930.4583333333</v>
      </c>
      <c r="B4669" s="32" t="n">
        <v>198.449</v>
      </c>
      <c r="D4669" s="33" t="n">
        <f aca="false">WEEKDAY(A4669,2)</f>
        <v>5</v>
      </c>
      <c r="E4669" s="33" t="n">
        <f aca="false">HOUR(A4669)+MINUTE(A4669)/60</f>
        <v>11</v>
      </c>
      <c r="F4669" s="33" t="n">
        <f aca="false">IF(OR(D4669&gt;5,E4669&lt;8,E4669&gt;=18,COUNTIF($K$2:$K$10,INT(A4669))&gt;0),1,0)</f>
        <v>0</v>
      </c>
      <c r="G4669" s="34" t="n">
        <f aca="false">B4669/1</f>
        <v>198.449</v>
      </c>
      <c r="H4669" s="34" t="str">
        <f aca="false">IF(F4669=1,G4669,"")</f>
        <v/>
      </c>
    </row>
    <row r="4670" customFormat="false" ht="15" hidden="false" customHeight="false" outlineLevel="0" collapsed="false">
      <c r="A4670" s="31" t="n">
        <v>42930.5</v>
      </c>
      <c r="B4670" s="32" t="n">
        <v>205.715</v>
      </c>
      <c r="D4670" s="33" t="n">
        <f aca="false">WEEKDAY(A4670,2)</f>
        <v>5</v>
      </c>
      <c r="E4670" s="33" t="n">
        <f aca="false">HOUR(A4670)+MINUTE(A4670)/60</f>
        <v>12</v>
      </c>
      <c r="F4670" s="33" t="n">
        <f aca="false">IF(OR(D4670&gt;5,E4670&lt;8,E4670&gt;=18,COUNTIF($K$2:$K$10,INT(A4670))&gt;0),1,0)</f>
        <v>0</v>
      </c>
      <c r="G4670" s="34" t="n">
        <f aca="false">B4670/1</f>
        <v>205.715</v>
      </c>
      <c r="H4670" s="34" t="str">
        <f aca="false">IF(F4670=1,G4670,"")</f>
        <v/>
      </c>
    </row>
    <row r="4671" customFormat="false" ht="15" hidden="false" customHeight="false" outlineLevel="0" collapsed="false">
      <c r="A4671" s="31" t="n">
        <v>42930.5416666667</v>
      </c>
      <c r="B4671" s="32" t="n">
        <v>199.951</v>
      </c>
      <c r="D4671" s="33" t="n">
        <f aca="false">WEEKDAY(A4671,2)</f>
        <v>5</v>
      </c>
      <c r="E4671" s="33" t="n">
        <f aca="false">HOUR(A4671)+MINUTE(A4671)/60</f>
        <v>13</v>
      </c>
      <c r="F4671" s="33" t="n">
        <f aca="false">IF(OR(D4671&gt;5,E4671&lt;8,E4671&gt;=18,COUNTIF($K$2:$K$10,INT(A4671))&gt;0),1,0)</f>
        <v>0</v>
      </c>
      <c r="G4671" s="34" t="n">
        <f aca="false">B4671/1</f>
        <v>199.951</v>
      </c>
      <c r="H4671" s="34" t="str">
        <f aca="false">IF(F4671=1,G4671,"")</f>
        <v/>
      </c>
    </row>
    <row r="4672" customFormat="false" ht="15" hidden="false" customHeight="false" outlineLevel="0" collapsed="false">
      <c r="A4672" s="31" t="n">
        <v>42930.5833333333</v>
      </c>
      <c r="B4672" s="32" t="n">
        <v>199.427</v>
      </c>
      <c r="D4672" s="33" t="n">
        <f aca="false">WEEKDAY(A4672,2)</f>
        <v>5</v>
      </c>
      <c r="E4672" s="33" t="n">
        <f aca="false">HOUR(A4672)+MINUTE(A4672)/60</f>
        <v>14</v>
      </c>
      <c r="F4672" s="33" t="n">
        <f aca="false">IF(OR(D4672&gt;5,E4672&lt;8,E4672&gt;=18,COUNTIF($K$2:$K$10,INT(A4672))&gt;0),1,0)</f>
        <v>0</v>
      </c>
      <c r="G4672" s="34" t="n">
        <f aca="false">B4672/1</f>
        <v>199.427</v>
      </c>
      <c r="H4672" s="34" t="str">
        <f aca="false">IF(F4672=1,G4672,"")</f>
        <v/>
      </c>
    </row>
    <row r="4673" customFormat="false" ht="15" hidden="false" customHeight="false" outlineLevel="0" collapsed="false">
      <c r="A4673" s="31" t="n">
        <v>42930.625</v>
      </c>
      <c r="B4673" s="32" t="n">
        <v>194.679</v>
      </c>
      <c r="D4673" s="33" t="n">
        <f aca="false">WEEKDAY(A4673,2)</f>
        <v>5</v>
      </c>
      <c r="E4673" s="33" t="n">
        <f aca="false">HOUR(A4673)+MINUTE(A4673)/60</f>
        <v>15</v>
      </c>
      <c r="F4673" s="33" t="n">
        <f aca="false">IF(OR(D4673&gt;5,E4673&lt;8,E4673&gt;=18,COUNTIF($K$2:$K$10,INT(A4673))&gt;0),1,0)</f>
        <v>0</v>
      </c>
      <c r="G4673" s="34" t="n">
        <f aca="false">B4673/1</f>
        <v>194.679</v>
      </c>
      <c r="H4673" s="34" t="str">
        <f aca="false">IF(F4673=1,G4673,"")</f>
        <v/>
      </c>
    </row>
    <row r="4674" customFormat="false" ht="15" hidden="false" customHeight="false" outlineLevel="0" collapsed="false">
      <c r="A4674" s="31" t="n">
        <v>42930.6666666667</v>
      </c>
      <c r="B4674" s="32" t="n">
        <v>194.66</v>
      </c>
      <c r="D4674" s="33" t="n">
        <f aca="false">WEEKDAY(A4674,2)</f>
        <v>5</v>
      </c>
      <c r="E4674" s="33" t="n">
        <f aca="false">HOUR(A4674)+MINUTE(A4674)/60</f>
        <v>16</v>
      </c>
      <c r="F4674" s="33" t="n">
        <f aca="false">IF(OR(D4674&gt;5,E4674&lt;8,E4674&gt;=18,COUNTIF($K$2:$K$10,INT(A4674))&gt;0),1,0)</f>
        <v>0</v>
      </c>
      <c r="G4674" s="34" t="n">
        <f aca="false">B4674/1</f>
        <v>194.66</v>
      </c>
      <c r="H4674" s="34" t="str">
        <f aca="false">IF(F4674=1,G4674,"")</f>
        <v/>
      </c>
    </row>
    <row r="4675" customFormat="false" ht="15" hidden="false" customHeight="false" outlineLevel="0" collapsed="false">
      <c r="A4675" s="31" t="n">
        <v>42930.7083333333</v>
      </c>
      <c r="B4675" s="32" t="n">
        <v>184.168</v>
      </c>
      <c r="D4675" s="33" t="n">
        <f aca="false">WEEKDAY(A4675,2)</f>
        <v>5</v>
      </c>
      <c r="E4675" s="33" t="n">
        <f aca="false">HOUR(A4675)+MINUTE(A4675)/60</f>
        <v>17</v>
      </c>
      <c r="F4675" s="33" t="n">
        <f aca="false">IF(OR(D4675&gt;5,E4675&lt;8,E4675&gt;=18,COUNTIF($K$2:$K$10,INT(A4675))&gt;0),1,0)</f>
        <v>0</v>
      </c>
      <c r="G4675" s="34" t="n">
        <f aca="false">B4675/1</f>
        <v>184.168</v>
      </c>
      <c r="H4675" s="34" t="str">
        <f aca="false">IF(F4675=1,G4675,"")</f>
        <v/>
      </c>
    </row>
    <row r="4676" customFormat="false" ht="15" hidden="false" customHeight="false" outlineLevel="0" collapsed="false">
      <c r="A4676" s="31" t="n">
        <v>42930.75</v>
      </c>
      <c r="B4676" s="32" t="n">
        <v>172.651</v>
      </c>
      <c r="D4676" s="33" t="n">
        <f aca="false">WEEKDAY(A4676,2)</f>
        <v>5</v>
      </c>
      <c r="E4676" s="33" t="n">
        <f aca="false">HOUR(A4676)+MINUTE(A4676)/60</f>
        <v>18</v>
      </c>
      <c r="F4676" s="33" t="n">
        <f aca="false">IF(OR(D4676&gt;5,E4676&lt;8,E4676&gt;=18,COUNTIF($K$2:$K$10,INT(A4676))&gt;0),1,0)</f>
        <v>1</v>
      </c>
      <c r="G4676" s="34" t="n">
        <f aca="false">B4676/1</f>
        <v>172.651</v>
      </c>
      <c r="H4676" s="34" t="n">
        <f aca="false">IF(F4676=1,G4676,"")</f>
        <v>172.651</v>
      </c>
    </row>
    <row r="4677" customFormat="false" ht="15" hidden="false" customHeight="false" outlineLevel="0" collapsed="false">
      <c r="A4677" s="31" t="n">
        <v>42930.7916666667</v>
      </c>
      <c r="B4677" s="32" t="n">
        <v>169.297</v>
      </c>
      <c r="D4677" s="33" t="n">
        <f aca="false">WEEKDAY(A4677,2)</f>
        <v>5</v>
      </c>
      <c r="E4677" s="33" t="n">
        <f aca="false">HOUR(A4677)+MINUTE(A4677)/60</f>
        <v>19</v>
      </c>
      <c r="F4677" s="33" t="n">
        <f aca="false">IF(OR(D4677&gt;5,E4677&lt;8,E4677&gt;=18,COUNTIF($K$2:$K$10,INT(A4677))&gt;0),1,0)</f>
        <v>1</v>
      </c>
      <c r="G4677" s="34" t="n">
        <f aca="false">B4677/1</f>
        <v>169.297</v>
      </c>
      <c r="H4677" s="34" t="n">
        <f aca="false">IF(F4677=1,G4677,"")</f>
        <v>169.297</v>
      </c>
    </row>
    <row r="4678" customFormat="false" ht="15" hidden="false" customHeight="false" outlineLevel="0" collapsed="false">
      <c r="A4678" s="31" t="n">
        <v>42930.8333333333</v>
      </c>
      <c r="B4678" s="32" t="n">
        <v>167.06</v>
      </c>
      <c r="D4678" s="33" t="n">
        <f aca="false">WEEKDAY(A4678,2)</f>
        <v>5</v>
      </c>
      <c r="E4678" s="33" t="n">
        <f aca="false">HOUR(A4678)+MINUTE(A4678)/60</f>
        <v>20</v>
      </c>
      <c r="F4678" s="33" t="n">
        <f aca="false">IF(OR(D4678&gt;5,E4678&lt;8,E4678&gt;=18,COUNTIF($K$2:$K$10,INT(A4678))&gt;0),1,0)</f>
        <v>1</v>
      </c>
      <c r="G4678" s="34" t="n">
        <f aca="false">B4678/1</f>
        <v>167.06</v>
      </c>
      <c r="H4678" s="34" t="n">
        <f aca="false">IF(F4678=1,G4678,"")</f>
        <v>167.06</v>
      </c>
    </row>
    <row r="4679" customFormat="false" ht="15" hidden="false" customHeight="false" outlineLevel="0" collapsed="false">
      <c r="A4679" s="31" t="n">
        <v>42930.875</v>
      </c>
      <c r="B4679" s="32" t="n">
        <v>163.497</v>
      </c>
      <c r="D4679" s="33" t="n">
        <f aca="false">WEEKDAY(A4679,2)</f>
        <v>5</v>
      </c>
      <c r="E4679" s="33" t="n">
        <f aca="false">HOUR(A4679)+MINUTE(A4679)/60</f>
        <v>21</v>
      </c>
      <c r="F4679" s="33" t="n">
        <f aca="false">IF(OR(D4679&gt;5,E4679&lt;8,E4679&gt;=18,COUNTIF($K$2:$K$10,INT(A4679))&gt;0),1,0)</f>
        <v>1</v>
      </c>
      <c r="G4679" s="34" t="n">
        <f aca="false">B4679/1</f>
        <v>163.497</v>
      </c>
      <c r="H4679" s="34" t="n">
        <f aca="false">IF(F4679=1,G4679,"")</f>
        <v>163.497</v>
      </c>
    </row>
    <row r="4680" customFormat="false" ht="15" hidden="false" customHeight="false" outlineLevel="0" collapsed="false">
      <c r="A4680" s="31" t="n">
        <v>42930.9166666667</v>
      </c>
      <c r="B4680" s="32" t="n">
        <v>113.338</v>
      </c>
      <c r="D4680" s="33" t="n">
        <f aca="false">WEEKDAY(A4680,2)</f>
        <v>5</v>
      </c>
      <c r="E4680" s="33" t="n">
        <f aca="false">HOUR(A4680)+MINUTE(A4680)/60</f>
        <v>22</v>
      </c>
      <c r="F4680" s="33" t="n">
        <f aca="false">IF(OR(D4680&gt;5,E4680&lt;8,E4680&gt;=18,COUNTIF($K$2:$K$10,INT(A4680))&gt;0),1,0)</f>
        <v>1</v>
      </c>
      <c r="G4680" s="34" t="n">
        <f aca="false">B4680/1</f>
        <v>113.338</v>
      </c>
      <c r="H4680" s="34" t="n">
        <f aca="false">IF(F4680=1,G4680,"")</f>
        <v>113.338</v>
      </c>
    </row>
    <row r="4681" customFormat="false" ht="15" hidden="false" customHeight="false" outlineLevel="0" collapsed="false">
      <c r="A4681" s="31" t="n">
        <v>42930.9583333333</v>
      </c>
      <c r="B4681" s="32" t="n">
        <v>56.9</v>
      </c>
      <c r="D4681" s="33" t="n">
        <f aca="false">WEEKDAY(A4681,2)</f>
        <v>5</v>
      </c>
      <c r="E4681" s="33" t="n">
        <f aca="false">HOUR(A4681)+MINUTE(A4681)/60</f>
        <v>23</v>
      </c>
      <c r="F4681" s="33" t="n">
        <f aca="false">IF(OR(D4681&gt;5,E4681&lt;8,E4681&gt;=18,COUNTIF($K$2:$K$10,INT(A4681))&gt;0),1,0)</f>
        <v>1</v>
      </c>
      <c r="G4681" s="34" t="n">
        <f aca="false">B4681/1</f>
        <v>56.9</v>
      </c>
      <c r="H4681" s="34" t="n">
        <f aca="false">IF(F4681=1,G4681,"")</f>
        <v>56.9</v>
      </c>
    </row>
    <row r="4682" customFormat="false" ht="15" hidden="false" customHeight="false" outlineLevel="0" collapsed="false">
      <c r="A4682" s="31" t="n">
        <v>42931</v>
      </c>
      <c r="B4682" s="32" t="n">
        <v>58.973</v>
      </c>
      <c r="D4682" s="33" t="n">
        <f aca="false">WEEKDAY(A4682,2)</f>
        <v>6</v>
      </c>
      <c r="E4682" s="33" t="n">
        <f aca="false">HOUR(A4682)+MINUTE(A4682)/60</f>
        <v>0</v>
      </c>
      <c r="F4682" s="33" t="n">
        <f aca="false">IF(OR(D4682&gt;5,E4682&lt;8,E4682&gt;=18,COUNTIF($K$2:$K$10,INT(A4682))&gt;0),1,0)</f>
        <v>1</v>
      </c>
      <c r="G4682" s="34" t="n">
        <f aca="false">B4682/1</f>
        <v>58.973</v>
      </c>
      <c r="H4682" s="34" t="n">
        <f aca="false">IF(F4682=1,G4682,"")</f>
        <v>58.973</v>
      </c>
    </row>
    <row r="4683" customFormat="false" ht="15" hidden="false" customHeight="false" outlineLevel="0" collapsed="false">
      <c r="A4683" s="31" t="n">
        <v>42931.0416666667</v>
      </c>
      <c r="B4683" s="32" t="n">
        <v>56.057</v>
      </c>
      <c r="D4683" s="33" t="n">
        <f aca="false">WEEKDAY(A4683,2)</f>
        <v>6</v>
      </c>
      <c r="E4683" s="33" t="n">
        <f aca="false">HOUR(A4683)+MINUTE(A4683)/60</f>
        <v>1</v>
      </c>
      <c r="F4683" s="33" t="n">
        <f aca="false">IF(OR(D4683&gt;5,E4683&lt;8,E4683&gt;=18,COUNTIF($K$2:$K$10,INT(A4683))&gt;0),1,0)</f>
        <v>1</v>
      </c>
      <c r="G4683" s="34" t="n">
        <f aca="false">B4683/1</f>
        <v>56.057</v>
      </c>
      <c r="H4683" s="34" t="n">
        <f aca="false">IF(F4683=1,G4683,"")</f>
        <v>56.057</v>
      </c>
    </row>
    <row r="4684" customFormat="false" ht="15" hidden="false" customHeight="false" outlineLevel="0" collapsed="false">
      <c r="A4684" s="31" t="n">
        <v>42931.0833333333</v>
      </c>
      <c r="B4684" s="32" t="n">
        <v>53.279</v>
      </c>
      <c r="D4684" s="33" t="n">
        <f aca="false">WEEKDAY(A4684,2)</f>
        <v>6</v>
      </c>
      <c r="E4684" s="33" t="n">
        <f aca="false">HOUR(A4684)+MINUTE(A4684)/60</f>
        <v>2</v>
      </c>
      <c r="F4684" s="33" t="n">
        <f aca="false">IF(OR(D4684&gt;5,E4684&lt;8,E4684&gt;=18,COUNTIF($K$2:$K$10,INT(A4684))&gt;0),1,0)</f>
        <v>1</v>
      </c>
      <c r="G4684" s="34" t="n">
        <f aca="false">B4684/1</f>
        <v>53.279</v>
      </c>
      <c r="H4684" s="34" t="n">
        <f aca="false">IF(F4684=1,G4684,"")</f>
        <v>53.279</v>
      </c>
    </row>
    <row r="4685" customFormat="false" ht="15" hidden="false" customHeight="false" outlineLevel="0" collapsed="false">
      <c r="A4685" s="31" t="n">
        <v>42931.125</v>
      </c>
      <c r="B4685" s="32" t="n">
        <v>56.059</v>
      </c>
      <c r="D4685" s="33" t="n">
        <f aca="false">WEEKDAY(A4685,2)</f>
        <v>6</v>
      </c>
      <c r="E4685" s="33" t="n">
        <f aca="false">HOUR(A4685)+MINUTE(A4685)/60</f>
        <v>3</v>
      </c>
      <c r="F4685" s="33" t="n">
        <f aca="false">IF(OR(D4685&gt;5,E4685&lt;8,E4685&gt;=18,COUNTIF($K$2:$K$10,INT(A4685))&gt;0),1,0)</f>
        <v>1</v>
      </c>
      <c r="G4685" s="34" t="n">
        <f aca="false">B4685/1</f>
        <v>56.059</v>
      </c>
      <c r="H4685" s="34" t="n">
        <f aca="false">IF(F4685=1,G4685,"")</f>
        <v>56.059</v>
      </c>
    </row>
    <row r="4686" customFormat="false" ht="15" hidden="false" customHeight="false" outlineLevel="0" collapsed="false">
      <c r="A4686" s="31" t="n">
        <v>42931.1666666667</v>
      </c>
      <c r="B4686" s="32" t="n">
        <v>56.44</v>
      </c>
      <c r="D4686" s="33" t="n">
        <f aca="false">WEEKDAY(A4686,2)</f>
        <v>6</v>
      </c>
      <c r="E4686" s="33" t="n">
        <f aca="false">HOUR(A4686)+MINUTE(A4686)/60</f>
        <v>4</v>
      </c>
      <c r="F4686" s="33" t="n">
        <f aca="false">IF(OR(D4686&gt;5,E4686&lt;8,E4686&gt;=18,COUNTIF($K$2:$K$10,INT(A4686))&gt;0),1,0)</f>
        <v>1</v>
      </c>
      <c r="G4686" s="34" t="n">
        <f aca="false">B4686/1</f>
        <v>56.44</v>
      </c>
      <c r="H4686" s="34" t="n">
        <f aca="false">IF(F4686=1,G4686,"")</f>
        <v>56.44</v>
      </c>
    </row>
    <row r="4687" customFormat="false" ht="15" hidden="false" customHeight="false" outlineLevel="0" collapsed="false">
      <c r="A4687" s="31" t="n">
        <v>42931.2083333333</v>
      </c>
      <c r="B4687" s="32" t="n">
        <v>52.406</v>
      </c>
      <c r="D4687" s="33" t="n">
        <f aca="false">WEEKDAY(A4687,2)</f>
        <v>6</v>
      </c>
      <c r="E4687" s="33" t="n">
        <f aca="false">HOUR(A4687)+MINUTE(A4687)/60</f>
        <v>5</v>
      </c>
      <c r="F4687" s="33" t="n">
        <f aca="false">IF(OR(D4687&gt;5,E4687&lt;8,E4687&gt;=18,COUNTIF($K$2:$K$10,INT(A4687))&gt;0),1,0)</f>
        <v>1</v>
      </c>
      <c r="G4687" s="34" t="n">
        <f aca="false">B4687/1</f>
        <v>52.406</v>
      </c>
      <c r="H4687" s="34" t="n">
        <f aca="false">IF(F4687=1,G4687,"")</f>
        <v>52.406</v>
      </c>
    </row>
    <row r="4688" customFormat="false" ht="15" hidden="false" customHeight="false" outlineLevel="0" collapsed="false">
      <c r="A4688" s="31" t="n">
        <v>42931.25</v>
      </c>
      <c r="B4688" s="32" t="n">
        <v>60.592</v>
      </c>
      <c r="D4688" s="33" t="n">
        <f aca="false">WEEKDAY(A4688,2)</f>
        <v>6</v>
      </c>
      <c r="E4688" s="33" t="n">
        <f aca="false">HOUR(A4688)+MINUTE(A4688)/60</f>
        <v>6</v>
      </c>
      <c r="F4688" s="33" t="n">
        <f aca="false">IF(OR(D4688&gt;5,E4688&lt;8,E4688&gt;=18,COUNTIF($K$2:$K$10,INT(A4688))&gt;0),1,0)</f>
        <v>1</v>
      </c>
      <c r="G4688" s="34" t="n">
        <f aca="false">B4688/1</f>
        <v>60.592</v>
      </c>
      <c r="H4688" s="34" t="n">
        <f aca="false">IF(F4688=1,G4688,"")</f>
        <v>60.592</v>
      </c>
    </row>
    <row r="4689" customFormat="false" ht="15" hidden="false" customHeight="false" outlineLevel="0" collapsed="false">
      <c r="A4689" s="31" t="n">
        <v>42931.2916666667</v>
      </c>
      <c r="B4689" s="32" t="n">
        <v>57.407</v>
      </c>
      <c r="D4689" s="33" t="n">
        <f aca="false">WEEKDAY(A4689,2)</f>
        <v>6</v>
      </c>
      <c r="E4689" s="33" t="n">
        <f aca="false">HOUR(A4689)+MINUTE(A4689)/60</f>
        <v>7</v>
      </c>
      <c r="F4689" s="33" t="n">
        <f aca="false">IF(OR(D4689&gt;5,E4689&lt;8,E4689&gt;=18,COUNTIF($K$2:$K$10,INT(A4689))&gt;0),1,0)</f>
        <v>1</v>
      </c>
      <c r="G4689" s="34" t="n">
        <f aca="false">B4689/1</f>
        <v>57.407</v>
      </c>
      <c r="H4689" s="34" t="n">
        <f aca="false">IF(F4689=1,G4689,"")</f>
        <v>57.407</v>
      </c>
    </row>
    <row r="4690" customFormat="false" ht="15" hidden="false" customHeight="false" outlineLevel="0" collapsed="false">
      <c r="A4690" s="31" t="n">
        <v>42931.3333333333</v>
      </c>
      <c r="B4690" s="32" t="n">
        <v>124.314</v>
      </c>
      <c r="D4690" s="33" t="n">
        <f aca="false">WEEKDAY(A4690,2)</f>
        <v>6</v>
      </c>
      <c r="E4690" s="33" t="n">
        <f aca="false">HOUR(A4690)+MINUTE(A4690)/60</f>
        <v>8</v>
      </c>
      <c r="F4690" s="33" t="n">
        <f aca="false">IF(OR(D4690&gt;5,E4690&lt;8,E4690&gt;=18,COUNTIF($K$2:$K$10,INT(A4690))&gt;0),1,0)</f>
        <v>1</v>
      </c>
      <c r="G4690" s="34" t="n">
        <f aca="false">B4690/1</f>
        <v>124.314</v>
      </c>
      <c r="H4690" s="34" t="n">
        <f aca="false">IF(F4690=1,G4690,"")</f>
        <v>124.314</v>
      </c>
    </row>
    <row r="4691" customFormat="false" ht="15" hidden="false" customHeight="false" outlineLevel="0" collapsed="false">
      <c r="A4691" s="31" t="n">
        <v>42931.375</v>
      </c>
      <c r="B4691" s="32" t="n">
        <v>180.54</v>
      </c>
      <c r="D4691" s="33" t="n">
        <f aca="false">WEEKDAY(A4691,2)</f>
        <v>6</v>
      </c>
      <c r="E4691" s="33" t="n">
        <f aca="false">HOUR(A4691)+MINUTE(A4691)/60</f>
        <v>9</v>
      </c>
      <c r="F4691" s="33" t="n">
        <f aca="false">IF(OR(D4691&gt;5,E4691&lt;8,E4691&gt;=18,COUNTIF($K$2:$K$10,INT(A4691))&gt;0),1,0)</f>
        <v>1</v>
      </c>
      <c r="G4691" s="34" t="n">
        <f aca="false">B4691/1</f>
        <v>180.54</v>
      </c>
      <c r="H4691" s="34" t="n">
        <f aca="false">IF(F4691=1,G4691,"")</f>
        <v>180.54</v>
      </c>
    </row>
    <row r="4692" customFormat="false" ht="15" hidden="false" customHeight="false" outlineLevel="0" collapsed="false">
      <c r="A4692" s="31" t="n">
        <v>42931.4166666667</v>
      </c>
      <c r="B4692" s="32" t="n">
        <v>187.932</v>
      </c>
      <c r="D4692" s="33" t="n">
        <f aca="false">WEEKDAY(A4692,2)</f>
        <v>6</v>
      </c>
      <c r="E4692" s="33" t="n">
        <f aca="false">HOUR(A4692)+MINUTE(A4692)/60</f>
        <v>10</v>
      </c>
      <c r="F4692" s="33" t="n">
        <f aca="false">IF(OR(D4692&gt;5,E4692&lt;8,E4692&gt;=18,COUNTIF($K$2:$K$10,INT(A4692))&gt;0),1,0)</f>
        <v>1</v>
      </c>
      <c r="G4692" s="34" t="n">
        <f aca="false">B4692/1</f>
        <v>187.932</v>
      </c>
      <c r="H4692" s="34" t="n">
        <f aca="false">IF(F4692=1,G4692,"")</f>
        <v>187.932</v>
      </c>
    </row>
    <row r="4693" customFormat="false" ht="15" hidden="false" customHeight="false" outlineLevel="0" collapsed="false">
      <c r="A4693" s="31" t="n">
        <v>42931.4583333333</v>
      </c>
      <c r="B4693" s="32" t="n">
        <v>190.327</v>
      </c>
      <c r="D4693" s="33" t="n">
        <f aca="false">WEEKDAY(A4693,2)</f>
        <v>6</v>
      </c>
      <c r="E4693" s="33" t="n">
        <f aca="false">HOUR(A4693)+MINUTE(A4693)/60</f>
        <v>11</v>
      </c>
      <c r="F4693" s="33" t="n">
        <f aca="false">IF(OR(D4693&gt;5,E4693&lt;8,E4693&gt;=18,COUNTIF($K$2:$K$10,INT(A4693))&gt;0),1,0)</f>
        <v>1</v>
      </c>
      <c r="G4693" s="34" t="n">
        <f aca="false">B4693/1</f>
        <v>190.327</v>
      </c>
      <c r="H4693" s="34" t="n">
        <f aca="false">IF(F4693=1,G4693,"")</f>
        <v>190.327</v>
      </c>
    </row>
    <row r="4694" customFormat="false" ht="15" hidden="false" customHeight="false" outlineLevel="0" collapsed="false">
      <c r="A4694" s="31" t="n">
        <v>42931.5</v>
      </c>
      <c r="B4694" s="32" t="n">
        <v>193.363</v>
      </c>
      <c r="D4694" s="33" t="n">
        <f aca="false">WEEKDAY(A4694,2)</f>
        <v>6</v>
      </c>
      <c r="E4694" s="33" t="n">
        <f aca="false">HOUR(A4694)+MINUTE(A4694)/60</f>
        <v>12</v>
      </c>
      <c r="F4694" s="33" t="n">
        <f aca="false">IF(OR(D4694&gt;5,E4694&lt;8,E4694&gt;=18,COUNTIF($K$2:$K$10,INT(A4694))&gt;0),1,0)</f>
        <v>1</v>
      </c>
      <c r="G4694" s="34" t="n">
        <f aca="false">B4694/1</f>
        <v>193.363</v>
      </c>
      <c r="H4694" s="34" t="n">
        <f aca="false">IF(F4694=1,G4694,"")</f>
        <v>193.363</v>
      </c>
    </row>
    <row r="4695" customFormat="false" ht="15" hidden="false" customHeight="false" outlineLevel="0" collapsed="false">
      <c r="A4695" s="31" t="n">
        <v>42931.5416666667</v>
      </c>
      <c r="B4695" s="32" t="n">
        <v>194.699</v>
      </c>
      <c r="D4695" s="33" t="n">
        <f aca="false">WEEKDAY(A4695,2)</f>
        <v>6</v>
      </c>
      <c r="E4695" s="33" t="n">
        <f aca="false">HOUR(A4695)+MINUTE(A4695)/60</f>
        <v>13</v>
      </c>
      <c r="F4695" s="33" t="n">
        <f aca="false">IF(OR(D4695&gt;5,E4695&lt;8,E4695&gt;=18,COUNTIF($K$2:$K$10,INT(A4695))&gt;0),1,0)</f>
        <v>1</v>
      </c>
      <c r="G4695" s="34" t="n">
        <f aca="false">B4695/1</f>
        <v>194.699</v>
      </c>
      <c r="H4695" s="34" t="n">
        <f aca="false">IF(F4695=1,G4695,"")</f>
        <v>194.699</v>
      </c>
    </row>
    <row r="4696" customFormat="false" ht="15" hidden="false" customHeight="false" outlineLevel="0" collapsed="false">
      <c r="A4696" s="31" t="n">
        <v>42931.5833333333</v>
      </c>
      <c r="B4696" s="32" t="n">
        <v>196.476</v>
      </c>
      <c r="D4696" s="33" t="n">
        <f aca="false">WEEKDAY(A4696,2)</f>
        <v>6</v>
      </c>
      <c r="E4696" s="33" t="n">
        <f aca="false">HOUR(A4696)+MINUTE(A4696)/60</f>
        <v>14</v>
      </c>
      <c r="F4696" s="33" t="n">
        <f aca="false">IF(OR(D4696&gt;5,E4696&lt;8,E4696&gt;=18,COUNTIF($K$2:$K$10,INT(A4696))&gt;0),1,0)</f>
        <v>1</v>
      </c>
      <c r="G4696" s="34" t="n">
        <f aca="false">B4696/1</f>
        <v>196.476</v>
      </c>
      <c r="H4696" s="34" t="n">
        <f aca="false">IF(F4696=1,G4696,"")</f>
        <v>196.476</v>
      </c>
    </row>
    <row r="4697" customFormat="false" ht="15" hidden="false" customHeight="false" outlineLevel="0" collapsed="false">
      <c r="A4697" s="31" t="n">
        <v>42931.625</v>
      </c>
      <c r="B4697" s="32" t="n">
        <v>196.926</v>
      </c>
      <c r="D4697" s="33" t="n">
        <f aca="false">WEEKDAY(A4697,2)</f>
        <v>6</v>
      </c>
      <c r="E4697" s="33" t="n">
        <f aca="false">HOUR(A4697)+MINUTE(A4697)/60</f>
        <v>15</v>
      </c>
      <c r="F4697" s="33" t="n">
        <f aca="false">IF(OR(D4697&gt;5,E4697&lt;8,E4697&gt;=18,COUNTIF($K$2:$K$10,INT(A4697))&gt;0),1,0)</f>
        <v>1</v>
      </c>
      <c r="G4697" s="34" t="n">
        <f aca="false">B4697/1</f>
        <v>196.926</v>
      </c>
      <c r="H4697" s="34" t="n">
        <f aca="false">IF(F4697=1,G4697,"")</f>
        <v>196.926</v>
      </c>
    </row>
    <row r="4698" customFormat="false" ht="15" hidden="false" customHeight="false" outlineLevel="0" collapsed="false">
      <c r="A4698" s="31" t="n">
        <v>42931.6666666667</v>
      </c>
      <c r="B4698" s="32" t="n">
        <v>193.229</v>
      </c>
      <c r="D4698" s="33" t="n">
        <f aca="false">WEEKDAY(A4698,2)</f>
        <v>6</v>
      </c>
      <c r="E4698" s="33" t="n">
        <f aca="false">HOUR(A4698)+MINUTE(A4698)/60</f>
        <v>16</v>
      </c>
      <c r="F4698" s="33" t="n">
        <f aca="false">IF(OR(D4698&gt;5,E4698&lt;8,E4698&gt;=18,COUNTIF($K$2:$K$10,INT(A4698))&gt;0),1,0)</f>
        <v>1</v>
      </c>
      <c r="G4698" s="34" t="n">
        <f aca="false">B4698/1</f>
        <v>193.229</v>
      </c>
      <c r="H4698" s="34" t="n">
        <f aca="false">IF(F4698=1,G4698,"")</f>
        <v>193.229</v>
      </c>
    </row>
    <row r="4699" customFormat="false" ht="15" hidden="false" customHeight="false" outlineLevel="0" collapsed="false">
      <c r="A4699" s="31" t="n">
        <v>42931.7083333333</v>
      </c>
      <c r="B4699" s="32" t="n">
        <v>192.919</v>
      </c>
      <c r="D4699" s="33" t="n">
        <f aca="false">WEEKDAY(A4699,2)</f>
        <v>6</v>
      </c>
      <c r="E4699" s="33" t="n">
        <f aca="false">HOUR(A4699)+MINUTE(A4699)/60</f>
        <v>17</v>
      </c>
      <c r="F4699" s="33" t="n">
        <f aca="false">IF(OR(D4699&gt;5,E4699&lt;8,E4699&gt;=18,COUNTIF($K$2:$K$10,INT(A4699))&gt;0),1,0)</f>
        <v>1</v>
      </c>
      <c r="G4699" s="34" t="n">
        <f aca="false">B4699/1</f>
        <v>192.919</v>
      </c>
      <c r="H4699" s="34" t="n">
        <f aca="false">IF(F4699=1,G4699,"")</f>
        <v>192.919</v>
      </c>
    </row>
    <row r="4700" customFormat="false" ht="15" hidden="false" customHeight="false" outlineLevel="0" collapsed="false">
      <c r="A4700" s="31" t="n">
        <v>42931.75</v>
      </c>
      <c r="B4700" s="32" t="n">
        <v>190.972</v>
      </c>
      <c r="D4700" s="33" t="n">
        <f aca="false">WEEKDAY(A4700,2)</f>
        <v>6</v>
      </c>
      <c r="E4700" s="33" t="n">
        <f aca="false">HOUR(A4700)+MINUTE(A4700)/60</f>
        <v>18</v>
      </c>
      <c r="F4700" s="33" t="n">
        <f aca="false">IF(OR(D4700&gt;5,E4700&lt;8,E4700&gt;=18,COUNTIF($K$2:$K$10,INT(A4700))&gt;0),1,0)</f>
        <v>1</v>
      </c>
      <c r="G4700" s="34" t="n">
        <f aca="false">B4700/1</f>
        <v>190.972</v>
      </c>
      <c r="H4700" s="34" t="n">
        <f aca="false">IF(F4700=1,G4700,"")</f>
        <v>190.972</v>
      </c>
    </row>
    <row r="4701" customFormat="false" ht="15" hidden="false" customHeight="false" outlineLevel="0" collapsed="false">
      <c r="A4701" s="31" t="n">
        <v>42931.7916666667</v>
      </c>
      <c r="B4701" s="32" t="n">
        <v>191.313</v>
      </c>
      <c r="D4701" s="33" t="n">
        <f aca="false">WEEKDAY(A4701,2)</f>
        <v>6</v>
      </c>
      <c r="E4701" s="33" t="n">
        <f aca="false">HOUR(A4701)+MINUTE(A4701)/60</f>
        <v>19</v>
      </c>
      <c r="F4701" s="33" t="n">
        <f aca="false">IF(OR(D4701&gt;5,E4701&lt;8,E4701&gt;=18,COUNTIF($K$2:$K$10,INT(A4701))&gt;0),1,0)</f>
        <v>1</v>
      </c>
      <c r="G4701" s="34" t="n">
        <f aca="false">B4701/1</f>
        <v>191.313</v>
      </c>
      <c r="H4701" s="34" t="n">
        <f aca="false">IF(F4701=1,G4701,"")</f>
        <v>191.313</v>
      </c>
    </row>
    <row r="4702" customFormat="false" ht="15" hidden="false" customHeight="false" outlineLevel="0" collapsed="false">
      <c r="A4702" s="31" t="n">
        <v>42931.8333333333</v>
      </c>
      <c r="B4702" s="32" t="n">
        <v>190.854</v>
      </c>
      <c r="D4702" s="33" t="n">
        <f aca="false">WEEKDAY(A4702,2)</f>
        <v>6</v>
      </c>
      <c r="E4702" s="33" t="n">
        <f aca="false">HOUR(A4702)+MINUTE(A4702)/60</f>
        <v>20</v>
      </c>
      <c r="F4702" s="33" t="n">
        <f aca="false">IF(OR(D4702&gt;5,E4702&lt;8,E4702&gt;=18,COUNTIF($K$2:$K$10,INT(A4702))&gt;0),1,0)</f>
        <v>1</v>
      </c>
      <c r="G4702" s="34" t="n">
        <f aca="false">B4702/1</f>
        <v>190.854</v>
      </c>
      <c r="H4702" s="34" t="n">
        <f aca="false">IF(F4702=1,G4702,"")</f>
        <v>190.854</v>
      </c>
    </row>
    <row r="4703" customFormat="false" ht="15" hidden="false" customHeight="false" outlineLevel="0" collapsed="false">
      <c r="A4703" s="31" t="n">
        <v>42931.875</v>
      </c>
      <c r="B4703" s="32" t="n">
        <v>189.769</v>
      </c>
      <c r="D4703" s="33" t="n">
        <f aca="false">WEEKDAY(A4703,2)</f>
        <v>6</v>
      </c>
      <c r="E4703" s="33" t="n">
        <f aca="false">HOUR(A4703)+MINUTE(A4703)/60</f>
        <v>21</v>
      </c>
      <c r="F4703" s="33" t="n">
        <f aca="false">IF(OR(D4703&gt;5,E4703&lt;8,E4703&gt;=18,COUNTIF($K$2:$K$10,INT(A4703))&gt;0),1,0)</f>
        <v>1</v>
      </c>
      <c r="G4703" s="34" t="n">
        <f aca="false">B4703/1</f>
        <v>189.769</v>
      </c>
      <c r="H4703" s="34" t="n">
        <f aca="false">IF(F4703=1,G4703,"")</f>
        <v>189.769</v>
      </c>
    </row>
    <row r="4704" customFormat="false" ht="15" hidden="false" customHeight="false" outlineLevel="0" collapsed="false">
      <c r="A4704" s="31" t="n">
        <v>42931.9166666667</v>
      </c>
      <c r="B4704" s="32" t="n">
        <v>123.694</v>
      </c>
      <c r="D4704" s="33" t="n">
        <f aca="false">WEEKDAY(A4704,2)</f>
        <v>6</v>
      </c>
      <c r="E4704" s="33" t="n">
        <f aca="false">HOUR(A4704)+MINUTE(A4704)/60</f>
        <v>22</v>
      </c>
      <c r="F4704" s="33" t="n">
        <f aca="false">IF(OR(D4704&gt;5,E4704&lt;8,E4704&gt;=18,COUNTIF($K$2:$K$10,INT(A4704))&gt;0),1,0)</f>
        <v>1</v>
      </c>
      <c r="G4704" s="34" t="n">
        <f aca="false">B4704/1</f>
        <v>123.694</v>
      </c>
      <c r="H4704" s="34" t="n">
        <f aca="false">IF(F4704=1,G4704,"")</f>
        <v>123.694</v>
      </c>
    </row>
    <row r="4705" customFormat="false" ht="15" hidden="false" customHeight="false" outlineLevel="0" collapsed="false">
      <c r="A4705" s="31" t="n">
        <v>42931.9583333333</v>
      </c>
      <c r="B4705" s="32" t="n">
        <v>74.79</v>
      </c>
      <c r="D4705" s="33" t="n">
        <f aca="false">WEEKDAY(A4705,2)</f>
        <v>6</v>
      </c>
      <c r="E4705" s="33" t="n">
        <f aca="false">HOUR(A4705)+MINUTE(A4705)/60</f>
        <v>23</v>
      </c>
      <c r="F4705" s="33" t="n">
        <f aca="false">IF(OR(D4705&gt;5,E4705&lt;8,E4705&gt;=18,COUNTIF($K$2:$K$10,INT(A4705))&gt;0),1,0)</f>
        <v>1</v>
      </c>
      <c r="G4705" s="34" t="n">
        <f aca="false">B4705/1</f>
        <v>74.79</v>
      </c>
      <c r="H4705" s="34" t="n">
        <f aca="false">IF(F4705=1,G4705,"")</f>
        <v>74.79</v>
      </c>
    </row>
    <row r="4706" customFormat="false" ht="15" hidden="false" customHeight="false" outlineLevel="0" collapsed="false">
      <c r="A4706" s="31" t="n">
        <v>42932</v>
      </c>
      <c r="B4706" s="32" t="n">
        <v>74.441</v>
      </c>
      <c r="D4706" s="33" t="n">
        <f aca="false">WEEKDAY(A4706,2)</f>
        <v>7</v>
      </c>
      <c r="E4706" s="33" t="n">
        <f aca="false">HOUR(A4706)+MINUTE(A4706)/60</f>
        <v>0</v>
      </c>
      <c r="F4706" s="33" t="n">
        <f aca="false">IF(OR(D4706&gt;5,E4706&lt;8,E4706&gt;=18,COUNTIF($K$2:$K$10,INT(A4706))&gt;0),1,0)</f>
        <v>1</v>
      </c>
      <c r="G4706" s="34" t="n">
        <f aca="false">B4706/1</f>
        <v>74.441</v>
      </c>
      <c r="H4706" s="34" t="n">
        <f aca="false">IF(F4706=1,G4706,"")</f>
        <v>74.441</v>
      </c>
    </row>
    <row r="4707" customFormat="false" ht="15" hidden="false" customHeight="false" outlineLevel="0" collapsed="false">
      <c r="A4707" s="31" t="n">
        <v>42932.0416666667</v>
      </c>
      <c r="B4707" s="32" t="n">
        <v>73.942</v>
      </c>
      <c r="D4707" s="33" t="n">
        <f aca="false">WEEKDAY(A4707,2)</f>
        <v>7</v>
      </c>
      <c r="E4707" s="33" t="n">
        <f aca="false">HOUR(A4707)+MINUTE(A4707)/60</f>
        <v>1</v>
      </c>
      <c r="F4707" s="33" t="n">
        <f aca="false">IF(OR(D4707&gt;5,E4707&lt;8,E4707&gt;=18,COUNTIF($K$2:$K$10,INT(A4707))&gt;0),1,0)</f>
        <v>1</v>
      </c>
      <c r="G4707" s="34" t="n">
        <f aca="false">B4707/1</f>
        <v>73.942</v>
      </c>
      <c r="H4707" s="34" t="n">
        <f aca="false">IF(F4707=1,G4707,"")</f>
        <v>73.942</v>
      </c>
    </row>
    <row r="4708" customFormat="false" ht="15" hidden="false" customHeight="false" outlineLevel="0" collapsed="false">
      <c r="A4708" s="31" t="n">
        <v>42932.0833333333</v>
      </c>
      <c r="B4708" s="32" t="n">
        <v>74.129</v>
      </c>
      <c r="D4708" s="33" t="n">
        <f aca="false">WEEKDAY(A4708,2)</f>
        <v>7</v>
      </c>
      <c r="E4708" s="33" t="n">
        <f aca="false">HOUR(A4708)+MINUTE(A4708)/60</f>
        <v>2</v>
      </c>
      <c r="F4708" s="33" t="n">
        <f aca="false">IF(OR(D4708&gt;5,E4708&lt;8,E4708&gt;=18,COUNTIF($K$2:$K$10,INT(A4708))&gt;0),1,0)</f>
        <v>1</v>
      </c>
      <c r="G4708" s="34" t="n">
        <f aca="false">B4708/1</f>
        <v>74.129</v>
      </c>
      <c r="H4708" s="34" t="n">
        <f aca="false">IF(F4708=1,G4708,"")</f>
        <v>74.129</v>
      </c>
    </row>
    <row r="4709" customFormat="false" ht="15" hidden="false" customHeight="false" outlineLevel="0" collapsed="false">
      <c r="A4709" s="31" t="n">
        <v>42932.125</v>
      </c>
      <c r="B4709" s="32" t="n">
        <v>74.823</v>
      </c>
      <c r="D4709" s="33" t="n">
        <f aca="false">WEEKDAY(A4709,2)</f>
        <v>7</v>
      </c>
      <c r="E4709" s="33" t="n">
        <f aca="false">HOUR(A4709)+MINUTE(A4709)/60</f>
        <v>3</v>
      </c>
      <c r="F4709" s="33" t="n">
        <f aca="false">IF(OR(D4709&gt;5,E4709&lt;8,E4709&gt;=18,COUNTIF($K$2:$K$10,INT(A4709))&gt;0),1,0)</f>
        <v>1</v>
      </c>
      <c r="G4709" s="34" t="n">
        <f aca="false">B4709/1</f>
        <v>74.823</v>
      </c>
      <c r="H4709" s="34" t="n">
        <f aca="false">IF(F4709=1,G4709,"")</f>
        <v>74.823</v>
      </c>
    </row>
    <row r="4710" customFormat="false" ht="15" hidden="false" customHeight="false" outlineLevel="0" collapsed="false">
      <c r="A4710" s="31" t="n">
        <v>42932.1666666667</v>
      </c>
      <c r="B4710" s="32" t="n">
        <v>73.973</v>
      </c>
      <c r="D4710" s="33" t="n">
        <f aca="false">WEEKDAY(A4710,2)</f>
        <v>7</v>
      </c>
      <c r="E4710" s="33" t="n">
        <f aca="false">HOUR(A4710)+MINUTE(A4710)/60</f>
        <v>4</v>
      </c>
      <c r="F4710" s="33" t="n">
        <f aca="false">IF(OR(D4710&gt;5,E4710&lt;8,E4710&gt;=18,COUNTIF($K$2:$K$10,INT(A4710))&gt;0),1,0)</f>
        <v>1</v>
      </c>
      <c r="G4710" s="34" t="n">
        <f aca="false">B4710/1</f>
        <v>73.973</v>
      </c>
      <c r="H4710" s="34" t="n">
        <f aca="false">IF(F4710=1,G4710,"")</f>
        <v>73.973</v>
      </c>
    </row>
    <row r="4711" customFormat="false" ht="15" hidden="false" customHeight="false" outlineLevel="0" collapsed="false">
      <c r="A4711" s="31" t="n">
        <v>42932.2083333333</v>
      </c>
      <c r="B4711" s="32" t="n">
        <v>74.47</v>
      </c>
      <c r="D4711" s="33" t="n">
        <f aca="false">WEEKDAY(A4711,2)</f>
        <v>7</v>
      </c>
      <c r="E4711" s="33" t="n">
        <f aca="false">HOUR(A4711)+MINUTE(A4711)/60</f>
        <v>5</v>
      </c>
      <c r="F4711" s="33" t="n">
        <f aca="false">IF(OR(D4711&gt;5,E4711&lt;8,E4711&gt;=18,COUNTIF($K$2:$K$10,INT(A4711))&gt;0),1,0)</f>
        <v>1</v>
      </c>
      <c r="G4711" s="34" t="n">
        <f aca="false">B4711/1</f>
        <v>74.47</v>
      </c>
      <c r="H4711" s="34" t="n">
        <f aca="false">IF(F4711=1,G4711,"")</f>
        <v>74.47</v>
      </c>
    </row>
    <row r="4712" customFormat="false" ht="15" hidden="false" customHeight="false" outlineLevel="0" collapsed="false">
      <c r="A4712" s="31" t="n">
        <v>42932.25</v>
      </c>
      <c r="B4712" s="32" t="n">
        <v>74.228</v>
      </c>
      <c r="D4712" s="33" t="n">
        <f aca="false">WEEKDAY(A4712,2)</f>
        <v>7</v>
      </c>
      <c r="E4712" s="33" t="n">
        <f aca="false">HOUR(A4712)+MINUTE(A4712)/60</f>
        <v>6</v>
      </c>
      <c r="F4712" s="33" t="n">
        <f aca="false">IF(OR(D4712&gt;5,E4712&lt;8,E4712&gt;=18,COUNTIF($K$2:$K$10,INT(A4712))&gt;0),1,0)</f>
        <v>1</v>
      </c>
      <c r="G4712" s="34" t="n">
        <f aca="false">B4712/1</f>
        <v>74.228</v>
      </c>
      <c r="H4712" s="34" t="n">
        <f aca="false">IF(F4712=1,G4712,"")</f>
        <v>74.228</v>
      </c>
    </row>
    <row r="4713" customFormat="false" ht="15" hidden="false" customHeight="false" outlineLevel="0" collapsed="false">
      <c r="A4713" s="31" t="n">
        <v>42932.2916666667</v>
      </c>
      <c r="B4713" s="32" t="n">
        <v>72.517</v>
      </c>
      <c r="D4713" s="33" t="n">
        <f aca="false">WEEKDAY(A4713,2)</f>
        <v>7</v>
      </c>
      <c r="E4713" s="33" t="n">
        <f aca="false">HOUR(A4713)+MINUTE(A4713)/60</f>
        <v>7</v>
      </c>
      <c r="F4713" s="33" t="n">
        <f aca="false">IF(OR(D4713&gt;5,E4713&lt;8,E4713&gt;=18,COUNTIF($K$2:$K$10,INT(A4713))&gt;0),1,0)</f>
        <v>1</v>
      </c>
      <c r="G4713" s="34" t="n">
        <f aca="false">B4713/1</f>
        <v>72.517</v>
      </c>
      <c r="H4713" s="34" t="n">
        <f aca="false">IF(F4713=1,G4713,"")</f>
        <v>72.517</v>
      </c>
    </row>
    <row r="4714" customFormat="false" ht="15" hidden="false" customHeight="false" outlineLevel="0" collapsed="false">
      <c r="A4714" s="31" t="n">
        <v>42932.3333333333</v>
      </c>
      <c r="B4714" s="32" t="n">
        <v>71.021</v>
      </c>
      <c r="D4714" s="33" t="n">
        <f aca="false">WEEKDAY(A4714,2)</f>
        <v>7</v>
      </c>
      <c r="E4714" s="33" t="n">
        <f aca="false">HOUR(A4714)+MINUTE(A4714)/60</f>
        <v>8</v>
      </c>
      <c r="F4714" s="33" t="n">
        <f aca="false">IF(OR(D4714&gt;5,E4714&lt;8,E4714&gt;=18,COUNTIF($K$2:$K$10,INT(A4714))&gt;0),1,0)</f>
        <v>1</v>
      </c>
      <c r="G4714" s="34" t="n">
        <f aca="false">B4714/1</f>
        <v>71.021</v>
      </c>
      <c r="H4714" s="34" t="n">
        <f aca="false">IF(F4714=1,G4714,"")</f>
        <v>71.021</v>
      </c>
    </row>
    <row r="4715" customFormat="false" ht="15" hidden="false" customHeight="false" outlineLevel="0" collapsed="false">
      <c r="A4715" s="31" t="n">
        <v>42932.375</v>
      </c>
      <c r="B4715" s="32" t="n">
        <v>71.861</v>
      </c>
      <c r="D4715" s="33" t="n">
        <f aca="false">WEEKDAY(A4715,2)</f>
        <v>7</v>
      </c>
      <c r="E4715" s="33" t="n">
        <f aca="false">HOUR(A4715)+MINUTE(A4715)/60</f>
        <v>9</v>
      </c>
      <c r="F4715" s="33" t="n">
        <f aca="false">IF(OR(D4715&gt;5,E4715&lt;8,E4715&gt;=18,COUNTIF($K$2:$K$10,INT(A4715))&gt;0),1,0)</f>
        <v>1</v>
      </c>
      <c r="G4715" s="34" t="n">
        <f aca="false">B4715/1</f>
        <v>71.861</v>
      </c>
      <c r="H4715" s="34" t="n">
        <f aca="false">IF(F4715=1,G4715,"")</f>
        <v>71.861</v>
      </c>
    </row>
    <row r="4716" customFormat="false" ht="15" hidden="false" customHeight="false" outlineLevel="0" collapsed="false">
      <c r="A4716" s="31" t="n">
        <v>42932.4166666667</v>
      </c>
      <c r="B4716" s="32" t="n">
        <v>71.093</v>
      </c>
      <c r="D4716" s="33" t="n">
        <f aca="false">WEEKDAY(A4716,2)</f>
        <v>7</v>
      </c>
      <c r="E4716" s="33" t="n">
        <f aca="false">HOUR(A4716)+MINUTE(A4716)/60</f>
        <v>10</v>
      </c>
      <c r="F4716" s="33" t="n">
        <f aca="false">IF(OR(D4716&gt;5,E4716&lt;8,E4716&gt;=18,COUNTIF($K$2:$K$10,INT(A4716))&gt;0),1,0)</f>
        <v>1</v>
      </c>
      <c r="G4716" s="34" t="n">
        <f aca="false">B4716/1</f>
        <v>71.093</v>
      </c>
      <c r="H4716" s="34" t="n">
        <f aca="false">IF(F4716=1,G4716,"")</f>
        <v>71.093</v>
      </c>
    </row>
    <row r="4717" customFormat="false" ht="15" hidden="false" customHeight="false" outlineLevel="0" collapsed="false">
      <c r="A4717" s="31" t="n">
        <v>42932.4583333333</v>
      </c>
      <c r="B4717" s="32" t="n">
        <v>73.599</v>
      </c>
      <c r="D4717" s="33" t="n">
        <f aca="false">WEEKDAY(A4717,2)</f>
        <v>7</v>
      </c>
      <c r="E4717" s="33" t="n">
        <f aca="false">HOUR(A4717)+MINUTE(A4717)/60</f>
        <v>11</v>
      </c>
      <c r="F4717" s="33" t="n">
        <f aca="false">IF(OR(D4717&gt;5,E4717&lt;8,E4717&gt;=18,COUNTIF($K$2:$K$10,INT(A4717))&gt;0),1,0)</f>
        <v>1</v>
      </c>
      <c r="G4717" s="34" t="n">
        <f aca="false">B4717/1</f>
        <v>73.599</v>
      </c>
      <c r="H4717" s="34" t="n">
        <f aca="false">IF(F4717=1,G4717,"")</f>
        <v>73.599</v>
      </c>
    </row>
    <row r="4718" customFormat="false" ht="15" hidden="false" customHeight="false" outlineLevel="0" collapsed="false">
      <c r="A4718" s="31" t="n">
        <v>42932.5</v>
      </c>
      <c r="B4718" s="32" t="n">
        <v>76.152</v>
      </c>
      <c r="D4718" s="33" t="n">
        <f aca="false">WEEKDAY(A4718,2)</f>
        <v>7</v>
      </c>
      <c r="E4718" s="33" t="n">
        <f aca="false">HOUR(A4718)+MINUTE(A4718)/60</f>
        <v>12</v>
      </c>
      <c r="F4718" s="33" t="n">
        <f aca="false">IF(OR(D4718&gt;5,E4718&lt;8,E4718&gt;=18,COUNTIF($K$2:$K$10,INT(A4718))&gt;0),1,0)</f>
        <v>1</v>
      </c>
      <c r="G4718" s="34" t="n">
        <f aca="false">B4718/1</f>
        <v>76.152</v>
      </c>
      <c r="H4718" s="34" t="n">
        <f aca="false">IF(F4718=1,G4718,"")</f>
        <v>76.152</v>
      </c>
    </row>
    <row r="4719" customFormat="false" ht="15" hidden="false" customHeight="false" outlineLevel="0" collapsed="false">
      <c r="A4719" s="31" t="n">
        <v>42932.5416666667</v>
      </c>
      <c r="B4719" s="32" t="n">
        <v>140.217</v>
      </c>
      <c r="D4719" s="33" t="n">
        <f aca="false">WEEKDAY(A4719,2)</f>
        <v>7</v>
      </c>
      <c r="E4719" s="33" t="n">
        <f aca="false">HOUR(A4719)+MINUTE(A4719)/60</f>
        <v>13</v>
      </c>
      <c r="F4719" s="33" t="n">
        <f aca="false">IF(OR(D4719&gt;5,E4719&lt;8,E4719&gt;=18,COUNTIF($K$2:$K$10,INT(A4719))&gt;0),1,0)</f>
        <v>1</v>
      </c>
      <c r="G4719" s="34" t="n">
        <f aca="false">B4719/1</f>
        <v>140.217</v>
      </c>
      <c r="H4719" s="34" t="n">
        <f aca="false">IF(F4719=1,G4719,"")</f>
        <v>140.217</v>
      </c>
    </row>
    <row r="4720" customFormat="false" ht="15" hidden="false" customHeight="false" outlineLevel="0" collapsed="false">
      <c r="A4720" s="31" t="n">
        <v>42932.5833333333</v>
      </c>
      <c r="B4720" s="32" t="n">
        <v>171.18</v>
      </c>
      <c r="D4720" s="33" t="n">
        <f aca="false">WEEKDAY(A4720,2)</f>
        <v>7</v>
      </c>
      <c r="E4720" s="33" t="n">
        <f aca="false">HOUR(A4720)+MINUTE(A4720)/60</f>
        <v>14</v>
      </c>
      <c r="F4720" s="33" t="n">
        <f aca="false">IF(OR(D4720&gt;5,E4720&lt;8,E4720&gt;=18,COUNTIF($K$2:$K$10,INT(A4720))&gt;0),1,0)</f>
        <v>1</v>
      </c>
      <c r="G4720" s="34" t="n">
        <f aca="false">B4720/1</f>
        <v>171.18</v>
      </c>
      <c r="H4720" s="34" t="n">
        <f aca="false">IF(F4720=1,G4720,"")</f>
        <v>171.18</v>
      </c>
    </row>
    <row r="4721" customFormat="false" ht="15" hidden="false" customHeight="false" outlineLevel="0" collapsed="false">
      <c r="A4721" s="31" t="n">
        <v>42932.625</v>
      </c>
      <c r="B4721" s="32" t="n">
        <v>177.804</v>
      </c>
      <c r="D4721" s="33" t="n">
        <f aca="false">WEEKDAY(A4721,2)</f>
        <v>7</v>
      </c>
      <c r="E4721" s="33" t="n">
        <f aca="false">HOUR(A4721)+MINUTE(A4721)/60</f>
        <v>15</v>
      </c>
      <c r="F4721" s="33" t="n">
        <f aca="false">IF(OR(D4721&gt;5,E4721&lt;8,E4721&gt;=18,COUNTIF($K$2:$K$10,INT(A4721))&gt;0),1,0)</f>
        <v>1</v>
      </c>
      <c r="G4721" s="34" t="n">
        <f aca="false">B4721/1</f>
        <v>177.804</v>
      </c>
      <c r="H4721" s="34" t="n">
        <f aca="false">IF(F4721=1,G4721,"")</f>
        <v>177.804</v>
      </c>
    </row>
    <row r="4722" customFormat="false" ht="15" hidden="false" customHeight="false" outlineLevel="0" collapsed="false">
      <c r="A4722" s="31" t="n">
        <v>42932.6666666667</v>
      </c>
      <c r="B4722" s="32" t="n">
        <v>162.717</v>
      </c>
      <c r="D4722" s="33" t="n">
        <f aca="false">WEEKDAY(A4722,2)</f>
        <v>7</v>
      </c>
      <c r="E4722" s="33" t="n">
        <f aca="false">HOUR(A4722)+MINUTE(A4722)/60</f>
        <v>16</v>
      </c>
      <c r="F4722" s="33" t="n">
        <f aca="false">IF(OR(D4722&gt;5,E4722&lt;8,E4722&gt;=18,COUNTIF($K$2:$K$10,INT(A4722))&gt;0),1,0)</f>
        <v>1</v>
      </c>
      <c r="G4722" s="34" t="n">
        <f aca="false">B4722/1</f>
        <v>162.717</v>
      </c>
      <c r="H4722" s="34" t="n">
        <f aca="false">IF(F4722=1,G4722,"")</f>
        <v>162.717</v>
      </c>
    </row>
    <row r="4723" customFormat="false" ht="15" hidden="false" customHeight="false" outlineLevel="0" collapsed="false">
      <c r="A4723" s="31" t="n">
        <v>42932.7083333333</v>
      </c>
      <c r="B4723" s="32" t="n">
        <v>161.625</v>
      </c>
      <c r="D4723" s="33" t="n">
        <f aca="false">WEEKDAY(A4723,2)</f>
        <v>7</v>
      </c>
      <c r="E4723" s="33" t="n">
        <f aca="false">HOUR(A4723)+MINUTE(A4723)/60</f>
        <v>17</v>
      </c>
      <c r="F4723" s="33" t="n">
        <f aca="false">IF(OR(D4723&gt;5,E4723&lt;8,E4723&gt;=18,COUNTIF($K$2:$K$10,INT(A4723))&gt;0),1,0)</f>
        <v>1</v>
      </c>
      <c r="G4723" s="34" t="n">
        <f aca="false">B4723/1</f>
        <v>161.625</v>
      </c>
      <c r="H4723" s="34" t="n">
        <f aca="false">IF(F4723=1,G4723,"")</f>
        <v>161.625</v>
      </c>
    </row>
    <row r="4724" customFormat="false" ht="15" hidden="false" customHeight="false" outlineLevel="0" collapsed="false">
      <c r="A4724" s="31" t="n">
        <v>42932.75</v>
      </c>
      <c r="B4724" s="32" t="n">
        <v>79.589</v>
      </c>
      <c r="D4724" s="33" t="n">
        <f aca="false">WEEKDAY(A4724,2)</f>
        <v>7</v>
      </c>
      <c r="E4724" s="33" t="n">
        <f aca="false">HOUR(A4724)+MINUTE(A4724)/60</f>
        <v>18</v>
      </c>
      <c r="F4724" s="33" t="n">
        <f aca="false">IF(OR(D4724&gt;5,E4724&lt;8,E4724&gt;=18,COUNTIF($K$2:$K$10,INT(A4724))&gt;0),1,0)</f>
        <v>1</v>
      </c>
      <c r="G4724" s="34" t="n">
        <f aca="false">B4724/1</f>
        <v>79.589</v>
      </c>
      <c r="H4724" s="34" t="n">
        <f aca="false">IF(F4724=1,G4724,"")</f>
        <v>79.589</v>
      </c>
    </row>
    <row r="4725" customFormat="false" ht="15" hidden="false" customHeight="false" outlineLevel="0" collapsed="false">
      <c r="A4725" s="31" t="n">
        <v>42932.7916666667</v>
      </c>
      <c r="B4725" s="32" t="n">
        <v>71.104</v>
      </c>
      <c r="D4725" s="33" t="n">
        <f aca="false">WEEKDAY(A4725,2)</f>
        <v>7</v>
      </c>
      <c r="E4725" s="33" t="n">
        <f aca="false">HOUR(A4725)+MINUTE(A4725)/60</f>
        <v>19</v>
      </c>
      <c r="F4725" s="33" t="n">
        <f aca="false">IF(OR(D4725&gt;5,E4725&lt;8,E4725&gt;=18,COUNTIF($K$2:$K$10,INT(A4725))&gt;0),1,0)</f>
        <v>1</v>
      </c>
      <c r="G4725" s="34" t="n">
        <f aca="false">B4725/1</f>
        <v>71.104</v>
      </c>
      <c r="H4725" s="34" t="n">
        <f aca="false">IF(F4725=1,G4725,"")</f>
        <v>71.104</v>
      </c>
    </row>
    <row r="4726" customFormat="false" ht="15" hidden="false" customHeight="false" outlineLevel="0" collapsed="false">
      <c r="A4726" s="31" t="n">
        <v>42932.8333333333</v>
      </c>
      <c r="B4726" s="32" t="n">
        <v>70.658</v>
      </c>
      <c r="D4726" s="33" t="n">
        <f aca="false">WEEKDAY(A4726,2)</f>
        <v>7</v>
      </c>
      <c r="E4726" s="33" t="n">
        <f aca="false">HOUR(A4726)+MINUTE(A4726)/60</f>
        <v>20</v>
      </c>
      <c r="F4726" s="33" t="n">
        <f aca="false">IF(OR(D4726&gt;5,E4726&lt;8,E4726&gt;=18,COUNTIF($K$2:$K$10,INT(A4726))&gt;0),1,0)</f>
        <v>1</v>
      </c>
      <c r="G4726" s="34" t="n">
        <f aca="false">B4726/1</f>
        <v>70.658</v>
      </c>
      <c r="H4726" s="34" t="n">
        <f aca="false">IF(F4726=1,G4726,"")</f>
        <v>70.658</v>
      </c>
    </row>
    <row r="4727" customFormat="false" ht="15" hidden="false" customHeight="false" outlineLevel="0" collapsed="false">
      <c r="A4727" s="31" t="n">
        <v>42932.875</v>
      </c>
      <c r="B4727" s="32" t="n">
        <v>70.594</v>
      </c>
      <c r="D4727" s="33" t="n">
        <f aca="false">WEEKDAY(A4727,2)</f>
        <v>7</v>
      </c>
      <c r="E4727" s="33" t="n">
        <f aca="false">HOUR(A4727)+MINUTE(A4727)/60</f>
        <v>21</v>
      </c>
      <c r="F4727" s="33" t="n">
        <f aca="false">IF(OR(D4727&gt;5,E4727&lt;8,E4727&gt;=18,COUNTIF($K$2:$K$10,INT(A4727))&gt;0),1,0)</f>
        <v>1</v>
      </c>
      <c r="G4727" s="34" t="n">
        <f aca="false">B4727/1</f>
        <v>70.594</v>
      </c>
      <c r="H4727" s="34" t="n">
        <f aca="false">IF(F4727=1,G4727,"")</f>
        <v>70.594</v>
      </c>
    </row>
    <row r="4728" customFormat="false" ht="15" hidden="false" customHeight="false" outlineLevel="0" collapsed="false">
      <c r="A4728" s="31" t="n">
        <v>42932.9166666667</v>
      </c>
      <c r="B4728" s="32" t="n">
        <v>74.052</v>
      </c>
      <c r="D4728" s="33" t="n">
        <f aca="false">WEEKDAY(A4728,2)</f>
        <v>7</v>
      </c>
      <c r="E4728" s="33" t="n">
        <f aca="false">HOUR(A4728)+MINUTE(A4728)/60</f>
        <v>22</v>
      </c>
      <c r="F4728" s="33" t="n">
        <f aca="false">IF(OR(D4728&gt;5,E4728&lt;8,E4728&gt;=18,COUNTIF($K$2:$K$10,INT(A4728))&gt;0),1,0)</f>
        <v>1</v>
      </c>
      <c r="G4728" s="34" t="n">
        <f aca="false">B4728/1</f>
        <v>74.052</v>
      </c>
      <c r="H4728" s="34" t="n">
        <f aca="false">IF(F4728=1,G4728,"")</f>
        <v>74.052</v>
      </c>
    </row>
    <row r="4729" customFormat="false" ht="15" hidden="false" customHeight="false" outlineLevel="0" collapsed="false">
      <c r="A4729" s="31" t="n">
        <v>42932.9583333333</v>
      </c>
      <c r="B4729" s="32" t="n">
        <v>85.943</v>
      </c>
      <c r="D4729" s="33" t="n">
        <f aca="false">WEEKDAY(A4729,2)</f>
        <v>7</v>
      </c>
      <c r="E4729" s="33" t="n">
        <f aca="false">HOUR(A4729)+MINUTE(A4729)/60</f>
        <v>23</v>
      </c>
      <c r="F4729" s="33" t="n">
        <f aca="false">IF(OR(D4729&gt;5,E4729&lt;8,E4729&gt;=18,COUNTIF($K$2:$K$10,INT(A4729))&gt;0),1,0)</f>
        <v>1</v>
      </c>
      <c r="G4729" s="34" t="n">
        <f aca="false">B4729/1</f>
        <v>85.943</v>
      </c>
      <c r="H4729" s="34" t="n">
        <f aca="false">IF(F4729=1,G4729,"")</f>
        <v>85.943</v>
      </c>
    </row>
    <row r="4730" customFormat="false" ht="15" hidden="false" customHeight="false" outlineLevel="0" collapsed="false">
      <c r="A4730" s="31" t="n">
        <v>42933</v>
      </c>
      <c r="B4730" s="32" t="n">
        <v>88.13</v>
      </c>
      <c r="D4730" s="33" t="n">
        <f aca="false">WEEKDAY(A4730,2)</f>
        <v>1</v>
      </c>
      <c r="E4730" s="33" t="n">
        <f aca="false">HOUR(A4730)+MINUTE(A4730)/60</f>
        <v>0</v>
      </c>
      <c r="F4730" s="33" t="n">
        <f aca="false">IF(OR(D4730&gt;5,E4730&lt;8,E4730&gt;=18,COUNTIF($K$2:$K$10,INT(A4730))&gt;0),1,0)</f>
        <v>1</v>
      </c>
      <c r="G4730" s="34" t="n">
        <f aca="false">B4730/1</f>
        <v>88.13</v>
      </c>
      <c r="H4730" s="34" t="n">
        <f aca="false">IF(F4730=1,G4730,"")</f>
        <v>88.13</v>
      </c>
    </row>
    <row r="4731" customFormat="false" ht="15" hidden="false" customHeight="false" outlineLevel="0" collapsed="false">
      <c r="A4731" s="31" t="n">
        <v>42933.0416666667</v>
      </c>
      <c r="B4731" s="32" t="n">
        <v>89.883</v>
      </c>
      <c r="D4731" s="33" t="n">
        <f aca="false">WEEKDAY(A4731,2)</f>
        <v>1</v>
      </c>
      <c r="E4731" s="33" t="n">
        <f aca="false">HOUR(A4731)+MINUTE(A4731)/60</f>
        <v>1</v>
      </c>
      <c r="F4731" s="33" t="n">
        <f aca="false">IF(OR(D4731&gt;5,E4731&lt;8,E4731&gt;=18,COUNTIF($K$2:$K$10,INT(A4731))&gt;0),1,0)</f>
        <v>1</v>
      </c>
      <c r="G4731" s="34" t="n">
        <f aca="false">B4731/1</f>
        <v>89.883</v>
      </c>
      <c r="H4731" s="34" t="n">
        <f aca="false">IF(F4731=1,G4731,"")</f>
        <v>89.883</v>
      </c>
    </row>
    <row r="4732" customFormat="false" ht="15" hidden="false" customHeight="false" outlineLevel="0" collapsed="false">
      <c r="A4732" s="31" t="n">
        <v>42933.0833333333</v>
      </c>
      <c r="B4732" s="32" t="n">
        <v>92.412</v>
      </c>
      <c r="D4732" s="33" t="n">
        <f aca="false">WEEKDAY(A4732,2)</f>
        <v>1</v>
      </c>
      <c r="E4732" s="33" t="n">
        <f aca="false">HOUR(A4732)+MINUTE(A4732)/60</f>
        <v>2</v>
      </c>
      <c r="F4732" s="33" t="n">
        <f aca="false">IF(OR(D4732&gt;5,E4732&lt;8,E4732&gt;=18,COUNTIF($K$2:$K$10,INT(A4732))&gt;0),1,0)</f>
        <v>1</v>
      </c>
      <c r="G4732" s="34" t="n">
        <f aca="false">B4732/1</f>
        <v>92.412</v>
      </c>
      <c r="H4732" s="34" t="n">
        <f aca="false">IF(F4732=1,G4732,"")</f>
        <v>92.412</v>
      </c>
    </row>
    <row r="4733" customFormat="false" ht="15" hidden="false" customHeight="false" outlineLevel="0" collapsed="false">
      <c r="A4733" s="31" t="n">
        <v>42933.125</v>
      </c>
      <c r="B4733" s="32" t="n">
        <v>106.66</v>
      </c>
      <c r="D4733" s="33" t="n">
        <f aca="false">WEEKDAY(A4733,2)</f>
        <v>1</v>
      </c>
      <c r="E4733" s="33" t="n">
        <f aca="false">HOUR(A4733)+MINUTE(A4733)/60</f>
        <v>3</v>
      </c>
      <c r="F4733" s="33" t="n">
        <f aca="false">IF(OR(D4733&gt;5,E4733&lt;8,E4733&gt;=18,COUNTIF($K$2:$K$10,INT(A4733))&gt;0),1,0)</f>
        <v>1</v>
      </c>
      <c r="G4733" s="34" t="n">
        <f aca="false">B4733/1</f>
        <v>106.66</v>
      </c>
      <c r="H4733" s="34" t="n">
        <f aca="false">IF(F4733=1,G4733,"")</f>
        <v>106.66</v>
      </c>
    </row>
    <row r="4734" customFormat="false" ht="15" hidden="false" customHeight="false" outlineLevel="0" collapsed="false">
      <c r="A4734" s="31" t="n">
        <v>42933.1666666667</v>
      </c>
      <c r="B4734" s="32" t="n">
        <v>105.565</v>
      </c>
      <c r="D4734" s="33" t="n">
        <f aca="false">WEEKDAY(A4734,2)</f>
        <v>1</v>
      </c>
      <c r="E4734" s="33" t="n">
        <f aca="false">HOUR(A4734)+MINUTE(A4734)/60</f>
        <v>4</v>
      </c>
      <c r="F4734" s="33" t="n">
        <f aca="false">IF(OR(D4734&gt;5,E4734&lt;8,E4734&gt;=18,COUNTIF($K$2:$K$10,INT(A4734))&gt;0),1,0)</f>
        <v>1</v>
      </c>
      <c r="G4734" s="34" t="n">
        <f aca="false">B4734/1</f>
        <v>105.565</v>
      </c>
      <c r="H4734" s="34" t="n">
        <f aca="false">IF(F4734=1,G4734,"")</f>
        <v>105.565</v>
      </c>
    </row>
    <row r="4735" customFormat="false" ht="15" hidden="false" customHeight="false" outlineLevel="0" collapsed="false">
      <c r="A4735" s="31" t="n">
        <v>42933.2083333333</v>
      </c>
      <c r="B4735" s="32" t="n">
        <v>106.019</v>
      </c>
      <c r="D4735" s="33" t="n">
        <f aca="false">WEEKDAY(A4735,2)</f>
        <v>1</v>
      </c>
      <c r="E4735" s="33" t="n">
        <f aca="false">HOUR(A4735)+MINUTE(A4735)/60</f>
        <v>5</v>
      </c>
      <c r="F4735" s="33" t="n">
        <f aca="false">IF(OR(D4735&gt;5,E4735&lt;8,E4735&gt;=18,COUNTIF($K$2:$K$10,INT(A4735))&gt;0),1,0)</f>
        <v>1</v>
      </c>
      <c r="G4735" s="34" t="n">
        <f aca="false">B4735/1</f>
        <v>106.019</v>
      </c>
      <c r="H4735" s="34" t="n">
        <f aca="false">IF(F4735=1,G4735,"")</f>
        <v>106.019</v>
      </c>
    </row>
    <row r="4736" customFormat="false" ht="15" hidden="false" customHeight="false" outlineLevel="0" collapsed="false">
      <c r="A4736" s="31" t="n">
        <v>42933.25</v>
      </c>
      <c r="B4736" s="32" t="n">
        <v>96.546</v>
      </c>
      <c r="D4736" s="33" t="n">
        <f aca="false">WEEKDAY(A4736,2)</f>
        <v>1</v>
      </c>
      <c r="E4736" s="33" t="n">
        <f aca="false">HOUR(A4736)+MINUTE(A4736)/60</f>
        <v>6</v>
      </c>
      <c r="F4736" s="33" t="n">
        <f aca="false">IF(OR(D4736&gt;5,E4736&lt;8,E4736&gt;=18,COUNTIF($K$2:$K$10,INT(A4736))&gt;0),1,0)</f>
        <v>1</v>
      </c>
      <c r="G4736" s="34" t="n">
        <f aca="false">B4736/1</f>
        <v>96.546</v>
      </c>
      <c r="H4736" s="34" t="n">
        <f aca="false">IF(F4736=1,G4736,"")</f>
        <v>96.546</v>
      </c>
    </row>
    <row r="4737" customFormat="false" ht="15" hidden="false" customHeight="false" outlineLevel="0" collapsed="false">
      <c r="A4737" s="31" t="n">
        <v>42933.2916666667</v>
      </c>
      <c r="B4737" s="32" t="n">
        <v>103.69</v>
      </c>
      <c r="D4737" s="33" t="n">
        <f aca="false">WEEKDAY(A4737,2)</f>
        <v>1</v>
      </c>
      <c r="E4737" s="33" t="n">
        <f aca="false">HOUR(A4737)+MINUTE(A4737)/60</f>
        <v>7</v>
      </c>
      <c r="F4737" s="33" t="n">
        <f aca="false">IF(OR(D4737&gt;5,E4737&lt;8,E4737&gt;=18,COUNTIF($K$2:$K$10,INT(A4737))&gt;0),1,0)</f>
        <v>1</v>
      </c>
      <c r="G4737" s="34" t="n">
        <f aca="false">B4737/1</f>
        <v>103.69</v>
      </c>
      <c r="H4737" s="34" t="n">
        <f aca="false">IF(F4737=1,G4737,"")</f>
        <v>103.69</v>
      </c>
    </row>
    <row r="4738" customFormat="false" ht="15" hidden="false" customHeight="false" outlineLevel="0" collapsed="false">
      <c r="A4738" s="31" t="n">
        <v>42933.3333333333</v>
      </c>
      <c r="B4738" s="32" t="n">
        <v>190.777</v>
      </c>
      <c r="D4738" s="33" t="n">
        <f aca="false">WEEKDAY(A4738,2)</f>
        <v>1</v>
      </c>
      <c r="E4738" s="33" t="n">
        <f aca="false">HOUR(A4738)+MINUTE(A4738)/60</f>
        <v>8</v>
      </c>
      <c r="F4738" s="33" t="n">
        <f aca="false">IF(OR(D4738&gt;5,E4738&lt;8,E4738&gt;=18,COUNTIF($K$2:$K$10,INT(A4738))&gt;0),1,0)</f>
        <v>0</v>
      </c>
      <c r="G4738" s="34" t="n">
        <f aca="false">B4738/1</f>
        <v>190.777</v>
      </c>
      <c r="H4738" s="34" t="str">
        <f aca="false">IF(F4738=1,G4738,"")</f>
        <v/>
      </c>
    </row>
    <row r="4739" customFormat="false" ht="15" hidden="false" customHeight="false" outlineLevel="0" collapsed="false">
      <c r="A4739" s="31" t="n">
        <v>42933.375</v>
      </c>
      <c r="B4739" s="32" t="n">
        <v>214.37</v>
      </c>
      <c r="D4739" s="33" t="n">
        <f aca="false">WEEKDAY(A4739,2)</f>
        <v>1</v>
      </c>
      <c r="E4739" s="33" t="n">
        <f aca="false">HOUR(A4739)+MINUTE(A4739)/60</f>
        <v>9</v>
      </c>
      <c r="F4739" s="33" t="n">
        <f aca="false">IF(OR(D4739&gt;5,E4739&lt;8,E4739&gt;=18,COUNTIF($K$2:$K$10,INT(A4739))&gt;0),1,0)</f>
        <v>0</v>
      </c>
      <c r="G4739" s="34" t="n">
        <f aca="false">B4739/1</f>
        <v>214.37</v>
      </c>
      <c r="H4739" s="34" t="str">
        <f aca="false">IF(F4739=1,G4739,"")</f>
        <v/>
      </c>
    </row>
    <row r="4740" customFormat="false" ht="15" hidden="false" customHeight="false" outlineLevel="0" collapsed="false">
      <c r="A4740" s="31" t="n">
        <v>42933.4166666667</v>
      </c>
      <c r="B4740" s="32" t="n">
        <v>229.011</v>
      </c>
      <c r="D4740" s="33" t="n">
        <f aca="false">WEEKDAY(A4740,2)</f>
        <v>1</v>
      </c>
      <c r="E4740" s="33" t="n">
        <f aca="false">HOUR(A4740)+MINUTE(A4740)/60</f>
        <v>10</v>
      </c>
      <c r="F4740" s="33" t="n">
        <f aca="false">IF(OR(D4740&gt;5,E4740&lt;8,E4740&gt;=18,COUNTIF($K$2:$K$10,INT(A4740))&gt;0),1,0)</f>
        <v>0</v>
      </c>
      <c r="G4740" s="34" t="n">
        <f aca="false">B4740/1</f>
        <v>229.011</v>
      </c>
      <c r="H4740" s="34" t="str">
        <f aca="false">IF(F4740=1,G4740,"")</f>
        <v/>
      </c>
    </row>
    <row r="4741" customFormat="false" ht="15" hidden="false" customHeight="false" outlineLevel="0" collapsed="false">
      <c r="A4741" s="31" t="n">
        <v>42933.4583333333</v>
      </c>
      <c r="B4741" s="32" t="n">
        <v>232.072</v>
      </c>
      <c r="D4741" s="33" t="n">
        <f aca="false">WEEKDAY(A4741,2)</f>
        <v>1</v>
      </c>
      <c r="E4741" s="33" t="n">
        <f aca="false">HOUR(A4741)+MINUTE(A4741)/60</f>
        <v>11</v>
      </c>
      <c r="F4741" s="33" t="n">
        <f aca="false">IF(OR(D4741&gt;5,E4741&lt;8,E4741&gt;=18,COUNTIF($K$2:$K$10,INT(A4741))&gt;0),1,0)</f>
        <v>0</v>
      </c>
      <c r="G4741" s="34" t="n">
        <f aca="false">B4741/1</f>
        <v>232.072</v>
      </c>
      <c r="H4741" s="34" t="str">
        <f aca="false">IF(F4741=1,G4741,"")</f>
        <v/>
      </c>
    </row>
    <row r="4742" customFormat="false" ht="15" hidden="false" customHeight="false" outlineLevel="0" collapsed="false">
      <c r="A4742" s="31" t="n">
        <v>42933.5</v>
      </c>
      <c r="B4742" s="32" t="n">
        <v>240.249</v>
      </c>
      <c r="D4742" s="33" t="n">
        <f aca="false">WEEKDAY(A4742,2)</f>
        <v>1</v>
      </c>
      <c r="E4742" s="33" t="n">
        <f aca="false">HOUR(A4742)+MINUTE(A4742)/60</f>
        <v>12</v>
      </c>
      <c r="F4742" s="33" t="n">
        <f aca="false">IF(OR(D4742&gt;5,E4742&lt;8,E4742&gt;=18,COUNTIF($K$2:$K$10,INT(A4742))&gt;0),1,0)</f>
        <v>0</v>
      </c>
      <c r="G4742" s="34" t="n">
        <f aca="false">B4742/1</f>
        <v>240.249</v>
      </c>
      <c r="H4742" s="34" t="str">
        <f aca="false">IF(F4742=1,G4742,"")</f>
        <v/>
      </c>
    </row>
    <row r="4743" customFormat="false" ht="15" hidden="false" customHeight="false" outlineLevel="0" collapsed="false">
      <c r="A4743" s="31" t="n">
        <v>42933.5416666667</v>
      </c>
      <c r="B4743" s="32" t="n">
        <v>236.87</v>
      </c>
      <c r="D4743" s="33" t="n">
        <f aca="false">WEEKDAY(A4743,2)</f>
        <v>1</v>
      </c>
      <c r="E4743" s="33" t="n">
        <f aca="false">HOUR(A4743)+MINUTE(A4743)/60</f>
        <v>13</v>
      </c>
      <c r="F4743" s="33" t="n">
        <f aca="false">IF(OR(D4743&gt;5,E4743&lt;8,E4743&gt;=18,COUNTIF($K$2:$K$10,INT(A4743))&gt;0),1,0)</f>
        <v>0</v>
      </c>
      <c r="G4743" s="34" t="n">
        <f aca="false">B4743/1</f>
        <v>236.87</v>
      </c>
      <c r="H4743" s="34" t="str">
        <f aca="false">IF(F4743=1,G4743,"")</f>
        <v/>
      </c>
    </row>
    <row r="4744" customFormat="false" ht="15" hidden="false" customHeight="false" outlineLevel="0" collapsed="false">
      <c r="A4744" s="31" t="n">
        <v>42933.5833333333</v>
      </c>
      <c r="B4744" s="32" t="n">
        <v>238.731</v>
      </c>
      <c r="D4744" s="33" t="n">
        <f aca="false">WEEKDAY(A4744,2)</f>
        <v>1</v>
      </c>
      <c r="E4744" s="33" t="n">
        <f aca="false">HOUR(A4744)+MINUTE(A4744)/60</f>
        <v>14</v>
      </c>
      <c r="F4744" s="33" t="n">
        <f aca="false">IF(OR(D4744&gt;5,E4744&lt;8,E4744&gt;=18,COUNTIF($K$2:$K$10,INT(A4744))&gt;0),1,0)</f>
        <v>0</v>
      </c>
      <c r="G4744" s="34" t="n">
        <f aca="false">B4744/1</f>
        <v>238.731</v>
      </c>
      <c r="H4744" s="34" t="str">
        <f aca="false">IF(F4744=1,G4744,"")</f>
        <v/>
      </c>
    </row>
    <row r="4745" customFormat="false" ht="15" hidden="false" customHeight="false" outlineLevel="0" collapsed="false">
      <c r="A4745" s="31" t="n">
        <v>42933.625</v>
      </c>
      <c r="B4745" s="32" t="n">
        <v>233.441</v>
      </c>
      <c r="D4745" s="33" t="n">
        <f aca="false">WEEKDAY(A4745,2)</f>
        <v>1</v>
      </c>
      <c r="E4745" s="33" t="n">
        <f aca="false">HOUR(A4745)+MINUTE(A4745)/60</f>
        <v>15</v>
      </c>
      <c r="F4745" s="33" t="n">
        <f aca="false">IF(OR(D4745&gt;5,E4745&lt;8,E4745&gt;=18,COUNTIF($K$2:$K$10,INT(A4745))&gt;0),1,0)</f>
        <v>0</v>
      </c>
      <c r="G4745" s="34" t="n">
        <f aca="false">B4745/1</f>
        <v>233.441</v>
      </c>
      <c r="H4745" s="34" t="str">
        <f aca="false">IF(F4745=1,G4745,"")</f>
        <v/>
      </c>
    </row>
    <row r="4746" customFormat="false" ht="15" hidden="false" customHeight="false" outlineLevel="0" collapsed="false">
      <c r="A4746" s="31" t="n">
        <v>42933.6666666667</v>
      </c>
      <c r="B4746" s="32" t="n">
        <v>232.089</v>
      </c>
      <c r="D4746" s="33" t="n">
        <f aca="false">WEEKDAY(A4746,2)</f>
        <v>1</v>
      </c>
      <c r="E4746" s="33" t="n">
        <f aca="false">HOUR(A4746)+MINUTE(A4746)/60</f>
        <v>16</v>
      </c>
      <c r="F4746" s="33" t="n">
        <f aca="false">IF(OR(D4746&gt;5,E4746&lt;8,E4746&gt;=18,COUNTIF($K$2:$K$10,INT(A4746))&gt;0),1,0)</f>
        <v>0</v>
      </c>
      <c r="G4746" s="34" t="n">
        <f aca="false">B4746/1</f>
        <v>232.089</v>
      </c>
      <c r="H4746" s="34" t="str">
        <f aca="false">IF(F4746=1,G4746,"")</f>
        <v/>
      </c>
    </row>
    <row r="4747" customFormat="false" ht="15" hidden="false" customHeight="false" outlineLevel="0" collapsed="false">
      <c r="A4747" s="31" t="n">
        <v>42933.7083333333</v>
      </c>
      <c r="B4747" s="32" t="n">
        <v>223.115</v>
      </c>
      <c r="D4747" s="33" t="n">
        <f aca="false">WEEKDAY(A4747,2)</f>
        <v>1</v>
      </c>
      <c r="E4747" s="33" t="n">
        <f aca="false">HOUR(A4747)+MINUTE(A4747)/60</f>
        <v>17</v>
      </c>
      <c r="F4747" s="33" t="n">
        <f aca="false">IF(OR(D4747&gt;5,E4747&lt;8,E4747&gt;=18,COUNTIF($K$2:$K$10,INT(A4747))&gt;0),1,0)</f>
        <v>0</v>
      </c>
      <c r="G4747" s="34" t="n">
        <f aca="false">B4747/1</f>
        <v>223.115</v>
      </c>
      <c r="H4747" s="34" t="str">
        <f aca="false">IF(F4747=1,G4747,"")</f>
        <v/>
      </c>
    </row>
    <row r="4748" customFormat="false" ht="15" hidden="false" customHeight="false" outlineLevel="0" collapsed="false">
      <c r="A4748" s="31" t="n">
        <v>42933.75</v>
      </c>
      <c r="B4748" s="32" t="n">
        <v>206.279</v>
      </c>
      <c r="D4748" s="33" t="n">
        <f aca="false">WEEKDAY(A4748,2)</f>
        <v>1</v>
      </c>
      <c r="E4748" s="33" t="n">
        <f aca="false">HOUR(A4748)+MINUTE(A4748)/60</f>
        <v>18</v>
      </c>
      <c r="F4748" s="33" t="n">
        <f aca="false">IF(OR(D4748&gt;5,E4748&lt;8,E4748&gt;=18,COUNTIF($K$2:$K$10,INT(A4748))&gt;0),1,0)</f>
        <v>1</v>
      </c>
      <c r="G4748" s="34" t="n">
        <f aca="false">B4748/1</f>
        <v>206.279</v>
      </c>
      <c r="H4748" s="34" t="n">
        <f aca="false">IF(F4748=1,G4748,"")</f>
        <v>206.279</v>
      </c>
    </row>
    <row r="4749" customFormat="false" ht="15" hidden="false" customHeight="false" outlineLevel="0" collapsed="false">
      <c r="A4749" s="31" t="n">
        <v>42933.7916666667</v>
      </c>
      <c r="B4749" s="32" t="n">
        <v>203.545</v>
      </c>
      <c r="D4749" s="33" t="n">
        <f aca="false">WEEKDAY(A4749,2)</f>
        <v>1</v>
      </c>
      <c r="E4749" s="33" t="n">
        <f aca="false">HOUR(A4749)+MINUTE(A4749)/60</f>
        <v>19</v>
      </c>
      <c r="F4749" s="33" t="n">
        <f aca="false">IF(OR(D4749&gt;5,E4749&lt;8,E4749&gt;=18,COUNTIF($K$2:$K$10,INT(A4749))&gt;0),1,0)</f>
        <v>1</v>
      </c>
      <c r="G4749" s="34" t="n">
        <f aca="false">B4749/1</f>
        <v>203.545</v>
      </c>
      <c r="H4749" s="34" t="n">
        <f aca="false">IF(F4749=1,G4749,"")</f>
        <v>203.545</v>
      </c>
    </row>
    <row r="4750" customFormat="false" ht="15" hidden="false" customHeight="false" outlineLevel="0" collapsed="false">
      <c r="A4750" s="31" t="n">
        <v>42933.8333333333</v>
      </c>
      <c r="B4750" s="32" t="n">
        <v>197.488</v>
      </c>
      <c r="D4750" s="33" t="n">
        <f aca="false">WEEKDAY(A4750,2)</f>
        <v>1</v>
      </c>
      <c r="E4750" s="33" t="n">
        <f aca="false">HOUR(A4750)+MINUTE(A4750)/60</f>
        <v>20</v>
      </c>
      <c r="F4750" s="33" t="n">
        <f aca="false">IF(OR(D4750&gt;5,E4750&lt;8,E4750&gt;=18,COUNTIF($K$2:$K$10,INT(A4750))&gt;0),1,0)</f>
        <v>1</v>
      </c>
      <c r="G4750" s="34" t="n">
        <f aca="false">B4750/1</f>
        <v>197.488</v>
      </c>
      <c r="H4750" s="34" t="n">
        <f aca="false">IF(F4750=1,G4750,"")</f>
        <v>197.488</v>
      </c>
    </row>
    <row r="4751" customFormat="false" ht="15" hidden="false" customHeight="false" outlineLevel="0" collapsed="false">
      <c r="A4751" s="31" t="n">
        <v>42933.875</v>
      </c>
      <c r="B4751" s="32" t="n">
        <v>194.406</v>
      </c>
      <c r="D4751" s="33" t="n">
        <f aca="false">WEEKDAY(A4751,2)</f>
        <v>1</v>
      </c>
      <c r="E4751" s="33" t="n">
        <f aca="false">HOUR(A4751)+MINUTE(A4751)/60</f>
        <v>21</v>
      </c>
      <c r="F4751" s="33" t="n">
        <f aca="false">IF(OR(D4751&gt;5,E4751&lt;8,E4751&gt;=18,COUNTIF($K$2:$K$10,INT(A4751))&gt;0),1,0)</f>
        <v>1</v>
      </c>
      <c r="G4751" s="34" t="n">
        <f aca="false">B4751/1</f>
        <v>194.406</v>
      </c>
      <c r="H4751" s="34" t="n">
        <f aca="false">IF(F4751=1,G4751,"")</f>
        <v>194.406</v>
      </c>
    </row>
    <row r="4752" customFormat="false" ht="15" hidden="false" customHeight="false" outlineLevel="0" collapsed="false">
      <c r="A4752" s="31" t="n">
        <v>42933.9166666667</v>
      </c>
      <c r="B4752" s="32" t="n">
        <v>154.075</v>
      </c>
      <c r="D4752" s="33" t="n">
        <f aca="false">WEEKDAY(A4752,2)</f>
        <v>1</v>
      </c>
      <c r="E4752" s="33" t="n">
        <f aca="false">HOUR(A4752)+MINUTE(A4752)/60</f>
        <v>22</v>
      </c>
      <c r="F4752" s="33" t="n">
        <f aca="false">IF(OR(D4752&gt;5,E4752&lt;8,E4752&gt;=18,COUNTIF($K$2:$K$10,INT(A4752))&gt;0),1,0)</f>
        <v>1</v>
      </c>
      <c r="G4752" s="34" t="n">
        <f aca="false">B4752/1</f>
        <v>154.075</v>
      </c>
      <c r="H4752" s="34" t="n">
        <f aca="false">IF(F4752=1,G4752,"")</f>
        <v>154.075</v>
      </c>
    </row>
    <row r="4753" customFormat="false" ht="15" hidden="false" customHeight="false" outlineLevel="0" collapsed="false">
      <c r="A4753" s="31" t="n">
        <v>42933.9583333333</v>
      </c>
      <c r="B4753" s="32" t="n">
        <v>111.914</v>
      </c>
      <c r="D4753" s="33" t="n">
        <f aca="false">WEEKDAY(A4753,2)</f>
        <v>1</v>
      </c>
      <c r="E4753" s="33" t="n">
        <f aca="false">HOUR(A4753)+MINUTE(A4753)/60</f>
        <v>23</v>
      </c>
      <c r="F4753" s="33" t="n">
        <f aca="false">IF(OR(D4753&gt;5,E4753&lt;8,E4753&gt;=18,COUNTIF($K$2:$K$10,INT(A4753))&gt;0),1,0)</f>
        <v>1</v>
      </c>
      <c r="G4753" s="34" t="n">
        <f aca="false">B4753/1</f>
        <v>111.914</v>
      </c>
      <c r="H4753" s="34" t="n">
        <f aca="false">IF(F4753=1,G4753,"")</f>
        <v>111.914</v>
      </c>
    </row>
    <row r="4754" customFormat="false" ht="15" hidden="false" customHeight="false" outlineLevel="0" collapsed="false">
      <c r="A4754" s="31" t="n">
        <v>42934</v>
      </c>
      <c r="B4754" s="32" t="n">
        <v>108.585</v>
      </c>
      <c r="D4754" s="33" t="n">
        <f aca="false">WEEKDAY(A4754,2)</f>
        <v>2</v>
      </c>
      <c r="E4754" s="33" t="n">
        <f aca="false">HOUR(A4754)+MINUTE(A4754)/60</f>
        <v>0</v>
      </c>
      <c r="F4754" s="33" t="n">
        <f aca="false">IF(OR(D4754&gt;5,E4754&lt;8,E4754&gt;=18,COUNTIF($K$2:$K$10,INT(A4754))&gt;0),1,0)</f>
        <v>1</v>
      </c>
      <c r="G4754" s="34" t="n">
        <f aca="false">B4754/1</f>
        <v>108.585</v>
      </c>
      <c r="H4754" s="34" t="n">
        <f aca="false">IF(F4754=1,G4754,"")</f>
        <v>108.585</v>
      </c>
    </row>
    <row r="4755" customFormat="false" ht="15" hidden="false" customHeight="false" outlineLevel="0" collapsed="false">
      <c r="A4755" s="31" t="n">
        <v>42934.0416666667</v>
      </c>
      <c r="B4755" s="32" t="n">
        <v>107.216</v>
      </c>
      <c r="D4755" s="33" t="n">
        <f aca="false">WEEKDAY(A4755,2)</f>
        <v>2</v>
      </c>
      <c r="E4755" s="33" t="n">
        <f aca="false">HOUR(A4755)+MINUTE(A4755)/60</f>
        <v>1</v>
      </c>
      <c r="F4755" s="33" t="n">
        <f aca="false">IF(OR(D4755&gt;5,E4755&lt;8,E4755&gt;=18,COUNTIF($K$2:$K$10,INT(A4755))&gt;0),1,0)</f>
        <v>1</v>
      </c>
      <c r="G4755" s="34" t="n">
        <f aca="false">B4755/1</f>
        <v>107.216</v>
      </c>
      <c r="H4755" s="34" t="n">
        <f aca="false">IF(F4755=1,G4755,"")</f>
        <v>107.216</v>
      </c>
    </row>
    <row r="4756" customFormat="false" ht="15" hidden="false" customHeight="false" outlineLevel="0" collapsed="false">
      <c r="A4756" s="31" t="n">
        <v>42934.0833333333</v>
      </c>
      <c r="B4756" s="32" t="n">
        <v>108.279</v>
      </c>
      <c r="D4756" s="33" t="n">
        <f aca="false">WEEKDAY(A4756,2)</f>
        <v>2</v>
      </c>
      <c r="E4756" s="33" t="n">
        <f aca="false">HOUR(A4756)+MINUTE(A4756)/60</f>
        <v>2</v>
      </c>
      <c r="F4756" s="33" t="n">
        <f aca="false">IF(OR(D4756&gt;5,E4756&lt;8,E4756&gt;=18,COUNTIF($K$2:$K$10,INT(A4756))&gt;0),1,0)</f>
        <v>1</v>
      </c>
      <c r="G4756" s="34" t="n">
        <f aca="false">B4756/1</f>
        <v>108.279</v>
      </c>
      <c r="H4756" s="34" t="n">
        <f aca="false">IF(F4756=1,G4756,"")</f>
        <v>108.279</v>
      </c>
    </row>
    <row r="4757" customFormat="false" ht="15" hidden="false" customHeight="false" outlineLevel="0" collapsed="false">
      <c r="A4757" s="31" t="n">
        <v>42934.125</v>
      </c>
      <c r="B4757" s="32" t="n">
        <v>109.436</v>
      </c>
      <c r="D4757" s="33" t="n">
        <f aca="false">WEEKDAY(A4757,2)</f>
        <v>2</v>
      </c>
      <c r="E4757" s="33" t="n">
        <f aca="false">HOUR(A4757)+MINUTE(A4757)/60</f>
        <v>3</v>
      </c>
      <c r="F4757" s="33" t="n">
        <f aca="false">IF(OR(D4757&gt;5,E4757&lt;8,E4757&gt;=18,COUNTIF($K$2:$K$10,INT(A4757))&gt;0),1,0)</f>
        <v>1</v>
      </c>
      <c r="G4757" s="34" t="n">
        <f aca="false">B4757/1</f>
        <v>109.436</v>
      </c>
      <c r="H4757" s="34" t="n">
        <f aca="false">IF(F4757=1,G4757,"")</f>
        <v>109.436</v>
      </c>
    </row>
    <row r="4758" customFormat="false" ht="15" hidden="false" customHeight="false" outlineLevel="0" collapsed="false">
      <c r="A4758" s="31" t="n">
        <v>42934.1666666667</v>
      </c>
      <c r="B4758" s="32" t="n">
        <v>109.671</v>
      </c>
      <c r="D4758" s="33" t="n">
        <f aca="false">WEEKDAY(A4758,2)</f>
        <v>2</v>
      </c>
      <c r="E4758" s="33" t="n">
        <f aca="false">HOUR(A4758)+MINUTE(A4758)/60</f>
        <v>4</v>
      </c>
      <c r="F4758" s="33" t="n">
        <f aca="false">IF(OR(D4758&gt;5,E4758&lt;8,E4758&gt;=18,COUNTIF($K$2:$K$10,INT(A4758))&gt;0),1,0)</f>
        <v>1</v>
      </c>
      <c r="G4758" s="34" t="n">
        <f aca="false">B4758/1</f>
        <v>109.671</v>
      </c>
      <c r="H4758" s="34" t="n">
        <f aca="false">IF(F4758=1,G4758,"")</f>
        <v>109.671</v>
      </c>
    </row>
    <row r="4759" customFormat="false" ht="15" hidden="false" customHeight="false" outlineLevel="0" collapsed="false">
      <c r="A4759" s="31" t="n">
        <v>42934.2083333333</v>
      </c>
      <c r="B4759" s="32" t="n">
        <v>108.818</v>
      </c>
      <c r="D4759" s="33" t="n">
        <f aca="false">WEEKDAY(A4759,2)</f>
        <v>2</v>
      </c>
      <c r="E4759" s="33" t="n">
        <f aca="false">HOUR(A4759)+MINUTE(A4759)/60</f>
        <v>5</v>
      </c>
      <c r="F4759" s="33" t="n">
        <f aca="false">IF(OR(D4759&gt;5,E4759&lt;8,E4759&gt;=18,COUNTIF($K$2:$K$10,INT(A4759))&gt;0),1,0)</f>
        <v>1</v>
      </c>
      <c r="G4759" s="34" t="n">
        <f aca="false">B4759/1</f>
        <v>108.818</v>
      </c>
      <c r="H4759" s="34" t="n">
        <f aca="false">IF(F4759=1,G4759,"")</f>
        <v>108.818</v>
      </c>
    </row>
    <row r="4760" customFormat="false" ht="15" hidden="false" customHeight="false" outlineLevel="0" collapsed="false">
      <c r="A4760" s="31" t="n">
        <v>42934.25</v>
      </c>
      <c r="B4760" s="32" t="n">
        <v>104.893</v>
      </c>
      <c r="D4760" s="33" t="n">
        <f aca="false">WEEKDAY(A4760,2)</f>
        <v>2</v>
      </c>
      <c r="E4760" s="33" t="n">
        <f aca="false">HOUR(A4760)+MINUTE(A4760)/60</f>
        <v>6</v>
      </c>
      <c r="F4760" s="33" t="n">
        <f aca="false">IF(OR(D4760&gt;5,E4760&lt;8,E4760&gt;=18,COUNTIF($K$2:$K$10,INT(A4760))&gt;0),1,0)</f>
        <v>1</v>
      </c>
      <c r="G4760" s="34" t="n">
        <f aca="false">B4760/1</f>
        <v>104.893</v>
      </c>
      <c r="H4760" s="34" t="n">
        <f aca="false">IF(F4760=1,G4760,"")</f>
        <v>104.893</v>
      </c>
    </row>
    <row r="4761" customFormat="false" ht="15" hidden="false" customHeight="false" outlineLevel="0" collapsed="false">
      <c r="A4761" s="31" t="n">
        <v>42934.2916666667</v>
      </c>
      <c r="B4761" s="32" t="n">
        <v>131.795</v>
      </c>
      <c r="D4761" s="33" t="n">
        <f aca="false">WEEKDAY(A4761,2)</f>
        <v>2</v>
      </c>
      <c r="E4761" s="33" t="n">
        <f aca="false">HOUR(A4761)+MINUTE(A4761)/60</f>
        <v>7</v>
      </c>
      <c r="F4761" s="33" t="n">
        <f aca="false">IF(OR(D4761&gt;5,E4761&lt;8,E4761&gt;=18,COUNTIF($K$2:$K$10,INT(A4761))&gt;0),1,0)</f>
        <v>1</v>
      </c>
      <c r="G4761" s="34" t="n">
        <f aca="false">B4761/1</f>
        <v>131.795</v>
      </c>
      <c r="H4761" s="34" t="n">
        <f aca="false">IF(F4761=1,G4761,"")</f>
        <v>131.795</v>
      </c>
    </row>
    <row r="4762" customFormat="false" ht="15" hidden="false" customHeight="false" outlineLevel="0" collapsed="false">
      <c r="A4762" s="31" t="n">
        <v>42934.3333333333</v>
      </c>
      <c r="B4762" s="32" t="n">
        <v>203.672</v>
      </c>
      <c r="D4762" s="33" t="n">
        <f aca="false">WEEKDAY(A4762,2)</f>
        <v>2</v>
      </c>
      <c r="E4762" s="33" t="n">
        <f aca="false">HOUR(A4762)+MINUTE(A4762)/60</f>
        <v>8</v>
      </c>
      <c r="F4762" s="33" t="n">
        <f aca="false">IF(OR(D4762&gt;5,E4762&lt;8,E4762&gt;=18,COUNTIF($K$2:$K$10,INT(A4762))&gt;0),1,0)</f>
        <v>0</v>
      </c>
      <c r="G4762" s="34" t="n">
        <f aca="false">B4762/1</f>
        <v>203.672</v>
      </c>
      <c r="H4762" s="34" t="str">
        <f aca="false">IF(F4762=1,G4762,"")</f>
        <v/>
      </c>
    </row>
    <row r="4763" customFormat="false" ht="15" hidden="false" customHeight="false" outlineLevel="0" collapsed="false">
      <c r="A4763" s="31" t="n">
        <v>42934.375</v>
      </c>
      <c r="B4763" s="32" t="n">
        <v>221.279</v>
      </c>
      <c r="D4763" s="33" t="n">
        <f aca="false">WEEKDAY(A4763,2)</f>
        <v>2</v>
      </c>
      <c r="E4763" s="33" t="n">
        <f aca="false">HOUR(A4763)+MINUTE(A4763)/60</f>
        <v>9</v>
      </c>
      <c r="F4763" s="33" t="n">
        <f aca="false">IF(OR(D4763&gt;5,E4763&lt;8,E4763&gt;=18,COUNTIF($K$2:$K$10,INT(A4763))&gt;0),1,0)</f>
        <v>0</v>
      </c>
      <c r="G4763" s="34" t="n">
        <f aca="false">B4763/1</f>
        <v>221.279</v>
      </c>
      <c r="H4763" s="34" t="str">
        <f aca="false">IF(F4763=1,G4763,"")</f>
        <v/>
      </c>
    </row>
    <row r="4764" customFormat="false" ht="15" hidden="false" customHeight="false" outlineLevel="0" collapsed="false">
      <c r="A4764" s="31" t="n">
        <v>42934.4166666667</v>
      </c>
      <c r="B4764" s="32" t="n">
        <v>231.641</v>
      </c>
      <c r="D4764" s="33" t="n">
        <f aca="false">WEEKDAY(A4764,2)</f>
        <v>2</v>
      </c>
      <c r="E4764" s="33" t="n">
        <f aca="false">HOUR(A4764)+MINUTE(A4764)/60</f>
        <v>10</v>
      </c>
      <c r="F4764" s="33" t="n">
        <f aca="false">IF(OR(D4764&gt;5,E4764&lt;8,E4764&gt;=18,COUNTIF($K$2:$K$10,INT(A4764))&gt;0),1,0)</f>
        <v>0</v>
      </c>
      <c r="G4764" s="34" t="n">
        <f aca="false">B4764/1</f>
        <v>231.641</v>
      </c>
      <c r="H4764" s="34" t="str">
        <f aca="false">IF(F4764=1,G4764,"")</f>
        <v/>
      </c>
    </row>
    <row r="4765" customFormat="false" ht="15" hidden="false" customHeight="false" outlineLevel="0" collapsed="false">
      <c r="A4765" s="31" t="n">
        <v>42934.4583333333</v>
      </c>
      <c r="B4765" s="32" t="n">
        <v>240.233</v>
      </c>
      <c r="D4765" s="33" t="n">
        <f aca="false">WEEKDAY(A4765,2)</f>
        <v>2</v>
      </c>
      <c r="E4765" s="33" t="n">
        <f aca="false">HOUR(A4765)+MINUTE(A4765)/60</f>
        <v>11</v>
      </c>
      <c r="F4765" s="33" t="n">
        <f aca="false">IF(OR(D4765&gt;5,E4765&lt;8,E4765&gt;=18,COUNTIF($K$2:$K$10,INT(A4765))&gt;0),1,0)</f>
        <v>0</v>
      </c>
      <c r="G4765" s="34" t="n">
        <f aca="false">B4765/1</f>
        <v>240.233</v>
      </c>
      <c r="H4765" s="34" t="str">
        <f aca="false">IF(F4765=1,G4765,"")</f>
        <v/>
      </c>
    </row>
    <row r="4766" customFormat="false" ht="15" hidden="false" customHeight="false" outlineLevel="0" collapsed="false">
      <c r="A4766" s="31" t="n">
        <v>42934.5</v>
      </c>
      <c r="B4766" s="32" t="n">
        <v>242.112</v>
      </c>
      <c r="D4766" s="33" t="n">
        <f aca="false">WEEKDAY(A4766,2)</f>
        <v>2</v>
      </c>
      <c r="E4766" s="33" t="n">
        <f aca="false">HOUR(A4766)+MINUTE(A4766)/60</f>
        <v>12</v>
      </c>
      <c r="F4766" s="33" t="n">
        <f aca="false">IF(OR(D4766&gt;5,E4766&lt;8,E4766&gt;=18,COUNTIF($K$2:$K$10,INT(A4766))&gt;0),1,0)</f>
        <v>0</v>
      </c>
      <c r="G4766" s="34" t="n">
        <f aca="false">B4766/1</f>
        <v>242.112</v>
      </c>
      <c r="H4766" s="34" t="str">
        <f aca="false">IF(F4766=1,G4766,"")</f>
        <v/>
      </c>
    </row>
    <row r="4767" customFormat="false" ht="15" hidden="false" customHeight="false" outlineLevel="0" collapsed="false">
      <c r="A4767" s="31" t="n">
        <v>42934.5416666667</v>
      </c>
      <c r="B4767" s="32" t="n">
        <v>239.411</v>
      </c>
      <c r="D4767" s="33" t="n">
        <f aca="false">WEEKDAY(A4767,2)</f>
        <v>2</v>
      </c>
      <c r="E4767" s="33" t="n">
        <f aca="false">HOUR(A4767)+MINUTE(A4767)/60</f>
        <v>13</v>
      </c>
      <c r="F4767" s="33" t="n">
        <f aca="false">IF(OR(D4767&gt;5,E4767&lt;8,E4767&gt;=18,COUNTIF($K$2:$K$10,INT(A4767))&gt;0),1,0)</f>
        <v>0</v>
      </c>
      <c r="G4767" s="34" t="n">
        <f aca="false">B4767/1</f>
        <v>239.411</v>
      </c>
      <c r="H4767" s="34" t="str">
        <f aca="false">IF(F4767=1,G4767,"")</f>
        <v/>
      </c>
    </row>
    <row r="4768" customFormat="false" ht="15" hidden="false" customHeight="false" outlineLevel="0" collapsed="false">
      <c r="A4768" s="31" t="n">
        <v>42934.5833333333</v>
      </c>
      <c r="B4768" s="32" t="n">
        <v>240.057</v>
      </c>
      <c r="D4768" s="33" t="n">
        <f aca="false">WEEKDAY(A4768,2)</f>
        <v>2</v>
      </c>
      <c r="E4768" s="33" t="n">
        <f aca="false">HOUR(A4768)+MINUTE(A4768)/60</f>
        <v>14</v>
      </c>
      <c r="F4768" s="33" t="n">
        <f aca="false">IF(OR(D4768&gt;5,E4768&lt;8,E4768&gt;=18,COUNTIF($K$2:$K$10,INT(A4768))&gt;0),1,0)</f>
        <v>0</v>
      </c>
      <c r="G4768" s="34" t="n">
        <f aca="false">B4768/1</f>
        <v>240.057</v>
      </c>
      <c r="H4768" s="34" t="str">
        <f aca="false">IF(F4768=1,G4768,"")</f>
        <v/>
      </c>
    </row>
    <row r="4769" customFormat="false" ht="15" hidden="false" customHeight="false" outlineLevel="0" collapsed="false">
      <c r="A4769" s="31" t="n">
        <v>42934.625</v>
      </c>
      <c r="B4769" s="32" t="n">
        <v>239.329</v>
      </c>
      <c r="D4769" s="33" t="n">
        <f aca="false">WEEKDAY(A4769,2)</f>
        <v>2</v>
      </c>
      <c r="E4769" s="33" t="n">
        <f aca="false">HOUR(A4769)+MINUTE(A4769)/60</f>
        <v>15</v>
      </c>
      <c r="F4769" s="33" t="n">
        <f aca="false">IF(OR(D4769&gt;5,E4769&lt;8,E4769&gt;=18,COUNTIF($K$2:$K$10,INT(A4769))&gt;0),1,0)</f>
        <v>0</v>
      </c>
      <c r="G4769" s="34" t="n">
        <f aca="false">B4769/1</f>
        <v>239.329</v>
      </c>
      <c r="H4769" s="34" t="str">
        <f aca="false">IF(F4769=1,G4769,"")</f>
        <v/>
      </c>
    </row>
    <row r="4770" customFormat="false" ht="15" hidden="false" customHeight="false" outlineLevel="0" collapsed="false">
      <c r="A4770" s="31" t="n">
        <v>42934.6666666667</v>
      </c>
      <c r="B4770" s="32" t="n">
        <v>231.98</v>
      </c>
      <c r="D4770" s="33" t="n">
        <f aca="false">WEEKDAY(A4770,2)</f>
        <v>2</v>
      </c>
      <c r="E4770" s="33" t="n">
        <f aca="false">HOUR(A4770)+MINUTE(A4770)/60</f>
        <v>16</v>
      </c>
      <c r="F4770" s="33" t="n">
        <f aca="false">IF(OR(D4770&gt;5,E4770&lt;8,E4770&gt;=18,COUNTIF($K$2:$K$10,INT(A4770))&gt;0),1,0)</f>
        <v>0</v>
      </c>
      <c r="G4770" s="34" t="n">
        <f aca="false">B4770/1</f>
        <v>231.98</v>
      </c>
      <c r="H4770" s="34" t="str">
        <f aca="false">IF(F4770=1,G4770,"")</f>
        <v/>
      </c>
    </row>
    <row r="4771" customFormat="false" ht="15" hidden="false" customHeight="false" outlineLevel="0" collapsed="false">
      <c r="A4771" s="31" t="n">
        <v>42934.7083333333</v>
      </c>
      <c r="B4771" s="32" t="n">
        <v>221.826</v>
      </c>
      <c r="D4771" s="33" t="n">
        <f aca="false">WEEKDAY(A4771,2)</f>
        <v>2</v>
      </c>
      <c r="E4771" s="33" t="n">
        <f aca="false">HOUR(A4771)+MINUTE(A4771)/60</f>
        <v>17</v>
      </c>
      <c r="F4771" s="33" t="n">
        <f aca="false">IF(OR(D4771&gt;5,E4771&lt;8,E4771&gt;=18,COUNTIF($K$2:$K$10,INT(A4771))&gt;0),1,0)</f>
        <v>0</v>
      </c>
      <c r="G4771" s="34" t="n">
        <f aca="false">B4771/1</f>
        <v>221.826</v>
      </c>
      <c r="H4771" s="34" t="str">
        <f aca="false">IF(F4771=1,G4771,"")</f>
        <v/>
      </c>
    </row>
    <row r="4772" customFormat="false" ht="15" hidden="false" customHeight="false" outlineLevel="0" collapsed="false">
      <c r="A4772" s="31" t="n">
        <v>42934.75</v>
      </c>
      <c r="B4772" s="32" t="n">
        <v>207.654</v>
      </c>
      <c r="D4772" s="33" t="n">
        <f aca="false">WEEKDAY(A4772,2)</f>
        <v>2</v>
      </c>
      <c r="E4772" s="33" t="n">
        <f aca="false">HOUR(A4772)+MINUTE(A4772)/60</f>
        <v>18</v>
      </c>
      <c r="F4772" s="33" t="n">
        <f aca="false">IF(OR(D4772&gt;5,E4772&lt;8,E4772&gt;=18,COUNTIF($K$2:$K$10,INT(A4772))&gt;0),1,0)</f>
        <v>1</v>
      </c>
      <c r="G4772" s="34" t="n">
        <f aca="false">B4772/1</f>
        <v>207.654</v>
      </c>
      <c r="H4772" s="34" t="n">
        <f aca="false">IF(F4772=1,G4772,"")</f>
        <v>207.654</v>
      </c>
    </row>
    <row r="4773" customFormat="false" ht="15" hidden="false" customHeight="false" outlineLevel="0" collapsed="false">
      <c r="A4773" s="31" t="n">
        <v>42934.7916666667</v>
      </c>
      <c r="B4773" s="32" t="n">
        <v>199.705</v>
      </c>
      <c r="D4773" s="33" t="n">
        <f aca="false">WEEKDAY(A4773,2)</f>
        <v>2</v>
      </c>
      <c r="E4773" s="33" t="n">
        <f aca="false">HOUR(A4773)+MINUTE(A4773)/60</f>
        <v>19</v>
      </c>
      <c r="F4773" s="33" t="n">
        <f aca="false">IF(OR(D4773&gt;5,E4773&lt;8,E4773&gt;=18,COUNTIF($K$2:$K$10,INT(A4773))&gt;0),1,0)</f>
        <v>1</v>
      </c>
      <c r="G4773" s="34" t="n">
        <f aca="false">B4773/1</f>
        <v>199.705</v>
      </c>
      <c r="H4773" s="34" t="n">
        <f aca="false">IF(F4773=1,G4773,"")</f>
        <v>199.705</v>
      </c>
    </row>
    <row r="4774" customFormat="false" ht="15" hidden="false" customHeight="false" outlineLevel="0" collapsed="false">
      <c r="A4774" s="31" t="n">
        <v>42934.8333333333</v>
      </c>
      <c r="B4774" s="32" t="n">
        <v>196.389</v>
      </c>
      <c r="D4774" s="33" t="n">
        <f aca="false">WEEKDAY(A4774,2)</f>
        <v>2</v>
      </c>
      <c r="E4774" s="33" t="n">
        <f aca="false">HOUR(A4774)+MINUTE(A4774)/60</f>
        <v>20</v>
      </c>
      <c r="F4774" s="33" t="n">
        <f aca="false">IF(OR(D4774&gt;5,E4774&lt;8,E4774&gt;=18,COUNTIF($K$2:$K$10,INT(A4774))&gt;0),1,0)</f>
        <v>1</v>
      </c>
      <c r="G4774" s="34" t="n">
        <f aca="false">B4774/1</f>
        <v>196.389</v>
      </c>
      <c r="H4774" s="34" t="n">
        <f aca="false">IF(F4774=1,G4774,"")</f>
        <v>196.389</v>
      </c>
    </row>
    <row r="4775" customFormat="false" ht="15" hidden="false" customHeight="false" outlineLevel="0" collapsed="false">
      <c r="A4775" s="31" t="n">
        <v>42934.875</v>
      </c>
      <c r="B4775" s="32" t="n">
        <v>192.352</v>
      </c>
      <c r="D4775" s="33" t="n">
        <f aca="false">WEEKDAY(A4775,2)</f>
        <v>2</v>
      </c>
      <c r="E4775" s="33" t="n">
        <f aca="false">HOUR(A4775)+MINUTE(A4775)/60</f>
        <v>21</v>
      </c>
      <c r="F4775" s="33" t="n">
        <f aca="false">IF(OR(D4775&gt;5,E4775&lt;8,E4775&gt;=18,COUNTIF($K$2:$K$10,INT(A4775))&gt;0),1,0)</f>
        <v>1</v>
      </c>
      <c r="G4775" s="34" t="n">
        <f aca="false">B4775/1</f>
        <v>192.352</v>
      </c>
      <c r="H4775" s="34" t="n">
        <f aca="false">IF(F4775=1,G4775,"")</f>
        <v>192.352</v>
      </c>
    </row>
    <row r="4776" customFormat="false" ht="15" hidden="false" customHeight="false" outlineLevel="0" collapsed="false">
      <c r="A4776" s="31" t="n">
        <v>42934.9166666667</v>
      </c>
      <c r="B4776" s="32" t="n">
        <v>140.275</v>
      </c>
      <c r="D4776" s="33" t="n">
        <f aca="false">WEEKDAY(A4776,2)</f>
        <v>2</v>
      </c>
      <c r="E4776" s="33" t="n">
        <f aca="false">HOUR(A4776)+MINUTE(A4776)/60</f>
        <v>22</v>
      </c>
      <c r="F4776" s="33" t="n">
        <f aca="false">IF(OR(D4776&gt;5,E4776&lt;8,E4776&gt;=18,COUNTIF($K$2:$K$10,INT(A4776))&gt;0),1,0)</f>
        <v>1</v>
      </c>
      <c r="G4776" s="34" t="n">
        <f aca="false">B4776/1</f>
        <v>140.275</v>
      </c>
      <c r="H4776" s="34" t="n">
        <f aca="false">IF(F4776=1,G4776,"")</f>
        <v>140.275</v>
      </c>
    </row>
    <row r="4777" customFormat="false" ht="15" hidden="false" customHeight="false" outlineLevel="0" collapsed="false">
      <c r="A4777" s="31" t="n">
        <v>42934.9583333333</v>
      </c>
      <c r="B4777" s="32" t="n">
        <v>78.039</v>
      </c>
      <c r="D4777" s="33" t="n">
        <f aca="false">WEEKDAY(A4777,2)</f>
        <v>2</v>
      </c>
      <c r="E4777" s="33" t="n">
        <f aca="false">HOUR(A4777)+MINUTE(A4777)/60</f>
        <v>23</v>
      </c>
      <c r="F4777" s="33" t="n">
        <f aca="false">IF(OR(D4777&gt;5,E4777&lt;8,E4777&gt;=18,COUNTIF($K$2:$K$10,INT(A4777))&gt;0),1,0)</f>
        <v>1</v>
      </c>
      <c r="G4777" s="34" t="n">
        <f aca="false">B4777/1</f>
        <v>78.039</v>
      </c>
      <c r="H4777" s="34" t="n">
        <f aca="false">IF(F4777=1,G4777,"")</f>
        <v>78.039</v>
      </c>
    </row>
    <row r="4778" customFormat="false" ht="15" hidden="false" customHeight="false" outlineLevel="0" collapsed="false">
      <c r="A4778" s="31" t="n">
        <v>42935</v>
      </c>
      <c r="B4778" s="32" t="n">
        <v>77.495</v>
      </c>
      <c r="D4778" s="33" t="n">
        <f aca="false">WEEKDAY(A4778,2)</f>
        <v>3</v>
      </c>
      <c r="E4778" s="33" t="n">
        <f aca="false">HOUR(A4778)+MINUTE(A4778)/60</f>
        <v>0</v>
      </c>
      <c r="F4778" s="33" t="n">
        <f aca="false">IF(OR(D4778&gt;5,E4778&lt;8,E4778&gt;=18,COUNTIF($K$2:$K$10,INT(A4778))&gt;0),1,0)</f>
        <v>1</v>
      </c>
      <c r="G4778" s="34" t="n">
        <f aca="false">B4778/1</f>
        <v>77.495</v>
      </c>
      <c r="H4778" s="34" t="n">
        <f aca="false">IF(F4778=1,G4778,"")</f>
        <v>77.495</v>
      </c>
    </row>
    <row r="4779" customFormat="false" ht="15" hidden="false" customHeight="false" outlineLevel="0" collapsed="false">
      <c r="A4779" s="31" t="n">
        <v>42935.0416666667</v>
      </c>
      <c r="B4779" s="32" t="n">
        <v>103.198</v>
      </c>
      <c r="D4779" s="33" t="n">
        <f aca="false">WEEKDAY(A4779,2)</f>
        <v>3</v>
      </c>
      <c r="E4779" s="33" t="n">
        <f aca="false">HOUR(A4779)+MINUTE(A4779)/60</f>
        <v>1</v>
      </c>
      <c r="F4779" s="33" t="n">
        <f aca="false">IF(OR(D4779&gt;5,E4779&lt;8,E4779&gt;=18,COUNTIF($K$2:$K$10,INT(A4779))&gt;0),1,0)</f>
        <v>1</v>
      </c>
      <c r="G4779" s="34" t="n">
        <f aca="false">B4779/1</f>
        <v>103.198</v>
      </c>
      <c r="H4779" s="34" t="n">
        <f aca="false">IF(F4779=1,G4779,"")</f>
        <v>103.198</v>
      </c>
    </row>
    <row r="4780" customFormat="false" ht="15" hidden="false" customHeight="false" outlineLevel="0" collapsed="false">
      <c r="A4780" s="31" t="n">
        <v>42935.0833333333</v>
      </c>
      <c r="B4780" s="32" t="n">
        <v>110.89</v>
      </c>
      <c r="D4780" s="33" t="n">
        <f aca="false">WEEKDAY(A4780,2)</f>
        <v>3</v>
      </c>
      <c r="E4780" s="33" t="n">
        <f aca="false">HOUR(A4780)+MINUTE(A4780)/60</f>
        <v>2</v>
      </c>
      <c r="F4780" s="33" t="n">
        <f aca="false">IF(OR(D4780&gt;5,E4780&lt;8,E4780&gt;=18,COUNTIF($K$2:$K$10,INT(A4780))&gt;0),1,0)</f>
        <v>1</v>
      </c>
      <c r="G4780" s="34" t="n">
        <f aca="false">B4780/1</f>
        <v>110.89</v>
      </c>
      <c r="H4780" s="34" t="n">
        <f aca="false">IF(F4780=1,G4780,"")</f>
        <v>110.89</v>
      </c>
    </row>
    <row r="4781" customFormat="false" ht="15" hidden="false" customHeight="false" outlineLevel="0" collapsed="false">
      <c r="A4781" s="31" t="n">
        <v>42935.125</v>
      </c>
      <c r="B4781" s="32" t="n">
        <v>112.533</v>
      </c>
      <c r="D4781" s="33" t="n">
        <f aca="false">WEEKDAY(A4781,2)</f>
        <v>3</v>
      </c>
      <c r="E4781" s="33" t="n">
        <f aca="false">HOUR(A4781)+MINUTE(A4781)/60</f>
        <v>3</v>
      </c>
      <c r="F4781" s="33" t="n">
        <f aca="false">IF(OR(D4781&gt;5,E4781&lt;8,E4781&gt;=18,COUNTIF($K$2:$K$10,INT(A4781))&gt;0),1,0)</f>
        <v>1</v>
      </c>
      <c r="G4781" s="34" t="n">
        <f aca="false">B4781/1</f>
        <v>112.533</v>
      </c>
      <c r="H4781" s="34" t="n">
        <f aca="false">IF(F4781=1,G4781,"")</f>
        <v>112.533</v>
      </c>
    </row>
    <row r="4782" customFormat="false" ht="15" hidden="false" customHeight="false" outlineLevel="0" collapsed="false">
      <c r="A4782" s="31" t="n">
        <v>42935.1666666667</v>
      </c>
      <c r="B4782" s="32" t="n">
        <v>111.049</v>
      </c>
      <c r="D4782" s="33" t="n">
        <f aca="false">WEEKDAY(A4782,2)</f>
        <v>3</v>
      </c>
      <c r="E4782" s="33" t="n">
        <f aca="false">HOUR(A4782)+MINUTE(A4782)/60</f>
        <v>4</v>
      </c>
      <c r="F4782" s="33" t="n">
        <f aca="false">IF(OR(D4782&gt;5,E4782&lt;8,E4782&gt;=18,COUNTIF($K$2:$K$10,INT(A4782))&gt;0),1,0)</f>
        <v>1</v>
      </c>
      <c r="G4782" s="34" t="n">
        <f aca="false">B4782/1</f>
        <v>111.049</v>
      </c>
      <c r="H4782" s="34" t="n">
        <f aca="false">IF(F4782=1,G4782,"")</f>
        <v>111.049</v>
      </c>
    </row>
    <row r="4783" customFormat="false" ht="15" hidden="false" customHeight="false" outlineLevel="0" collapsed="false">
      <c r="A4783" s="31" t="n">
        <v>42935.2083333333</v>
      </c>
      <c r="B4783" s="32" t="n">
        <v>111.96</v>
      </c>
      <c r="D4783" s="33" t="n">
        <f aca="false">WEEKDAY(A4783,2)</f>
        <v>3</v>
      </c>
      <c r="E4783" s="33" t="n">
        <f aca="false">HOUR(A4783)+MINUTE(A4783)/60</f>
        <v>5</v>
      </c>
      <c r="F4783" s="33" t="n">
        <f aca="false">IF(OR(D4783&gt;5,E4783&lt;8,E4783&gt;=18,COUNTIF($K$2:$K$10,INT(A4783))&gt;0),1,0)</f>
        <v>1</v>
      </c>
      <c r="G4783" s="34" t="n">
        <f aca="false">B4783/1</f>
        <v>111.96</v>
      </c>
      <c r="H4783" s="34" t="n">
        <f aca="false">IF(F4783=1,G4783,"")</f>
        <v>111.96</v>
      </c>
    </row>
    <row r="4784" customFormat="false" ht="15" hidden="false" customHeight="false" outlineLevel="0" collapsed="false">
      <c r="A4784" s="31" t="n">
        <v>42935.25</v>
      </c>
      <c r="B4784" s="32" t="n">
        <v>112.051</v>
      </c>
      <c r="D4784" s="33" t="n">
        <f aca="false">WEEKDAY(A4784,2)</f>
        <v>3</v>
      </c>
      <c r="E4784" s="33" t="n">
        <f aca="false">HOUR(A4784)+MINUTE(A4784)/60</f>
        <v>6</v>
      </c>
      <c r="F4784" s="33" t="n">
        <f aca="false">IF(OR(D4784&gt;5,E4784&lt;8,E4784&gt;=18,COUNTIF($K$2:$K$10,INT(A4784))&gt;0),1,0)</f>
        <v>1</v>
      </c>
      <c r="G4784" s="34" t="n">
        <f aca="false">B4784/1</f>
        <v>112.051</v>
      </c>
      <c r="H4784" s="34" t="n">
        <f aca="false">IF(F4784=1,G4784,"")</f>
        <v>112.051</v>
      </c>
    </row>
    <row r="4785" customFormat="false" ht="15" hidden="false" customHeight="false" outlineLevel="0" collapsed="false">
      <c r="A4785" s="31" t="n">
        <v>42935.2916666667</v>
      </c>
      <c r="B4785" s="32" t="n">
        <v>80.669</v>
      </c>
      <c r="D4785" s="33" t="n">
        <f aca="false">WEEKDAY(A4785,2)</f>
        <v>3</v>
      </c>
      <c r="E4785" s="33" t="n">
        <f aca="false">HOUR(A4785)+MINUTE(A4785)/60</f>
        <v>7</v>
      </c>
      <c r="F4785" s="33" t="n">
        <f aca="false">IF(OR(D4785&gt;5,E4785&lt;8,E4785&gt;=18,COUNTIF($K$2:$K$10,INT(A4785))&gt;0),1,0)</f>
        <v>1</v>
      </c>
      <c r="G4785" s="34" t="n">
        <f aca="false">B4785/1</f>
        <v>80.669</v>
      </c>
      <c r="H4785" s="34" t="n">
        <f aca="false">IF(F4785=1,G4785,"")</f>
        <v>80.669</v>
      </c>
    </row>
    <row r="4786" customFormat="false" ht="15" hidden="false" customHeight="false" outlineLevel="0" collapsed="false">
      <c r="A4786" s="31" t="n">
        <v>42935.3333333333</v>
      </c>
      <c r="B4786" s="32" t="n">
        <v>190.886</v>
      </c>
      <c r="D4786" s="33" t="n">
        <f aca="false">WEEKDAY(A4786,2)</f>
        <v>3</v>
      </c>
      <c r="E4786" s="33" t="n">
        <f aca="false">HOUR(A4786)+MINUTE(A4786)/60</f>
        <v>8</v>
      </c>
      <c r="F4786" s="33" t="n">
        <f aca="false">IF(OR(D4786&gt;5,E4786&lt;8,E4786&gt;=18,COUNTIF($K$2:$K$10,INT(A4786))&gt;0),1,0)</f>
        <v>0</v>
      </c>
      <c r="G4786" s="34" t="n">
        <f aca="false">B4786/1</f>
        <v>190.886</v>
      </c>
      <c r="H4786" s="34" t="str">
        <f aca="false">IF(F4786=1,G4786,"")</f>
        <v/>
      </c>
    </row>
    <row r="4787" customFormat="false" ht="15" hidden="false" customHeight="false" outlineLevel="0" collapsed="false">
      <c r="A4787" s="31" t="n">
        <v>42935.375</v>
      </c>
      <c r="B4787" s="32" t="n">
        <v>215.972</v>
      </c>
      <c r="D4787" s="33" t="n">
        <f aca="false">WEEKDAY(A4787,2)</f>
        <v>3</v>
      </c>
      <c r="E4787" s="33" t="n">
        <f aca="false">HOUR(A4787)+MINUTE(A4787)/60</f>
        <v>9</v>
      </c>
      <c r="F4787" s="33" t="n">
        <f aca="false">IF(OR(D4787&gt;5,E4787&lt;8,E4787&gt;=18,COUNTIF($K$2:$K$10,INT(A4787))&gt;0),1,0)</f>
        <v>0</v>
      </c>
      <c r="G4787" s="34" t="n">
        <f aca="false">B4787/1</f>
        <v>215.972</v>
      </c>
      <c r="H4787" s="34" t="str">
        <f aca="false">IF(F4787=1,G4787,"")</f>
        <v/>
      </c>
    </row>
    <row r="4788" customFormat="false" ht="15" hidden="false" customHeight="false" outlineLevel="0" collapsed="false">
      <c r="A4788" s="31" t="n">
        <v>42935.4166666667</v>
      </c>
      <c r="B4788" s="32" t="n">
        <v>231.424</v>
      </c>
      <c r="D4788" s="33" t="n">
        <f aca="false">WEEKDAY(A4788,2)</f>
        <v>3</v>
      </c>
      <c r="E4788" s="33" t="n">
        <f aca="false">HOUR(A4788)+MINUTE(A4788)/60</f>
        <v>10</v>
      </c>
      <c r="F4788" s="33" t="n">
        <f aca="false">IF(OR(D4788&gt;5,E4788&lt;8,E4788&gt;=18,COUNTIF($K$2:$K$10,INT(A4788))&gt;0),1,0)</f>
        <v>0</v>
      </c>
      <c r="G4788" s="34" t="n">
        <f aca="false">B4788/1</f>
        <v>231.424</v>
      </c>
      <c r="H4788" s="34" t="str">
        <f aca="false">IF(F4788=1,G4788,"")</f>
        <v/>
      </c>
    </row>
    <row r="4789" customFormat="false" ht="15" hidden="false" customHeight="false" outlineLevel="0" collapsed="false">
      <c r="A4789" s="31" t="n">
        <v>42935.4583333333</v>
      </c>
      <c r="B4789" s="32" t="n">
        <v>235.525</v>
      </c>
      <c r="D4789" s="33" t="n">
        <f aca="false">WEEKDAY(A4789,2)</f>
        <v>3</v>
      </c>
      <c r="E4789" s="33" t="n">
        <f aca="false">HOUR(A4789)+MINUTE(A4789)/60</f>
        <v>11</v>
      </c>
      <c r="F4789" s="33" t="n">
        <f aca="false">IF(OR(D4789&gt;5,E4789&lt;8,E4789&gt;=18,COUNTIF($K$2:$K$10,INT(A4789))&gt;0),1,0)</f>
        <v>0</v>
      </c>
      <c r="G4789" s="34" t="n">
        <f aca="false">B4789/1</f>
        <v>235.525</v>
      </c>
      <c r="H4789" s="34" t="str">
        <f aca="false">IF(F4789=1,G4789,"")</f>
        <v/>
      </c>
    </row>
    <row r="4790" customFormat="false" ht="15" hidden="false" customHeight="false" outlineLevel="0" collapsed="false">
      <c r="A4790" s="31" t="n">
        <v>42935.5</v>
      </c>
      <c r="B4790" s="32" t="n">
        <v>238.429</v>
      </c>
      <c r="D4790" s="33" t="n">
        <f aca="false">WEEKDAY(A4790,2)</f>
        <v>3</v>
      </c>
      <c r="E4790" s="33" t="n">
        <f aca="false">HOUR(A4790)+MINUTE(A4790)/60</f>
        <v>12</v>
      </c>
      <c r="F4790" s="33" t="n">
        <f aca="false">IF(OR(D4790&gt;5,E4790&lt;8,E4790&gt;=18,COUNTIF($K$2:$K$10,INT(A4790))&gt;0),1,0)</f>
        <v>0</v>
      </c>
      <c r="G4790" s="34" t="n">
        <f aca="false">B4790/1</f>
        <v>238.429</v>
      </c>
      <c r="H4790" s="34" t="str">
        <f aca="false">IF(F4790=1,G4790,"")</f>
        <v/>
      </c>
    </row>
    <row r="4791" customFormat="false" ht="15" hidden="false" customHeight="false" outlineLevel="0" collapsed="false">
      <c r="A4791" s="31" t="n">
        <v>42935.5416666667</v>
      </c>
      <c r="B4791" s="32" t="n">
        <v>233.697</v>
      </c>
      <c r="D4791" s="33" t="n">
        <f aca="false">WEEKDAY(A4791,2)</f>
        <v>3</v>
      </c>
      <c r="E4791" s="33" t="n">
        <f aca="false">HOUR(A4791)+MINUTE(A4791)/60</f>
        <v>13</v>
      </c>
      <c r="F4791" s="33" t="n">
        <f aca="false">IF(OR(D4791&gt;5,E4791&lt;8,E4791&gt;=18,COUNTIF($K$2:$K$10,INT(A4791))&gt;0),1,0)</f>
        <v>0</v>
      </c>
      <c r="G4791" s="34" t="n">
        <f aca="false">B4791/1</f>
        <v>233.697</v>
      </c>
      <c r="H4791" s="34" t="str">
        <f aca="false">IF(F4791=1,G4791,"")</f>
        <v/>
      </c>
    </row>
    <row r="4792" customFormat="false" ht="15" hidden="false" customHeight="false" outlineLevel="0" collapsed="false">
      <c r="A4792" s="31" t="n">
        <v>42935.5833333333</v>
      </c>
      <c r="B4792" s="32" t="n">
        <v>235.521</v>
      </c>
      <c r="D4792" s="33" t="n">
        <f aca="false">WEEKDAY(A4792,2)</f>
        <v>3</v>
      </c>
      <c r="E4792" s="33" t="n">
        <f aca="false">HOUR(A4792)+MINUTE(A4792)/60</f>
        <v>14</v>
      </c>
      <c r="F4792" s="33" t="n">
        <f aca="false">IF(OR(D4792&gt;5,E4792&lt;8,E4792&gt;=18,COUNTIF($K$2:$K$10,INT(A4792))&gt;0),1,0)</f>
        <v>0</v>
      </c>
      <c r="G4792" s="34" t="n">
        <f aca="false">B4792/1</f>
        <v>235.521</v>
      </c>
      <c r="H4792" s="34" t="str">
        <f aca="false">IF(F4792=1,G4792,"")</f>
        <v/>
      </c>
    </row>
    <row r="4793" customFormat="false" ht="15" hidden="false" customHeight="false" outlineLevel="0" collapsed="false">
      <c r="A4793" s="31" t="n">
        <v>42935.625</v>
      </c>
      <c r="B4793" s="32" t="n">
        <v>232.733</v>
      </c>
      <c r="D4793" s="33" t="n">
        <f aca="false">WEEKDAY(A4793,2)</f>
        <v>3</v>
      </c>
      <c r="E4793" s="33" t="n">
        <f aca="false">HOUR(A4793)+MINUTE(A4793)/60</f>
        <v>15</v>
      </c>
      <c r="F4793" s="33" t="n">
        <f aca="false">IF(OR(D4793&gt;5,E4793&lt;8,E4793&gt;=18,COUNTIF($K$2:$K$10,INT(A4793))&gt;0),1,0)</f>
        <v>0</v>
      </c>
      <c r="G4793" s="34" t="n">
        <f aca="false">B4793/1</f>
        <v>232.733</v>
      </c>
      <c r="H4793" s="34" t="str">
        <f aca="false">IF(F4793=1,G4793,"")</f>
        <v/>
      </c>
    </row>
    <row r="4794" customFormat="false" ht="15" hidden="false" customHeight="false" outlineLevel="0" collapsed="false">
      <c r="A4794" s="31" t="n">
        <v>42935.6666666667</v>
      </c>
      <c r="B4794" s="32" t="n">
        <v>221.146</v>
      </c>
      <c r="D4794" s="33" t="n">
        <f aca="false">WEEKDAY(A4794,2)</f>
        <v>3</v>
      </c>
      <c r="E4794" s="33" t="n">
        <f aca="false">HOUR(A4794)+MINUTE(A4794)/60</f>
        <v>16</v>
      </c>
      <c r="F4794" s="33" t="n">
        <f aca="false">IF(OR(D4794&gt;5,E4794&lt;8,E4794&gt;=18,COUNTIF($K$2:$K$10,INT(A4794))&gt;0),1,0)</f>
        <v>0</v>
      </c>
      <c r="G4794" s="34" t="n">
        <f aca="false">B4794/1</f>
        <v>221.146</v>
      </c>
      <c r="H4794" s="34" t="str">
        <f aca="false">IF(F4794=1,G4794,"")</f>
        <v/>
      </c>
    </row>
    <row r="4795" customFormat="false" ht="15" hidden="false" customHeight="false" outlineLevel="0" collapsed="false">
      <c r="A4795" s="31" t="n">
        <v>42935.7083333333</v>
      </c>
      <c r="B4795" s="32" t="n">
        <v>215.627</v>
      </c>
      <c r="D4795" s="33" t="n">
        <f aca="false">WEEKDAY(A4795,2)</f>
        <v>3</v>
      </c>
      <c r="E4795" s="33" t="n">
        <f aca="false">HOUR(A4795)+MINUTE(A4795)/60</f>
        <v>17</v>
      </c>
      <c r="F4795" s="33" t="n">
        <f aca="false">IF(OR(D4795&gt;5,E4795&lt;8,E4795&gt;=18,COUNTIF($K$2:$K$10,INT(A4795))&gt;0),1,0)</f>
        <v>0</v>
      </c>
      <c r="G4795" s="34" t="n">
        <f aca="false">B4795/1</f>
        <v>215.627</v>
      </c>
      <c r="H4795" s="34" t="str">
        <f aca="false">IF(F4795=1,G4795,"")</f>
        <v/>
      </c>
    </row>
    <row r="4796" customFormat="false" ht="15" hidden="false" customHeight="false" outlineLevel="0" collapsed="false">
      <c r="A4796" s="31" t="n">
        <v>42935.75</v>
      </c>
      <c r="B4796" s="32" t="n">
        <v>199.721</v>
      </c>
      <c r="D4796" s="33" t="n">
        <f aca="false">WEEKDAY(A4796,2)</f>
        <v>3</v>
      </c>
      <c r="E4796" s="33" t="n">
        <f aca="false">HOUR(A4796)+MINUTE(A4796)/60</f>
        <v>18</v>
      </c>
      <c r="F4796" s="33" t="n">
        <f aca="false">IF(OR(D4796&gt;5,E4796&lt;8,E4796&gt;=18,COUNTIF($K$2:$K$10,INT(A4796))&gt;0),1,0)</f>
        <v>1</v>
      </c>
      <c r="G4796" s="34" t="n">
        <f aca="false">B4796/1</f>
        <v>199.721</v>
      </c>
      <c r="H4796" s="34" t="n">
        <f aca="false">IF(F4796=1,G4796,"")</f>
        <v>199.721</v>
      </c>
    </row>
    <row r="4797" customFormat="false" ht="15" hidden="false" customHeight="false" outlineLevel="0" collapsed="false">
      <c r="A4797" s="31" t="n">
        <v>42935.7916666667</v>
      </c>
      <c r="B4797" s="32" t="n">
        <v>194.579</v>
      </c>
      <c r="D4797" s="33" t="n">
        <f aca="false">WEEKDAY(A4797,2)</f>
        <v>3</v>
      </c>
      <c r="E4797" s="33" t="n">
        <f aca="false">HOUR(A4797)+MINUTE(A4797)/60</f>
        <v>19</v>
      </c>
      <c r="F4797" s="33" t="n">
        <f aca="false">IF(OR(D4797&gt;5,E4797&lt;8,E4797&gt;=18,COUNTIF($K$2:$K$10,INT(A4797))&gt;0),1,0)</f>
        <v>1</v>
      </c>
      <c r="G4797" s="34" t="n">
        <f aca="false">B4797/1</f>
        <v>194.579</v>
      </c>
      <c r="H4797" s="34" t="n">
        <f aca="false">IF(F4797=1,G4797,"")</f>
        <v>194.579</v>
      </c>
    </row>
    <row r="4798" customFormat="false" ht="15" hidden="false" customHeight="false" outlineLevel="0" collapsed="false">
      <c r="A4798" s="31" t="n">
        <v>42935.8333333333</v>
      </c>
      <c r="B4798" s="32" t="n">
        <v>191.523</v>
      </c>
      <c r="D4798" s="33" t="n">
        <f aca="false">WEEKDAY(A4798,2)</f>
        <v>3</v>
      </c>
      <c r="E4798" s="33" t="n">
        <f aca="false">HOUR(A4798)+MINUTE(A4798)/60</f>
        <v>20</v>
      </c>
      <c r="F4798" s="33" t="n">
        <f aca="false">IF(OR(D4798&gt;5,E4798&lt;8,E4798&gt;=18,COUNTIF($K$2:$K$10,INT(A4798))&gt;0),1,0)</f>
        <v>1</v>
      </c>
      <c r="G4798" s="34" t="n">
        <f aca="false">B4798/1</f>
        <v>191.523</v>
      </c>
      <c r="H4798" s="34" t="n">
        <f aca="false">IF(F4798=1,G4798,"")</f>
        <v>191.523</v>
      </c>
    </row>
    <row r="4799" customFormat="false" ht="15" hidden="false" customHeight="false" outlineLevel="0" collapsed="false">
      <c r="A4799" s="31" t="n">
        <v>42935.875</v>
      </c>
      <c r="B4799" s="32" t="n">
        <v>189.896</v>
      </c>
      <c r="D4799" s="33" t="n">
        <f aca="false">WEEKDAY(A4799,2)</f>
        <v>3</v>
      </c>
      <c r="E4799" s="33" t="n">
        <f aca="false">HOUR(A4799)+MINUTE(A4799)/60</f>
        <v>21</v>
      </c>
      <c r="F4799" s="33" t="n">
        <f aca="false">IF(OR(D4799&gt;5,E4799&lt;8,E4799&gt;=18,COUNTIF($K$2:$K$10,INT(A4799))&gt;0),1,0)</f>
        <v>1</v>
      </c>
      <c r="G4799" s="34" t="n">
        <f aca="false">B4799/1</f>
        <v>189.896</v>
      </c>
      <c r="H4799" s="34" t="n">
        <f aca="false">IF(F4799=1,G4799,"")</f>
        <v>189.896</v>
      </c>
    </row>
    <row r="4800" customFormat="false" ht="15" hidden="false" customHeight="false" outlineLevel="0" collapsed="false">
      <c r="A4800" s="31" t="n">
        <v>42935.9166666667</v>
      </c>
      <c r="B4800" s="32" t="n">
        <v>138.568</v>
      </c>
      <c r="D4800" s="33" t="n">
        <f aca="false">WEEKDAY(A4800,2)</f>
        <v>3</v>
      </c>
      <c r="E4800" s="33" t="n">
        <f aca="false">HOUR(A4800)+MINUTE(A4800)/60</f>
        <v>22</v>
      </c>
      <c r="F4800" s="33" t="n">
        <f aca="false">IF(OR(D4800&gt;5,E4800&lt;8,E4800&gt;=18,COUNTIF($K$2:$K$10,INT(A4800))&gt;0),1,0)</f>
        <v>1</v>
      </c>
      <c r="G4800" s="34" t="n">
        <f aca="false">B4800/1</f>
        <v>138.568</v>
      </c>
      <c r="H4800" s="34" t="n">
        <f aca="false">IF(F4800=1,G4800,"")</f>
        <v>138.568</v>
      </c>
    </row>
    <row r="4801" customFormat="false" ht="15" hidden="false" customHeight="false" outlineLevel="0" collapsed="false">
      <c r="A4801" s="31" t="n">
        <v>42935.9583333333</v>
      </c>
      <c r="B4801" s="32" t="n">
        <v>80.609</v>
      </c>
      <c r="D4801" s="33" t="n">
        <f aca="false">WEEKDAY(A4801,2)</f>
        <v>3</v>
      </c>
      <c r="E4801" s="33" t="n">
        <f aca="false">HOUR(A4801)+MINUTE(A4801)/60</f>
        <v>23</v>
      </c>
      <c r="F4801" s="33" t="n">
        <f aca="false">IF(OR(D4801&gt;5,E4801&lt;8,E4801&gt;=18,COUNTIF($K$2:$K$10,INT(A4801))&gt;0),1,0)</f>
        <v>1</v>
      </c>
      <c r="G4801" s="34" t="n">
        <f aca="false">B4801/1</f>
        <v>80.609</v>
      </c>
      <c r="H4801" s="34" t="n">
        <f aca="false">IF(F4801=1,G4801,"")</f>
        <v>80.609</v>
      </c>
    </row>
    <row r="4802" customFormat="false" ht="15" hidden="false" customHeight="false" outlineLevel="0" collapsed="false">
      <c r="A4802" s="31" t="n">
        <v>42936</v>
      </c>
      <c r="B4802" s="32" t="n">
        <v>76.376</v>
      </c>
      <c r="D4802" s="33" t="n">
        <f aca="false">WEEKDAY(A4802,2)</f>
        <v>4</v>
      </c>
      <c r="E4802" s="33" t="n">
        <f aca="false">HOUR(A4802)+MINUTE(A4802)/60</f>
        <v>0</v>
      </c>
      <c r="F4802" s="33" t="n">
        <f aca="false">IF(OR(D4802&gt;5,E4802&lt;8,E4802&gt;=18,COUNTIF($K$2:$K$10,INT(A4802))&gt;0),1,0)</f>
        <v>1</v>
      </c>
      <c r="G4802" s="34" t="n">
        <f aca="false">B4802/1</f>
        <v>76.376</v>
      </c>
      <c r="H4802" s="34" t="n">
        <f aca="false">IF(F4802=1,G4802,"")</f>
        <v>76.376</v>
      </c>
    </row>
    <row r="4803" customFormat="false" ht="15" hidden="false" customHeight="false" outlineLevel="0" collapsed="false">
      <c r="A4803" s="31" t="n">
        <v>42936.0416666667</v>
      </c>
      <c r="B4803" s="32" t="n">
        <v>121.824</v>
      </c>
      <c r="D4803" s="33" t="n">
        <f aca="false">WEEKDAY(A4803,2)</f>
        <v>4</v>
      </c>
      <c r="E4803" s="33" t="n">
        <f aca="false">HOUR(A4803)+MINUTE(A4803)/60</f>
        <v>1</v>
      </c>
      <c r="F4803" s="33" t="n">
        <f aca="false">IF(OR(D4803&gt;5,E4803&lt;8,E4803&gt;=18,COUNTIF($K$2:$K$10,INT(A4803))&gt;0),1,0)</f>
        <v>1</v>
      </c>
      <c r="G4803" s="34" t="n">
        <f aca="false">B4803/1</f>
        <v>121.824</v>
      </c>
      <c r="H4803" s="34" t="n">
        <f aca="false">IF(F4803=1,G4803,"")</f>
        <v>121.824</v>
      </c>
    </row>
    <row r="4804" customFormat="false" ht="15" hidden="false" customHeight="false" outlineLevel="0" collapsed="false">
      <c r="A4804" s="31" t="n">
        <v>42936.0833333333</v>
      </c>
      <c r="B4804" s="32" t="n">
        <v>120.069</v>
      </c>
      <c r="D4804" s="33" t="n">
        <f aca="false">WEEKDAY(A4804,2)</f>
        <v>4</v>
      </c>
      <c r="E4804" s="33" t="n">
        <f aca="false">HOUR(A4804)+MINUTE(A4804)/60</f>
        <v>2</v>
      </c>
      <c r="F4804" s="33" t="n">
        <f aca="false">IF(OR(D4804&gt;5,E4804&lt;8,E4804&gt;=18,COUNTIF($K$2:$K$10,INT(A4804))&gt;0),1,0)</f>
        <v>1</v>
      </c>
      <c r="G4804" s="34" t="n">
        <f aca="false">B4804/1</f>
        <v>120.069</v>
      </c>
      <c r="H4804" s="34" t="n">
        <f aca="false">IF(F4804=1,G4804,"")</f>
        <v>120.069</v>
      </c>
    </row>
    <row r="4805" customFormat="false" ht="15" hidden="false" customHeight="false" outlineLevel="0" collapsed="false">
      <c r="A4805" s="31" t="n">
        <v>42936.125</v>
      </c>
      <c r="B4805" s="32" t="n">
        <v>119.804</v>
      </c>
      <c r="D4805" s="33" t="n">
        <f aca="false">WEEKDAY(A4805,2)</f>
        <v>4</v>
      </c>
      <c r="E4805" s="33" t="n">
        <f aca="false">HOUR(A4805)+MINUTE(A4805)/60</f>
        <v>3</v>
      </c>
      <c r="F4805" s="33" t="n">
        <f aca="false">IF(OR(D4805&gt;5,E4805&lt;8,E4805&gt;=18,COUNTIF($K$2:$K$10,INT(A4805))&gt;0),1,0)</f>
        <v>1</v>
      </c>
      <c r="G4805" s="34" t="n">
        <f aca="false">B4805/1</f>
        <v>119.804</v>
      </c>
      <c r="H4805" s="34" t="n">
        <f aca="false">IF(F4805=1,G4805,"")</f>
        <v>119.804</v>
      </c>
    </row>
    <row r="4806" customFormat="false" ht="15" hidden="false" customHeight="false" outlineLevel="0" collapsed="false">
      <c r="A4806" s="31" t="n">
        <v>42936.1666666667</v>
      </c>
      <c r="B4806" s="32" t="n">
        <v>116.269</v>
      </c>
      <c r="D4806" s="33" t="n">
        <f aca="false">WEEKDAY(A4806,2)</f>
        <v>4</v>
      </c>
      <c r="E4806" s="33" t="n">
        <f aca="false">HOUR(A4806)+MINUTE(A4806)/60</f>
        <v>4</v>
      </c>
      <c r="F4806" s="33" t="n">
        <f aca="false">IF(OR(D4806&gt;5,E4806&lt;8,E4806&gt;=18,COUNTIF($K$2:$K$10,INT(A4806))&gt;0),1,0)</f>
        <v>1</v>
      </c>
      <c r="G4806" s="34" t="n">
        <f aca="false">B4806/1</f>
        <v>116.269</v>
      </c>
      <c r="H4806" s="34" t="n">
        <f aca="false">IF(F4806=1,G4806,"")</f>
        <v>116.269</v>
      </c>
    </row>
    <row r="4807" customFormat="false" ht="15" hidden="false" customHeight="false" outlineLevel="0" collapsed="false">
      <c r="A4807" s="31" t="n">
        <v>42936.2083333333</v>
      </c>
      <c r="B4807" s="32" t="n">
        <v>117.593</v>
      </c>
      <c r="D4807" s="33" t="n">
        <f aca="false">WEEKDAY(A4807,2)</f>
        <v>4</v>
      </c>
      <c r="E4807" s="33" t="n">
        <f aca="false">HOUR(A4807)+MINUTE(A4807)/60</f>
        <v>5</v>
      </c>
      <c r="F4807" s="33" t="n">
        <f aca="false">IF(OR(D4807&gt;5,E4807&lt;8,E4807&gt;=18,COUNTIF($K$2:$K$10,INT(A4807))&gt;0),1,0)</f>
        <v>1</v>
      </c>
      <c r="G4807" s="34" t="n">
        <f aca="false">B4807/1</f>
        <v>117.593</v>
      </c>
      <c r="H4807" s="34" t="n">
        <f aca="false">IF(F4807=1,G4807,"")</f>
        <v>117.593</v>
      </c>
    </row>
    <row r="4808" customFormat="false" ht="15" hidden="false" customHeight="false" outlineLevel="0" collapsed="false">
      <c r="A4808" s="31" t="n">
        <v>42936.25</v>
      </c>
      <c r="B4808" s="32" t="n">
        <v>106.373</v>
      </c>
      <c r="D4808" s="33" t="n">
        <f aca="false">WEEKDAY(A4808,2)</f>
        <v>4</v>
      </c>
      <c r="E4808" s="33" t="n">
        <f aca="false">HOUR(A4808)+MINUTE(A4808)/60</f>
        <v>6</v>
      </c>
      <c r="F4808" s="33" t="n">
        <f aca="false">IF(OR(D4808&gt;5,E4808&lt;8,E4808&gt;=18,COUNTIF($K$2:$K$10,INT(A4808))&gt;0),1,0)</f>
        <v>1</v>
      </c>
      <c r="G4808" s="34" t="n">
        <f aca="false">B4808/1</f>
        <v>106.373</v>
      </c>
      <c r="H4808" s="34" t="n">
        <f aca="false">IF(F4808=1,G4808,"")</f>
        <v>106.373</v>
      </c>
    </row>
    <row r="4809" customFormat="false" ht="15" hidden="false" customHeight="false" outlineLevel="0" collapsed="false">
      <c r="A4809" s="31" t="n">
        <v>42936.2916666667</v>
      </c>
      <c r="B4809" s="32" t="n">
        <v>81.397</v>
      </c>
      <c r="D4809" s="33" t="n">
        <f aca="false">WEEKDAY(A4809,2)</f>
        <v>4</v>
      </c>
      <c r="E4809" s="33" t="n">
        <f aca="false">HOUR(A4809)+MINUTE(A4809)/60</f>
        <v>7</v>
      </c>
      <c r="F4809" s="33" t="n">
        <f aca="false">IF(OR(D4809&gt;5,E4809&lt;8,E4809&gt;=18,COUNTIF($K$2:$K$10,INT(A4809))&gt;0),1,0)</f>
        <v>1</v>
      </c>
      <c r="G4809" s="34" t="n">
        <f aca="false">B4809/1</f>
        <v>81.397</v>
      </c>
      <c r="H4809" s="34" t="n">
        <f aca="false">IF(F4809=1,G4809,"")</f>
        <v>81.397</v>
      </c>
    </row>
    <row r="4810" customFormat="false" ht="15" hidden="false" customHeight="false" outlineLevel="0" collapsed="false">
      <c r="A4810" s="31" t="n">
        <v>42936.3333333333</v>
      </c>
      <c r="B4810" s="32" t="n">
        <v>190.728</v>
      </c>
      <c r="D4810" s="33" t="n">
        <f aca="false">WEEKDAY(A4810,2)</f>
        <v>4</v>
      </c>
      <c r="E4810" s="33" t="n">
        <f aca="false">HOUR(A4810)+MINUTE(A4810)/60</f>
        <v>8</v>
      </c>
      <c r="F4810" s="33" t="n">
        <f aca="false">IF(OR(D4810&gt;5,E4810&lt;8,E4810&gt;=18,COUNTIF($K$2:$K$10,INT(A4810))&gt;0),1,0)</f>
        <v>0</v>
      </c>
      <c r="G4810" s="34" t="n">
        <f aca="false">B4810/1</f>
        <v>190.728</v>
      </c>
      <c r="H4810" s="34" t="str">
        <f aca="false">IF(F4810=1,G4810,"")</f>
        <v/>
      </c>
    </row>
    <row r="4811" customFormat="false" ht="15" hidden="false" customHeight="false" outlineLevel="0" collapsed="false">
      <c r="A4811" s="31" t="n">
        <v>42936.375</v>
      </c>
      <c r="B4811" s="32" t="n">
        <v>214.08</v>
      </c>
      <c r="D4811" s="33" t="n">
        <f aca="false">WEEKDAY(A4811,2)</f>
        <v>4</v>
      </c>
      <c r="E4811" s="33" t="n">
        <f aca="false">HOUR(A4811)+MINUTE(A4811)/60</f>
        <v>9</v>
      </c>
      <c r="F4811" s="33" t="n">
        <f aca="false">IF(OR(D4811&gt;5,E4811&lt;8,E4811&gt;=18,COUNTIF($K$2:$K$10,INT(A4811))&gt;0),1,0)</f>
        <v>0</v>
      </c>
      <c r="G4811" s="34" t="n">
        <f aca="false">B4811/1</f>
        <v>214.08</v>
      </c>
      <c r="H4811" s="34" t="str">
        <f aca="false">IF(F4811=1,G4811,"")</f>
        <v/>
      </c>
    </row>
    <row r="4812" customFormat="false" ht="15" hidden="false" customHeight="false" outlineLevel="0" collapsed="false">
      <c r="A4812" s="31" t="n">
        <v>42936.4166666667</v>
      </c>
      <c r="B4812" s="32" t="n">
        <v>232.177</v>
      </c>
      <c r="D4812" s="33" t="n">
        <f aca="false">WEEKDAY(A4812,2)</f>
        <v>4</v>
      </c>
      <c r="E4812" s="33" t="n">
        <f aca="false">HOUR(A4812)+MINUTE(A4812)/60</f>
        <v>10</v>
      </c>
      <c r="F4812" s="33" t="n">
        <f aca="false">IF(OR(D4812&gt;5,E4812&lt;8,E4812&gt;=18,COUNTIF($K$2:$K$10,INT(A4812))&gt;0),1,0)</f>
        <v>0</v>
      </c>
      <c r="G4812" s="34" t="n">
        <f aca="false">B4812/1</f>
        <v>232.177</v>
      </c>
      <c r="H4812" s="34" t="str">
        <f aca="false">IF(F4812=1,G4812,"")</f>
        <v/>
      </c>
    </row>
    <row r="4813" customFormat="false" ht="15" hidden="false" customHeight="false" outlineLevel="0" collapsed="false">
      <c r="A4813" s="31" t="n">
        <v>42936.4583333333</v>
      </c>
      <c r="B4813" s="32" t="n">
        <v>239.588</v>
      </c>
      <c r="D4813" s="33" t="n">
        <f aca="false">WEEKDAY(A4813,2)</f>
        <v>4</v>
      </c>
      <c r="E4813" s="33" t="n">
        <f aca="false">HOUR(A4813)+MINUTE(A4813)/60</f>
        <v>11</v>
      </c>
      <c r="F4813" s="33" t="n">
        <f aca="false">IF(OR(D4813&gt;5,E4813&lt;8,E4813&gt;=18,COUNTIF($K$2:$K$10,INT(A4813))&gt;0),1,0)</f>
        <v>0</v>
      </c>
      <c r="G4813" s="34" t="n">
        <f aca="false">B4813/1</f>
        <v>239.588</v>
      </c>
      <c r="H4813" s="34" t="str">
        <f aca="false">IF(F4813=1,G4813,"")</f>
        <v/>
      </c>
    </row>
    <row r="4814" customFormat="false" ht="15" hidden="false" customHeight="false" outlineLevel="0" collapsed="false">
      <c r="A4814" s="31" t="n">
        <v>42936.5</v>
      </c>
      <c r="B4814" s="32" t="n">
        <v>241.033</v>
      </c>
      <c r="D4814" s="33" t="n">
        <f aca="false">WEEKDAY(A4814,2)</f>
        <v>4</v>
      </c>
      <c r="E4814" s="33" t="n">
        <f aca="false">HOUR(A4814)+MINUTE(A4814)/60</f>
        <v>12</v>
      </c>
      <c r="F4814" s="33" t="n">
        <f aca="false">IF(OR(D4814&gt;5,E4814&lt;8,E4814&gt;=18,COUNTIF($K$2:$K$10,INT(A4814))&gt;0),1,0)</f>
        <v>0</v>
      </c>
      <c r="G4814" s="34" t="n">
        <f aca="false">B4814/1</f>
        <v>241.033</v>
      </c>
      <c r="H4814" s="34" t="str">
        <f aca="false">IF(F4814=1,G4814,"")</f>
        <v/>
      </c>
    </row>
    <row r="4815" customFormat="false" ht="15" hidden="false" customHeight="false" outlineLevel="0" collapsed="false">
      <c r="A4815" s="31" t="n">
        <v>42936.5416666667</v>
      </c>
      <c r="B4815" s="32" t="n">
        <v>236.738</v>
      </c>
      <c r="D4815" s="33" t="n">
        <f aca="false">WEEKDAY(A4815,2)</f>
        <v>4</v>
      </c>
      <c r="E4815" s="33" t="n">
        <f aca="false">HOUR(A4815)+MINUTE(A4815)/60</f>
        <v>13</v>
      </c>
      <c r="F4815" s="33" t="n">
        <f aca="false">IF(OR(D4815&gt;5,E4815&lt;8,E4815&gt;=18,COUNTIF($K$2:$K$10,INT(A4815))&gt;0),1,0)</f>
        <v>0</v>
      </c>
      <c r="G4815" s="34" t="n">
        <f aca="false">B4815/1</f>
        <v>236.738</v>
      </c>
      <c r="H4815" s="34" t="str">
        <f aca="false">IF(F4815=1,G4815,"")</f>
        <v/>
      </c>
    </row>
    <row r="4816" customFormat="false" ht="15" hidden="false" customHeight="false" outlineLevel="0" collapsed="false">
      <c r="A4816" s="31" t="n">
        <v>42936.5833333333</v>
      </c>
      <c r="B4816" s="32" t="n">
        <v>238.607</v>
      </c>
      <c r="D4816" s="33" t="n">
        <f aca="false">WEEKDAY(A4816,2)</f>
        <v>4</v>
      </c>
      <c r="E4816" s="33" t="n">
        <f aca="false">HOUR(A4816)+MINUTE(A4816)/60</f>
        <v>14</v>
      </c>
      <c r="F4816" s="33" t="n">
        <f aca="false">IF(OR(D4816&gt;5,E4816&lt;8,E4816&gt;=18,COUNTIF($K$2:$K$10,INT(A4816))&gt;0),1,0)</f>
        <v>0</v>
      </c>
      <c r="G4816" s="34" t="n">
        <f aca="false">B4816/1</f>
        <v>238.607</v>
      </c>
      <c r="H4816" s="34" t="str">
        <f aca="false">IF(F4816=1,G4816,"")</f>
        <v/>
      </c>
    </row>
    <row r="4817" customFormat="false" ht="15" hidden="false" customHeight="false" outlineLevel="0" collapsed="false">
      <c r="A4817" s="31" t="n">
        <v>42936.625</v>
      </c>
      <c r="B4817" s="32" t="n">
        <v>234.213</v>
      </c>
      <c r="D4817" s="33" t="n">
        <f aca="false">WEEKDAY(A4817,2)</f>
        <v>4</v>
      </c>
      <c r="E4817" s="33" t="n">
        <f aca="false">HOUR(A4817)+MINUTE(A4817)/60</f>
        <v>15</v>
      </c>
      <c r="F4817" s="33" t="n">
        <f aca="false">IF(OR(D4817&gt;5,E4817&lt;8,E4817&gt;=18,COUNTIF($K$2:$K$10,INT(A4817))&gt;0),1,0)</f>
        <v>0</v>
      </c>
      <c r="G4817" s="34" t="n">
        <f aca="false">B4817/1</f>
        <v>234.213</v>
      </c>
      <c r="H4817" s="34" t="str">
        <f aca="false">IF(F4817=1,G4817,"")</f>
        <v/>
      </c>
    </row>
    <row r="4818" customFormat="false" ht="15" hidden="false" customHeight="false" outlineLevel="0" collapsed="false">
      <c r="A4818" s="31" t="n">
        <v>42936.6666666667</v>
      </c>
      <c r="B4818" s="32" t="n">
        <v>233.057</v>
      </c>
      <c r="D4818" s="33" t="n">
        <f aca="false">WEEKDAY(A4818,2)</f>
        <v>4</v>
      </c>
      <c r="E4818" s="33" t="n">
        <f aca="false">HOUR(A4818)+MINUTE(A4818)/60</f>
        <v>16</v>
      </c>
      <c r="F4818" s="33" t="n">
        <f aca="false">IF(OR(D4818&gt;5,E4818&lt;8,E4818&gt;=18,COUNTIF($K$2:$K$10,INT(A4818))&gt;0),1,0)</f>
        <v>0</v>
      </c>
      <c r="G4818" s="34" t="n">
        <f aca="false">B4818/1</f>
        <v>233.057</v>
      </c>
      <c r="H4818" s="34" t="str">
        <f aca="false">IF(F4818=1,G4818,"")</f>
        <v/>
      </c>
    </row>
    <row r="4819" customFormat="false" ht="15" hidden="false" customHeight="false" outlineLevel="0" collapsed="false">
      <c r="A4819" s="31" t="n">
        <v>42936.7083333333</v>
      </c>
      <c r="B4819" s="32" t="n">
        <v>221.044</v>
      </c>
      <c r="D4819" s="33" t="n">
        <f aca="false">WEEKDAY(A4819,2)</f>
        <v>4</v>
      </c>
      <c r="E4819" s="33" t="n">
        <f aca="false">HOUR(A4819)+MINUTE(A4819)/60</f>
        <v>17</v>
      </c>
      <c r="F4819" s="33" t="n">
        <f aca="false">IF(OR(D4819&gt;5,E4819&lt;8,E4819&gt;=18,COUNTIF($K$2:$K$10,INT(A4819))&gt;0),1,0)</f>
        <v>0</v>
      </c>
      <c r="G4819" s="34" t="n">
        <f aca="false">B4819/1</f>
        <v>221.044</v>
      </c>
      <c r="H4819" s="34" t="str">
        <f aca="false">IF(F4819=1,G4819,"")</f>
        <v/>
      </c>
    </row>
    <row r="4820" customFormat="false" ht="15" hidden="false" customHeight="false" outlineLevel="0" collapsed="false">
      <c r="A4820" s="31" t="n">
        <v>42936.75</v>
      </c>
      <c r="B4820" s="32" t="n">
        <v>204.504</v>
      </c>
      <c r="D4820" s="33" t="n">
        <f aca="false">WEEKDAY(A4820,2)</f>
        <v>4</v>
      </c>
      <c r="E4820" s="33" t="n">
        <f aca="false">HOUR(A4820)+MINUTE(A4820)/60</f>
        <v>18</v>
      </c>
      <c r="F4820" s="33" t="n">
        <f aca="false">IF(OR(D4820&gt;5,E4820&lt;8,E4820&gt;=18,COUNTIF($K$2:$K$10,INT(A4820))&gt;0),1,0)</f>
        <v>1</v>
      </c>
      <c r="G4820" s="34" t="n">
        <f aca="false">B4820/1</f>
        <v>204.504</v>
      </c>
      <c r="H4820" s="34" t="n">
        <f aca="false">IF(F4820=1,G4820,"")</f>
        <v>204.504</v>
      </c>
    </row>
    <row r="4821" customFormat="false" ht="15" hidden="false" customHeight="false" outlineLevel="0" collapsed="false">
      <c r="A4821" s="31" t="n">
        <v>42936.7916666667</v>
      </c>
      <c r="B4821" s="32" t="n">
        <v>197.397</v>
      </c>
      <c r="D4821" s="33" t="n">
        <f aca="false">WEEKDAY(A4821,2)</f>
        <v>4</v>
      </c>
      <c r="E4821" s="33" t="n">
        <f aca="false">HOUR(A4821)+MINUTE(A4821)/60</f>
        <v>19</v>
      </c>
      <c r="F4821" s="33" t="n">
        <f aca="false">IF(OR(D4821&gt;5,E4821&lt;8,E4821&gt;=18,COUNTIF($K$2:$K$10,INT(A4821))&gt;0),1,0)</f>
        <v>1</v>
      </c>
      <c r="G4821" s="34" t="n">
        <f aca="false">B4821/1</f>
        <v>197.397</v>
      </c>
      <c r="H4821" s="34" t="n">
        <f aca="false">IF(F4821=1,G4821,"")</f>
        <v>197.397</v>
      </c>
    </row>
    <row r="4822" customFormat="false" ht="15" hidden="false" customHeight="false" outlineLevel="0" collapsed="false">
      <c r="A4822" s="31" t="n">
        <v>42936.8333333333</v>
      </c>
      <c r="B4822" s="32" t="n">
        <v>196.724</v>
      </c>
      <c r="D4822" s="33" t="n">
        <f aca="false">WEEKDAY(A4822,2)</f>
        <v>4</v>
      </c>
      <c r="E4822" s="33" t="n">
        <f aca="false">HOUR(A4822)+MINUTE(A4822)/60</f>
        <v>20</v>
      </c>
      <c r="F4822" s="33" t="n">
        <f aca="false">IF(OR(D4822&gt;5,E4822&lt;8,E4822&gt;=18,COUNTIF($K$2:$K$10,INT(A4822))&gt;0),1,0)</f>
        <v>1</v>
      </c>
      <c r="G4822" s="34" t="n">
        <f aca="false">B4822/1</f>
        <v>196.724</v>
      </c>
      <c r="H4822" s="34" t="n">
        <f aca="false">IF(F4822=1,G4822,"")</f>
        <v>196.724</v>
      </c>
    </row>
    <row r="4823" customFormat="false" ht="15" hidden="false" customHeight="false" outlineLevel="0" collapsed="false">
      <c r="A4823" s="31" t="n">
        <v>42936.875</v>
      </c>
      <c r="B4823" s="32" t="n">
        <v>194.229</v>
      </c>
      <c r="D4823" s="33" t="n">
        <f aca="false">WEEKDAY(A4823,2)</f>
        <v>4</v>
      </c>
      <c r="E4823" s="33" t="n">
        <f aca="false">HOUR(A4823)+MINUTE(A4823)/60</f>
        <v>21</v>
      </c>
      <c r="F4823" s="33" t="n">
        <f aca="false">IF(OR(D4823&gt;5,E4823&lt;8,E4823&gt;=18,COUNTIF($K$2:$K$10,INT(A4823))&gt;0),1,0)</f>
        <v>1</v>
      </c>
      <c r="G4823" s="34" t="n">
        <f aca="false">B4823/1</f>
        <v>194.229</v>
      </c>
      <c r="H4823" s="34" t="n">
        <f aca="false">IF(F4823=1,G4823,"")</f>
        <v>194.229</v>
      </c>
    </row>
    <row r="4824" customFormat="false" ht="15" hidden="false" customHeight="false" outlineLevel="0" collapsed="false">
      <c r="A4824" s="31" t="n">
        <v>42936.9166666667</v>
      </c>
      <c r="B4824" s="32" t="n">
        <v>191.187</v>
      </c>
      <c r="D4824" s="33" t="n">
        <f aca="false">WEEKDAY(A4824,2)</f>
        <v>4</v>
      </c>
      <c r="E4824" s="33" t="n">
        <f aca="false">HOUR(A4824)+MINUTE(A4824)/60</f>
        <v>22</v>
      </c>
      <c r="F4824" s="33" t="n">
        <f aca="false">IF(OR(D4824&gt;5,E4824&lt;8,E4824&gt;=18,COUNTIF($K$2:$K$10,INT(A4824))&gt;0),1,0)</f>
        <v>1</v>
      </c>
      <c r="G4824" s="34" t="n">
        <f aca="false">B4824/1</f>
        <v>191.187</v>
      </c>
      <c r="H4824" s="34" t="n">
        <f aca="false">IF(F4824=1,G4824,"")</f>
        <v>191.187</v>
      </c>
    </row>
    <row r="4825" customFormat="false" ht="15" hidden="false" customHeight="false" outlineLevel="0" collapsed="false">
      <c r="A4825" s="31" t="n">
        <v>42936.9583333333</v>
      </c>
      <c r="B4825" s="32" t="n">
        <v>83.567</v>
      </c>
      <c r="D4825" s="33" t="n">
        <f aca="false">WEEKDAY(A4825,2)</f>
        <v>4</v>
      </c>
      <c r="E4825" s="33" t="n">
        <f aca="false">HOUR(A4825)+MINUTE(A4825)/60</f>
        <v>23</v>
      </c>
      <c r="F4825" s="33" t="n">
        <f aca="false">IF(OR(D4825&gt;5,E4825&lt;8,E4825&gt;=18,COUNTIF($K$2:$K$10,INT(A4825))&gt;0),1,0)</f>
        <v>1</v>
      </c>
      <c r="G4825" s="34" t="n">
        <f aca="false">B4825/1</f>
        <v>83.567</v>
      </c>
      <c r="H4825" s="34" t="n">
        <f aca="false">IF(F4825=1,G4825,"")</f>
        <v>83.567</v>
      </c>
    </row>
    <row r="4826" customFormat="false" ht="15" hidden="false" customHeight="false" outlineLevel="0" collapsed="false">
      <c r="A4826" s="31" t="n">
        <v>42937</v>
      </c>
      <c r="B4826" s="32" t="n">
        <v>159.074</v>
      </c>
      <c r="D4826" s="33" t="n">
        <f aca="false">WEEKDAY(A4826,2)</f>
        <v>5</v>
      </c>
      <c r="E4826" s="33" t="n">
        <f aca="false">HOUR(A4826)+MINUTE(A4826)/60</f>
        <v>0</v>
      </c>
      <c r="F4826" s="33" t="n">
        <f aca="false">IF(OR(D4826&gt;5,E4826&lt;8,E4826&gt;=18,COUNTIF($K$2:$K$10,INT(A4826))&gt;0),1,0)</f>
        <v>1</v>
      </c>
      <c r="G4826" s="34" t="n">
        <f aca="false">B4826/1</f>
        <v>159.074</v>
      </c>
      <c r="H4826" s="34" t="n">
        <f aca="false">IF(F4826=1,G4826,"")</f>
        <v>159.074</v>
      </c>
    </row>
    <row r="4827" customFormat="false" ht="15" hidden="false" customHeight="false" outlineLevel="0" collapsed="false">
      <c r="A4827" s="31" t="n">
        <v>42937.0416666667</v>
      </c>
      <c r="B4827" s="32" t="n">
        <v>195.448</v>
      </c>
      <c r="D4827" s="33" t="n">
        <f aca="false">WEEKDAY(A4827,2)</f>
        <v>5</v>
      </c>
      <c r="E4827" s="33" t="n">
        <f aca="false">HOUR(A4827)+MINUTE(A4827)/60</f>
        <v>1</v>
      </c>
      <c r="F4827" s="33" t="n">
        <f aca="false">IF(OR(D4827&gt;5,E4827&lt;8,E4827&gt;=18,COUNTIF($K$2:$K$10,INT(A4827))&gt;0),1,0)</f>
        <v>1</v>
      </c>
      <c r="G4827" s="34" t="n">
        <f aca="false">B4827/1</f>
        <v>195.448</v>
      </c>
      <c r="H4827" s="34" t="n">
        <f aca="false">IF(F4827=1,G4827,"")</f>
        <v>195.448</v>
      </c>
    </row>
    <row r="4828" customFormat="false" ht="15" hidden="false" customHeight="false" outlineLevel="0" collapsed="false">
      <c r="A4828" s="31" t="n">
        <v>42937.0833333333</v>
      </c>
      <c r="B4828" s="32" t="n">
        <v>193.826</v>
      </c>
      <c r="D4828" s="33" t="n">
        <f aca="false">WEEKDAY(A4828,2)</f>
        <v>5</v>
      </c>
      <c r="E4828" s="33" t="n">
        <f aca="false">HOUR(A4828)+MINUTE(A4828)/60</f>
        <v>2</v>
      </c>
      <c r="F4828" s="33" t="n">
        <f aca="false">IF(OR(D4828&gt;5,E4828&lt;8,E4828&gt;=18,COUNTIF($K$2:$K$10,INT(A4828))&gt;0),1,0)</f>
        <v>1</v>
      </c>
      <c r="G4828" s="34" t="n">
        <f aca="false">B4828/1</f>
        <v>193.826</v>
      </c>
      <c r="H4828" s="34" t="n">
        <f aca="false">IF(F4828=1,G4828,"")</f>
        <v>193.826</v>
      </c>
    </row>
    <row r="4829" customFormat="false" ht="15" hidden="false" customHeight="false" outlineLevel="0" collapsed="false">
      <c r="A4829" s="31" t="n">
        <v>42937.125</v>
      </c>
      <c r="B4829" s="32" t="n">
        <v>194.125</v>
      </c>
      <c r="D4829" s="33" t="n">
        <f aca="false">WEEKDAY(A4829,2)</f>
        <v>5</v>
      </c>
      <c r="E4829" s="33" t="n">
        <f aca="false">HOUR(A4829)+MINUTE(A4829)/60</f>
        <v>3</v>
      </c>
      <c r="F4829" s="33" t="n">
        <f aca="false">IF(OR(D4829&gt;5,E4829&lt;8,E4829&gt;=18,COUNTIF($K$2:$K$10,INT(A4829))&gt;0),1,0)</f>
        <v>1</v>
      </c>
      <c r="G4829" s="34" t="n">
        <f aca="false">B4829/1</f>
        <v>194.125</v>
      </c>
      <c r="H4829" s="34" t="n">
        <f aca="false">IF(F4829=1,G4829,"")</f>
        <v>194.125</v>
      </c>
    </row>
    <row r="4830" customFormat="false" ht="15" hidden="false" customHeight="false" outlineLevel="0" collapsed="false">
      <c r="A4830" s="31" t="n">
        <v>42937.1666666667</v>
      </c>
      <c r="B4830" s="32" t="n">
        <v>165.796</v>
      </c>
      <c r="D4830" s="33" t="n">
        <f aca="false">WEEKDAY(A4830,2)</f>
        <v>5</v>
      </c>
      <c r="E4830" s="33" t="n">
        <f aca="false">HOUR(A4830)+MINUTE(A4830)/60</f>
        <v>4</v>
      </c>
      <c r="F4830" s="33" t="n">
        <f aca="false">IF(OR(D4830&gt;5,E4830&lt;8,E4830&gt;=18,COUNTIF($K$2:$K$10,INT(A4830))&gt;0),1,0)</f>
        <v>1</v>
      </c>
      <c r="G4830" s="34" t="n">
        <f aca="false">B4830/1</f>
        <v>165.796</v>
      </c>
      <c r="H4830" s="34" t="n">
        <f aca="false">IF(F4830=1,G4830,"")</f>
        <v>165.796</v>
      </c>
    </row>
    <row r="4831" customFormat="false" ht="15" hidden="false" customHeight="false" outlineLevel="0" collapsed="false">
      <c r="A4831" s="31" t="n">
        <v>42937.2083333333</v>
      </c>
      <c r="B4831" s="32" t="n">
        <v>114.135</v>
      </c>
      <c r="D4831" s="33" t="n">
        <f aca="false">WEEKDAY(A4831,2)</f>
        <v>5</v>
      </c>
      <c r="E4831" s="33" t="n">
        <f aca="false">HOUR(A4831)+MINUTE(A4831)/60</f>
        <v>5</v>
      </c>
      <c r="F4831" s="33" t="n">
        <f aca="false">IF(OR(D4831&gt;5,E4831&lt;8,E4831&gt;=18,COUNTIF($K$2:$K$10,INT(A4831))&gt;0),1,0)</f>
        <v>1</v>
      </c>
      <c r="G4831" s="34" t="n">
        <f aca="false">B4831/1</f>
        <v>114.135</v>
      </c>
      <c r="H4831" s="34" t="n">
        <f aca="false">IF(F4831=1,G4831,"")</f>
        <v>114.135</v>
      </c>
    </row>
    <row r="4832" customFormat="false" ht="15" hidden="false" customHeight="false" outlineLevel="0" collapsed="false">
      <c r="A4832" s="31" t="n">
        <v>42937.25</v>
      </c>
      <c r="B4832" s="32" t="n">
        <v>112.722</v>
      </c>
      <c r="D4832" s="33" t="n">
        <f aca="false">WEEKDAY(A4832,2)</f>
        <v>5</v>
      </c>
      <c r="E4832" s="33" t="n">
        <f aca="false">HOUR(A4832)+MINUTE(A4832)/60</f>
        <v>6</v>
      </c>
      <c r="F4832" s="33" t="n">
        <f aca="false">IF(OR(D4832&gt;5,E4832&lt;8,E4832&gt;=18,COUNTIF($K$2:$K$10,INT(A4832))&gt;0),1,0)</f>
        <v>1</v>
      </c>
      <c r="G4832" s="34" t="n">
        <f aca="false">B4832/1</f>
        <v>112.722</v>
      </c>
      <c r="H4832" s="34" t="n">
        <f aca="false">IF(F4832=1,G4832,"")</f>
        <v>112.722</v>
      </c>
    </row>
    <row r="4833" customFormat="false" ht="15" hidden="false" customHeight="false" outlineLevel="0" collapsed="false">
      <c r="A4833" s="31" t="n">
        <v>42937.2916666667</v>
      </c>
      <c r="B4833" s="32" t="n">
        <v>114.467</v>
      </c>
      <c r="D4833" s="33" t="n">
        <f aca="false">WEEKDAY(A4833,2)</f>
        <v>5</v>
      </c>
      <c r="E4833" s="33" t="n">
        <f aca="false">HOUR(A4833)+MINUTE(A4833)/60</f>
        <v>7</v>
      </c>
      <c r="F4833" s="33" t="n">
        <f aca="false">IF(OR(D4833&gt;5,E4833&lt;8,E4833&gt;=18,COUNTIF($K$2:$K$10,INT(A4833))&gt;0),1,0)</f>
        <v>1</v>
      </c>
      <c r="G4833" s="34" t="n">
        <f aca="false">B4833/1</f>
        <v>114.467</v>
      </c>
      <c r="H4833" s="34" t="n">
        <f aca="false">IF(F4833=1,G4833,"")</f>
        <v>114.467</v>
      </c>
    </row>
    <row r="4834" customFormat="false" ht="15" hidden="false" customHeight="false" outlineLevel="0" collapsed="false">
      <c r="A4834" s="31" t="n">
        <v>42937.3333333333</v>
      </c>
      <c r="B4834" s="32" t="n">
        <v>188.141</v>
      </c>
      <c r="D4834" s="33" t="n">
        <f aca="false">WEEKDAY(A4834,2)</f>
        <v>5</v>
      </c>
      <c r="E4834" s="33" t="n">
        <f aca="false">HOUR(A4834)+MINUTE(A4834)/60</f>
        <v>8</v>
      </c>
      <c r="F4834" s="33" t="n">
        <f aca="false">IF(OR(D4834&gt;5,E4834&lt;8,E4834&gt;=18,COUNTIF($K$2:$K$10,INT(A4834))&gt;0),1,0)</f>
        <v>0</v>
      </c>
      <c r="G4834" s="34" t="n">
        <f aca="false">B4834/1</f>
        <v>188.141</v>
      </c>
      <c r="H4834" s="34" t="str">
        <f aca="false">IF(F4834=1,G4834,"")</f>
        <v/>
      </c>
    </row>
    <row r="4835" customFormat="false" ht="15" hidden="false" customHeight="false" outlineLevel="0" collapsed="false">
      <c r="A4835" s="31" t="n">
        <v>42937.375</v>
      </c>
      <c r="B4835" s="32" t="n">
        <v>210.829</v>
      </c>
      <c r="D4835" s="33" t="n">
        <f aca="false">WEEKDAY(A4835,2)</f>
        <v>5</v>
      </c>
      <c r="E4835" s="33" t="n">
        <f aca="false">HOUR(A4835)+MINUTE(A4835)/60</f>
        <v>9</v>
      </c>
      <c r="F4835" s="33" t="n">
        <f aca="false">IF(OR(D4835&gt;5,E4835&lt;8,E4835&gt;=18,COUNTIF($K$2:$K$10,INT(A4835))&gt;0),1,0)</f>
        <v>0</v>
      </c>
      <c r="G4835" s="34" t="n">
        <f aca="false">B4835/1</f>
        <v>210.829</v>
      </c>
      <c r="H4835" s="34" t="str">
        <f aca="false">IF(F4835=1,G4835,"")</f>
        <v/>
      </c>
    </row>
    <row r="4836" customFormat="false" ht="15" hidden="false" customHeight="false" outlineLevel="0" collapsed="false">
      <c r="A4836" s="31" t="n">
        <v>42937.4166666667</v>
      </c>
      <c r="B4836" s="32" t="n">
        <v>222.957</v>
      </c>
      <c r="D4836" s="33" t="n">
        <f aca="false">WEEKDAY(A4836,2)</f>
        <v>5</v>
      </c>
      <c r="E4836" s="33" t="n">
        <f aca="false">HOUR(A4836)+MINUTE(A4836)/60</f>
        <v>10</v>
      </c>
      <c r="F4836" s="33" t="n">
        <f aca="false">IF(OR(D4836&gt;5,E4836&lt;8,E4836&gt;=18,COUNTIF($K$2:$K$10,INT(A4836))&gt;0),1,0)</f>
        <v>0</v>
      </c>
      <c r="G4836" s="34" t="n">
        <f aca="false">B4836/1</f>
        <v>222.957</v>
      </c>
      <c r="H4836" s="34" t="str">
        <f aca="false">IF(F4836=1,G4836,"")</f>
        <v/>
      </c>
    </row>
    <row r="4837" customFormat="false" ht="15" hidden="false" customHeight="false" outlineLevel="0" collapsed="false">
      <c r="A4837" s="31" t="n">
        <v>42937.4583333333</v>
      </c>
      <c r="B4837" s="32" t="n">
        <v>226.806</v>
      </c>
      <c r="D4837" s="33" t="n">
        <f aca="false">WEEKDAY(A4837,2)</f>
        <v>5</v>
      </c>
      <c r="E4837" s="33" t="n">
        <f aca="false">HOUR(A4837)+MINUTE(A4837)/60</f>
        <v>11</v>
      </c>
      <c r="F4837" s="33" t="n">
        <f aca="false">IF(OR(D4837&gt;5,E4837&lt;8,E4837&gt;=18,COUNTIF($K$2:$K$10,INT(A4837))&gt;0),1,0)</f>
        <v>0</v>
      </c>
      <c r="G4837" s="34" t="n">
        <f aca="false">B4837/1</f>
        <v>226.806</v>
      </c>
      <c r="H4837" s="34" t="str">
        <f aca="false">IF(F4837=1,G4837,"")</f>
        <v/>
      </c>
    </row>
    <row r="4838" customFormat="false" ht="15" hidden="false" customHeight="false" outlineLevel="0" collapsed="false">
      <c r="A4838" s="31" t="n">
        <v>42937.5</v>
      </c>
      <c r="B4838" s="32" t="n">
        <v>232.778</v>
      </c>
      <c r="D4838" s="33" t="n">
        <f aca="false">WEEKDAY(A4838,2)</f>
        <v>5</v>
      </c>
      <c r="E4838" s="33" t="n">
        <f aca="false">HOUR(A4838)+MINUTE(A4838)/60</f>
        <v>12</v>
      </c>
      <c r="F4838" s="33" t="n">
        <f aca="false">IF(OR(D4838&gt;5,E4838&lt;8,E4838&gt;=18,COUNTIF($K$2:$K$10,INT(A4838))&gt;0),1,0)</f>
        <v>0</v>
      </c>
      <c r="G4838" s="34" t="n">
        <f aca="false">B4838/1</f>
        <v>232.778</v>
      </c>
      <c r="H4838" s="34" t="str">
        <f aca="false">IF(F4838=1,G4838,"")</f>
        <v/>
      </c>
    </row>
    <row r="4839" customFormat="false" ht="15" hidden="false" customHeight="false" outlineLevel="0" collapsed="false">
      <c r="A4839" s="31" t="n">
        <v>42937.5416666667</v>
      </c>
      <c r="B4839" s="32" t="n">
        <v>230.243</v>
      </c>
      <c r="D4839" s="33" t="n">
        <f aca="false">WEEKDAY(A4839,2)</f>
        <v>5</v>
      </c>
      <c r="E4839" s="33" t="n">
        <f aca="false">HOUR(A4839)+MINUTE(A4839)/60</f>
        <v>13</v>
      </c>
      <c r="F4839" s="33" t="n">
        <f aca="false">IF(OR(D4839&gt;5,E4839&lt;8,E4839&gt;=18,COUNTIF($K$2:$K$10,INT(A4839))&gt;0),1,0)</f>
        <v>0</v>
      </c>
      <c r="G4839" s="34" t="n">
        <f aca="false">B4839/1</f>
        <v>230.243</v>
      </c>
      <c r="H4839" s="34" t="str">
        <f aca="false">IF(F4839=1,G4839,"")</f>
        <v/>
      </c>
    </row>
    <row r="4840" customFormat="false" ht="15" hidden="false" customHeight="false" outlineLevel="0" collapsed="false">
      <c r="A4840" s="31" t="n">
        <v>42937.5833333333</v>
      </c>
      <c r="B4840" s="32" t="n">
        <v>232.976</v>
      </c>
      <c r="D4840" s="33" t="n">
        <f aca="false">WEEKDAY(A4840,2)</f>
        <v>5</v>
      </c>
      <c r="E4840" s="33" t="n">
        <f aca="false">HOUR(A4840)+MINUTE(A4840)/60</f>
        <v>14</v>
      </c>
      <c r="F4840" s="33" t="n">
        <f aca="false">IF(OR(D4840&gt;5,E4840&lt;8,E4840&gt;=18,COUNTIF($K$2:$K$10,INT(A4840))&gt;0),1,0)</f>
        <v>0</v>
      </c>
      <c r="G4840" s="34" t="n">
        <f aca="false">B4840/1</f>
        <v>232.976</v>
      </c>
      <c r="H4840" s="34" t="str">
        <f aca="false">IF(F4840=1,G4840,"")</f>
        <v/>
      </c>
    </row>
    <row r="4841" customFormat="false" ht="15" hidden="false" customHeight="false" outlineLevel="0" collapsed="false">
      <c r="A4841" s="31" t="n">
        <v>42937.625</v>
      </c>
      <c r="B4841" s="32" t="n">
        <v>229.784</v>
      </c>
      <c r="D4841" s="33" t="n">
        <f aca="false">WEEKDAY(A4841,2)</f>
        <v>5</v>
      </c>
      <c r="E4841" s="33" t="n">
        <f aca="false">HOUR(A4841)+MINUTE(A4841)/60</f>
        <v>15</v>
      </c>
      <c r="F4841" s="33" t="n">
        <f aca="false">IF(OR(D4841&gt;5,E4841&lt;8,E4841&gt;=18,COUNTIF($K$2:$K$10,INT(A4841))&gt;0),1,0)</f>
        <v>0</v>
      </c>
      <c r="G4841" s="34" t="n">
        <f aca="false">B4841/1</f>
        <v>229.784</v>
      </c>
      <c r="H4841" s="34" t="str">
        <f aca="false">IF(F4841=1,G4841,"")</f>
        <v/>
      </c>
    </row>
    <row r="4842" customFormat="false" ht="15" hidden="false" customHeight="false" outlineLevel="0" collapsed="false">
      <c r="A4842" s="31" t="n">
        <v>42937.6666666667</v>
      </c>
      <c r="B4842" s="32" t="n">
        <v>221.593</v>
      </c>
      <c r="D4842" s="33" t="n">
        <f aca="false">WEEKDAY(A4842,2)</f>
        <v>5</v>
      </c>
      <c r="E4842" s="33" t="n">
        <f aca="false">HOUR(A4842)+MINUTE(A4842)/60</f>
        <v>16</v>
      </c>
      <c r="F4842" s="33" t="n">
        <f aca="false">IF(OR(D4842&gt;5,E4842&lt;8,E4842&gt;=18,COUNTIF($K$2:$K$10,INT(A4842))&gt;0),1,0)</f>
        <v>0</v>
      </c>
      <c r="G4842" s="34" t="n">
        <f aca="false">B4842/1</f>
        <v>221.593</v>
      </c>
      <c r="H4842" s="34" t="str">
        <f aca="false">IF(F4842=1,G4842,"")</f>
        <v/>
      </c>
    </row>
    <row r="4843" customFormat="false" ht="15" hidden="false" customHeight="false" outlineLevel="0" collapsed="false">
      <c r="A4843" s="31" t="n">
        <v>42937.7083333333</v>
      </c>
      <c r="B4843" s="32" t="n">
        <v>214.517</v>
      </c>
      <c r="D4843" s="33" t="n">
        <f aca="false">WEEKDAY(A4843,2)</f>
        <v>5</v>
      </c>
      <c r="E4843" s="33" t="n">
        <f aca="false">HOUR(A4843)+MINUTE(A4843)/60</f>
        <v>17</v>
      </c>
      <c r="F4843" s="33" t="n">
        <f aca="false">IF(OR(D4843&gt;5,E4843&lt;8,E4843&gt;=18,COUNTIF($K$2:$K$10,INT(A4843))&gt;0),1,0)</f>
        <v>0</v>
      </c>
      <c r="G4843" s="34" t="n">
        <f aca="false">B4843/1</f>
        <v>214.517</v>
      </c>
      <c r="H4843" s="34" t="str">
        <f aca="false">IF(F4843=1,G4843,"")</f>
        <v/>
      </c>
    </row>
    <row r="4844" customFormat="false" ht="15" hidden="false" customHeight="false" outlineLevel="0" collapsed="false">
      <c r="A4844" s="31" t="n">
        <v>42937.75</v>
      </c>
      <c r="B4844" s="32" t="n">
        <v>202.339</v>
      </c>
      <c r="D4844" s="33" t="n">
        <f aca="false">WEEKDAY(A4844,2)</f>
        <v>5</v>
      </c>
      <c r="E4844" s="33" t="n">
        <f aca="false">HOUR(A4844)+MINUTE(A4844)/60</f>
        <v>18</v>
      </c>
      <c r="F4844" s="33" t="n">
        <f aca="false">IF(OR(D4844&gt;5,E4844&lt;8,E4844&gt;=18,COUNTIF($K$2:$K$10,INT(A4844))&gt;0),1,0)</f>
        <v>1</v>
      </c>
      <c r="G4844" s="34" t="n">
        <f aca="false">B4844/1</f>
        <v>202.339</v>
      </c>
      <c r="H4844" s="34" t="n">
        <f aca="false">IF(F4844=1,G4844,"")</f>
        <v>202.339</v>
      </c>
    </row>
    <row r="4845" customFormat="false" ht="15" hidden="false" customHeight="false" outlineLevel="0" collapsed="false">
      <c r="A4845" s="31" t="n">
        <v>42937.7916666667</v>
      </c>
      <c r="B4845" s="32" t="n">
        <v>196.548</v>
      </c>
      <c r="D4845" s="33" t="n">
        <f aca="false">WEEKDAY(A4845,2)</f>
        <v>5</v>
      </c>
      <c r="E4845" s="33" t="n">
        <f aca="false">HOUR(A4845)+MINUTE(A4845)/60</f>
        <v>19</v>
      </c>
      <c r="F4845" s="33" t="n">
        <f aca="false">IF(OR(D4845&gt;5,E4845&lt;8,E4845&gt;=18,COUNTIF($K$2:$K$10,INT(A4845))&gt;0),1,0)</f>
        <v>1</v>
      </c>
      <c r="G4845" s="34" t="n">
        <f aca="false">B4845/1</f>
        <v>196.548</v>
      </c>
      <c r="H4845" s="34" t="n">
        <f aca="false">IF(F4845=1,G4845,"")</f>
        <v>196.548</v>
      </c>
    </row>
    <row r="4846" customFormat="false" ht="15" hidden="false" customHeight="false" outlineLevel="0" collapsed="false">
      <c r="A4846" s="31" t="n">
        <v>42937.8333333333</v>
      </c>
      <c r="B4846" s="32" t="n">
        <v>192.812</v>
      </c>
      <c r="D4846" s="33" t="n">
        <f aca="false">WEEKDAY(A4846,2)</f>
        <v>5</v>
      </c>
      <c r="E4846" s="33" t="n">
        <f aca="false">HOUR(A4846)+MINUTE(A4846)/60</f>
        <v>20</v>
      </c>
      <c r="F4846" s="33" t="n">
        <f aca="false">IF(OR(D4846&gt;5,E4846&lt;8,E4846&gt;=18,COUNTIF($K$2:$K$10,INT(A4846))&gt;0),1,0)</f>
        <v>1</v>
      </c>
      <c r="G4846" s="34" t="n">
        <f aca="false">B4846/1</f>
        <v>192.812</v>
      </c>
      <c r="H4846" s="34" t="n">
        <f aca="false">IF(F4846=1,G4846,"")</f>
        <v>192.812</v>
      </c>
    </row>
    <row r="4847" customFormat="false" ht="15" hidden="false" customHeight="false" outlineLevel="0" collapsed="false">
      <c r="A4847" s="31" t="n">
        <v>42937.875</v>
      </c>
      <c r="B4847" s="32" t="n">
        <v>190.303</v>
      </c>
      <c r="D4847" s="33" t="n">
        <f aca="false">WEEKDAY(A4847,2)</f>
        <v>5</v>
      </c>
      <c r="E4847" s="33" t="n">
        <f aca="false">HOUR(A4847)+MINUTE(A4847)/60</f>
        <v>21</v>
      </c>
      <c r="F4847" s="33" t="n">
        <f aca="false">IF(OR(D4847&gt;5,E4847&lt;8,E4847&gt;=18,COUNTIF($K$2:$K$10,INT(A4847))&gt;0),1,0)</f>
        <v>1</v>
      </c>
      <c r="G4847" s="34" t="n">
        <f aca="false">B4847/1</f>
        <v>190.303</v>
      </c>
      <c r="H4847" s="34" t="n">
        <f aca="false">IF(F4847=1,G4847,"")</f>
        <v>190.303</v>
      </c>
    </row>
    <row r="4848" customFormat="false" ht="15" hidden="false" customHeight="false" outlineLevel="0" collapsed="false">
      <c r="A4848" s="31" t="n">
        <v>42937.9166666667</v>
      </c>
      <c r="B4848" s="32" t="n">
        <v>190.689</v>
      </c>
      <c r="D4848" s="33" t="n">
        <f aca="false">WEEKDAY(A4848,2)</f>
        <v>5</v>
      </c>
      <c r="E4848" s="33" t="n">
        <f aca="false">HOUR(A4848)+MINUTE(A4848)/60</f>
        <v>22</v>
      </c>
      <c r="F4848" s="33" t="n">
        <f aca="false">IF(OR(D4848&gt;5,E4848&lt;8,E4848&gt;=18,COUNTIF($K$2:$K$10,INT(A4848))&gt;0),1,0)</f>
        <v>1</v>
      </c>
      <c r="G4848" s="34" t="n">
        <f aca="false">B4848/1</f>
        <v>190.689</v>
      </c>
      <c r="H4848" s="34" t="n">
        <f aca="false">IF(F4848=1,G4848,"")</f>
        <v>190.689</v>
      </c>
    </row>
    <row r="4849" customFormat="false" ht="15" hidden="false" customHeight="false" outlineLevel="0" collapsed="false">
      <c r="A4849" s="31" t="n">
        <v>42937.9583333333</v>
      </c>
      <c r="B4849" s="32" t="n">
        <v>189.974</v>
      </c>
      <c r="D4849" s="33" t="n">
        <f aca="false">WEEKDAY(A4849,2)</f>
        <v>5</v>
      </c>
      <c r="E4849" s="33" t="n">
        <f aca="false">HOUR(A4849)+MINUTE(A4849)/60</f>
        <v>23</v>
      </c>
      <c r="F4849" s="33" t="n">
        <f aca="false">IF(OR(D4849&gt;5,E4849&lt;8,E4849&gt;=18,COUNTIF($K$2:$K$10,INT(A4849))&gt;0),1,0)</f>
        <v>1</v>
      </c>
      <c r="G4849" s="34" t="n">
        <f aca="false">B4849/1</f>
        <v>189.974</v>
      </c>
      <c r="H4849" s="34" t="n">
        <f aca="false">IF(F4849=1,G4849,"")</f>
        <v>189.974</v>
      </c>
    </row>
    <row r="4850" customFormat="false" ht="15" hidden="false" customHeight="false" outlineLevel="0" collapsed="false">
      <c r="A4850" s="31" t="n">
        <v>42938</v>
      </c>
      <c r="B4850" s="32" t="n">
        <v>154.535</v>
      </c>
      <c r="D4850" s="33" t="n">
        <f aca="false">WEEKDAY(A4850,2)</f>
        <v>6</v>
      </c>
      <c r="E4850" s="33" t="n">
        <f aca="false">HOUR(A4850)+MINUTE(A4850)/60</f>
        <v>0</v>
      </c>
      <c r="F4850" s="33" t="n">
        <f aca="false">IF(OR(D4850&gt;5,E4850&lt;8,E4850&gt;=18,COUNTIF($K$2:$K$10,INT(A4850))&gt;0),1,0)</f>
        <v>1</v>
      </c>
      <c r="G4850" s="34" t="n">
        <f aca="false">B4850/1</f>
        <v>154.535</v>
      </c>
      <c r="H4850" s="34" t="n">
        <f aca="false">IF(F4850=1,G4850,"")</f>
        <v>154.535</v>
      </c>
    </row>
    <row r="4851" customFormat="false" ht="15" hidden="false" customHeight="false" outlineLevel="0" collapsed="false">
      <c r="A4851" s="31" t="n">
        <v>42938.0416666667</v>
      </c>
      <c r="B4851" s="32" t="n">
        <v>107.094</v>
      </c>
      <c r="D4851" s="33" t="n">
        <f aca="false">WEEKDAY(A4851,2)</f>
        <v>6</v>
      </c>
      <c r="E4851" s="33" t="n">
        <f aca="false">HOUR(A4851)+MINUTE(A4851)/60</f>
        <v>1</v>
      </c>
      <c r="F4851" s="33" t="n">
        <f aca="false">IF(OR(D4851&gt;5,E4851&lt;8,E4851&gt;=18,COUNTIF($K$2:$K$10,INT(A4851))&gt;0),1,0)</f>
        <v>1</v>
      </c>
      <c r="G4851" s="34" t="n">
        <f aca="false">B4851/1</f>
        <v>107.094</v>
      </c>
      <c r="H4851" s="34" t="n">
        <f aca="false">IF(F4851=1,G4851,"")</f>
        <v>107.094</v>
      </c>
    </row>
    <row r="4852" customFormat="false" ht="15" hidden="false" customHeight="false" outlineLevel="0" collapsed="false">
      <c r="A4852" s="31" t="n">
        <v>42938.0833333333</v>
      </c>
      <c r="B4852" s="32" t="n">
        <v>108.164</v>
      </c>
      <c r="D4852" s="33" t="n">
        <f aca="false">WEEKDAY(A4852,2)</f>
        <v>6</v>
      </c>
      <c r="E4852" s="33" t="n">
        <f aca="false">HOUR(A4852)+MINUTE(A4852)/60</f>
        <v>2</v>
      </c>
      <c r="F4852" s="33" t="n">
        <f aca="false">IF(OR(D4852&gt;5,E4852&lt;8,E4852&gt;=18,COUNTIF($K$2:$K$10,INT(A4852))&gt;0),1,0)</f>
        <v>1</v>
      </c>
      <c r="G4852" s="34" t="n">
        <f aca="false">B4852/1</f>
        <v>108.164</v>
      </c>
      <c r="H4852" s="34" t="n">
        <f aca="false">IF(F4852=1,G4852,"")</f>
        <v>108.164</v>
      </c>
    </row>
    <row r="4853" customFormat="false" ht="15" hidden="false" customHeight="false" outlineLevel="0" collapsed="false">
      <c r="A4853" s="31" t="n">
        <v>42938.125</v>
      </c>
      <c r="B4853" s="32" t="n">
        <v>108.068</v>
      </c>
      <c r="D4853" s="33" t="n">
        <f aca="false">WEEKDAY(A4853,2)</f>
        <v>6</v>
      </c>
      <c r="E4853" s="33" t="n">
        <f aca="false">HOUR(A4853)+MINUTE(A4853)/60</f>
        <v>3</v>
      </c>
      <c r="F4853" s="33" t="n">
        <f aca="false">IF(OR(D4853&gt;5,E4853&lt;8,E4853&gt;=18,COUNTIF($K$2:$K$10,INT(A4853))&gt;0),1,0)</f>
        <v>1</v>
      </c>
      <c r="G4853" s="34" t="n">
        <f aca="false">B4853/1</f>
        <v>108.068</v>
      </c>
      <c r="H4853" s="34" t="n">
        <f aca="false">IF(F4853=1,G4853,"")</f>
        <v>108.068</v>
      </c>
    </row>
    <row r="4854" customFormat="false" ht="15" hidden="false" customHeight="false" outlineLevel="0" collapsed="false">
      <c r="A4854" s="31" t="n">
        <v>42938.1666666667</v>
      </c>
      <c r="B4854" s="32" t="n">
        <v>107.656</v>
      </c>
      <c r="D4854" s="33" t="n">
        <f aca="false">WEEKDAY(A4854,2)</f>
        <v>6</v>
      </c>
      <c r="E4854" s="33" t="n">
        <f aca="false">HOUR(A4854)+MINUTE(A4854)/60</f>
        <v>4</v>
      </c>
      <c r="F4854" s="33" t="n">
        <f aca="false">IF(OR(D4854&gt;5,E4854&lt;8,E4854&gt;=18,COUNTIF($K$2:$K$10,INT(A4854))&gt;0),1,0)</f>
        <v>1</v>
      </c>
      <c r="G4854" s="34" t="n">
        <f aca="false">B4854/1</f>
        <v>107.656</v>
      </c>
      <c r="H4854" s="34" t="n">
        <f aca="false">IF(F4854=1,G4854,"")</f>
        <v>107.656</v>
      </c>
    </row>
    <row r="4855" customFormat="false" ht="15" hidden="false" customHeight="false" outlineLevel="0" collapsed="false">
      <c r="A4855" s="31" t="n">
        <v>42938.2083333333</v>
      </c>
      <c r="B4855" s="32" t="n">
        <v>107.765</v>
      </c>
      <c r="D4855" s="33" t="n">
        <f aca="false">WEEKDAY(A4855,2)</f>
        <v>6</v>
      </c>
      <c r="E4855" s="33" t="n">
        <f aca="false">HOUR(A4855)+MINUTE(A4855)/60</f>
        <v>5</v>
      </c>
      <c r="F4855" s="33" t="n">
        <f aca="false">IF(OR(D4855&gt;5,E4855&lt;8,E4855&gt;=18,COUNTIF($K$2:$K$10,INT(A4855))&gt;0),1,0)</f>
        <v>1</v>
      </c>
      <c r="G4855" s="34" t="n">
        <f aca="false">B4855/1</f>
        <v>107.765</v>
      </c>
      <c r="H4855" s="34" t="n">
        <f aca="false">IF(F4855=1,G4855,"")</f>
        <v>107.765</v>
      </c>
    </row>
    <row r="4856" customFormat="false" ht="15" hidden="false" customHeight="false" outlineLevel="0" collapsed="false">
      <c r="A4856" s="31" t="n">
        <v>42938.25</v>
      </c>
      <c r="B4856" s="32" t="n">
        <v>107.907</v>
      </c>
      <c r="D4856" s="33" t="n">
        <f aca="false">WEEKDAY(A4856,2)</f>
        <v>6</v>
      </c>
      <c r="E4856" s="33" t="n">
        <f aca="false">HOUR(A4856)+MINUTE(A4856)/60</f>
        <v>6</v>
      </c>
      <c r="F4856" s="33" t="n">
        <f aca="false">IF(OR(D4856&gt;5,E4856&lt;8,E4856&gt;=18,COUNTIF($K$2:$K$10,INT(A4856))&gt;0),1,0)</f>
        <v>1</v>
      </c>
      <c r="G4856" s="34" t="n">
        <f aca="false">B4856/1</f>
        <v>107.907</v>
      </c>
      <c r="H4856" s="34" t="n">
        <f aca="false">IF(F4856=1,G4856,"")</f>
        <v>107.907</v>
      </c>
    </row>
    <row r="4857" customFormat="false" ht="15" hidden="false" customHeight="false" outlineLevel="0" collapsed="false">
      <c r="A4857" s="31" t="n">
        <v>42938.2916666667</v>
      </c>
      <c r="B4857" s="32" t="n">
        <v>108.85</v>
      </c>
      <c r="D4857" s="33" t="n">
        <f aca="false">WEEKDAY(A4857,2)</f>
        <v>6</v>
      </c>
      <c r="E4857" s="33" t="n">
        <f aca="false">HOUR(A4857)+MINUTE(A4857)/60</f>
        <v>7</v>
      </c>
      <c r="F4857" s="33" t="n">
        <f aca="false">IF(OR(D4857&gt;5,E4857&lt;8,E4857&gt;=18,COUNTIF($K$2:$K$10,INT(A4857))&gt;0),1,0)</f>
        <v>1</v>
      </c>
      <c r="G4857" s="34" t="n">
        <f aca="false">B4857/1</f>
        <v>108.85</v>
      </c>
      <c r="H4857" s="34" t="n">
        <f aca="false">IF(F4857=1,G4857,"")</f>
        <v>108.85</v>
      </c>
    </row>
    <row r="4858" customFormat="false" ht="15" hidden="false" customHeight="false" outlineLevel="0" collapsed="false">
      <c r="A4858" s="31" t="n">
        <v>42938.3333333333</v>
      </c>
      <c r="B4858" s="32" t="n">
        <v>139.979</v>
      </c>
      <c r="D4858" s="33" t="n">
        <f aca="false">WEEKDAY(A4858,2)</f>
        <v>6</v>
      </c>
      <c r="E4858" s="33" t="n">
        <f aca="false">HOUR(A4858)+MINUTE(A4858)/60</f>
        <v>8</v>
      </c>
      <c r="F4858" s="33" t="n">
        <f aca="false">IF(OR(D4858&gt;5,E4858&lt;8,E4858&gt;=18,COUNTIF($K$2:$K$10,INT(A4858))&gt;0),1,0)</f>
        <v>1</v>
      </c>
      <c r="G4858" s="34" t="n">
        <f aca="false">B4858/1</f>
        <v>139.979</v>
      </c>
      <c r="H4858" s="34" t="n">
        <f aca="false">IF(F4858=1,G4858,"")</f>
        <v>139.979</v>
      </c>
    </row>
    <row r="4859" customFormat="false" ht="15" hidden="false" customHeight="false" outlineLevel="0" collapsed="false">
      <c r="A4859" s="31" t="n">
        <v>42938.375</v>
      </c>
      <c r="B4859" s="32" t="n">
        <v>187.581</v>
      </c>
      <c r="D4859" s="33" t="n">
        <f aca="false">WEEKDAY(A4859,2)</f>
        <v>6</v>
      </c>
      <c r="E4859" s="33" t="n">
        <f aca="false">HOUR(A4859)+MINUTE(A4859)/60</f>
        <v>9</v>
      </c>
      <c r="F4859" s="33" t="n">
        <f aca="false">IF(OR(D4859&gt;5,E4859&lt;8,E4859&gt;=18,COUNTIF($K$2:$K$10,INT(A4859))&gt;0),1,0)</f>
        <v>1</v>
      </c>
      <c r="G4859" s="34" t="n">
        <f aca="false">B4859/1</f>
        <v>187.581</v>
      </c>
      <c r="H4859" s="34" t="n">
        <f aca="false">IF(F4859=1,G4859,"")</f>
        <v>187.581</v>
      </c>
    </row>
    <row r="4860" customFormat="false" ht="15" hidden="false" customHeight="false" outlineLevel="0" collapsed="false">
      <c r="A4860" s="31" t="n">
        <v>42938.4166666667</v>
      </c>
      <c r="B4860" s="32" t="n">
        <v>191.939</v>
      </c>
      <c r="D4860" s="33" t="n">
        <f aca="false">WEEKDAY(A4860,2)</f>
        <v>6</v>
      </c>
      <c r="E4860" s="33" t="n">
        <f aca="false">HOUR(A4860)+MINUTE(A4860)/60</f>
        <v>10</v>
      </c>
      <c r="F4860" s="33" t="n">
        <f aca="false">IF(OR(D4860&gt;5,E4860&lt;8,E4860&gt;=18,COUNTIF($K$2:$K$10,INT(A4860))&gt;0),1,0)</f>
        <v>1</v>
      </c>
      <c r="G4860" s="34" t="n">
        <f aca="false">B4860/1</f>
        <v>191.939</v>
      </c>
      <c r="H4860" s="34" t="n">
        <f aca="false">IF(F4860=1,G4860,"")</f>
        <v>191.939</v>
      </c>
    </row>
    <row r="4861" customFormat="false" ht="15" hidden="false" customHeight="false" outlineLevel="0" collapsed="false">
      <c r="A4861" s="31" t="n">
        <v>42938.4583333333</v>
      </c>
      <c r="B4861" s="32" t="n">
        <v>192.167</v>
      </c>
      <c r="D4861" s="33" t="n">
        <f aca="false">WEEKDAY(A4861,2)</f>
        <v>6</v>
      </c>
      <c r="E4861" s="33" t="n">
        <f aca="false">HOUR(A4861)+MINUTE(A4861)/60</f>
        <v>11</v>
      </c>
      <c r="F4861" s="33" t="n">
        <f aca="false">IF(OR(D4861&gt;5,E4861&lt;8,E4861&gt;=18,COUNTIF($K$2:$K$10,INT(A4861))&gt;0),1,0)</f>
        <v>1</v>
      </c>
      <c r="G4861" s="34" t="n">
        <f aca="false">B4861/1</f>
        <v>192.167</v>
      </c>
      <c r="H4861" s="34" t="n">
        <f aca="false">IF(F4861=1,G4861,"")</f>
        <v>192.167</v>
      </c>
    </row>
    <row r="4862" customFormat="false" ht="15" hidden="false" customHeight="false" outlineLevel="0" collapsed="false">
      <c r="A4862" s="31" t="n">
        <v>42938.5</v>
      </c>
      <c r="B4862" s="32" t="n">
        <v>194.325</v>
      </c>
      <c r="D4862" s="33" t="n">
        <f aca="false">WEEKDAY(A4862,2)</f>
        <v>6</v>
      </c>
      <c r="E4862" s="33" t="n">
        <f aca="false">HOUR(A4862)+MINUTE(A4862)/60</f>
        <v>12</v>
      </c>
      <c r="F4862" s="33" t="n">
        <f aca="false">IF(OR(D4862&gt;5,E4862&lt;8,E4862&gt;=18,COUNTIF($K$2:$K$10,INT(A4862))&gt;0),1,0)</f>
        <v>1</v>
      </c>
      <c r="G4862" s="34" t="n">
        <f aca="false">B4862/1</f>
        <v>194.325</v>
      </c>
      <c r="H4862" s="34" t="n">
        <f aca="false">IF(F4862=1,G4862,"")</f>
        <v>194.325</v>
      </c>
    </row>
    <row r="4863" customFormat="false" ht="15" hidden="false" customHeight="false" outlineLevel="0" collapsed="false">
      <c r="A4863" s="31" t="n">
        <v>42938.5416666667</v>
      </c>
      <c r="B4863" s="32" t="n">
        <v>195.114</v>
      </c>
      <c r="D4863" s="33" t="n">
        <f aca="false">WEEKDAY(A4863,2)</f>
        <v>6</v>
      </c>
      <c r="E4863" s="33" t="n">
        <f aca="false">HOUR(A4863)+MINUTE(A4863)/60</f>
        <v>13</v>
      </c>
      <c r="F4863" s="33" t="n">
        <f aca="false">IF(OR(D4863&gt;5,E4863&lt;8,E4863&gt;=18,COUNTIF($K$2:$K$10,INT(A4863))&gt;0),1,0)</f>
        <v>1</v>
      </c>
      <c r="G4863" s="34" t="n">
        <f aca="false">B4863/1</f>
        <v>195.114</v>
      </c>
      <c r="H4863" s="34" t="n">
        <f aca="false">IF(F4863=1,G4863,"")</f>
        <v>195.114</v>
      </c>
    </row>
    <row r="4864" customFormat="false" ht="15" hidden="false" customHeight="false" outlineLevel="0" collapsed="false">
      <c r="A4864" s="31" t="n">
        <v>42938.5833333333</v>
      </c>
      <c r="B4864" s="32" t="n">
        <v>193.837</v>
      </c>
      <c r="D4864" s="33" t="n">
        <f aca="false">WEEKDAY(A4864,2)</f>
        <v>6</v>
      </c>
      <c r="E4864" s="33" t="n">
        <f aca="false">HOUR(A4864)+MINUTE(A4864)/60</f>
        <v>14</v>
      </c>
      <c r="F4864" s="33" t="n">
        <f aca="false">IF(OR(D4864&gt;5,E4864&lt;8,E4864&gt;=18,COUNTIF($K$2:$K$10,INT(A4864))&gt;0),1,0)</f>
        <v>1</v>
      </c>
      <c r="G4864" s="34" t="n">
        <f aca="false">B4864/1</f>
        <v>193.837</v>
      </c>
      <c r="H4864" s="34" t="n">
        <f aca="false">IF(F4864=1,G4864,"")</f>
        <v>193.837</v>
      </c>
    </row>
    <row r="4865" customFormat="false" ht="15" hidden="false" customHeight="false" outlineLevel="0" collapsed="false">
      <c r="A4865" s="31" t="n">
        <v>42938.625</v>
      </c>
      <c r="B4865" s="32" t="n">
        <v>195.349</v>
      </c>
      <c r="D4865" s="33" t="n">
        <f aca="false">WEEKDAY(A4865,2)</f>
        <v>6</v>
      </c>
      <c r="E4865" s="33" t="n">
        <f aca="false">HOUR(A4865)+MINUTE(A4865)/60</f>
        <v>15</v>
      </c>
      <c r="F4865" s="33" t="n">
        <f aca="false">IF(OR(D4865&gt;5,E4865&lt;8,E4865&gt;=18,COUNTIF($K$2:$K$10,INT(A4865))&gt;0),1,0)</f>
        <v>1</v>
      </c>
      <c r="G4865" s="34" t="n">
        <f aca="false">B4865/1</f>
        <v>195.349</v>
      </c>
      <c r="H4865" s="34" t="n">
        <f aca="false">IF(F4865=1,G4865,"")</f>
        <v>195.349</v>
      </c>
    </row>
    <row r="4866" customFormat="false" ht="15" hidden="false" customHeight="false" outlineLevel="0" collapsed="false">
      <c r="A4866" s="31" t="n">
        <v>42938.6666666667</v>
      </c>
      <c r="B4866" s="32" t="n">
        <v>194.706</v>
      </c>
      <c r="D4866" s="33" t="n">
        <f aca="false">WEEKDAY(A4866,2)</f>
        <v>6</v>
      </c>
      <c r="E4866" s="33" t="n">
        <f aca="false">HOUR(A4866)+MINUTE(A4866)/60</f>
        <v>16</v>
      </c>
      <c r="F4866" s="33" t="n">
        <f aca="false">IF(OR(D4866&gt;5,E4866&lt;8,E4866&gt;=18,COUNTIF($K$2:$K$10,INT(A4866))&gt;0),1,0)</f>
        <v>1</v>
      </c>
      <c r="G4866" s="34" t="n">
        <f aca="false">B4866/1</f>
        <v>194.706</v>
      </c>
      <c r="H4866" s="34" t="n">
        <f aca="false">IF(F4866=1,G4866,"")</f>
        <v>194.706</v>
      </c>
    </row>
    <row r="4867" customFormat="false" ht="15" hidden="false" customHeight="false" outlineLevel="0" collapsed="false">
      <c r="A4867" s="31" t="n">
        <v>42938.7083333333</v>
      </c>
      <c r="B4867" s="32" t="n">
        <v>193.134</v>
      </c>
      <c r="D4867" s="33" t="n">
        <f aca="false">WEEKDAY(A4867,2)</f>
        <v>6</v>
      </c>
      <c r="E4867" s="33" t="n">
        <f aca="false">HOUR(A4867)+MINUTE(A4867)/60</f>
        <v>17</v>
      </c>
      <c r="F4867" s="33" t="n">
        <f aca="false">IF(OR(D4867&gt;5,E4867&lt;8,E4867&gt;=18,COUNTIF($K$2:$K$10,INT(A4867))&gt;0),1,0)</f>
        <v>1</v>
      </c>
      <c r="G4867" s="34" t="n">
        <f aca="false">B4867/1</f>
        <v>193.134</v>
      </c>
      <c r="H4867" s="34" t="n">
        <f aca="false">IF(F4867=1,G4867,"")</f>
        <v>193.134</v>
      </c>
    </row>
    <row r="4868" customFormat="false" ht="15" hidden="false" customHeight="false" outlineLevel="0" collapsed="false">
      <c r="A4868" s="31" t="n">
        <v>42938.75</v>
      </c>
      <c r="B4868" s="32" t="n">
        <v>191.905</v>
      </c>
      <c r="D4868" s="33" t="n">
        <f aca="false">WEEKDAY(A4868,2)</f>
        <v>6</v>
      </c>
      <c r="E4868" s="33" t="n">
        <f aca="false">HOUR(A4868)+MINUTE(A4868)/60</f>
        <v>18</v>
      </c>
      <c r="F4868" s="33" t="n">
        <f aca="false">IF(OR(D4868&gt;5,E4868&lt;8,E4868&gt;=18,COUNTIF($K$2:$K$10,INT(A4868))&gt;0),1,0)</f>
        <v>1</v>
      </c>
      <c r="G4868" s="34" t="n">
        <f aca="false">B4868/1</f>
        <v>191.905</v>
      </c>
      <c r="H4868" s="34" t="n">
        <f aca="false">IF(F4868=1,G4868,"")</f>
        <v>191.905</v>
      </c>
    </row>
    <row r="4869" customFormat="false" ht="15" hidden="false" customHeight="false" outlineLevel="0" collapsed="false">
      <c r="A4869" s="31" t="n">
        <v>42938.7916666667</v>
      </c>
      <c r="B4869" s="32" t="n">
        <v>149.496</v>
      </c>
      <c r="D4869" s="33" t="n">
        <f aca="false">WEEKDAY(A4869,2)</f>
        <v>6</v>
      </c>
      <c r="E4869" s="33" t="n">
        <f aca="false">HOUR(A4869)+MINUTE(A4869)/60</f>
        <v>19</v>
      </c>
      <c r="F4869" s="33" t="n">
        <f aca="false">IF(OR(D4869&gt;5,E4869&lt;8,E4869&gt;=18,COUNTIF($K$2:$K$10,INT(A4869))&gt;0),1,0)</f>
        <v>1</v>
      </c>
      <c r="G4869" s="34" t="n">
        <f aca="false">B4869/1</f>
        <v>149.496</v>
      </c>
      <c r="H4869" s="34" t="n">
        <f aca="false">IF(F4869=1,G4869,"")</f>
        <v>149.496</v>
      </c>
    </row>
    <row r="4870" customFormat="false" ht="15" hidden="false" customHeight="false" outlineLevel="0" collapsed="false">
      <c r="A4870" s="31" t="n">
        <v>42938.8333333333</v>
      </c>
      <c r="B4870" s="32" t="n">
        <v>152.079</v>
      </c>
      <c r="D4870" s="33" t="n">
        <f aca="false">WEEKDAY(A4870,2)</f>
        <v>6</v>
      </c>
      <c r="E4870" s="33" t="n">
        <f aca="false">HOUR(A4870)+MINUTE(A4870)/60</f>
        <v>20</v>
      </c>
      <c r="F4870" s="33" t="n">
        <f aca="false">IF(OR(D4870&gt;5,E4870&lt;8,E4870&gt;=18,COUNTIF($K$2:$K$10,INT(A4870))&gt;0),1,0)</f>
        <v>1</v>
      </c>
      <c r="G4870" s="34" t="n">
        <f aca="false">B4870/1</f>
        <v>152.079</v>
      </c>
      <c r="H4870" s="34" t="n">
        <f aca="false">IF(F4870=1,G4870,"")</f>
        <v>152.079</v>
      </c>
    </row>
    <row r="4871" customFormat="false" ht="15" hidden="false" customHeight="false" outlineLevel="0" collapsed="false">
      <c r="A4871" s="31" t="n">
        <v>42938.875</v>
      </c>
      <c r="B4871" s="32" t="n">
        <v>156.484</v>
      </c>
      <c r="D4871" s="33" t="n">
        <f aca="false">WEEKDAY(A4871,2)</f>
        <v>6</v>
      </c>
      <c r="E4871" s="33" t="n">
        <f aca="false">HOUR(A4871)+MINUTE(A4871)/60</f>
        <v>21</v>
      </c>
      <c r="F4871" s="33" t="n">
        <f aca="false">IF(OR(D4871&gt;5,E4871&lt;8,E4871&gt;=18,COUNTIF($K$2:$K$10,INT(A4871))&gt;0),1,0)</f>
        <v>1</v>
      </c>
      <c r="G4871" s="34" t="n">
        <f aca="false">B4871/1</f>
        <v>156.484</v>
      </c>
      <c r="H4871" s="34" t="n">
        <f aca="false">IF(F4871=1,G4871,"")</f>
        <v>156.484</v>
      </c>
    </row>
    <row r="4872" customFormat="false" ht="15" hidden="false" customHeight="false" outlineLevel="0" collapsed="false">
      <c r="A4872" s="31" t="n">
        <v>42938.9166666667</v>
      </c>
      <c r="B4872" s="32" t="n">
        <v>108.241</v>
      </c>
      <c r="D4872" s="33" t="n">
        <f aca="false">WEEKDAY(A4872,2)</f>
        <v>6</v>
      </c>
      <c r="E4872" s="33" t="n">
        <f aca="false">HOUR(A4872)+MINUTE(A4872)/60</f>
        <v>22</v>
      </c>
      <c r="F4872" s="33" t="n">
        <f aca="false">IF(OR(D4872&gt;5,E4872&lt;8,E4872&gt;=18,COUNTIF($K$2:$K$10,INT(A4872))&gt;0),1,0)</f>
        <v>1</v>
      </c>
      <c r="G4872" s="34" t="n">
        <f aca="false">B4872/1</f>
        <v>108.241</v>
      </c>
      <c r="H4872" s="34" t="n">
        <f aca="false">IF(F4872=1,G4872,"")</f>
        <v>108.241</v>
      </c>
    </row>
    <row r="4873" customFormat="false" ht="15" hidden="false" customHeight="false" outlineLevel="0" collapsed="false">
      <c r="A4873" s="31" t="n">
        <v>42938.9583333333</v>
      </c>
      <c r="B4873" s="32" t="n">
        <v>107.807</v>
      </c>
      <c r="D4873" s="33" t="n">
        <f aca="false">WEEKDAY(A4873,2)</f>
        <v>6</v>
      </c>
      <c r="E4873" s="33" t="n">
        <f aca="false">HOUR(A4873)+MINUTE(A4873)/60</f>
        <v>23</v>
      </c>
      <c r="F4873" s="33" t="n">
        <f aca="false">IF(OR(D4873&gt;5,E4873&lt;8,E4873&gt;=18,COUNTIF($K$2:$K$10,INT(A4873))&gt;0),1,0)</f>
        <v>1</v>
      </c>
      <c r="G4873" s="34" t="n">
        <f aca="false">B4873/1</f>
        <v>107.807</v>
      </c>
      <c r="H4873" s="34" t="n">
        <f aca="false">IF(F4873=1,G4873,"")</f>
        <v>107.807</v>
      </c>
    </row>
    <row r="4874" customFormat="false" ht="15" hidden="false" customHeight="false" outlineLevel="0" collapsed="false">
      <c r="A4874" s="31" t="n">
        <v>42939</v>
      </c>
      <c r="B4874" s="32" t="n">
        <v>107.3</v>
      </c>
      <c r="D4874" s="33" t="n">
        <f aca="false">WEEKDAY(A4874,2)</f>
        <v>7</v>
      </c>
      <c r="E4874" s="33" t="n">
        <f aca="false">HOUR(A4874)+MINUTE(A4874)/60</f>
        <v>0</v>
      </c>
      <c r="F4874" s="33" t="n">
        <f aca="false">IF(OR(D4874&gt;5,E4874&lt;8,E4874&gt;=18,COUNTIF($K$2:$K$10,INT(A4874))&gt;0),1,0)</f>
        <v>1</v>
      </c>
      <c r="G4874" s="34" t="n">
        <f aca="false">B4874/1</f>
        <v>107.3</v>
      </c>
      <c r="H4874" s="34" t="n">
        <f aca="false">IF(F4874=1,G4874,"")</f>
        <v>107.3</v>
      </c>
    </row>
    <row r="4875" customFormat="false" ht="15" hidden="false" customHeight="false" outlineLevel="0" collapsed="false">
      <c r="A4875" s="31" t="n">
        <v>42939.0416666667</v>
      </c>
      <c r="B4875" s="32" t="n">
        <v>107.29</v>
      </c>
      <c r="D4875" s="33" t="n">
        <f aca="false">WEEKDAY(A4875,2)</f>
        <v>7</v>
      </c>
      <c r="E4875" s="33" t="n">
        <f aca="false">HOUR(A4875)+MINUTE(A4875)/60</f>
        <v>1</v>
      </c>
      <c r="F4875" s="33" t="n">
        <f aca="false">IF(OR(D4875&gt;5,E4875&lt;8,E4875&gt;=18,COUNTIF($K$2:$K$10,INT(A4875))&gt;0),1,0)</f>
        <v>1</v>
      </c>
      <c r="G4875" s="34" t="n">
        <f aca="false">B4875/1</f>
        <v>107.29</v>
      </c>
      <c r="H4875" s="34" t="n">
        <f aca="false">IF(F4875=1,G4875,"")</f>
        <v>107.29</v>
      </c>
    </row>
    <row r="4876" customFormat="false" ht="15" hidden="false" customHeight="false" outlineLevel="0" collapsed="false">
      <c r="A4876" s="31" t="n">
        <v>42939.0833333333</v>
      </c>
      <c r="B4876" s="32" t="n">
        <v>105.332</v>
      </c>
      <c r="D4876" s="33" t="n">
        <f aca="false">WEEKDAY(A4876,2)</f>
        <v>7</v>
      </c>
      <c r="E4876" s="33" t="n">
        <f aca="false">HOUR(A4876)+MINUTE(A4876)/60</f>
        <v>2</v>
      </c>
      <c r="F4876" s="33" t="n">
        <f aca="false">IF(OR(D4876&gt;5,E4876&lt;8,E4876&gt;=18,COUNTIF($K$2:$K$10,INT(A4876))&gt;0),1,0)</f>
        <v>1</v>
      </c>
      <c r="G4876" s="34" t="n">
        <f aca="false">B4876/1</f>
        <v>105.332</v>
      </c>
      <c r="H4876" s="34" t="n">
        <f aca="false">IF(F4876=1,G4876,"")</f>
        <v>105.332</v>
      </c>
    </row>
    <row r="4877" customFormat="false" ht="15" hidden="false" customHeight="false" outlineLevel="0" collapsed="false">
      <c r="A4877" s="31" t="n">
        <v>42939.125</v>
      </c>
      <c r="B4877" s="32" t="n">
        <v>106.004</v>
      </c>
      <c r="D4877" s="33" t="n">
        <f aca="false">WEEKDAY(A4877,2)</f>
        <v>7</v>
      </c>
      <c r="E4877" s="33" t="n">
        <f aca="false">HOUR(A4877)+MINUTE(A4877)/60</f>
        <v>3</v>
      </c>
      <c r="F4877" s="33" t="n">
        <f aca="false">IF(OR(D4877&gt;5,E4877&lt;8,E4877&gt;=18,COUNTIF($K$2:$K$10,INT(A4877))&gt;0),1,0)</f>
        <v>1</v>
      </c>
      <c r="G4877" s="34" t="n">
        <f aca="false">B4877/1</f>
        <v>106.004</v>
      </c>
      <c r="H4877" s="34" t="n">
        <f aca="false">IF(F4877=1,G4877,"")</f>
        <v>106.004</v>
      </c>
    </row>
    <row r="4878" customFormat="false" ht="15" hidden="false" customHeight="false" outlineLevel="0" collapsed="false">
      <c r="A4878" s="31" t="n">
        <v>42939.1666666667</v>
      </c>
      <c r="B4878" s="32" t="n">
        <v>105.509</v>
      </c>
      <c r="D4878" s="33" t="n">
        <f aca="false">WEEKDAY(A4878,2)</f>
        <v>7</v>
      </c>
      <c r="E4878" s="33" t="n">
        <f aca="false">HOUR(A4878)+MINUTE(A4878)/60</f>
        <v>4</v>
      </c>
      <c r="F4878" s="33" t="n">
        <f aca="false">IF(OR(D4878&gt;5,E4878&lt;8,E4878&gt;=18,COUNTIF($K$2:$K$10,INT(A4878))&gt;0),1,0)</f>
        <v>1</v>
      </c>
      <c r="G4878" s="34" t="n">
        <f aca="false">B4878/1</f>
        <v>105.509</v>
      </c>
      <c r="H4878" s="34" t="n">
        <f aca="false">IF(F4878=1,G4878,"")</f>
        <v>105.509</v>
      </c>
    </row>
    <row r="4879" customFormat="false" ht="15" hidden="false" customHeight="false" outlineLevel="0" collapsed="false">
      <c r="A4879" s="31" t="n">
        <v>42939.2083333333</v>
      </c>
      <c r="B4879" s="32" t="n">
        <v>105.32</v>
      </c>
      <c r="D4879" s="33" t="n">
        <f aca="false">WEEKDAY(A4879,2)</f>
        <v>7</v>
      </c>
      <c r="E4879" s="33" t="n">
        <f aca="false">HOUR(A4879)+MINUTE(A4879)/60</f>
        <v>5</v>
      </c>
      <c r="F4879" s="33" t="n">
        <f aca="false">IF(OR(D4879&gt;5,E4879&lt;8,E4879&gt;=18,COUNTIF($K$2:$K$10,INT(A4879))&gt;0),1,0)</f>
        <v>1</v>
      </c>
      <c r="G4879" s="34" t="n">
        <f aca="false">B4879/1</f>
        <v>105.32</v>
      </c>
      <c r="H4879" s="34" t="n">
        <f aca="false">IF(F4879=1,G4879,"")</f>
        <v>105.32</v>
      </c>
    </row>
    <row r="4880" customFormat="false" ht="15" hidden="false" customHeight="false" outlineLevel="0" collapsed="false">
      <c r="A4880" s="31" t="n">
        <v>42939.25</v>
      </c>
      <c r="B4880" s="32" t="n">
        <v>106.94</v>
      </c>
      <c r="D4880" s="33" t="n">
        <f aca="false">WEEKDAY(A4880,2)</f>
        <v>7</v>
      </c>
      <c r="E4880" s="33" t="n">
        <f aca="false">HOUR(A4880)+MINUTE(A4880)/60</f>
        <v>6</v>
      </c>
      <c r="F4880" s="33" t="n">
        <f aca="false">IF(OR(D4880&gt;5,E4880&lt;8,E4880&gt;=18,COUNTIF($K$2:$K$10,INT(A4880))&gt;0),1,0)</f>
        <v>1</v>
      </c>
      <c r="G4880" s="34" t="n">
        <f aca="false">B4880/1</f>
        <v>106.94</v>
      </c>
      <c r="H4880" s="34" t="n">
        <f aca="false">IF(F4880=1,G4880,"")</f>
        <v>106.94</v>
      </c>
    </row>
    <row r="4881" customFormat="false" ht="15" hidden="false" customHeight="false" outlineLevel="0" collapsed="false">
      <c r="A4881" s="31" t="n">
        <v>42939.2916666667</v>
      </c>
      <c r="B4881" s="32" t="n">
        <v>105.286</v>
      </c>
      <c r="D4881" s="33" t="n">
        <f aca="false">WEEKDAY(A4881,2)</f>
        <v>7</v>
      </c>
      <c r="E4881" s="33" t="n">
        <f aca="false">HOUR(A4881)+MINUTE(A4881)/60</f>
        <v>7</v>
      </c>
      <c r="F4881" s="33" t="n">
        <f aca="false">IF(OR(D4881&gt;5,E4881&lt;8,E4881&gt;=18,COUNTIF($K$2:$K$10,INT(A4881))&gt;0),1,0)</f>
        <v>1</v>
      </c>
      <c r="G4881" s="34" t="n">
        <f aca="false">B4881/1</f>
        <v>105.286</v>
      </c>
      <c r="H4881" s="34" t="n">
        <f aca="false">IF(F4881=1,G4881,"")</f>
        <v>105.286</v>
      </c>
    </row>
    <row r="4882" customFormat="false" ht="15" hidden="false" customHeight="false" outlineLevel="0" collapsed="false">
      <c r="A4882" s="31" t="n">
        <v>42939.3333333333</v>
      </c>
      <c r="B4882" s="32" t="n">
        <v>103.373</v>
      </c>
      <c r="D4882" s="33" t="n">
        <f aca="false">WEEKDAY(A4882,2)</f>
        <v>7</v>
      </c>
      <c r="E4882" s="33" t="n">
        <f aca="false">HOUR(A4882)+MINUTE(A4882)/60</f>
        <v>8</v>
      </c>
      <c r="F4882" s="33" t="n">
        <f aca="false">IF(OR(D4882&gt;5,E4882&lt;8,E4882&gt;=18,COUNTIF($K$2:$K$10,INT(A4882))&gt;0),1,0)</f>
        <v>1</v>
      </c>
      <c r="G4882" s="34" t="n">
        <f aca="false">B4882/1</f>
        <v>103.373</v>
      </c>
      <c r="H4882" s="34" t="n">
        <f aca="false">IF(F4882=1,G4882,"")</f>
        <v>103.373</v>
      </c>
    </row>
    <row r="4883" customFormat="false" ht="15" hidden="false" customHeight="false" outlineLevel="0" collapsed="false">
      <c r="A4883" s="31" t="n">
        <v>42939.375</v>
      </c>
      <c r="B4883" s="32" t="n">
        <v>104.756</v>
      </c>
      <c r="D4883" s="33" t="n">
        <f aca="false">WEEKDAY(A4883,2)</f>
        <v>7</v>
      </c>
      <c r="E4883" s="33" t="n">
        <f aca="false">HOUR(A4883)+MINUTE(A4883)/60</f>
        <v>9</v>
      </c>
      <c r="F4883" s="33" t="n">
        <f aca="false">IF(OR(D4883&gt;5,E4883&lt;8,E4883&gt;=18,COUNTIF($K$2:$K$10,INT(A4883))&gt;0),1,0)</f>
        <v>1</v>
      </c>
      <c r="G4883" s="34" t="n">
        <f aca="false">B4883/1</f>
        <v>104.756</v>
      </c>
      <c r="H4883" s="34" t="n">
        <f aca="false">IF(F4883=1,G4883,"")</f>
        <v>104.756</v>
      </c>
    </row>
    <row r="4884" customFormat="false" ht="15" hidden="false" customHeight="false" outlineLevel="0" collapsed="false">
      <c r="A4884" s="31" t="n">
        <v>42939.4166666667</v>
      </c>
      <c r="B4884" s="32" t="n">
        <v>105.143</v>
      </c>
      <c r="D4884" s="33" t="n">
        <f aca="false">WEEKDAY(A4884,2)</f>
        <v>7</v>
      </c>
      <c r="E4884" s="33" t="n">
        <f aca="false">HOUR(A4884)+MINUTE(A4884)/60</f>
        <v>10</v>
      </c>
      <c r="F4884" s="33" t="n">
        <f aca="false">IF(OR(D4884&gt;5,E4884&lt;8,E4884&gt;=18,COUNTIF($K$2:$K$10,INT(A4884))&gt;0),1,0)</f>
        <v>1</v>
      </c>
      <c r="G4884" s="34" t="n">
        <f aca="false">B4884/1</f>
        <v>105.143</v>
      </c>
      <c r="H4884" s="34" t="n">
        <f aca="false">IF(F4884=1,G4884,"")</f>
        <v>105.143</v>
      </c>
    </row>
    <row r="4885" customFormat="false" ht="15" hidden="false" customHeight="false" outlineLevel="0" collapsed="false">
      <c r="A4885" s="31" t="n">
        <v>42939.4583333333</v>
      </c>
      <c r="B4885" s="32" t="n">
        <v>103.18</v>
      </c>
      <c r="D4885" s="33" t="n">
        <f aca="false">WEEKDAY(A4885,2)</f>
        <v>7</v>
      </c>
      <c r="E4885" s="33" t="n">
        <f aca="false">HOUR(A4885)+MINUTE(A4885)/60</f>
        <v>11</v>
      </c>
      <c r="F4885" s="33" t="n">
        <f aca="false">IF(OR(D4885&gt;5,E4885&lt;8,E4885&gt;=18,COUNTIF($K$2:$K$10,INT(A4885))&gt;0),1,0)</f>
        <v>1</v>
      </c>
      <c r="G4885" s="34" t="n">
        <f aca="false">B4885/1</f>
        <v>103.18</v>
      </c>
      <c r="H4885" s="34" t="n">
        <f aca="false">IF(F4885=1,G4885,"")</f>
        <v>103.18</v>
      </c>
    </row>
    <row r="4886" customFormat="false" ht="15" hidden="false" customHeight="false" outlineLevel="0" collapsed="false">
      <c r="A4886" s="31" t="n">
        <v>42939.5</v>
      </c>
      <c r="B4886" s="32" t="n">
        <v>104.55</v>
      </c>
      <c r="D4886" s="33" t="n">
        <f aca="false">WEEKDAY(A4886,2)</f>
        <v>7</v>
      </c>
      <c r="E4886" s="33" t="n">
        <f aca="false">HOUR(A4886)+MINUTE(A4886)/60</f>
        <v>12</v>
      </c>
      <c r="F4886" s="33" t="n">
        <f aca="false">IF(OR(D4886&gt;5,E4886&lt;8,E4886&gt;=18,COUNTIF($K$2:$K$10,INT(A4886))&gt;0),1,0)</f>
        <v>1</v>
      </c>
      <c r="G4886" s="34" t="n">
        <f aca="false">B4886/1</f>
        <v>104.55</v>
      </c>
      <c r="H4886" s="34" t="n">
        <f aca="false">IF(F4886=1,G4886,"")</f>
        <v>104.55</v>
      </c>
    </row>
    <row r="4887" customFormat="false" ht="15" hidden="false" customHeight="false" outlineLevel="0" collapsed="false">
      <c r="A4887" s="31" t="n">
        <v>42939.5416666667</v>
      </c>
      <c r="B4887" s="32" t="n">
        <v>162.763</v>
      </c>
      <c r="D4887" s="33" t="n">
        <f aca="false">WEEKDAY(A4887,2)</f>
        <v>7</v>
      </c>
      <c r="E4887" s="33" t="n">
        <f aca="false">HOUR(A4887)+MINUTE(A4887)/60</f>
        <v>13</v>
      </c>
      <c r="F4887" s="33" t="n">
        <f aca="false">IF(OR(D4887&gt;5,E4887&lt;8,E4887&gt;=18,COUNTIF($K$2:$K$10,INT(A4887))&gt;0),1,0)</f>
        <v>1</v>
      </c>
      <c r="G4887" s="34" t="n">
        <f aca="false">B4887/1</f>
        <v>162.763</v>
      </c>
      <c r="H4887" s="34" t="n">
        <f aca="false">IF(F4887=1,G4887,"")</f>
        <v>162.763</v>
      </c>
    </row>
    <row r="4888" customFormat="false" ht="15" hidden="false" customHeight="false" outlineLevel="0" collapsed="false">
      <c r="A4888" s="31" t="n">
        <v>42939.5833333333</v>
      </c>
      <c r="B4888" s="32" t="n">
        <v>192.089</v>
      </c>
      <c r="D4888" s="33" t="n">
        <f aca="false">WEEKDAY(A4888,2)</f>
        <v>7</v>
      </c>
      <c r="E4888" s="33" t="n">
        <f aca="false">HOUR(A4888)+MINUTE(A4888)/60</f>
        <v>14</v>
      </c>
      <c r="F4888" s="33" t="n">
        <f aca="false">IF(OR(D4888&gt;5,E4888&lt;8,E4888&gt;=18,COUNTIF($K$2:$K$10,INT(A4888))&gt;0),1,0)</f>
        <v>1</v>
      </c>
      <c r="G4888" s="34" t="n">
        <f aca="false">B4888/1</f>
        <v>192.089</v>
      </c>
      <c r="H4888" s="34" t="n">
        <f aca="false">IF(F4888=1,G4888,"")</f>
        <v>192.089</v>
      </c>
    </row>
    <row r="4889" customFormat="false" ht="15" hidden="false" customHeight="false" outlineLevel="0" collapsed="false">
      <c r="A4889" s="31" t="n">
        <v>42939.625</v>
      </c>
      <c r="B4889" s="32" t="n">
        <v>189.895</v>
      </c>
      <c r="D4889" s="33" t="n">
        <f aca="false">WEEKDAY(A4889,2)</f>
        <v>7</v>
      </c>
      <c r="E4889" s="33" t="n">
        <f aca="false">HOUR(A4889)+MINUTE(A4889)/60</f>
        <v>15</v>
      </c>
      <c r="F4889" s="33" t="n">
        <f aca="false">IF(OR(D4889&gt;5,E4889&lt;8,E4889&gt;=18,COUNTIF($K$2:$K$10,INT(A4889))&gt;0),1,0)</f>
        <v>1</v>
      </c>
      <c r="G4889" s="34" t="n">
        <f aca="false">B4889/1</f>
        <v>189.895</v>
      </c>
      <c r="H4889" s="34" t="n">
        <f aca="false">IF(F4889=1,G4889,"")</f>
        <v>189.895</v>
      </c>
    </row>
    <row r="4890" customFormat="false" ht="15" hidden="false" customHeight="false" outlineLevel="0" collapsed="false">
      <c r="A4890" s="31" t="n">
        <v>42939.6666666667</v>
      </c>
      <c r="B4890" s="32" t="n">
        <v>189.718</v>
      </c>
      <c r="D4890" s="33" t="n">
        <f aca="false">WEEKDAY(A4890,2)</f>
        <v>7</v>
      </c>
      <c r="E4890" s="33" t="n">
        <f aca="false">HOUR(A4890)+MINUTE(A4890)/60</f>
        <v>16</v>
      </c>
      <c r="F4890" s="33" t="n">
        <f aca="false">IF(OR(D4890&gt;5,E4890&lt;8,E4890&gt;=18,COUNTIF($K$2:$K$10,INT(A4890))&gt;0),1,0)</f>
        <v>1</v>
      </c>
      <c r="G4890" s="34" t="n">
        <f aca="false">B4890/1</f>
        <v>189.718</v>
      </c>
      <c r="H4890" s="34" t="n">
        <f aca="false">IF(F4890=1,G4890,"")</f>
        <v>189.718</v>
      </c>
    </row>
    <row r="4891" customFormat="false" ht="15" hidden="false" customHeight="false" outlineLevel="0" collapsed="false">
      <c r="A4891" s="31" t="n">
        <v>42939.7083333333</v>
      </c>
      <c r="B4891" s="32" t="n">
        <v>187.8</v>
      </c>
      <c r="D4891" s="33" t="n">
        <f aca="false">WEEKDAY(A4891,2)</f>
        <v>7</v>
      </c>
      <c r="E4891" s="33" t="n">
        <f aca="false">HOUR(A4891)+MINUTE(A4891)/60</f>
        <v>17</v>
      </c>
      <c r="F4891" s="33" t="n">
        <f aca="false">IF(OR(D4891&gt;5,E4891&lt;8,E4891&gt;=18,COUNTIF($K$2:$K$10,INT(A4891))&gt;0),1,0)</f>
        <v>1</v>
      </c>
      <c r="G4891" s="34" t="n">
        <f aca="false">B4891/1</f>
        <v>187.8</v>
      </c>
      <c r="H4891" s="34" t="n">
        <f aca="false">IF(F4891=1,G4891,"")</f>
        <v>187.8</v>
      </c>
    </row>
    <row r="4892" customFormat="false" ht="15" hidden="false" customHeight="false" outlineLevel="0" collapsed="false">
      <c r="A4892" s="31" t="n">
        <v>42939.75</v>
      </c>
      <c r="B4892" s="32" t="n">
        <v>108.423</v>
      </c>
      <c r="D4892" s="33" t="n">
        <f aca="false">WEEKDAY(A4892,2)</f>
        <v>7</v>
      </c>
      <c r="E4892" s="33" t="n">
        <f aca="false">HOUR(A4892)+MINUTE(A4892)/60</f>
        <v>18</v>
      </c>
      <c r="F4892" s="33" t="n">
        <f aca="false">IF(OR(D4892&gt;5,E4892&lt;8,E4892&gt;=18,COUNTIF($K$2:$K$10,INT(A4892))&gt;0),1,0)</f>
        <v>1</v>
      </c>
      <c r="G4892" s="34" t="n">
        <f aca="false">B4892/1</f>
        <v>108.423</v>
      </c>
      <c r="H4892" s="34" t="n">
        <f aca="false">IF(F4892=1,G4892,"")</f>
        <v>108.423</v>
      </c>
    </row>
    <row r="4893" customFormat="false" ht="15" hidden="false" customHeight="false" outlineLevel="0" collapsed="false">
      <c r="A4893" s="31" t="n">
        <v>42939.7916666667</v>
      </c>
      <c r="B4893" s="32" t="n">
        <v>102.276</v>
      </c>
      <c r="D4893" s="33" t="n">
        <f aca="false">WEEKDAY(A4893,2)</f>
        <v>7</v>
      </c>
      <c r="E4893" s="33" t="n">
        <f aca="false">HOUR(A4893)+MINUTE(A4893)/60</f>
        <v>19</v>
      </c>
      <c r="F4893" s="33" t="n">
        <f aca="false">IF(OR(D4893&gt;5,E4893&lt;8,E4893&gt;=18,COUNTIF($K$2:$K$10,INT(A4893))&gt;0),1,0)</f>
        <v>1</v>
      </c>
      <c r="G4893" s="34" t="n">
        <f aca="false">B4893/1</f>
        <v>102.276</v>
      </c>
      <c r="H4893" s="34" t="n">
        <f aca="false">IF(F4893=1,G4893,"")</f>
        <v>102.276</v>
      </c>
    </row>
    <row r="4894" customFormat="false" ht="15" hidden="false" customHeight="false" outlineLevel="0" collapsed="false">
      <c r="A4894" s="31" t="n">
        <v>42939.8333333333</v>
      </c>
      <c r="B4894" s="32" t="n">
        <v>101.06</v>
      </c>
      <c r="D4894" s="33" t="n">
        <f aca="false">WEEKDAY(A4894,2)</f>
        <v>7</v>
      </c>
      <c r="E4894" s="33" t="n">
        <f aca="false">HOUR(A4894)+MINUTE(A4894)/60</f>
        <v>20</v>
      </c>
      <c r="F4894" s="33" t="n">
        <f aca="false">IF(OR(D4894&gt;5,E4894&lt;8,E4894&gt;=18,COUNTIF($K$2:$K$10,INT(A4894))&gt;0),1,0)</f>
        <v>1</v>
      </c>
      <c r="G4894" s="34" t="n">
        <f aca="false">B4894/1</f>
        <v>101.06</v>
      </c>
      <c r="H4894" s="34" t="n">
        <f aca="false">IF(F4894=1,G4894,"")</f>
        <v>101.06</v>
      </c>
    </row>
    <row r="4895" customFormat="false" ht="15" hidden="false" customHeight="false" outlineLevel="0" collapsed="false">
      <c r="A4895" s="31" t="n">
        <v>42939.875</v>
      </c>
      <c r="B4895" s="32" t="n">
        <v>101.489</v>
      </c>
      <c r="D4895" s="33" t="n">
        <f aca="false">WEEKDAY(A4895,2)</f>
        <v>7</v>
      </c>
      <c r="E4895" s="33" t="n">
        <f aca="false">HOUR(A4895)+MINUTE(A4895)/60</f>
        <v>21</v>
      </c>
      <c r="F4895" s="33" t="n">
        <f aca="false">IF(OR(D4895&gt;5,E4895&lt;8,E4895&gt;=18,COUNTIF($K$2:$K$10,INT(A4895))&gt;0),1,0)</f>
        <v>1</v>
      </c>
      <c r="G4895" s="34" t="n">
        <f aca="false">B4895/1</f>
        <v>101.489</v>
      </c>
      <c r="H4895" s="34" t="n">
        <f aca="false">IF(F4895=1,G4895,"")</f>
        <v>101.489</v>
      </c>
    </row>
    <row r="4896" customFormat="false" ht="15" hidden="false" customHeight="false" outlineLevel="0" collapsed="false">
      <c r="A4896" s="31" t="n">
        <v>42939.9166666667</v>
      </c>
      <c r="B4896" s="32" t="n">
        <v>104.393</v>
      </c>
      <c r="D4896" s="33" t="n">
        <f aca="false">WEEKDAY(A4896,2)</f>
        <v>7</v>
      </c>
      <c r="E4896" s="33" t="n">
        <f aca="false">HOUR(A4896)+MINUTE(A4896)/60</f>
        <v>22</v>
      </c>
      <c r="F4896" s="33" t="n">
        <f aca="false">IF(OR(D4896&gt;5,E4896&lt;8,E4896&gt;=18,COUNTIF($K$2:$K$10,INT(A4896))&gt;0),1,0)</f>
        <v>1</v>
      </c>
      <c r="G4896" s="34" t="n">
        <f aca="false">B4896/1</f>
        <v>104.393</v>
      </c>
      <c r="H4896" s="34" t="n">
        <f aca="false">IF(F4896=1,G4896,"")</f>
        <v>104.393</v>
      </c>
    </row>
    <row r="4897" customFormat="false" ht="15" hidden="false" customHeight="false" outlineLevel="0" collapsed="false">
      <c r="A4897" s="31" t="n">
        <v>42939.9583333333</v>
      </c>
      <c r="B4897" s="32" t="n">
        <v>123.699</v>
      </c>
      <c r="D4897" s="33" t="n">
        <f aca="false">WEEKDAY(A4897,2)</f>
        <v>7</v>
      </c>
      <c r="E4897" s="33" t="n">
        <f aca="false">HOUR(A4897)+MINUTE(A4897)/60</f>
        <v>23</v>
      </c>
      <c r="F4897" s="33" t="n">
        <f aca="false">IF(OR(D4897&gt;5,E4897&lt;8,E4897&gt;=18,COUNTIF($K$2:$K$10,INT(A4897))&gt;0),1,0)</f>
        <v>1</v>
      </c>
      <c r="G4897" s="34" t="n">
        <f aca="false">B4897/1</f>
        <v>123.699</v>
      </c>
      <c r="H4897" s="34" t="n">
        <f aca="false">IF(F4897=1,G4897,"")</f>
        <v>123.699</v>
      </c>
    </row>
    <row r="4898" customFormat="false" ht="15" hidden="false" customHeight="false" outlineLevel="0" collapsed="false">
      <c r="A4898" s="31" t="n">
        <v>42940</v>
      </c>
      <c r="B4898" s="32" t="n">
        <v>136.374</v>
      </c>
      <c r="D4898" s="33" t="n">
        <f aca="false">WEEKDAY(A4898,2)</f>
        <v>1</v>
      </c>
      <c r="E4898" s="33" t="n">
        <f aca="false">HOUR(A4898)+MINUTE(A4898)/60</f>
        <v>0</v>
      </c>
      <c r="F4898" s="33" t="n">
        <f aca="false">IF(OR(D4898&gt;5,E4898&lt;8,E4898&gt;=18,COUNTIF($K$2:$K$10,INT(A4898))&gt;0),1,0)</f>
        <v>1</v>
      </c>
      <c r="G4898" s="34" t="n">
        <f aca="false">B4898/1</f>
        <v>136.374</v>
      </c>
      <c r="H4898" s="34" t="n">
        <f aca="false">IF(F4898=1,G4898,"")</f>
        <v>136.374</v>
      </c>
    </row>
    <row r="4899" customFormat="false" ht="15" hidden="false" customHeight="false" outlineLevel="0" collapsed="false">
      <c r="A4899" s="31" t="n">
        <v>42940.0416666667</v>
      </c>
      <c r="B4899" s="32" t="n">
        <v>135.155</v>
      </c>
      <c r="D4899" s="33" t="n">
        <f aca="false">WEEKDAY(A4899,2)</f>
        <v>1</v>
      </c>
      <c r="E4899" s="33" t="n">
        <f aca="false">HOUR(A4899)+MINUTE(A4899)/60</f>
        <v>1</v>
      </c>
      <c r="F4899" s="33" t="n">
        <f aca="false">IF(OR(D4899&gt;5,E4899&lt;8,E4899&gt;=18,COUNTIF($K$2:$K$10,INT(A4899))&gt;0),1,0)</f>
        <v>1</v>
      </c>
      <c r="G4899" s="34" t="n">
        <f aca="false">B4899/1</f>
        <v>135.155</v>
      </c>
      <c r="H4899" s="34" t="n">
        <f aca="false">IF(F4899=1,G4899,"")</f>
        <v>135.155</v>
      </c>
    </row>
    <row r="4900" customFormat="false" ht="15" hidden="false" customHeight="false" outlineLevel="0" collapsed="false">
      <c r="A4900" s="31" t="n">
        <v>42940.0833333333</v>
      </c>
      <c r="B4900" s="32" t="n">
        <v>134.102</v>
      </c>
      <c r="D4900" s="33" t="n">
        <f aca="false">WEEKDAY(A4900,2)</f>
        <v>1</v>
      </c>
      <c r="E4900" s="33" t="n">
        <f aca="false">HOUR(A4900)+MINUTE(A4900)/60</f>
        <v>2</v>
      </c>
      <c r="F4900" s="33" t="n">
        <f aca="false">IF(OR(D4900&gt;5,E4900&lt;8,E4900&gt;=18,COUNTIF($K$2:$K$10,INT(A4900))&gt;0),1,0)</f>
        <v>1</v>
      </c>
      <c r="G4900" s="34" t="n">
        <f aca="false">B4900/1</f>
        <v>134.102</v>
      </c>
      <c r="H4900" s="34" t="n">
        <f aca="false">IF(F4900=1,G4900,"")</f>
        <v>134.102</v>
      </c>
    </row>
    <row r="4901" customFormat="false" ht="15" hidden="false" customHeight="false" outlineLevel="0" collapsed="false">
      <c r="A4901" s="31" t="n">
        <v>42940.125</v>
      </c>
      <c r="B4901" s="32" t="n">
        <v>134.465</v>
      </c>
      <c r="D4901" s="33" t="n">
        <f aca="false">WEEKDAY(A4901,2)</f>
        <v>1</v>
      </c>
      <c r="E4901" s="33" t="n">
        <f aca="false">HOUR(A4901)+MINUTE(A4901)/60</f>
        <v>3</v>
      </c>
      <c r="F4901" s="33" t="n">
        <f aca="false">IF(OR(D4901&gt;5,E4901&lt;8,E4901&gt;=18,COUNTIF($K$2:$K$10,INT(A4901))&gt;0),1,0)</f>
        <v>1</v>
      </c>
      <c r="G4901" s="34" t="n">
        <f aca="false">B4901/1</f>
        <v>134.465</v>
      </c>
      <c r="H4901" s="34" t="n">
        <f aca="false">IF(F4901=1,G4901,"")</f>
        <v>134.465</v>
      </c>
    </row>
    <row r="4902" customFormat="false" ht="15" hidden="false" customHeight="false" outlineLevel="0" collapsed="false">
      <c r="A4902" s="31" t="n">
        <v>42940.1666666667</v>
      </c>
      <c r="B4902" s="32" t="n">
        <v>131.34</v>
      </c>
      <c r="D4902" s="33" t="n">
        <f aca="false">WEEKDAY(A4902,2)</f>
        <v>1</v>
      </c>
      <c r="E4902" s="33" t="n">
        <f aca="false">HOUR(A4902)+MINUTE(A4902)/60</f>
        <v>4</v>
      </c>
      <c r="F4902" s="33" t="n">
        <f aca="false">IF(OR(D4902&gt;5,E4902&lt;8,E4902&gt;=18,COUNTIF($K$2:$K$10,INT(A4902))&gt;0),1,0)</f>
        <v>1</v>
      </c>
      <c r="G4902" s="34" t="n">
        <f aca="false">B4902/1</f>
        <v>131.34</v>
      </c>
      <c r="H4902" s="34" t="n">
        <f aca="false">IF(F4902=1,G4902,"")</f>
        <v>131.34</v>
      </c>
    </row>
    <row r="4903" customFormat="false" ht="15" hidden="false" customHeight="false" outlineLevel="0" collapsed="false">
      <c r="A4903" s="31" t="n">
        <v>42940.2083333333</v>
      </c>
      <c r="B4903" s="32" t="n">
        <v>130.935</v>
      </c>
      <c r="D4903" s="33" t="n">
        <f aca="false">WEEKDAY(A4903,2)</f>
        <v>1</v>
      </c>
      <c r="E4903" s="33" t="n">
        <f aca="false">HOUR(A4903)+MINUTE(A4903)/60</f>
        <v>5</v>
      </c>
      <c r="F4903" s="33" t="n">
        <f aca="false">IF(OR(D4903&gt;5,E4903&lt;8,E4903&gt;=18,COUNTIF($K$2:$K$10,INT(A4903))&gt;0),1,0)</f>
        <v>1</v>
      </c>
      <c r="G4903" s="34" t="n">
        <f aca="false">B4903/1</f>
        <v>130.935</v>
      </c>
      <c r="H4903" s="34" t="n">
        <f aca="false">IF(F4903=1,G4903,"")</f>
        <v>130.935</v>
      </c>
    </row>
    <row r="4904" customFormat="false" ht="15" hidden="false" customHeight="false" outlineLevel="0" collapsed="false">
      <c r="A4904" s="31" t="n">
        <v>42940.25</v>
      </c>
      <c r="B4904" s="32" t="n">
        <v>111.476</v>
      </c>
      <c r="D4904" s="33" t="n">
        <f aca="false">WEEKDAY(A4904,2)</f>
        <v>1</v>
      </c>
      <c r="E4904" s="33" t="n">
        <f aca="false">HOUR(A4904)+MINUTE(A4904)/60</f>
        <v>6</v>
      </c>
      <c r="F4904" s="33" t="n">
        <f aca="false">IF(OR(D4904&gt;5,E4904&lt;8,E4904&gt;=18,COUNTIF($K$2:$K$10,INT(A4904))&gt;0),1,0)</f>
        <v>1</v>
      </c>
      <c r="G4904" s="34" t="n">
        <f aca="false">B4904/1</f>
        <v>111.476</v>
      </c>
      <c r="H4904" s="34" t="n">
        <f aca="false">IF(F4904=1,G4904,"")</f>
        <v>111.476</v>
      </c>
    </row>
    <row r="4905" customFormat="false" ht="15" hidden="false" customHeight="false" outlineLevel="0" collapsed="false">
      <c r="A4905" s="31" t="n">
        <v>42940.2916666667</v>
      </c>
      <c r="B4905" s="32" t="n">
        <v>99.351</v>
      </c>
      <c r="D4905" s="33" t="n">
        <f aca="false">WEEKDAY(A4905,2)</f>
        <v>1</v>
      </c>
      <c r="E4905" s="33" t="n">
        <f aca="false">HOUR(A4905)+MINUTE(A4905)/60</f>
        <v>7</v>
      </c>
      <c r="F4905" s="33" t="n">
        <f aca="false">IF(OR(D4905&gt;5,E4905&lt;8,E4905&gt;=18,COUNTIF($K$2:$K$10,INT(A4905))&gt;0),1,0)</f>
        <v>1</v>
      </c>
      <c r="G4905" s="34" t="n">
        <f aca="false">B4905/1</f>
        <v>99.351</v>
      </c>
      <c r="H4905" s="34" t="n">
        <f aca="false">IF(F4905=1,G4905,"")</f>
        <v>99.351</v>
      </c>
    </row>
    <row r="4906" customFormat="false" ht="15" hidden="false" customHeight="false" outlineLevel="0" collapsed="false">
      <c r="A4906" s="31" t="n">
        <v>42940.3333333333</v>
      </c>
      <c r="B4906" s="32" t="n">
        <v>189.398</v>
      </c>
      <c r="D4906" s="33" t="n">
        <f aca="false">WEEKDAY(A4906,2)</f>
        <v>1</v>
      </c>
      <c r="E4906" s="33" t="n">
        <f aca="false">HOUR(A4906)+MINUTE(A4906)/60</f>
        <v>8</v>
      </c>
      <c r="F4906" s="33" t="n">
        <f aca="false">IF(OR(D4906&gt;5,E4906&lt;8,E4906&gt;=18,COUNTIF($K$2:$K$10,INT(A4906))&gt;0),1,0)</f>
        <v>0</v>
      </c>
      <c r="G4906" s="34" t="n">
        <f aca="false">B4906/1</f>
        <v>189.398</v>
      </c>
      <c r="H4906" s="34" t="str">
        <f aca="false">IF(F4906=1,G4906,"")</f>
        <v/>
      </c>
    </row>
    <row r="4907" customFormat="false" ht="15" hidden="false" customHeight="false" outlineLevel="0" collapsed="false">
      <c r="A4907" s="31" t="n">
        <v>42940.375</v>
      </c>
      <c r="B4907" s="32" t="n">
        <v>220.976</v>
      </c>
      <c r="D4907" s="33" t="n">
        <f aca="false">WEEKDAY(A4907,2)</f>
        <v>1</v>
      </c>
      <c r="E4907" s="33" t="n">
        <f aca="false">HOUR(A4907)+MINUTE(A4907)/60</f>
        <v>9</v>
      </c>
      <c r="F4907" s="33" t="n">
        <f aca="false">IF(OR(D4907&gt;5,E4907&lt;8,E4907&gt;=18,COUNTIF($K$2:$K$10,INT(A4907))&gt;0),1,0)</f>
        <v>0</v>
      </c>
      <c r="G4907" s="34" t="n">
        <f aca="false">B4907/1</f>
        <v>220.976</v>
      </c>
      <c r="H4907" s="34" t="str">
        <f aca="false">IF(F4907=1,G4907,"")</f>
        <v/>
      </c>
    </row>
    <row r="4908" customFormat="false" ht="15" hidden="false" customHeight="false" outlineLevel="0" collapsed="false">
      <c r="A4908" s="31" t="n">
        <v>42940.4166666667</v>
      </c>
      <c r="B4908" s="32" t="n">
        <v>230.104</v>
      </c>
      <c r="D4908" s="33" t="n">
        <f aca="false">WEEKDAY(A4908,2)</f>
        <v>1</v>
      </c>
      <c r="E4908" s="33" t="n">
        <f aca="false">HOUR(A4908)+MINUTE(A4908)/60</f>
        <v>10</v>
      </c>
      <c r="F4908" s="33" t="n">
        <f aca="false">IF(OR(D4908&gt;5,E4908&lt;8,E4908&gt;=18,COUNTIF($K$2:$K$10,INT(A4908))&gt;0),1,0)</f>
        <v>0</v>
      </c>
      <c r="G4908" s="34" t="n">
        <f aca="false">B4908/1</f>
        <v>230.104</v>
      </c>
      <c r="H4908" s="34" t="str">
        <f aca="false">IF(F4908=1,G4908,"")</f>
        <v/>
      </c>
    </row>
    <row r="4909" customFormat="false" ht="15" hidden="false" customHeight="false" outlineLevel="0" collapsed="false">
      <c r="A4909" s="31" t="n">
        <v>42940.4583333333</v>
      </c>
      <c r="B4909" s="32" t="n">
        <v>232.345</v>
      </c>
      <c r="D4909" s="33" t="n">
        <f aca="false">WEEKDAY(A4909,2)</f>
        <v>1</v>
      </c>
      <c r="E4909" s="33" t="n">
        <f aca="false">HOUR(A4909)+MINUTE(A4909)/60</f>
        <v>11</v>
      </c>
      <c r="F4909" s="33" t="n">
        <f aca="false">IF(OR(D4909&gt;5,E4909&lt;8,E4909&gt;=18,COUNTIF($K$2:$K$10,INT(A4909))&gt;0),1,0)</f>
        <v>0</v>
      </c>
      <c r="G4909" s="34" t="n">
        <f aca="false">B4909/1</f>
        <v>232.345</v>
      </c>
      <c r="H4909" s="34" t="str">
        <f aca="false">IF(F4909=1,G4909,"")</f>
        <v/>
      </c>
    </row>
    <row r="4910" customFormat="false" ht="15" hidden="false" customHeight="false" outlineLevel="0" collapsed="false">
      <c r="A4910" s="31" t="n">
        <v>42940.5</v>
      </c>
      <c r="B4910" s="32" t="n">
        <v>235.135</v>
      </c>
      <c r="D4910" s="33" t="n">
        <f aca="false">WEEKDAY(A4910,2)</f>
        <v>1</v>
      </c>
      <c r="E4910" s="33" t="n">
        <f aca="false">HOUR(A4910)+MINUTE(A4910)/60</f>
        <v>12</v>
      </c>
      <c r="F4910" s="33" t="n">
        <f aca="false">IF(OR(D4910&gt;5,E4910&lt;8,E4910&gt;=18,COUNTIF($K$2:$K$10,INT(A4910))&gt;0),1,0)</f>
        <v>0</v>
      </c>
      <c r="G4910" s="34" t="n">
        <f aca="false">B4910/1</f>
        <v>235.135</v>
      </c>
      <c r="H4910" s="34" t="str">
        <f aca="false">IF(F4910=1,G4910,"")</f>
        <v/>
      </c>
    </row>
    <row r="4911" customFormat="false" ht="15" hidden="false" customHeight="false" outlineLevel="0" collapsed="false">
      <c r="A4911" s="31" t="n">
        <v>42940.5416666667</v>
      </c>
      <c r="B4911" s="32" t="n">
        <v>230.87</v>
      </c>
      <c r="D4911" s="33" t="n">
        <f aca="false">WEEKDAY(A4911,2)</f>
        <v>1</v>
      </c>
      <c r="E4911" s="33" t="n">
        <f aca="false">HOUR(A4911)+MINUTE(A4911)/60</f>
        <v>13</v>
      </c>
      <c r="F4911" s="33" t="n">
        <f aca="false">IF(OR(D4911&gt;5,E4911&lt;8,E4911&gt;=18,COUNTIF($K$2:$K$10,INT(A4911))&gt;0),1,0)</f>
        <v>0</v>
      </c>
      <c r="G4911" s="34" t="n">
        <f aca="false">B4911/1</f>
        <v>230.87</v>
      </c>
      <c r="H4911" s="34" t="str">
        <f aca="false">IF(F4911=1,G4911,"")</f>
        <v/>
      </c>
    </row>
    <row r="4912" customFormat="false" ht="15" hidden="false" customHeight="false" outlineLevel="0" collapsed="false">
      <c r="A4912" s="31" t="n">
        <v>42940.5833333333</v>
      </c>
      <c r="B4912" s="32" t="n">
        <v>231.818</v>
      </c>
      <c r="D4912" s="33" t="n">
        <f aca="false">WEEKDAY(A4912,2)</f>
        <v>1</v>
      </c>
      <c r="E4912" s="33" t="n">
        <f aca="false">HOUR(A4912)+MINUTE(A4912)/60</f>
        <v>14</v>
      </c>
      <c r="F4912" s="33" t="n">
        <f aca="false">IF(OR(D4912&gt;5,E4912&lt;8,E4912&gt;=18,COUNTIF($K$2:$K$10,INT(A4912))&gt;0),1,0)</f>
        <v>0</v>
      </c>
      <c r="G4912" s="34" t="n">
        <f aca="false">B4912/1</f>
        <v>231.818</v>
      </c>
      <c r="H4912" s="34" t="str">
        <f aca="false">IF(F4912=1,G4912,"")</f>
        <v/>
      </c>
    </row>
    <row r="4913" customFormat="false" ht="15" hidden="false" customHeight="false" outlineLevel="0" collapsed="false">
      <c r="A4913" s="31" t="n">
        <v>42940.625</v>
      </c>
      <c r="B4913" s="32" t="n">
        <v>228.365</v>
      </c>
      <c r="D4913" s="33" t="n">
        <f aca="false">WEEKDAY(A4913,2)</f>
        <v>1</v>
      </c>
      <c r="E4913" s="33" t="n">
        <f aca="false">HOUR(A4913)+MINUTE(A4913)/60</f>
        <v>15</v>
      </c>
      <c r="F4913" s="33" t="n">
        <f aca="false">IF(OR(D4913&gt;5,E4913&lt;8,E4913&gt;=18,COUNTIF($K$2:$K$10,INT(A4913))&gt;0),1,0)</f>
        <v>0</v>
      </c>
      <c r="G4913" s="34" t="n">
        <f aca="false">B4913/1</f>
        <v>228.365</v>
      </c>
      <c r="H4913" s="34" t="str">
        <f aca="false">IF(F4913=1,G4913,"")</f>
        <v/>
      </c>
    </row>
    <row r="4914" customFormat="false" ht="15" hidden="false" customHeight="false" outlineLevel="0" collapsed="false">
      <c r="A4914" s="31" t="n">
        <v>42940.6666666667</v>
      </c>
      <c r="B4914" s="32" t="n">
        <v>219.689</v>
      </c>
      <c r="D4914" s="33" t="n">
        <f aca="false">WEEKDAY(A4914,2)</f>
        <v>1</v>
      </c>
      <c r="E4914" s="33" t="n">
        <f aca="false">HOUR(A4914)+MINUTE(A4914)/60</f>
        <v>16</v>
      </c>
      <c r="F4914" s="33" t="n">
        <f aca="false">IF(OR(D4914&gt;5,E4914&lt;8,E4914&gt;=18,COUNTIF($K$2:$K$10,INT(A4914))&gt;0),1,0)</f>
        <v>0</v>
      </c>
      <c r="G4914" s="34" t="n">
        <f aca="false">B4914/1</f>
        <v>219.689</v>
      </c>
      <c r="H4914" s="34" t="str">
        <f aca="false">IF(F4914=1,G4914,"")</f>
        <v/>
      </c>
    </row>
    <row r="4915" customFormat="false" ht="15" hidden="false" customHeight="false" outlineLevel="0" collapsed="false">
      <c r="A4915" s="31" t="n">
        <v>42940.7083333333</v>
      </c>
      <c r="B4915" s="32" t="n">
        <v>208.867</v>
      </c>
      <c r="D4915" s="33" t="n">
        <f aca="false">WEEKDAY(A4915,2)</f>
        <v>1</v>
      </c>
      <c r="E4915" s="33" t="n">
        <f aca="false">HOUR(A4915)+MINUTE(A4915)/60</f>
        <v>17</v>
      </c>
      <c r="F4915" s="33" t="n">
        <f aca="false">IF(OR(D4915&gt;5,E4915&lt;8,E4915&gt;=18,COUNTIF($K$2:$K$10,INT(A4915))&gt;0),1,0)</f>
        <v>0</v>
      </c>
      <c r="G4915" s="34" t="n">
        <f aca="false">B4915/1</f>
        <v>208.867</v>
      </c>
      <c r="H4915" s="34" t="str">
        <f aca="false">IF(F4915=1,G4915,"")</f>
        <v/>
      </c>
    </row>
    <row r="4916" customFormat="false" ht="15" hidden="false" customHeight="false" outlineLevel="0" collapsed="false">
      <c r="A4916" s="31" t="n">
        <v>42940.75</v>
      </c>
      <c r="B4916" s="32" t="n">
        <v>202.319</v>
      </c>
      <c r="D4916" s="33" t="n">
        <f aca="false">WEEKDAY(A4916,2)</f>
        <v>1</v>
      </c>
      <c r="E4916" s="33" t="n">
        <f aca="false">HOUR(A4916)+MINUTE(A4916)/60</f>
        <v>18</v>
      </c>
      <c r="F4916" s="33" t="n">
        <f aca="false">IF(OR(D4916&gt;5,E4916&lt;8,E4916&gt;=18,COUNTIF($K$2:$K$10,INT(A4916))&gt;0),1,0)</f>
        <v>1</v>
      </c>
      <c r="G4916" s="34" t="n">
        <f aca="false">B4916/1</f>
        <v>202.319</v>
      </c>
      <c r="H4916" s="34" t="n">
        <f aca="false">IF(F4916=1,G4916,"")</f>
        <v>202.319</v>
      </c>
    </row>
    <row r="4917" customFormat="false" ht="15" hidden="false" customHeight="false" outlineLevel="0" collapsed="false">
      <c r="A4917" s="31" t="n">
        <v>42940.7916666667</v>
      </c>
      <c r="B4917" s="32" t="n">
        <v>198.329</v>
      </c>
      <c r="D4917" s="33" t="n">
        <f aca="false">WEEKDAY(A4917,2)</f>
        <v>1</v>
      </c>
      <c r="E4917" s="33" t="n">
        <f aca="false">HOUR(A4917)+MINUTE(A4917)/60</f>
        <v>19</v>
      </c>
      <c r="F4917" s="33" t="n">
        <f aca="false">IF(OR(D4917&gt;5,E4917&lt;8,E4917&gt;=18,COUNTIF($K$2:$K$10,INT(A4917))&gt;0),1,0)</f>
        <v>1</v>
      </c>
      <c r="G4917" s="34" t="n">
        <f aca="false">B4917/1</f>
        <v>198.329</v>
      </c>
      <c r="H4917" s="34" t="n">
        <f aca="false">IF(F4917=1,G4917,"")</f>
        <v>198.329</v>
      </c>
    </row>
    <row r="4918" customFormat="false" ht="15" hidden="false" customHeight="false" outlineLevel="0" collapsed="false">
      <c r="A4918" s="31" t="n">
        <v>42940.8333333333</v>
      </c>
      <c r="B4918" s="32" t="n">
        <v>195.058</v>
      </c>
      <c r="D4918" s="33" t="n">
        <f aca="false">WEEKDAY(A4918,2)</f>
        <v>1</v>
      </c>
      <c r="E4918" s="33" t="n">
        <f aca="false">HOUR(A4918)+MINUTE(A4918)/60</f>
        <v>20</v>
      </c>
      <c r="F4918" s="33" t="n">
        <f aca="false">IF(OR(D4918&gt;5,E4918&lt;8,E4918&gt;=18,COUNTIF($K$2:$K$10,INT(A4918))&gt;0),1,0)</f>
        <v>1</v>
      </c>
      <c r="G4918" s="34" t="n">
        <f aca="false">B4918/1</f>
        <v>195.058</v>
      </c>
      <c r="H4918" s="34" t="n">
        <f aca="false">IF(F4918=1,G4918,"")</f>
        <v>195.058</v>
      </c>
    </row>
    <row r="4919" customFormat="false" ht="15" hidden="false" customHeight="false" outlineLevel="0" collapsed="false">
      <c r="A4919" s="31" t="n">
        <v>42940.875</v>
      </c>
      <c r="B4919" s="32" t="n">
        <v>192.612</v>
      </c>
      <c r="D4919" s="33" t="n">
        <f aca="false">WEEKDAY(A4919,2)</f>
        <v>1</v>
      </c>
      <c r="E4919" s="33" t="n">
        <f aca="false">HOUR(A4919)+MINUTE(A4919)/60</f>
        <v>21</v>
      </c>
      <c r="F4919" s="33" t="n">
        <f aca="false">IF(OR(D4919&gt;5,E4919&lt;8,E4919&gt;=18,COUNTIF($K$2:$K$10,INT(A4919))&gt;0),1,0)</f>
        <v>1</v>
      </c>
      <c r="G4919" s="34" t="n">
        <f aca="false">B4919/1</f>
        <v>192.612</v>
      </c>
      <c r="H4919" s="34" t="n">
        <f aca="false">IF(F4919=1,G4919,"")</f>
        <v>192.612</v>
      </c>
    </row>
    <row r="4920" customFormat="false" ht="15" hidden="false" customHeight="false" outlineLevel="0" collapsed="false">
      <c r="A4920" s="31" t="n">
        <v>42940.9166666667</v>
      </c>
      <c r="B4920" s="32" t="n">
        <v>141.737</v>
      </c>
      <c r="D4920" s="33" t="n">
        <f aca="false">WEEKDAY(A4920,2)</f>
        <v>1</v>
      </c>
      <c r="E4920" s="33" t="n">
        <f aca="false">HOUR(A4920)+MINUTE(A4920)/60</f>
        <v>22</v>
      </c>
      <c r="F4920" s="33" t="n">
        <f aca="false">IF(OR(D4920&gt;5,E4920&lt;8,E4920&gt;=18,COUNTIF($K$2:$K$10,INT(A4920))&gt;0),1,0)</f>
        <v>1</v>
      </c>
      <c r="G4920" s="34" t="n">
        <f aca="false">B4920/1</f>
        <v>141.737</v>
      </c>
      <c r="H4920" s="34" t="n">
        <f aca="false">IF(F4920=1,G4920,"")</f>
        <v>141.737</v>
      </c>
    </row>
    <row r="4921" customFormat="false" ht="15" hidden="false" customHeight="false" outlineLevel="0" collapsed="false">
      <c r="A4921" s="31" t="n">
        <v>42940.9583333333</v>
      </c>
      <c r="B4921" s="32" t="n">
        <v>76.767</v>
      </c>
      <c r="D4921" s="33" t="n">
        <f aca="false">WEEKDAY(A4921,2)</f>
        <v>1</v>
      </c>
      <c r="E4921" s="33" t="n">
        <f aca="false">HOUR(A4921)+MINUTE(A4921)/60</f>
        <v>23</v>
      </c>
      <c r="F4921" s="33" t="n">
        <f aca="false">IF(OR(D4921&gt;5,E4921&lt;8,E4921&gt;=18,COUNTIF($K$2:$K$10,INT(A4921))&gt;0),1,0)</f>
        <v>1</v>
      </c>
      <c r="G4921" s="34" t="n">
        <f aca="false">B4921/1</f>
        <v>76.767</v>
      </c>
      <c r="H4921" s="34" t="n">
        <f aca="false">IF(F4921=1,G4921,"")</f>
        <v>76.767</v>
      </c>
    </row>
    <row r="4922" customFormat="false" ht="15" hidden="false" customHeight="false" outlineLevel="0" collapsed="false">
      <c r="A4922" s="31" t="n">
        <v>42941</v>
      </c>
      <c r="B4922" s="32" t="n">
        <v>74.624</v>
      </c>
      <c r="D4922" s="33" t="n">
        <f aca="false">WEEKDAY(A4922,2)</f>
        <v>2</v>
      </c>
      <c r="E4922" s="33" t="n">
        <f aca="false">HOUR(A4922)+MINUTE(A4922)/60</f>
        <v>0</v>
      </c>
      <c r="F4922" s="33" t="n">
        <f aca="false">IF(OR(D4922&gt;5,E4922&lt;8,E4922&gt;=18,COUNTIF($K$2:$K$10,INT(A4922))&gt;0),1,0)</f>
        <v>1</v>
      </c>
      <c r="G4922" s="34" t="n">
        <f aca="false">B4922/1</f>
        <v>74.624</v>
      </c>
      <c r="H4922" s="34" t="n">
        <f aca="false">IF(F4922=1,G4922,"")</f>
        <v>74.624</v>
      </c>
    </row>
    <row r="4923" customFormat="false" ht="15" hidden="false" customHeight="false" outlineLevel="0" collapsed="false">
      <c r="A4923" s="31" t="n">
        <v>42941.0416666667</v>
      </c>
      <c r="B4923" s="32" t="n">
        <v>89.659</v>
      </c>
      <c r="D4923" s="33" t="n">
        <f aca="false">WEEKDAY(A4923,2)</f>
        <v>2</v>
      </c>
      <c r="E4923" s="33" t="n">
        <f aca="false">HOUR(A4923)+MINUTE(A4923)/60</f>
        <v>1</v>
      </c>
      <c r="F4923" s="33" t="n">
        <f aca="false">IF(OR(D4923&gt;5,E4923&lt;8,E4923&gt;=18,COUNTIF($K$2:$K$10,INT(A4923))&gt;0),1,0)</f>
        <v>1</v>
      </c>
      <c r="G4923" s="34" t="n">
        <f aca="false">B4923/1</f>
        <v>89.659</v>
      </c>
      <c r="H4923" s="34" t="n">
        <f aca="false">IF(F4923=1,G4923,"")</f>
        <v>89.659</v>
      </c>
    </row>
    <row r="4924" customFormat="false" ht="15" hidden="false" customHeight="false" outlineLevel="0" collapsed="false">
      <c r="A4924" s="31" t="n">
        <v>42941.0833333333</v>
      </c>
      <c r="B4924" s="32" t="n">
        <v>119.398</v>
      </c>
      <c r="D4924" s="33" t="n">
        <f aca="false">WEEKDAY(A4924,2)</f>
        <v>2</v>
      </c>
      <c r="E4924" s="33" t="n">
        <f aca="false">HOUR(A4924)+MINUTE(A4924)/60</f>
        <v>2</v>
      </c>
      <c r="F4924" s="33" t="n">
        <f aca="false">IF(OR(D4924&gt;5,E4924&lt;8,E4924&gt;=18,COUNTIF($K$2:$K$10,INT(A4924))&gt;0),1,0)</f>
        <v>1</v>
      </c>
      <c r="G4924" s="34" t="n">
        <f aca="false">B4924/1</f>
        <v>119.398</v>
      </c>
      <c r="H4924" s="34" t="n">
        <f aca="false">IF(F4924=1,G4924,"")</f>
        <v>119.398</v>
      </c>
    </row>
    <row r="4925" customFormat="false" ht="15" hidden="false" customHeight="false" outlineLevel="0" collapsed="false">
      <c r="A4925" s="31" t="n">
        <v>42941.125</v>
      </c>
      <c r="B4925" s="32" t="n">
        <v>118.398</v>
      </c>
      <c r="D4925" s="33" t="n">
        <f aca="false">WEEKDAY(A4925,2)</f>
        <v>2</v>
      </c>
      <c r="E4925" s="33" t="n">
        <f aca="false">HOUR(A4925)+MINUTE(A4925)/60</f>
        <v>3</v>
      </c>
      <c r="F4925" s="33" t="n">
        <f aca="false">IF(OR(D4925&gt;5,E4925&lt;8,E4925&gt;=18,COUNTIF($K$2:$K$10,INT(A4925))&gt;0),1,0)</f>
        <v>1</v>
      </c>
      <c r="G4925" s="34" t="n">
        <f aca="false">B4925/1</f>
        <v>118.398</v>
      </c>
      <c r="H4925" s="34" t="n">
        <f aca="false">IF(F4925=1,G4925,"")</f>
        <v>118.398</v>
      </c>
    </row>
    <row r="4926" customFormat="false" ht="15" hidden="false" customHeight="false" outlineLevel="0" collapsed="false">
      <c r="A4926" s="31" t="n">
        <v>42941.1666666667</v>
      </c>
      <c r="B4926" s="32" t="n">
        <v>118.643</v>
      </c>
      <c r="D4926" s="33" t="n">
        <f aca="false">WEEKDAY(A4926,2)</f>
        <v>2</v>
      </c>
      <c r="E4926" s="33" t="n">
        <f aca="false">HOUR(A4926)+MINUTE(A4926)/60</f>
        <v>4</v>
      </c>
      <c r="F4926" s="33" t="n">
        <f aca="false">IF(OR(D4926&gt;5,E4926&lt;8,E4926&gt;=18,COUNTIF($K$2:$K$10,INT(A4926))&gt;0),1,0)</f>
        <v>1</v>
      </c>
      <c r="G4926" s="34" t="n">
        <f aca="false">B4926/1</f>
        <v>118.643</v>
      </c>
      <c r="H4926" s="34" t="n">
        <f aca="false">IF(F4926=1,G4926,"")</f>
        <v>118.643</v>
      </c>
    </row>
    <row r="4927" customFormat="false" ht="15" hidden="false" customHeight="false" outlineLevel="0" collapsed="false">
      <c r="A4927" s="31" t="n">
        <v>42941.2083333333</v>
      </c>
      <c r="B4927" s="32" t="n">
        <v>117.471</v>
      </c>
      <c r="D4927" s="33" t="n">
        <f aca="false">WEEKDAY(A4927,2)</f>
        <v>2</v>
      </c>
      <c r="E4927" s="33" t="n">
        <f aca="false">HOUR(A4927)+MINUTE(A4927)/60</f>
        <v>5</v>
      </c>
      <c r="F4927" s="33" t="n">
        <f aca="false">IF(OR(D4927&gt;5,E4927&lt;8,E4927&gt;=18,COUNTIF($K$2:$K$10,INT(A4927))&gt;0),1,0)</f>
        <v>1</v>
      </c>
      <c r="G4927" s="34" t="n">
        <f aca="false">B4927/1</f>
        <v>117.471</v>
      </c>
      <c r="H4927" s="34" t="n">
        <f aca="false">IF(F4927=1,G4927,"")</f>
        <v>117.471</v>
      </c>
    </row>
    <row r="4928" customFormat="false" ht="15" hidden="false" customHeight="false" outlineLevel="0" collapsed="false">
      <c r="A4928" s="31" t="n">
        <v>42941.25</v>
      </c>
      <c r="B4928" s="32" t="n">
        <v>93.933</v>
      </c>
      <c r="D4928" s="33" t="n">
        <f aca="false">WEEKDAY(A4928,2)</f>
        <v>2</v>
      </c>
      <c r="E4928" s="33" t="n">
        <f aca="false">HOUR(A4928)+MINUTE(A4928)/60</f>
        <v>6</v>
      </c>
      <c r="F4928" s="33" t="n">
        <f aca="false">IF(OR(D4928&gt;5,E4928&lt;8,E4928&gt;=18,COUNTIF($K$2:$K$10,INT(A4928))&gt;0),1,0)</f>
        <v>1</v>
      </c>
      <c r="G4928" s="34" t="n">
        <f aca="false">B4928/1</f>
        <v>93.933</v>
      </c>
      <c r="H4928" s="34" t="n">
        <f aca="false">IF(F4928=1,G4928,"")</f>
        <v>93.933</v>
      </c>
    </row>
    <row r="4929" customFormat="false" ht="15" hidden="false" customHeight="false" outlineLevel="0" collapsed="false">
      <c r="A4929" s="31" t="n">
        <v>42941.2916666667</v>
      </c>
      <c r="B4929" s="32" t="n">
        <v>77.823</v>
      </c>
      <c r="D4929" s="33" t="n">
        <f aca="false">WEEKDAY(A4929,2)</f>
        <v>2</v>
      </c>
      <c r="E4929" s="33" t="n">
        <f aca="false">HOUR(A4929)+MINUTE(A4929)/60</f>
        <v>7</v>
      </c>
      <c r="F4929" s="33" t="n">
        <f aca="false">IF(OR(D4929&gt;5,E4929&lt;8,E4929&gt;=18,COUNTIF($K$2:$K$10,INT(A4929))&gt;0),1,0)</f>
        <v>1</v>
      </c>
      <c r="G4929" s="34" t="n">
        <f aca="false">B4929/1</f>
        <v>77.823</v>
      </c>
      <c r="H4929" s="34" t="n">
        <f aca="false">IF(F4929=1,G4929,"")</f>
        <v>77.823</v>
      </c>
    </row>
    <row r="4930" customFormat="false" ht="15" hidden="false" customHeight="false" outlineLevel="0" collapsed="false">
      <c r="A4930" s="31" t="n">
        <v>42941.3333333333</v>
      </c>
      <c r="B4930" s="32" t="n">
        <v>188.295</v>
      </c>
      <c r="D4930" s="33" t="n">
        <f aca="false">WEEKDAY(A4930,2)</f>
        <v>2</v>
      </c>
      <c r="E4930" s="33" t="n">
        <f aca="false">HOUR(A4930)+MINUTE(A4930)/60</f>
        <v>8</v>
      </c>
      <c r="F4930" s="33" t="n">
        <f aca="false">IF(OR(D4930&gt;5,E4930&lt;8,E4930&gt;=18,COUNTIF($K$2:$K$10,INT(A4930))&gt;0),1,0)</f>
        <v>0</v>
      </c>
      <c r="G4930" s="34" t="n">
        <f aca="false">B4930/1</f>
        <v>188.295</v>
      </c>
      <c r="H4930" s="34" t="str">
        <f aca="false">IF(F4930=1,G4930,"")</f>
        <v/>
      </c>
    </row>
    <row r="4931" customFormat="false" ht="15" hidden="false" customHeight="false" outlineLevel="0" collapsed="false">
      <c r="A4931" s="31" t="n">
        <v>42941.375</v>
      </c>
      <c r="B4931" s="32" t="n">
        <v>214.208</v>
      </c>
      <c r="D4931" s="33" t="n">
        <f aca="false">WEEKDAY(A4931,2)</f>
        <v>2</v>
      </c>
      <c r="E4931" s="33" t="n">
        <f aca="false">HOUR(A4931)+MINUTE(A4931)/60</f>
        <v>9</v>
      </c>
      <c r="F4931" s="33" t="n">
        <f aca="false">IF(OR(D4931&gt;5,E4931&lt;8,E4931&gt;=18,COUNTIF($K$2:$K$10,INT(A4931))&gt;0),1,0)</f>
        <v>0</v>
      </c>
      <c r="G4931" s="34" t="n">
        <f aca="false">B4931/1</f>
        <v>214.208</v>
      </c>
      <c r="H4931" s="34" t="str">
        <f aca="false">IF(F4931=1,G4931,"")</f>
        <v/>
      </c>
    </row>
    <row r="4932" customFormat="false" ht="15" hidden="false" customHeight="false" outlineLevel="0" collapsed="false">
      <c r="A4932" s="31" t="n">
        <v>42941.4166666667</v>
      </c>
      <c r="B4932" s="32" t="n">
        <v>228.671</v>
      </c>
      <c r="D4932" s="33" t="n">
        <f aca="false">WEEKDAY(A4932,2)</f>
        <v>2</v>
      </c>
      <c r="E4932" s="33" t="n">
        <f aca="false">HOUR(A4932)+MINUTE(A4932)/60</f>
        <v>10</v>
      </c>
      <c r="F4932" s="33" t="n">
        <f aca="false">IF(OR(D4932&gt;5,E4932&lt;8,E4932&gt;=18,COUNTIF($K$2:$K$10,INT(A4932))&gt;0),1,0)</f>
        <v>0</v>
      </c>
      <c r="G4932" s="34" t="n">
        <f aca="false">B4932/1</f>
        <v>228.671</v>
      </c>
      <c r="H4932" s="34" t="str">
        <f aca="false">IF(F4932=1,G4932,"")</f>
        <v/>
      </c>
    </row>
    <row r="4933" customFormat="false" ht="15" hidden="false" customHeight="false" outlineLevel="0" collapsed="false">
      <c r="A4933" s="31" t="n">
        <v>42941.4583333333</v>
      </c>
      <c r="B4933" s="32" t="n">
        <v>234.343</v>
      </c>
      <c r="D4933" s="33" t="n">
        <f aca="false">WEEKDAY(A4933,2)</f>
        <v>2</v>
      </c>
      <c r="E4933" s="33" t="n">
        <f aca="false">HOUR(A4933)+MINUTE(A4933)/60</f>
        <v>11</v>
      </c>
      <c r="F4933" s="33" t="n">
        <f aca="false">IF(OR(D4933&gt;5,E4933&lt;8,E4933&gt;=18,COUNTIF($K$2:$K$10,INT(A4933))&gt;0),1,0)</f>
        <v>0</v>
      </c>
      <c r="G4933" s="34" t="n">
        <f aca="false">B4933/1</f>
        <v>234.343</v>
      </c>
      <c r="H4933" s="34" t="str">
        <f aca="false">IF(F4933=1,G4933,"")</f>
        <v/>
      </c>
    </row>
    <row r="4934" customFormat="false" ht="15" hidden="false" customHeight="false" outlineLevel="0" collapsed="false">
      <c r="A4934" s="31" t="n">
        <v>42941.5</v>
      </c>
      <c r="B4934" s="32" t="n">
        <v>237.072</v>
      </c>
      <c r="D4934" s="33" t="n">
        <f aca="false">WEEKDAY(A4934,2)</f>
        <v>2</v>
      </c>
      <c r="E4934" s="33" t="n">
        <f aca="false">HOUR(A4934)+MINUTE(A4934)/60</f>
        <v>12</v>
      </c>
      <c r="F4934" s="33" t="n">
        <f aca="false">IF(OR(D4934&gt;5,E4934&lt;8,E4934&gt;=18,COUNTIF($K$2:$K$10,INT(A4934))&gt;0),1,0)</f>
        <v>0</v>
      </c>
      <c r="G4934" s="34" t="n">
        <f aca="false">B4934/1</f>
        <v>237.072</v>
      </c>
      <c r="H4934" s="34" t="str">
        <f aca="false">IF(F4934=1,G4934,"")</f>
        <v/>
      </c>
    </row>
    <row r="4935" customFormat="false" ht="15" hidden="false" customHeight="false" outlineLevel="0" collapsed="false">
      <c r="A4935" s="31" t="n">
        <v>42941.5416666667</v>
      </c>
      <c r="B4935" s="32" t="n">
        <v>237.607</v>
      </c>
      <c r="D4935" s="33" t="n">
        <f aca="false">WEEKDAY(A4935,2)</f>
        <v>2</v>
      </c>
      <c r="E4935" s="33" t="n">
        <f aca="false">HOUR(A4935)+MINUTE(A4935)/60</f>
        <v>13</v>
      </c>
      <c r="F4935" s="33" t="n">
        <f aca="false">IF(OR(D4935&gt;5,E4935&lt;8,E4935&gt;=18,COUNTIF($K$2:$K$10,INT(A4935))&gt;0),1,0)</f>
        <v>0</v>
      </c>
      <c r="G4935" s="34" t="n">
        <f aca="false">B4935/1</f>
        <v>237.607</v>
      </c>
      <c r="H4935" s="34" t="str">
        <f aca="false">IF(F4935=1,G4935,"")</f>
        <v/>
      </c>
    </row>
    <row r="4936" customFormat="false" ht="15" hidden="false" customHeight="false" outlineLevel="0" collapsed="false">
      <c r="A4936" s="31" t="n">
        <v>42941.5833333333</v>
      </c>
      <c r="B4936" s="32" t="n">
        <v>241.595</v>
      </c>
      <c r="D4936" s="33" t="n">
        <f aca="false">WEEKDAY(A4936,2)</f>
        <v>2</v>
      </c>
      <c r="E4936" s="33" t="n">
        <f aca="false">HOUR(A4936)+MINUTE(A4936)/60</f>
        <v>14</v>
      </c>
      <c r="F4936" s="33" t="n">
        <f aca="false">IF(OR(D4936&gt;5,E4936&lt;8,E4936&gt;=18,COUNTIF($K$2:$K$10,INT(A4936))&gt;0),1,0)</f>
        <v>0</v>
      </c>
      <c r="G4936" s="34" t="n">
        <f aca="false">B4936/1</f>
        <v>241.595</v>
      </c>
      <c r="H4936" s="34" t="str">
        <f aca="false">IF(F4936=1,G4936,"")</f>
        <v/>
      </c>
    </row>
    <row r="4937" customFormat="false" ht="15" hidden="false" customHeight="false" outlineLevel="0" collapsed="false">
      <c r="A4937" s="31" t="n">
        <v>42941.625</v>
      </c>
      <c r="B4937" s="32" t="n">
        <v>236.427</v>
      </c>
      <c r="D4937" s="33" t="n">
        <f aca="false">WEEKDAY(A4937,2)</f>
        <v>2</v>
      </c>
      <c r="E4937" s="33" t="n">
        <f aca="false">HOUR(A4937)+MINUTE(A4937)/60</f>
        <v>15</v>
      </c>
      <c r="F4937" s="33" t="n">
        <f aca="false">IF(OR(D4937&gt;5,E4937&lt;8,E4937&gt;=18,COUNTIF($K$2:$K$10,INT(A4937))&gt;0),1,0)</f>
        <v>0</v>
      </c>
      <c r="G4937" s="34" t="n">
        <f aca="false">B4937/1</f>
        <v>236.427</v>
      </c>
      <c r="H4937" s="34" t="str">
        <f aca="false">IF(F4937=1,G4937,"")</f>
        <v/>
      </c>
    </row>
    <row r="4938" customFormat="false" ht="15" hidden="false" customHeight="false" outlineLevel="0" collapsed="false">
      <c r="A4938" s="31" t="n">
        <v>42941.6666666667</v>
      </c>
      <c r="B4938" s="32" t="n">
        <v>234.466</v>
      </c>
      <c r="D4938" s="33" t="n">
        <f aca="false">WEEKDAY(A4938,2)</f>
        <v>2</v>
      </c>
      <c r="E4938" s="33" t="n">
        <f aca="false">HOUR(A4938)+MINUTE(A4938)/60</f>
        <v>16</v>
      </c>
      <c r="F4938" s="33" t="n">
        <f aca="false">IF(OR(D4938&gt;5,E4938&lt;8,E4938&gt;=18,COUNTIF($K$2:$K$10,INT(A4938))&gt;0),1,0)</f>
        <v>0</v>
      </c>
      <c r="G4938" s="34" t="n">
        <f aca="false">B4938/1</f>
        <v>234.466</v>
      </c>
      <c r="H4938" s="34" t="str">
        <f aca="false">IF(F4938=1,G4938,"")</f>
        <v/>
      </c>
    </row>
    <row r="4939" customFormat="false" ht="15" hidden="false" customHeight="false" outlineLevel="0" collapsed="false">
      <c r="A4939" s="31" t="n">
        <v>42941.7083333333</v>
      </c>
      <c r="B4939" s="32" t="n">
        <v>220.72</v>
      </c>
      <c r="D4939" s="33" t="n">
        <f aca="false">WEEKDAY(A4939,2)</f>
        <v>2</v>
      </c>
      <c r="E4939" s="33" t="n">
        <f aca="false">HOUR(A4939)+MINUTE(A4939)/60</f>
        <v>17</v>
      </c>
      <c r="F4939" s="33" t="n">
        <f aca="false">IF(OR(D4939&gt;5,E4939&lt;8,E4939&gt;=18,COUNTIF($K$2:$K$10,INT(A4939))&gt;0),1,0)</f>
        <v>0</v>
      </c>
      <c r="G4939" s="34" t="n">
        <f aca="false">B4939/1</f>
        <v>220.72</v>
      </c>
      <c r="H4939" s="34" t="str">
        <f aca="false">IF(F4939=1,G4939,"")</f>
        <v/>
      </c>
    </row>
    <row r="4940" customFormat="false" ht="15" hidden="false" customHeight="false" outlineLevel="0" collapsed="false">
      <c r="A4940" s="31" t="n">
        <v>42941.75</v>
      </c>
      <c r="B4940" s="32" t="n">
        <v>207.425</v>
      </c>
      <c r="D4940" s="33" t="n">
        <f aca="false">WEEKDAY(A4940,2)</f>
        <v>2</v>
      </c>
      <c r="E4940" s="33" t="n">
        <f aca="false">HOUR(A4940)+MINUTE(A4940)/60</f>
        <v>18</v>
      </c>
      <c r="F4940" s="33" t="n">
        <f aca="false">IF(OR(D4940&gt;5,E4940&lt;8,E4940&gt;=18,COUNTIF($K$2:$K$10,INT(A4940))&gt;0),1,0)</f>
        <v>1</v>
      </c>
      <c r="G4940" s="34" t="n">
        <f aca="false">B4940/1</f>
        <v>207.425</v>
      </c>
      <c r="H4940" s="34" t="n">
        <f aca="false">IF(F4940=1,G4940,"")</f>
        <v>207.425</v>
      </c>
    </row>
    <row r="4941" customFormat="false" ht="15" hidden="false" customHeight="false" outlineLevel="0" collapsed="false">
      <c r="A4941" s="31" t="n">
        <v>42941.7916666667</v>
      </c>
      <c r="B4941" s="32" t="n">
        <v>199.929</v>
      </c>
      <c r="D4941" s="33" t="n">
        <f aca="false">WEEKDAY(A4941,2)</f>
        <v>2</v>
      </c>
      <c r="E4941" s="33" t="n">
        <f aca="false">HOUR(A4941)+MINUTE(A4941)/60</f>
        <v>19</v>
      </c>
      <c r="F4941" s="33" t="n">
        <f aca="false">IF(OR(D4941&gt;5,E4941&lt;8,E4941&gt;=18,COUNTIF($K$2:$K$10,INT(A4941))&gt;0),1,0)</f>
        <v>1</v>
      </c>
      <c r="G4941" s="34" t="n">
        <f aca="false">B4941/1</f>
        <v>199.929</v>
      </c>
      <c r="H4941" s="34" t="n">
        <f aca="false">IF(F4941=1,G4941,"")</f>
        <v>199.929</v>
      </c>
    </row>
    <row r="4942" customFormat="false" ht="15" hidden="false" customHeight="false" outlineLevel="0" collapsed="false">
      <c r="A4942" s="31" t="n">
        <v>42941.8333333333</v>
      </c>
      <c r="B4942" s="32" t="n">
        <v>199.764</v>
      </c>
      <c r="D4942" s="33" t="n">
        <f aca="false">WEEKDAY(A4942,2)</f>
        <v>2</v>
      </c>
      <c r="E4942" s="33" t="n">
        <f aca="false">HOUR(A4942)+MINUTE(A4942)/60</f>
        <v>20</v>
      </c>
      <c r="F4942" s="33" t="n">
        <f aca="false">IF(OR(D4942&gt;5,E4942&lt;8,E4942&gt;=18,COUNTIF($K$2:$K$10,INT(A4942))&gt;0),1,0)</f>
        <v>1</v>
      </c>
      <c r="G4942" s="34" t="n">
        <f aca="false">B4942/1</f>
        <v>199.764</v>
      </c>
      <c r="H4942" s="34" t="n">
        <f aca="false">IF(F4942=1,G4942,"")</f>
        <v>199.764</v>
      </c>
    </row>
    <row r="4943" customFormat="false" ht="15" hidden="false" customHeight="false" outlineLevel="0" collapsed="false">
      <c r="A4943" s="31" t="n">
        <v>42941.875</v>
      </c>
      <c r="B4943" s="32" t="n">
        <v>195.896</v>
      </c>
      <c r="D4943" s="33" t="n">
        <f aca="false">WEEKDAY(A4943,2)</f>
        <v>2</v>
      </c>
      <c r="E4943" s="33" t="n">
        <f aca="false">HOUR(A4943)+MINUTE(A4943)/60</f>
        <v>21</v>
      </c>
      <c r="F4943" s="33" t="n">
        <f aca="false">IF(OR(D4943&gt;5,E4943&lt;8,E4943&gt;=18,COUNTIF($K$2:$K$10,INT(A4943))&gt;0),1,0)</f>
        <v>1</v>
      </c>
      <c r="G4943" s="34" t="n">
        <f aca="false">B4943/1</f>
        <v>195.896</v>
      </c>
      <c r="H4943" s="34" t="n">
        <f aca="false">IF(F4943=1,G4943,"")</f>
        <v>195.896</v>
      </c>
    </row>
    <row r="4944" customFormat="false" ht="15" hidden="false" customHeight="false" outlineLevel="0" collapsed="false">
      <c r="A4944" s="31" t="n">
        <v>42941.9166666667</v>
      </c>
      <c r="B4944" s="32" t="n">
        <v>194.991</v>
      </c>
      <c r="D4944" s="33" t="n">
        <f aca="false">WEEKDAY(A4944,2)</f>
        <v>2</v>
      </c>
      <c r="E4944" s="33" t="n">
        <f aca="false">HOUR(A4944)+MINUTE(A4944)/60</f>
        <v>22</v>
      </c>
      <c r="F4944" s="33" t="n">
        <f aca="false">IF(OR(D4944&gt;5,E4944&lt;8,E4944&gt;=18,COUNTIF($K$2:$K$10,INT(A4944))&gt;0),1,0)</f>
        <v>1</v>
      </c>
      <c r="G4944" s="34" t="n">
        <f aca="false">B4944/1</f>
        <v>194.991</v>
      </c>
      <c r="H4944" s="34" t="n">
        <f aca="false">IF(F4944=1,G4944,"")</f>
        <v>194.991</v>
      </c>
    </row>
    <row r="4945" customFormat="false" ht="15" hidden="false" customHeight="false" outlineLevel="0" collapsed="false">
      <c r="A4945" s="31" t="n">
        <v>42941.9583333333</v>
      </c>
      <c r="B4945" s="32" t="n">
        <v>191.926</v>
      </c>
      <c r="D4945" s="33" t="n">
        <f aca="false">WEEKDAY(A4945,2)</f>
        <v>2</v>
      </c>
      <c r="E4945" s="33" t="n">
        <f aca="false">HOUR(A4945)+MINUTE(A4945)/60</f>
        <v>23</v>
      </c>
      <c r="F4945" s="33" t="n">
        <f aca="false">IF(OR(D4945&gt;5,E4945&lt;8,E4945&gt;=18,COUNTIF($K$2:$K$10,INT(A4945))&gt;0),1,0)</f>
        <v>1</v>
      </c>
      <c r="G4945" s="34" t="n">
        <f aca="false">B4945/1</f>
        <v>191.926</v>
      </c>
      <c r="H4945" s="34" t="n">
        <f aca="false">IF(F4945=1,G4945,"")</f>
        <v>191.926</v>
      </c>
    </row>
    <row r="4946" customFormat="false" ht="15" hidden="false" customHeight="false" outlineLevel="0" collapsed="false">
      <c r="A4946" s="31" t="n">
        <v>42942</v>
      </c>
      <c r="B4946" s="32" t="n">
        <v>195.7</v>
      </c>
      <c r="D4946" s="33" t="n">
        <f aca="false">WEEKDAY(A4946,2)</f>
        <v>3</v>
      </c>
      <c r="E4946" s="33" t="n">
        <f aca="false">HOUR(A4946)+MINUTE(A4946)/60</f>
        <v>0</v>
      </c>
      <c r="F4946" s="33" t="n">
        <f aca="false">IF(OR(D4946&gt;5,E4946&lt;8,E4946&gt;=18,COUNTIF($K$2:$K$10,INT(A4946))&gt;0),1,0)</f>
        <v>1</v>
      </c>
      <c r="G4946" s="34" t="n">
        <f aca="false">B4946/1</f>
        <v>195.7</v>
      </c>
      <c r="H4946" s="34" t="n">
        <f aca="false">IF(F4946=1,G4946,"")</f>
        <v>195.7</v>
      </c>
    </row>
    <row r="4947" customFormat="false" ht="15" hidden="false" customHeight="false" outlineLevel="0" collapsed="false">
      <c r="A4947" s="31" t="n">
        <v>42942.0416666667</v>
      </c>
      <c r="B4947" s="32" t="n">
        <v>195.297</v>
      </c>
      <c r="D4947" s="33" t="n">
        <f aca="false">WEEKDAY(A4947,2)</f>
        <v>3</v>
      </c>
      <c r="E4947" s="33" t="n">
        <f aca="false">HOUR(A4947)+MINUTE(A4947)/60</f>
        <v>1</v>
      </c>
      <c r="F4947" s="33" t="n">
        <f aca="false">IF(OR(D4947&gt;5,E4947&lt;8,E4947&gt;=18,COUNTIF($K$2:$K$10,INT(A4947))&gt;0),1,0)</f>
        <v>1</v>
      </c>
      <c r="G4947" s="34" t="n">
        <f aca="false">B4947/1</f>
        <v>195.297</v>
      </c>
      <c r="H4947" s="34" t="n">
        <f aca="false">IF(F4947=1,G4947,"")</f>
        <v>195.297</v>
      </c>
    </row>
    <row r="4948" customFormat="false" ht="15" hidden="false" customHeight="false" outlineLevel="0" collapsed="false">
      <c r="A4948" s="31" t="n">
        <v>42942.0833333333</v>
      </c>
      <c r="B4948" s="32" t="n">
        <v>194.247</v>
      </c>
      <c r="D4948" s="33" t="n">
        <f aca="false">WEEKDAY(A4948,2)</f>
        <v>3</v>
      </c>
      <c r="E4948" s="33" t="n">
        <f aca="false">HOUR(A4948)+MINUTE(A4948)/60</f>
        <v>2</v>
      </c>
      <c r="F4948" s="33" t="n">
        <f aca="false">IF(OR(D4948&gt;5,E4948&lt;8,E4948&gt;=18,COUNTIF($K$2:$K$10,INT(A4948))&gt;0),1,0)</f>
        <v>1</v>
      </c>
      <c r="G4948" s="34" t="n">
        <f aca="false">B4948/1</f>
        <v>194.247</v>
      </c>
      <c r="H4948" s="34" t="n">
        <f aca="false">IF(F4948=1,G4948,"")</f>
        <v>194.247</v>
      </c>
    </row>
    <row r="4949" customFormat="false" ht="15" hidden="false" customHeight="false" outlineLevel="0" collapsed="false">
      <c r="A4949" s="31" t="n">
        <v>42942.125</v>
      </c>
      <c r="B4949" s="32" t="n">
        <v>196.742</v>
      </c>
      <c r="D4949" s="33" t="n">
        <f aca="false">WEEKDAY(A4949,2)</f>
        <v>3</v>
      </c>
      <c r="E4949" s="33" t="n">
        <f aca="false">HOUR(A4949)+MINUTE(A4949)/60</f>
        <v>3</v>
      </c>
      <c r="F4949" s="33" t="n">
        <f aca="false">IF(OR(D4949&gt;5,E4949&lt;8,E4949&gt;=18,COUNTIF($K$2:$K$10,INT(A4949))&gt;0),1,0)</f>
        <v>1</v>
      </c>
      <c r="G4949" s="34" t="n">
        <f aca="false">B4949/1</f>
        <v>196.742</v>
      </c>
      <c r="H4949" s="34" t="n">
        <f aca="false">IF(F4949=1,G4949,"")</f>
        <v>196.742</v>
      </c>
    </row>
    <row r="4950" customFormat="false" ht="15" hidden="false" customHeight="false" outlineLevel="0" collapsed="false">
      <c r="A4950" s="31" t="n">
        <v>42942.1666666667</v>
      </c>
      <c r="B4950" s="32" t="n">
        <v>195.982</v>
      </c>
      <c r="D4950" s="33" t="n">
        <f aca="false">WEEKDAY(A4950,2)</f>
        <v>3</v>
      </c>
      <c r="E4950" s="33" t="n">
        <f aca="false">HOUR(A4950)+MINUTE(A4950)/60</f>
        <v>4</v>
      </c>
      <c r="F4950" s="33" t="n">
        <f aca="false">IF(OR(D4950&gt;5,E4950&lt;8,E4950&gt;=18,COUNTIF($K$2:$K$10,INT(A4950))&gt;0),1,0)</f>
        <v>1</v>
      </c>
      <c r="G4950" s="34" t="n">
        <f aca="false">B4950/1</f>
        <v>195.982</v>
      </c>
      <c r="H4950" s="34" t="n">
        <f aca="false">IF(F4950=1,G4950,"")</f>
        <v>195.982</v>
      </c>
    </row>
    <row r="4951" customFormat="false" ht="15" hidden="false" customHeight="false" outlineLevel="0" collapsed="false">
      <c r="A4951" s="31" t="n">
        <v>42942.2083333333</v>
      </c>
      <c r="B4951" s="32" t="n">
        <v>196.139</v>
      </c>
      <c r="D4951" s="33" t="n">
        <f aca="false">WEEKDAY(A4951,2)</f>
        <v>3</v>
      </c>
      <c r="E4951" s="33" t="n">
        <f aca="false">HOUR(A4951)+MINUTE(A4951)/60</f>
        <v>5</v>
      </c>
      <c r="F4951" s="33" t="n">
        <f aca="false">IF(OR(D4951&gt;5,E4951&lt;8,E4951&gt;=18,COUNTIF($K$2:$K$10,INT(A4951))&gt;0),1,0)</f>
        <v>1</v>
      </c>
      <c r="G4951" s="34" t="n">
        <f aca="false">B4951/1</f>
        <v>196.139</v>
      </c>
      <c r="H4951" s="34" t="n">
        <f aca="false">IF(F4951=1,G4951,"")</f>
        <v>196.139</v>
      </c>
    </row>
    <row r="4952" customFormat="false" ht="15" hidden="false" customHeight="false" outlineLevel="0" collapsed="false">
      <c r="A4952" s="31" t="n">
        <v>42942.25</v>
      </c>
      <c r="B4952" s="32" t="n">
        <v>195.302</v>
      </c>
      <c r="D4952" s="33" t="n">
        <f aca="false">WEEKDAY(A4952,2)</f>
        <v>3</v>
      </c>
      <c r="E4952" s="33" t="n">
        <f aca="false">HOUR(A4952)+MINUTE(A4952)/60</f>
        <v>6</v>
      </c>
      <c r="F4952" s="33" t="n">
        <f aca="false">IF(OR(D4952&gt;5,E4952&lt;8,E4952&gt;=18,COUNTIF($K$2:$K$10,INT(A4952))&gt;0),1,0)</f>
        <v>1</v>
      </c>
      <c r="G4952" s="34" t="n">
        <f aca="false">B4952/1</f>
        <v>195.302</v>
      </c>
      <c r="H4952" s="34" t="n">
        <f aca="false">IF(F4952=1,G4952,"")</f>
        <v>195.302</v>
      </c>
    </row>
    <row r="4953" customFormat="false" ht="15" hidden="false" customHeight="false" outlineLevel="0" collapsed="false">
      <c r="A4953" s="31" t="n">
        <v>42942.2916666667</v>
      </c>
      <c r="B4953" s="32" t="n">
        <v>192.647</v>
      </c>
      <c r="D4953" s="33" t="n">
        <f aca="false">WEEKDAY(A4953,2)</f>
        <v>3</v>
      </c>
      <c r="E4953" s="33" t="n">
        <f aca="false">HOUR(A4953)+MINUTE(A4953)/60</f>
        <v>7</v>
      </c>
      <c r="F4953" s="33" t="n">
        <f aca="false">IF(OR(D4953&gt;5,E4953&lt;8,E4953&gt;=18,COUNTIF($K$2:$K$10,INT(A4953))&gt;0),1,0)</f>
        <v>1</v>
      </c>
      <c r="G4953" s="34" t="n">
        <f aca="false">B4953/1</f>
        <v>192.647</v>
      </c>
      <c r="H4953" s="34" t="n">
        <f aca="false">IF(F4953=1,G4953,"")</f>
        <v>192.647</v>
      </c>
    </row>
    <row r="4954" customFormat="false" ht="15" hidden="false" customHeight="false" outlineLevel="0" collapsed="false">
      <c r="A4954" s="31" t="n">
        <v>42942.3333333333</v>
      </c>
      <c r="B4954" s="32" t="n">
        <v>199.764</v>
      </c>
      <c r="D4954" s="33" t="n">
        <f aca="false">WEEKDAY(A4954,2)</f>
        <v>3</v>
      </c>
      <c r="E4954" s="33" t="n">
        <f aca="false">HOUR(A4954)+MINUTE(A4954)/60</f>
        <v>8</v>
      </c>
      <c r="F4954" s="33" t="n">
        <f aca="false">IF(OR(D4954&gt;5,E4954&lt;8,E4954&gt;=18,COUNTIF($K$2:$K$10,INT(A4954))&gt;0),1,0)</f>
        <v>0</v>
      </c>
      <c r="G4954" s="34" t="n">
        <f aca="false">B4954/1</f>
        <v>199.764</v>
      </c>
      <c r="H4954" s="34" t="str">
        <f aca="false">IF(F4954=1,G4954,"")</f>
        <v/>
      </c>
    </row>
    <row r="4955" customFormat="false" ht="15" hidden="false" customHeight="false" outlineLevel="0" collapsed="false">
      <c r="A4955" s="31" t="n">
        <v>42942.375</v>
      </c>
      <c r="B4955" s="32" t="n">
        <v>220.926</v>
      </c>
      <c r="D4955" s="33" t="n">
        <f aca="false">WEEKDAY(A4955,2)</f>
        <v>3</v>
      </c>
      <c r="E4955" s="33" t="n">
        <f aca="false">HOUR(A4955)+MINUTE(A4955)/60</f>
        <v>9</v>
      </c>
      <c r="F4955" s="33" t="n">
        <f aca="false">IF(OR(D4955&gt;5,E4955&lt;8,E4955&gt;=18,COUNTIF($K$2:$K$10,INT(A4955))&gt;0),1,0)</f>
        <v>0</v>
      </c>
      <c r="G4955" s="34" t="n">
        <f aca="false">B4955/1</f>
        <v>220.926</v>
      </c>
      <c r="H4955" s="34" t="str">
        <f aca="false">IF(F4955=1,G4955,"")</f>
        <v/>
      </c>
    </row>
    <row r="4956" customFormat="false" ht="15" hidden="false" customHeight="false" outlineLevel="0" collapsed="false">
      <c r="A4956" s="31" t="n">
        <v>42942.4166666667</v>
      </c>
      <c r="B4956" s="32" t="n">
        <v>235.853</v>
      </c>
      <c r="D4956" s="33" t="n">
        <f aca="false">WEEKDAY(A4956,2)</f>
        <v>3</v>
      </c>
      <c r="E4956" s="33" t="n">
        <f aca="false">HOUR(A4956)+MINUTE(A4956)/60</f>
        <v>10</v>
      </c>
      <c r="F4956" s="33" t="n">
        <f aca="false">IF(OR(D4956&gt;5,E4956&lt;8,E4956&gt;=18,COUNTIF($K$2:$K$10,INT(A4956))&gt;0),1,0)</f>
        <v>0</v>
      </c>
      <c r="G4956" s="34" t="n">
        <f aca="false">B4956/1</f>
        <v>235.853</v>
      </c>
      <c r="H4956" s="34" t="str">
        <f aca="false">IF(F4956=1,G4956,"")</f>
        <v/>
      </c>
    </row>
    <row r="4957" customFormat="false" ht="15" hidden="false" customHeight="false" outlineLevel="0" collapsed="false">
      <c r="A4957" s="31" t="n">
        <v>42942.4583333333</v>
      </c>
      <c r="B4957" s="32" t="n">
        <v>241.507</v>
      </c>
      <c r="D4957" s="33" t="n">
        <f aca="false">WEEKDAY(A4957,2)</f>
        <v>3</v>
      </c>
      <c r="E4957" s="33" t="n">
        <f aca="false">HOUR(A4957)+MINUTE(A4957)/60</f>
        <v>11</v>
      </c>
      <c r="F4957" s="33" t="n">
        <f aca="false">IF(OR(D4957&gt;5,E4957&lt;8,E4957&gt;=18,COUNTIF($K$2:$K$10,INT(A4957))&gt;0),1,0)</f>
        <v>0</v>
      </c>
      <c r="G4957" s="34" t="n">
        <f aca="false">B4957/1</f>
        <v>241.507</v>
      </c>
      <c r="H4957" s="34" t="str">
        <f aca="false">IF(F4957=1,G4957,"")</f>
        <v/>
      </c>
    </row>
    <row r="4958" customFormat="false" ht="15" hidden="false" customHeight="false" outlineLevel="0" collapsed="false">
      <c r="A4958" s="31" t="n">
        <v>42942.5</v>
      </c>
      <c r="B4958" s="32" t="n">
        <v>243.43</v>
      </c>
      <c r="D4958" s="33" t="n">
        <f aca="false">WEEKDAY(A4958,2)</f>
        <v>3</v>
      </c>
      <c r="E4958" s="33" t="n">
        <f aca="false">HOUR(A4958)+MINUTE(A4958)/60</f>
        <v>12</v>
      </c>
      <c r="F4958" s="33" t="n">
        <f aca="false">IF(OR(D4958&gt;5,E4958&lt;8,E4958&gt;=18,COUNTIF($K$2:$K$10,INT(A4958))&gt;0),1,0)</f>
        <v>0</v>
      </c>
      <c r="G4958" s="34" t="n">
        <f aca="false">B4958/1</f>
        <v>243.43</v>
      </c>
      <c r="H4958" s="34" t="str">
        <f aca="false">IF(F4958=1,G4958,"")</f>
        <v/>
      </c>
    </row>
    <row r="4959" customFormat="false" ht="15" hidden="false" customHeight="false" outlineLevel="0" collapsed="false">
      <c r="A4959" s="31" t="n">
        <v>42942.5416666667</v>
      </c>
      <c r="B4959" s="32" t="n">
        <v>242.175</v>
      </c>
      <c r="D4959" s="33" t="n">
        <f aca="false">WEEKDAY(A4959,2)</f>
        <v>3</v>
      </c>
      <c r="E4959" s="33" t="n">
        <f aca="false">HOUR(A4959)+MINUTE(A4959)/60</f>
        <v>13</v>
      </c>
      <c r="F4959" s="33" t="n">
        <f aca="false">IF(OR(D4959&gt;5,E4959&lt;8,E4959&gt;=18,COUNTIF($K$2:$K$10,INT(A4959))&gt;0),1,0)</f>
        <v>0</v>
      </c>
      <c r="G4959" s="34" t="n">
        <f aca="false">B4959/1</f>
        <v>242.175</v>
      </c>
      <c r="H4959" s="34" t="str">
        <f aca="false">IF(F4959=1,G4959,"")</f>
        <v/>
      </c>
    </row>
    <row r="4960" customFormat="false" ht="15" hidden="false" customHeight="false" outlineLevel="0" collapsed="false">
      <c r="A4960" s="31" t="n">
        <v>42942.5833333333</v>
      </c>
      <c r="B4960" s="32" t="n">
        <v>243.735</v>
      </c>
      <c r="D4960" s="33" t="n">
        <f aca="false">WEEKDAY(A4960,2)</f>
        <v>3</v>
      </c>
      <c r="E4960" s="33" t="n">
        <f aca="false">HOUR(A4960)+MINUTE(A4960)/60</f>
        <v>14</v>
      </c>
      <c r="F4960" s="33" t="n">
        <f aca="false">IF(OR(D4960&gt;5,E4960&lt;8,E4960&gt;=18,COUNTIF($K$2:$K$10,INT(A4960))&gt;0),1,0)</f>
        <v>0</v>
      </c>
      <c r="G4960" s="34" t="n">
        <f aca="false">B4960/1</f>
        <v>243.735</v>
      </c>
      <c r="H4960" s="34" t="str">
        <f aca="false">IF(F4960=1,G4960,"")</f>
        <v/>
      </c>
    </row>
    <row r="4961" customFormat="false" ht="15" hidden="false" customHeight="false" outlineLevel="0" collapsed="false">
      <c r="A4961" s="31" t="n">
        <v>42942.625</v>
      </c>
      <c r="B4961" s="32" t="n">
        <v>235.906</v>
      </c>
      <c r="D4961" s="33" t="n">
        <f aca="false">WEEKDAY(A4961,2)</f>
        <v>3</v>
      </c>
      <c r="E4961" s="33" t="n">
        <f aca="false">HOUR(A4961)+MINUTE(A4961)/60</f>
        <v>15</v>
      </c>
      <c r="F4961" s="33" t="n">
        <f aca="false">IF(OR(D4961&gt;5,E4961&lt;8,E4961&gt;=18,COUNTIF($K$2:$K$10,INT(A4961))&gt;0),1,0)</f>
        <v>0</v>
      </c>
      <c r="G4961" s="34" t="n">
        <f aca="false">B4961/1</f>
        <v>235.906</v>
      </c>
      <c r="H4961" s="34" t="str">
        <f aca="false">IF(F4961=1,G4961,"")</f>
        <v/>
      </c>
    </row>
    <row r="4962" customFormat="false" ht="15" hidden="false" customHeight="false" outlineLevel="0" collapsed="false">
      <c r="A4962" s="31" t="n">
        <v>42942.6666666667</v>
      </c>
      <c r="B4962" s="32" t="n">
        <v>232.12</v>
      </c>
      <c r="D4962" s="33" t="n">
        <f aca="false">WEEKDAY(A4962,2)</f>
        <v>3</v>
      </c>
      <c r="E4962" s="33" t="n">
        <f aca="false">HOUR(A4962)+MINUTE(A4962)/60</f>
        <v>16</v>
      </c>
      <c r="F4962" s="33" t="n">
        <f aca="false">IF(OR(D4962&gt;5,E4962&lt;8,E4962&gt;=18,COUNTIF($K$2:$K$10,INT(A4962))&gt;0),1,0)</f>
        <v>0</v>
      </c>
      <c r="G4962" s="34" t="n">
        <f aca="false">B4962/1</f>
        <v>232.12</v>
      </c>
      <c r="H4962" s="34" t="str">
        <f aca="false">IF(F4962=1,G4962,"")</f>
        <v/>
      </c>
    </row>
    <row r="4963" customFormat="false" ht="15" hidden="false" customHeight="false" outlineLevel="0" collapsed="false">
      <c r="A4963" s="31" t="n">
        <v>42942.7083333333</v>
      </c>
      <c r="B4963" s="32" t="n">
        <v>220.011</v>
      </c>
      <c r="D4963" s="33" t="n">
        <f aca="false">WEEKDAY(A4963,2)</f>
        <v>3</v>
      </c>
      <c r="E4963" s="33" t="n">
        <f aca="false">HOUR(A4963)+MINUTE(A4963)/60</f>
        <v>17</v>
      </c>
      <c r="F4963" s="33" t="n">
        <f aca="false">IF(OR(D4963&gt;5,E4963&lt;8,E4963&gt;=18,COUNTIF($K$2:$K$10,INT(A4963))&gt;0),1,0)</f>
        <v>0</v>
      </c>
      <c r="G4963" s="34" t="n">
        <f aca="false">B4963/1</f>
        <v>220.011</v>
      </c>
      <c r="H4963" s="34" t="str">
        <f aca="false">IF(F4963=1,G4963,"")</f>
        <v/>
      </c>
    </row>
    <row r="4964" customFormat="false" ht="15" hidden="false" customHeight="false" outlineLevel="0" collapsed="false">
      <c r="A4964" s="31" t="n">
        <v>42942.75</v>
      </c>
      <c r="B4964" s="32" t="n">
        <v>205.062</v>
      </c>
      <c r="D4964" s="33" t="n">
        <f aca="false">WEEKDAY(A4964,2)</f>
        <v>3</v>
      </c>
      <c r="E4964" s="33" t="n">
        <f aca="false">HOUR(A4964)+MINUTE(A4964)/60</f>
        <v>18</v>
      </c>
      <c r="F4964" s="33" t="n">
        <f aca="false">IF(OR(D4964&gt;5,E4964&lt;8,E4964&gt;=18,COUNTIF($K$2:$K$10,INT(A4964))&gt;0),1,0)</f>
        <v>1</v>
      </c>
      <c r="G4964" s="34" t="n">
        <f aca="false">B4964/1</f>
        <v>205.062</v>
      </c>
      <c r="H4964" s="34" t="n">
        <f aca="false">IF(F4964=1,G4964,"")</f>
        <v>205.062</v>
      </c>
    </row>
    <row r="4965" customFormat="false" ht="15" hidden="false" customHeight="false" outlineLevel="0" collapsed="false">
      <c r="A4965" s="31" t="n">
        <v>42942.7916666667</v>
      </c>
      <c r="B4965" s="32" t="n">
        <v>198.655</v>
      </c>
      <c r="D4965" s="33" t="n">
        <f aca="false">WEEKDAY(A4965,2)</f>
        <v>3</v>
      </c>
      <c r="E4965" s="33" t="n">
        <f aca="false">HOUR(A4965)+MINUTE(A4965)/60</f>
        <v>19</v>
      </c>
      <c r="F4965" s="33" t="n">
        <f aca="false">IF(OR(D4965&gt;5,E4965&lt;8,E4965&gt;=18,COUNTIF($K$2:$K$10,INT(A4965))&gt;0),1,0)</f>
        <v>1</v>
      </c>
      <c r="G4965" s="34" t="n">
        <f aca="false">B4965/1</f>
        <v>198.655</v>
      </c>
      <c r="H4965" s="34" t="n">
        <f aca="false">IF(F4965=1,G4965,"")</f>
        <v>198.655</v>
      </c>
    </row>
    <row r="4966" customFormat="false" ht="15" hidden="false" customHeight="false" outlineLevel="0" collapsed="false">
      <c r="A4966" s="31" t="n">
        <v>42942.8333333333</v>
      </c>
      <c r="B4966" s="32" t="n">
        <v>195.519</v>
      </c>
      <c r="D4966" s="33" t="n">
        <f aca="false">WEEKDAY(A4966,2)</f>
        <v>3</v>
      </c>
      <c r="E4966" s="33" t="n">
        <f aca="false">HOUR(A4966)+MINUTE(A4966)/60</f>
        <v>20</v>
      </c>
      <c r="F4966" s="33" t="n">
        <f aca="false">IF(OR(D4966&gt;5,E4966&lt;8,E4966&gt;=18,COUNTIF($K$2:$K$10,INT(A4966))&gt;0),1,0)</f>
        <v>1</v>
      </c>
      <c r="G4966" s="34" t="n">
        <f aca="false">B4966/1</f>
        <v>195.519</v>
      </c>
      <c r="H4966" s="34" t="n">
        <f aca="false">IF(F4966=1,G4966,"")</f>
        <v>195.519</v>
      </c>
    </row>
    <row r="4967" customFormat="false" ht="15" hidden="false" customHeight="false" outlineLevel="0" collapsed="false">
      <c r="A4967" s="31" t="n">
        <v>42942.875</v>
      </c>
      <c r="B4967" s="32" t="n">
        <v>193.164</v>
      </c>
      <c r="D4967" s="33" t="n">
        <f aca="false">WEEKDAY(A4967,2)</f>
        <v>3</v>
      </c>
      <c r="E4967" s="33" t="n">
        <f aca="false">HOUR(A4967)+MINUTE(A4967)/60</f>
        <v>21</v>
      </c>
      <c r="F4967" s="33" t="n">
        <f aca="false">IF(OR(D4967&gt;5,E4967&lt;8,E4967&gt;=18,COUNTIF($K$2:$K$10,INT(A4967))&gt;0),1,0)</f>
        <v>1</v>
      </c>
      <c r="G4967" s="34" t="n">
        <f aca="false">B4967/1</f>
        <v>193.164</v>
      </c>
      <c r="H4967" s="34" t="n">
        <f aca="false">IF(F4967=1,G4967,"")</f>
        <v>193.164</v>
      </c>
    </row>
    <row r="4968" customFormat="false" ht="15" hidden="false" customHeight="false" outlineLevel="0" collapsed="false">
      <c r="A4968" s="31" t="n">
        <v>42942.9166666667</v>
      </c>
      <c r="B4968" s="32" t="n">
        <v>141.519</v>
      </c>
      <c r="D4968" s="33" t="n">
        <f aca="false">WEEKDAY(A4968,2)</f>
        <v>3</v>
      </c>
      <c r="E4968" s="33" t="n">
        <f aca="false">HOUR(A4968)+MINUTE(A4968)/60</f>
        <v>22</v>
      </c>
      <c r="F4968" s="33" t="n">
        <f aca="false">IF(OR(D4968&gt;5,E4968&lt;8,E4968&gt;=18,COUNTIF($K$2:$K$10,INT(A4968))&gt;0),1,0)</f>
        <v>1</v>
      </c>
      <c r="G4968" s="34" t="n">
        <f aca="false">B4968/1</f>
        <v>141.519</v>
      </c>
      <c r="H4968" s="34" t="n">
        <f aca="false">IF(F4968=1,G4968,"")</f>
        <v>141.519</v>
      </c>
    </row>
    <row r="4969" customFormat="false" ht="15" hidden="false" customHeight="false" outlineLevel="0" collapsed="false">
      <c r="A4969" s="31" t="n">
        <v>42942.9583333333</v>
      </c>
      <c r="B4969" s="32" t="n">
        <v>76.413</v>
      </c>
      <c r="D4969" s="33" t="n">
        <f aca="false">WEEKDAY(A4969,2)</f>
        <v>3</v>
      </c>
      <c r="E4969" s="33" t="n">
        <f aca="false">HOUR(A4969)+MINUTE(A4969)/60</f>
        <v>23</v>
      </c>
      <c r="F4969" s="33" t="n">
        <f aca="false">IF(OR(D4969&gt;5,E4969&lt;8,E4969&gt;=18,COUNTIF($K$2:$K$10,INT(A4969))&gt;0),1,0)</f>
        <v>1</v>
      </c>
      <c r="G4969" s="34" t="n">
        <f aca="false">B4969/1</f>
        <v>76.413</v>
      </c>
      <c r="H4969" s="34" t="n">
        <f aca="false">IF(F4969=1,G4969,"")</f>
        <v>76.413</v>
      </c>
    </row>
    <row r="4970" customFormat="false" ht="15" hidden="false" customHeight="false" outlineLevel="0" collapsed="false">
      <c r="A4970" s="31" t="n">
        <v>42943</v>
      </c>
      <c r="B4970" s="32" t="n">
        <v>91.452</v>
      </c>
      <c r="D4970" s="33" t="n">
        <f aca="false">WEEKDAY(A4970,2)</f>
        <v>4</v>
      </c>
      <c r="E4970" s="33" t="n">
        <f aca="false">HOUR(A4970)+MINUTE(A4970)/60</f>
        <v>0</v>
      </c>
      <c r="F4970" s="33" t="n">
        <f aca="false">IF(OR(D4970&gt;5,E4970&lt;8,E4970&gt;=18,COUNTIF($K$2:$K$10,INT(A4970))&gt;0),1,0)</f>
        <v>1</v>
      </c>
      <c r="G4970" s="34" t="n">
        <f aca="false">B4970/1</f>
        <v>91.452</v>
      </c>
      <c r="H4970" s="34" t="n">
        <f aca="false">IF(F4970=1,G4970,"")</f>
        <v>91.452</v>
      </c>
    </row>
    <row r="4971" customFormat="false" ht="15" hidden="false" customHeight="false" outlineLevel="0" collapsed="false">
      <c r="A4971" s="31" t="n">
        <v>42943.0416666667</v>
      </c>
      <c r="B4971" s="32" t="n">
        <v>91.374</v>
      </c>
      <c r="D4971" s="33" t="n">
        <f aca="false">WEEKDAY(A4971,2)</f>
        <v>4</v>
      </c>
      <c r="E4971" s="33" t="n">
        <f aca="false">HOUR(A4971)+MINUTE(A4971)/60</f>
        <v>1</v>
      </c>
      <c r="F4971" s="33" t="n">
        <f aca="false">IF(OR(D4971&gt;5,E4971&lt;8,E4971&gt;=18,COUNTIF($K$2:$K$10,INT(A4971))&gt;0),1,0)</f>
        <v>1</v>
      </c>
      <c r="G4971" s="34" t="n">
        <f aca="false">B4971/1</f>
        <v>91.374</v>
      </c>
      <c r="H4971" s="34" t="n">
        <f aca="false">IF(F4971=1,G4971,"")</f>
        <v>91.374</v>
      </c>
    </row>
    <row r="4972" customFormat="false" ht="15" hidden="false" customHeight="false" outlineLevel="0" collapsed="false">
      <c r="A4972" s="31" t="n">
        <v>42943.0833333333</v>
      </c>
      <c r="B4972" s="32" t="n">
        <v>89.705</v>
      </c>
      <c r="D4972" s="33" t="n">
        <f aca="false">WEEKDAY(A4972,2)</f>
        <v>4</v>
      </c>
      <c r="E4972" s="33" t="n">
        <f aca="false">HOUR(A4972)+MINUTE(A4972)/60</f>
        <v>2</v>
      </c>
      <c r="F4972" s="33" t="n">
        <f aca="false">IF(OR(D4972&gt;5,E4972&lt;8,E4972&gt;=18,COUNTIF($K$2:$K$10,INT(A4972))&gt;0),1,0)</f>
        <v>1</v>
      </c>
      <c r="G4972" s="34" t="n">
        <f aca="false">B4972/1</f>
        <v>89.705</v>
      </c>
      <c r="H4972" s="34" t="n">
        <f aca="false">IF(F4972=1,G4972,"")</f>
        <v>89.705</v>
      </c>
    </row>
    <row r="4973" customFormat="false" ht="15" hidden="false" customHeight="false" outlineLevel="0" collapsed="false">
      <c r="A4973" s="31" t="n">
        <v>42943.125</v>
      </c>
      <c r="B4973" s="32" t="n">
        <v>90.518</v>
      </c>
      <c r="D4973" s="33" t="n">
        <f aca="false">WEEKDAY(A4973,2)</f>
        <v>4</v>
      </c>
      <c r="E4973" s="33" t="n">
        <f aca="false">HOUR(A4973)+MINUTE(A4973)/60</f>
        <v>3</v>
      </c>
      <c r="F4973" s="33" t="n">
        <f aca="false">IF(OR(D4973&gt;5,E4973&lt;8,E4973&gt;=18,COUNTIF($K$2:$K$10,INT(A4973))&gt;0),1,0)</f>
        <v>1</v>
      </c>
      <c r="G4973" s="34" t="n">
        <f aca="false">B4973/1</f>
        <v>90.518</v>
      </c>
      <c r="H4973" s="34" t="n">
        <f aca="false">IF(F4973=1,G4973,"")</f>
        <v>90.518</v>
      </c>
    </row>
    <row r="4974" customFormat="false" ht="15" hidden="false" customHeight="false" outlineLevel="0" collapsed="false">
      <c r="A4974" s="31" t="n">
        <v>42943.1666666667</v>
      </c>
      <c r="B4974" s="32" t="n">
        <v>90.273</v>
      </c>
      <c r="D4974" s="33" t="n">
        <f aca="false">WEEKDAY(A4974,2)</f>
        <v>4</v>
      </c>
      <c r="E4974" s="33" t="n">
        <f aca="false">HOUR(A4974)+MINUTE(A4974)/60</f>
        <v>4</v>
      </c>
      <c r="F4974" s="33" t="n">
        <f aca="false">IF(OR(D4974&gt;5,E4974&lt;8,E4974&gt;=18,COUNTIF($K$2:$K$10,INT(A4974))&gt;0),1,0)</f>
        <v>1</v>
      </c>
      <c r="G4974" s="34" t="n">
        <f aca="false">B4974/1</f>
        <v>90.273</v>
      </c>
      <c r="H4974" s="34" t="n">
        <f aca="false">IF(F4974=1,G4974,"")</f>
        <v>90.273</v>
      </c>
    </row>
    <row r="4975" customFormat="false" ht="15" hidden="false" customHeight="false" outlineLevel="0" collapsed="false">
      <c r="A4975" s="31" t="n">
        <v>42943.2083333333</v>
      </c>
      <c r="B4975" s="32" t="n">
        <v>90.279</v>
      </c>
      <c r="D4975" s="33" t="n">
        <f aca="false">WEEKDAY(A4975,2)</f>
        <v>4</v>
      </c>
      <c r="E4975" s="33" t="n">
        <f aca="false">HOUR(A4975)+MINUTE(A4975)/60</f>
        <v>5</v>
      </c>
      <c r="F4975" s="33" t="n">
        <f aca="false">IF(OR(D4975&gt;5,E4975&lt;8,E4975&gt;=18,COUNTIF($K$2:$K$10,INT(A4975))&gt;0),1,0)</f>
        <v>1</v>
      </c>
      <c r="G4975" s="34" t="n">
        <f aca="false">B4975/1</f>
        <v>90.279</v>
      </c>
      <c r="H4975" s="34" t="n">
        <f aca="false">IF(F4975=1,G4975,"")</f>
        <v>90.279</v>
      </c>
    </row>
    <row r="4976" customFormat="false" ht="15" hidden="false" customHeight="false" outlineLevel="0" collapsed="false">
      <c r="A4976" s="31" t="n">
        <v>42943.25</v>
      </c>
      <c r="B4976" s="32" t="n">
        <v>90.176</v>
      </c>
      <c r="D4976" s="33" t="n">
        <f aca="false">WEEKDAY(A4976,2)</f>
        <v>4</v>
      </c>
      <c r="E4976" s="33" t="n">
        <f aca="false">HOUR(A4976)+MINUTE(A4976)/60</f>
        <v>6</v>
      </c>
      <c r="F4976" s="33" t="n">
        <f aca="false">IF(OR(D4976&gt;5,E4976&lt;8,E4976&gt;=18,COUNTIF($K$2:$K$10,INT(A4976))&gt;0),1,0)</f>
        <v>1</v>
      </c>
      <c r="G4976" s="34" t="n">
        <f aca="false">B4976/1</f>
        <v>90.176</v>
      </c>
      <c r="H4976" s="34" t="n">
        <f aca="false">IF(F4976=1,G4976,"")</f>
        <v>90.176</v>
      </c>
    </row>
    <row r="4977" customFormat="false" ht="15" hidden="false" customHeight="false" outlineLevel="0" collapsed="false">
      <c r="A4977" s="31" t="n">
        <v>42943.2916666667</v>
      </c>
      <c r="B4977" s="32" t="n">
        <v>79.371</v>
      </c>
      <c r="D4977" s="33" t="n">
        <f aca="false">WEEKDAY(A4977,2)</f>
        <v>4</v>
      </c>
      <c r="E4977" s="33" t="n">
        <f aca="false">HOUR(A4977)+MINUTE(A4977)/60</f>
        <v>7</v>
      </c>
      <c r="F4977" s="33" t="n">
        <f aca="false">IF(OR(D4977&gt;5,E4977&lt;8,E4977&gt;=18,COUNTIF($K$2:$K$10,INT(A4977))&gt;0),1,0)</f>
        <v>1</v>
      </c>
      <c r="G4977" s="34" t="n">
        <f aca="false">B4977/1</f>
        <v>79.371</v>
      </c>
      <c r="H4977" s="34" t="n">
        <f aca="false">IF(F4977=1,G4977,"")</f>
        <v>79.371</v>
      </c>
    </row>
    <row r="4978" customFormat="false" ht="15" hidden="false" customHeight="false" outlineLevel="0" collapsed="false">
      <c r="A4978" s="31" t="n">
        <v>42943.3333333333</v>
      </c>
      <c r="B4978" s="32" t="n">
        <v>185.296</v>
      </c>
      <c r="D4978" s="33" t="n">
        <f aca="false">WEEKDAY(A4978,2)</f>
        <v>4</v>
      </c>
      <c r="E4978" s="33" t="n">
        <f aca="false">HOUR(A4978)+MINUTE(A4978)/60</f>
        <v>8</v>
      </c>
      <c r="F4978" s="33" t="n">
        <f aca="false">IF(OR(D4978&gt;5,E4978&lt;8,E4978&gt;=18,COUNTIF($K$2:$K$10,INT(A4978))&gt;0),1,0)</f>
        <v>0</v>
      </c>
      <c r="G4978" s="34" t="n">
        <f aca="false">B4978/1</f>
        <v>185.296</v>
      </c>
      <c r="H4978" s="34" t="str">
        <f aca="false">IF(F4978=1,G4978,"")</f>
        <v/>
      </c>
    </row>
    <row r="4979" customFormat="false" ht="15" hidden="false" customHeight="false" outlineLevel="0" collapsed="false">
      <c r="A4979" s="31" t="n">
        <v>42943.375</v>
      </c>
      <c r="B4979" s="32" t="n">
        <v>211.623</v>
      </c>
      <c r="D4979" s="33" t="n">
        <f aca="false">WEEKDAY(A4979,2)</f>
        <v>4</v>
      </c>
      <c r="E4979" s="33" t="n">
        <f aca="false">HOUR(A4979)+MINUTE(A4979)/60</f>
        <v>9</v>
      </c>
      <c r="F4979" s="33" t="n">
        <f aca="false">IF(OR(D4979&gt;5,E4979&lt;8,E4979&gt;=18,COUNTIF($K$2:$K$10,INT(A4979))&gt;0),1,0)</f>
        <v>0</v>
      </c>
      <c r="G4979" s="34" t="n">
        <f aca="false">B4979/1</f>
        <v>211.623</v>
      </c>
      <c r="H4979" s="34" t="str">
        <f aca="false">IF(F4979=1,G4979,"")</f>
        <v/>
      </c>
    </row>
    <row r="4980" customFormat="false" ht="15" hidden="false" customHeight="false" outlineLevel="0" collapsed="false">
      <c r="A4980" s="31" t="n">
        <v>42943.4166666667</v>
      </c>
      <c r="B4980" s="32" t="n">
        <v>224.18</v>
      </c>
      <c r="D4980" s="33" t="n">
        <f aca="false">WEEKDAY(A4980,2)</f>
        <v>4</v>
      </c>
      <c r="E4980" s="33" t="n">
        <f aca="false">HOUR(A4980)+MINUTE(A4980)/60</f>
        <v>10</v>
      </c>
      <c r="F4980" s="33" t="n">
        <f aca="false">IF(OR(D4980&gt;5,E4980&lt;8,E4980&gt;=18,COUNTIF($K$2:$K$10,INT(A4980))&gt;0),1,0)</f>
        <v>0</v>
      </c>
      <c r="G4980" s="34" t="n">
        <f aca="false">B4980/1</f>
        <v>224.18</v>
      </c>
      <c r="H4980" s="34" t="str">
        <f aca="false">IF(F4980=1,G4980,"")</f>
        <v/>
      </c>
    </row>
    <row r="4981" customFormat="false" ht="15" hidden="false" customHeight="false" outlineLevel="0" collapsed="false">
      <c r="A4981" s="31" t="n">
        <v>42943.4583333333</v>
      </c>
      <c r="B4981" s="32" t="n">
        <v>229.399</v>
      </c>
      <c r="D4981" s="33" t="n">
        <f aca="false">WEEKDAY(A4981,2)</f>
        <v>4</v>
      </c>
      <c r="E4981" s="33" t="n">
        <f aca="false">HOUR(A4981)+MINUTE(A4981)/60</f>
        <v>11</v>
      </c>
      <c r="F4981" s="33" t="n">
        <f aca="false">IF(OR(D4981&gt;5,E4981&lt;8,E4981&gt;=18,COUNTIF($K$2:$K$10,INT(A4981))&gt;0),1,0)</f>
        <v>0</v>
      </c>
      <c r="G4981" s="34" t="n">
        <f aca="false">B4981/1</f>
        <v>229.399</v>
      </c>
      <c r="H4981" s="34" t="str">
        <f aca="false">IF(F4981=1,G4981,"")</f>
        <v/>
      </c>
    </row>
    <row r="4982" customFormat="false" ht="15" hidden="false" customHeight="false" outlineLevel="0" collapsed="false">
      <c r="A4982" s="31" t="n">
        <v>42943.5</v>
      </c>
      <c r="B4982" s="32" t="n">
        <v>234.052</v>
      </c>
      <c r="D4982" s="33" t="n">
        <f aca="false">WEEKDAY(A4982,2)</f>
        <v>4</v>
      </c>
      <c r="E4982" s="33" t="n">
        <f aca="false">HOUR(A4982)+MINUTE(A4982)/60</f>
        <v>12</v>
      </c>
      <c r="F4982" s="33" t="n">
        <f aca="false">IF(OR(D4982&gt;5,E4982&lt;8,E4982&gt;=18,COUNTIF($K$2:$K$10,INT(A4982))&gt;0),1,0)</f>
        <v>0</v>
      </c>
      <c r="G4982" s="34" t="n">
        <f aca="false">B4982/1</f>
        <v>234.052</v>
      </c>
      <c r="H4982" s="34" t="str">
        <f aca="false">IF(F4982=1,G4982,"")</f>
        <v/>
      </c>
    </row>
    <row r="4983" customFormat="false" ht="15" hidden="false" customHeight="false" outlineLevel="0" collapsed="false">
      <c r="A4983" s="31" t="n">
        <v>42943.5416666667</v>
      </c>
      <c r="B4983" s="32" t="n">
        <v>232.737</v>
      </c>
      <c r="D4983" s="33" t="n">
        <f aca="false">WEEKDAY(A4983,2)</f>
        <v>4</v>
      </c>
      <c r="E4983" s="33" t="n">
        <f aca="false">HOUR(A4983)+MINUTE(A4983)/60</f>
        <v>13</v>
      </c>
      <c r="F4983" s="33" t="n">
        <f aca="false">IF(OR(D4983&gt;5,E4983&lt;8,E4983&gt;=18,COUNTIF($K$2:$K$10,INT(A4983))&gt;0),1,0)</f>
        <v>0</v>
      </c>
      <c r="G4983" s="34" t="n">
        <f aca="false">B4983/1</f>
        <v>232.737</v>
      </c>
      <c r="H4983" s="34" t="str">
        <f aca="false">IF(F4983=1,G4983,"")</f>
        <v/>
      </c>
    </row>
    <row r="4984" customFormat="false" ht="15" hidden="false" customHeight="false" outlineLevel="0" collapsed="false">
      <c r="A4984" s="31" t="n">
        <v>42943.5833333333</v>
      </c>
      <c r="B4984" s="32" t="n">
        <v>232.352</v>
      </c>
      <c r="D4984" s="33" t="n">
        <f aca="false">WEEKDAY(A4984,2)</f>
        <v>4</v>
      </c>
      <c r="E4984" s="33" t="n">
        <f aca="false">HOUR(A4984)+MINUTE(A4984)/60</f>
        <v>14</v>
      </c>
      <c r="F4984" s="33" t="n">
        <f aca="false">IF(OR(D4984&gt;5,E4984&lt;8,E4984&gt;=18,COUNTIF($K$2:$K$10,INT(A4984))&gt;0),1,0)</f>
        <v>0</v>
      </c>
      <c r="G4984" s="34" t="n">
        <f aca="false">B4984/1</f>
        <v>232.352</v>
      </c>
      <c r="H4984" s="34" t="str">
        <f aca="false">IF(F4984=1,G4984,"")</f>
        <v/>
      </c>
    </row>
    <row r="4985" customFormat="false" ht="15" hidden="false" customHeight="false" outlineLevel="0" collapsed="false">
      <c r="A4985" s="31" t="n">
        <v>42943.625</v>
      </c>
      <c r="B4985" s="32" t="n">
        <v>229.066</v>
      </c>
      <c r="D4985" s="33" t="n">
        <f aca="false">WEEKDAY(A4985,2)</f>
        <v>4</v>
      </c>
      <c r="E4985" s="33" t="n">
        <f aca="false">HOUR(A4985)+MINUTE(A4985)/60</f>
        <v>15</v>
      </c>
      <c r="F4985" s="33" t="n">
        <f aca="false">IF(OR(D4985&gt;5,E4985&lt;8,E4985&gt;=18,COUNTIF($K$2:$K$10,INT(A4985))&gt;0),1,0)</f>
        <v>0</v>
      </c>
      <c r="G4985" s="34" t="n">
        <f aca="false">B4985/1</f>
        <v>229.066</v>
      </c>
      <c r="H4985" s="34" t="str">
        <f aca="false">IF(F4985=1,G4985,"")</f>
        <v/>
      </c>
    </row>
    <row r="4986" customFormat="false" ht="15" hidden="false" customHeight="false" outlineLevel="0" collapsed="false">
      <c r="A4986" s="31" t="n">
        <v>42943.6666666667</v>
      </c>
      <c r="B4986" s="32" t="n">
        <v>228.376</v>
      </c>
      <c r="D4986" s="33" t="n">
        <f aca="false">WEEKDAY(A4986,2)</f>
        <v>4</v>
      </c>
      <c r="E4986" s="33" t="n">
        <f aca="false">HOUR(A4986)+MINUTE(A4986)/60</f>
        <v>16</v>
      </c>
      <c r="F4986" s="33" t="n">
        <f aca="false">IF(OR(D4986&gt;5,E4986&lt;8,E4986&gt;=18,COUNTIF($K$2:$K$10,INT(A4986))&gt;0),1,0)</f>
        <v>0</v>
      </c>
      <c r="G4986" s="34" t="n">
        <f aca="false">B4986/1</f>
        <v>228.376</v>
      </c>
      <c r="H4986" s="34" t="str">
        <f aca="false">IF(F4986=1,G4986,"")</f>
        <v/>
      </c>
    </row>
    <row r="4987" customFormat="false" ht="15" hidden="false" customHeight="false" outlineLevel="0" collapsed="false">
      <c r="A4987" s="31" t="n">
        <v>42943.7083333333</v>
      </c>
      <c r="B4987" s="32" t="n">
        <v>216.593</v>
      </c>
      <c r="D4987" s="33" t="n">
        <f aca="false">WEEKDAY(A4987,2)</f>
        <v>4</v>
      </c>
      <c r="E4987" s="33" t="n">
        <f aca="false">HOUR(A4987)+MINUTE(A4987)/60</f>
        <v>17</v>
      </c>
      <c r="F4987" s="33" t="n">
        <f aca="false">IF(OR(D4987&gt;5,E4987&lt;8,E4987&gt;=18,COUNTIF($K$2:$K$10,INT(A4987))&gt;0),1,0)</f>
        <v>0</v>
      </c>
      <c r="G4987" s="34" t="n">
        <f aca="false">B4987/1</f>
        <v>216.593</v>
      </c>
      <c r="H4987" s="34" t="str">
        <f aca="false">IF(F4987=1,G4987,"")</f>
        <v/>
      </c>
    </row>
    <row r="4988" customFormat="false" ht="15" hidden="false" customHeight="false" outlineLevel="0" collapsed="false">
      <c r="A4988" s="31" t="n">
        <v>42943.75</v>
      </c>
      <c r="B4988" s="32" t="n">
        <v>203.066</v>
      </c>
      <c r="D4988" s="33" t="n">
        <f aca="false">WEEKDAY(A4988,2)</f>
        <v>4</v>
      </c>
      <c r="E4988" s="33" t="n">
        <f aca="false">HOUR(A4988)+MINUTE(A4988)/60</f>
        <v>18</v>
      </c>
      <c r="F4988" s="33" t="n">
        <f aca="false">IF(OR(D4988&gt;5,E4988&lt;8,E4988&gt;=18,COUNTIF($K$2:$K$10,INT(A4988))&gt;0),1,0)</f>
        <v>1</v>
      </c>
      <c r="G4988" s="34" t="n">
        <f aca="false">B4988/1</f>
        <v>203.066</v>
      </c>
      <c r="H4988" s="34" t="n">
        <f aca="false">IF(F4988=1,G4988,"")</f>
        <v>203.066</v>
      </c>
    </row>
    <row r="4989" customFormat="false" ht="15" hidden="false" customHeight="false" outlineLevel="0" collapsed="false">
      <c r="A4989" s="31" t="n">
        <v>42943.7916666667</v>
      </c>
      <c r="B4989" s="32" t="n">
        <v>198.325</v>
      </c>
      <c r="D4989" s="33" t="n">
        <f aca="false">WEEKDAY(A4989,2)</f>
        <v>4</v>
      </c>
      <c r="E4989" s="33" t="n">
        <f aca="false">HOUR(A4989)+MINUTE(A4989)/60</f>
        <v>19</v>
      </c>
      <c r="F4989" s="33" t="n">
        <f aca="false">IF(OR(D4989&gt;5,E4989&lt;8,E4989&gt;=18,COUNTIF($K$2:$K$10,INT(A4989))&gt;0),1,0)</f>
        <v>1</v>
      </c>
      <c r="G4989" s="34" t="n">
        <f aca="false">B4989/1</f>
        <v>198.325</v>
      </c>
      <c r="H4989" s="34" t="n">
        <f aca="false">IF(F4989=1,G4989,"")</f>
        <v>198.325</v>
      </c>
    </row>
    <row r="4990" customFormat="false" ht="15" hidden="false" customHeight="false" outlineLevel="0" collapsed="false">
      <c r="A4990" s="31" t="n">
        <v>42943.8333333333</v>
      </c>
      <c r="B4990" s="32" t="n">
        <v>198.64</v>
      </c>
      <c r="D4990" s="33" t="n">
        <f aca="false">WEEKDAY(A4990,2)</f>
        <v>4</v>
      </c>
      <c r="E4990" s="33" t="n">
        <f aca="false">HOUR(A4990)+MINUTE(A4990)/60</f>
        <v>20</v>
      </c>
      <c r="F4990" s="33" t="n">
        <f aca="false">IF(OR(D4990&gt;5,E4990&lt;8,E4990&gt;=18,COUNTIF($K$2:$K$10,INT(A4990))&gt;0),1,0)</f>
        <v>1</v>
      </c>
      <c r="G4990" s="34" t="n">
        <f aca="false">B4990/1</f>
        <v>198.64</v>
      </c>
      <c r="H4990" s="34" t="n">
        <f aca="false">IF(F4990=1,G4990,"")</f>
        <v>198.64</v>
      </c>
    </row>
    <row r="4991" customFormat="false" ht="15" hidden="false" customHeight="false" outlineLevel="0" collapsed="false">
      <c r="A4991" s="31" t="n">
        <v>42943.875</v>
      </c>
      <c r="B4991" s="32" t="n">
        <v>191.171</v>
      </c>
      <c r="D4991" s="33" t="n">
        <f aca="false">WEEKDAY(A4991,2)</f>
        <v>4</v>
      </c>
      <c r="E4991" s="33" t="n">
        <f aca="false">HOUR(A4991)+MINUTE(A4991)/60</f>
        <v>21</v>
      </c>
      <c r="F4991" s="33" t="n">
        <f aca="false">IF(OR(D4991&gt;5,E4991&lt;8,E4991&gt;=18,COUNTIF($K$2:$K$10,INT(A4991))&gt;0),1,0)</f>
        <v>1</v>
      </c>
      <c r="G4991" s="34" t="n">
        <f aca="false">B4991/1</f>
        <v>191.171</v>
      </c>
      <c r="H4991" s="34" t="n">
        <f aca="false">IF(F4991=1,G4991,"")</f>
        <v>191.171</v>
      </c>
    </row>
    <row r="4992" customFormat="false" ht="15" hidden="false" customHeight="false" outlineLevel="0" collapsed="false">
      <c r="A4992" s="31" t="n">
        <v>42943.9166666667</v>
      </c>
      <c r="B4992" s="32" t="n">
        <v>141.827</v>
      </c>
      <c r="D4992" s="33" t="n">
        <f aca="false">WEEKDAY(A4992,2)</f>
        <v>4</v>
      </c>
      <c r="E4992" s="33" t="n">
        <f aca="false">HOUR(A4992)+MINUTE(A4992)/60</f>
        <v>22</v>
      </c>
      <c r="F4992" s="33" t="n">
        <f aca="false">IF(OR(D4992&gt;5,E4992&lt;8,E4992&gt;=18,COUNTIF($K$2:$K$10,INT(A4992))&gt;0),1,0)</f>
        <v>1</v>
      </c>
      <c r="G4992" s="34" t="n">
        <f aca="false">B4992/1</f>
        <v>141.827</v>
      </c>
      <c r="H4992" s="34" t="n">
        <f aca="false">IF(F4992=1,G4992,"")</f>
        <v>141.827</v>
      </c>
    </row>
    <row r="4993" customFormat="false" ht="15" hidden="false" customHeight="false" outlineLevel="0" collapsed="false">
      <c r="A4993" s="31" t="n">
        <v>42943.9583333333</v>
      </c>
      <c r="B4993" s="32" t="n">
        <v>78.711</v>
      </c>
      <c r="D4993" s="33" t="n">
        <f aca="false">WEEKDAY(A4993,2)</f>
        <v>4</v>
      </c>
      <c r="E4993" s="33" t="n">
        <f aca="false">HOUR(A4993)+MINUTE(A4993)/60</f>
        <v>23</v>
      </c>
      <c r="F4993" s="33" t="n">
        <f aca="false">IF(OR(D4993&gt;5,E4993&lt;8,E4993&gt;=18,COUNTIF($K$2:$K$10,INT(A4993))&gt;0),1,0)</f>
        <v>1</v>
      </c>
      <c r="G4993" s="34" t="n">
        <f aca="false">B4993/1</f>
        <v>78.711</v>
      </c>
      <c r="H4993" s="34" t="n">
        <f aca="false">IF(F4993=1,G4993,"")</f>
        <v>78.711</v>
      </c>
    </row>
    <row r="4994" customFormat="false" ht="15" hidden="false" customHeight="false" outlineLevel="0" collapsed="false">
      <c r="A4994" s="31" t="n">
        <v>42944</v>
      </c>
      <c r="B4994" s="32" t="n">
        <v>76.394</v>
      </c>
      <c r="D4994" s="33" t="n">
        <f aca="false">WEEKDAY(A4994,2)</f>
        <v>5</v>
      </c>
      <c r="E4994" s="33" t="n">
        <f aca="false">HOUR(A4994)+MINUTE(A4994)/60</f>
        <v>0</v>
      </c>
      <c r="F4994" s="33" t="n">
        <f aca="false">IF(OR(D4994&gt;5,E4994&lt;8,E4994&gt;=18,COUNTIF($K$2:$K$10,INT(A4994))&gt;0),1,0)</f>
        <v>1</v>
      </c>
      <c r="G4994" s="34" t="n">
        <f aca="false">B4994/1</f>
        <v>76.394</v>
      </c>
      <c r="H4994" s="34" t="n">
        <f aca="false">IF(F4994=1,G4994,"")</f>
        <v>76.394</v>
      </c>
    </row>
    <row r="4995" customFormat="false" ht="15" hidden="false" customHeight="false" outlineLevel="0" collapsed="false">
      <c r="A4995" s="31" t="n">
        <v>42944.0416666667</v>
      </c>
      <c r="B4995" s="32" t="n">
        <v>74.961</v>
      </c>
      <c r="D4995" s="33" t="n">
        <f aca="false">WEEKDAY(A4995,2)</f>
        <v>5</v>
      </c>
      <c r="E4995" s="33" t="n">
        <f aca="false">HOUR(A4995)+MINUTE(A4995)/60</f>
        <v>1</v>
      </c>
      <c r="F4995" s="33" t="n">
        <f aca="false">IF(OR(D4995&gt;5,E4995&lt;8,E4995&gt;=18,COUNTIF($K$2:$K$10,INT(A4995))&gt;0),1,0)</f>
        <v>1</v>
      </c>
      <c r="G4995" s="34" t="n">
        <f aca="false">B4995/1</f>
        <v>74.961</v>
      </c>
      <c r="H4995" s="34" t="n">
        <f aca="false">IF(F4995=1,G4995,"")</f>
        <v>74.961</v>
      </c>
    </row>
    <row r="4996" customFormat="false" ht="15" hidden="false" customHeight="false" outlineLevel="0" collapsed="false">
      <c r="A4996" s="31" t="n">
        <v>42944.0833333333</v>
      </c>
      <c r="B4996" s="32" t="n">
        <v>74.792</v>
      </c>
      <c r="D4996" s="33" t="n">
        <f aca="false">WEEKDAY(A4996,2)</f>
        <v>5</v>
      </c>
      <c r="E4996" s="33" t="n">
        <f aca="false">HOUR(A4996)+MINUTE(A4996)/60</f>
        <v>2</v>
      </c>
      <c r="F4996" s="33" t="n">
        <f aca="false">IF(OR(D4996&gt;5,E4996&lt;8,E4996&gt;=18,COUNTIF($K$2:$K$10,INT(A4996))&gt;0),1,0)</f>
        <v>1</v>
      </c>
      <c r="G4996" s="34" t="n">
        <f aca="false">B4996/1</f>
        <v>74.792</v>
      </c>
      <c r="H4996" s="34" t="n">
        <f aca="false">IF(F4996=1,G4996,"")</f>
        <v>74.792</v>
      </c>
    </row>
    <row r="4997" customFormat="false" ht="15" hidden="false" customHeight="false" outlineLevel="0" collapsed="false">
      <c r="A4997" s="31" t="n">
        <v>42944.125</v>
      </c>
      <c r="B4997" s="32" t="n">
        <v>74.836</v>
      </c>
      <c r="D4997" s="33" t="n">
        <f aca="false">WEEKDAY(A4997,2)</f>
        <v>5</v>
      </c>
      <c r="E4997" s="33" t="n">
        <f aca="false">HOUR(A4997)+MINUTE(A4997)/60</f>
        <v>3</v>
      </c>
      <c r="F4997" s="33" t="n">
        <f aca="false">IF(OR(D4997&gt;5,E4997&lt;8,E4997&gt;=18,COUNTIF($K$2:$K$10,INT(A4997))&gt;0),1,0)</f>
        <v>1</v>
      </c>
      <c r="G4997" s="34" t="n">
        <f aca="false">B4997/1</f>
        <v>74.836</v>
      </c>
      <c r="H4997" s="34" t="n">
        <f aca="false">IF(F4997=1,G4997,"")</f>
        <v>74.836</v>
      </c>
    </row>
    <row r="4998" customFormat="false" ht="15" hidden="false" customHeight="false" outlineLevel="0" collapsed="false">
      <c r="A4998" s="31" t="n">
        <v>42944.1666666667</v>
      </c>
      <c r="B4998" s="32" t="n">
        <v>74.602</v>
      </c>
      <c r="D4998" s="33" t="n">
        <f aca="false">WEEKDAY(A4998,2)</f>
        <v>5</v>
      </c>
      <c r="E4998" s="33" t="n">
        <f aca="false">HOUR(A4998)+MINUTE(A4998)/60</f>
        <v>4</v>
      </c>
      <c r="F4998" s="33" t="n">
        <f aca="false">IF(OR(D4998&gt;5,E4998&lt;8,E4998&gt;=18,COUNTIF($K$2:$K$10,INT(A4998))&gt;0),1,0)</f>
        <v>1</v>
      </c>
      <c r="G4998" s="34" t="n">
        <f aca="false">B4998/1</f>
        <v>74.602</v>
      </c>
      <c r="H4998" s="34" t="n">
        <f aca="false">IF(F4998=1,G4998,"")</f>
        <v>74.602</v>
      </c>
    </row>
    <row r="4999" customFormat="false" ht="15" hidden="false" customHeight="false" outlineLevel="0" collapsed="false">
      <c r="A4999" s="31" t="n">
        <v>42944.2083333333</v>
      </c>
      <c r="B4999" s="32" t="n">
        <v>74.373</v>
      </c>
      <c r="D4999" s="33" t="n">
        <f aca="false">WEEKDAY(A4999,2)</f>
        <v>5</v>
      </c>
      <c r="E4999" s="33" t="n">
        <f aca="false">HOUR(A4999)+MINUTE(A4999)/60</f>
        <v>5</v>
      </c>
      <c r="F4999" s="33" t="n">
        <f aca="false">IF(OR(D4999&gt;5,E4999&lt;8,E4999&gt;=18,COUNTIF($K$2:$K$10,INT(A4999))&gt;0),1,0)</f>
        <v>1</v>
      </c>
      <c r="G4999" s="34" t="n">
        <f aca="false">B4999/1</f>
        <v>74.373</v>
      </c>
      <c r="H4999" s="34" t="n">
        <f aca="false">IF(F4999=1,G4999,"")</f>
        <v>74.373</v>
      </c>
    </row>
    <row r="5000" customFormat="false" ht="15" hidden="false" customHeight="false" outlineLevel="0" collapsed="false">
      <c r="A5000" s="31" t="n">
        <v>42944.25</v>
      </c>
      <c r="B5000" s="32" t="n">
        <v>76.116</v>
      </c>
      <c r="D5000" s="33" t="n">
        <f aca="false">WEEKDAY(A5000,2)</f>
        <v>5</v>
      </c>
      <c r="E5000" s="33" t="n">
        <f aca="false">HOUR(A5000)+MINUTE(A5000)/60</f>
        <v>6</v>
      </c>
      <c r="F5000" s="33" t="n">
        <f aca="false">IF(OR(D5000&gt;5,E5000&lt;8,E5000&gt;=18,COUNTIF($K$2:$K$10,INT(A5000))&gt;0),1,0)</f>
        <v>1</v>
      </c>
      <c r="G5000" s="34" t="n">
        <f aca="false">B5000/1</f>
        <v>76.116</v>
      </c>
      <c r="H5000" s="34" t="n">
        <f aca="false">IF(F5000=1,G5000,"")</f>
        <v>76.116</v>
      </c>
    </row>
    <row r="5001" customFormat="false" ht="15" hidden="false" customHeight="false" outlineLevel="0" collapsed="false">
      <c r="A5001" s="31" t="n">
        <v>42944.2916666667</v>
      </c>
      <c r="B5001" s="32" t="n">
        <v>80.597</v>
      </c>
      <c r="D5001" s="33" t="n">
        <f aca="false">WEEKDAY(A5001,2)</f>
        <v>5</v>
      </c>
      <c r="E5001" s="33" t="n">
        <f aca="false">HOUR(A5001)+MINUTE(A5001)/60</f>
        <v>7</v>
      </c>
      <c r="F5001" s="33" t="n">
        <f aca="false">IF(OR(D5001&gt;5,E5001&lt;8,E5001&gt;=18,COUNTIF($K$2:$K$10,INT(A5001))&gt;0),1,0)</f>
        <v>1</v>
      </c>
      <c r="G5001" s="34" t="n">
        <f aca="false">B5001/1</f>
        <v>80.597</v>
      </c>
      <c r="H5001" s="34" t="n">
        <f aca="false">IF(F5001=1,G5001,"")</f>
        <v>80.597</v>
      </c>
    </row>
    <row r="5002" customFormat="false" ht="15" hidden="false" customHeight="false" outlineLevel="0" collapsed="false">
      <c r="A5002" s="31" t="n">
        <v>42944.3333333333</v>
      </c>
      <c r="B5002" s="32" t="n">
        <v>192.668</v>
      </c>
      <c r="D5002" s="33" t="n">
        <f aca="false">WEEKDAY(A5002,2)</f>
        <v>5</v>
      </c>
      <c r="E5002" s="33" t="n">
        <f aca="false">HOUR(A5002)+MINUTE(A5002)/60</f>
        <v>8</v>
      </c>
      <c r="F5002" s="33" t="n">
        <f aca="false">IF(OR(D5002&gt;5,E5002&lt;8,E5002&gt;=18,COUNTIF($K$2:$K$10,INT(A5002))&gt;0),1,0)</f>
        <v>0</v>
      </c>
      <c r="G5002" s="34" t="n">
        <f aca="false">B5002/1</f>
        <v>192.668</v>
      </c>
      <c r="H5002" s="34" t="str">
        <f aca="false">IF(F5002=1,G5002,"")</f>
        <v/>
      </c>
    </row>
    <row r="5003" customFormat="false" ht="15" hidden="false" customHeight="false" outlineLevel="0" collapsed="false">
      <c r="A5003" s="31" t="n">
        <v>42944.375</v>
      </c>
      <c r="B5003" s="32" t="n">
        <v>210.998</v>
      </c>
      <c r="D5003" s="33" t="n">
        <f aca="false">WEEKDAY(A5003,2)</f>
        <v>5</v>
      </c>
      <c r="E5003" s="33" t="n">
        <f aca="false">HOUR(A5003)+MINUTE(A5003)/60</f>
        <v>9</v>
      </c>
      <c r="F5003" s="33" t="n">
        <f aca="false">IF(OR(D5003&gt;5,E5003&lt;8,E5003&gt;=18,COUNTIF($K$2:$K$10,INT(A5003))&gt;0),1,0)</f>
        <v>0</v>
      </c>
      <c r="G5003" s="34" t="n">
        <f aca="false">B5003/1</f>
        <v>210.998</v>
      </c>
      <c r="H5003" s="34" t="str">
        <f aca="false">IF(F5003=1,G5003,"")</f>
        <v/>
      </c>
    </row>
    <row r="5004" customFormat="false" ht="15" hidden="false" customHeight="false" outlineLevel="0" collapsed="false">
      <c r="A5004" s="31" t="n">
        <v>42944.4166666667</v>
      </c>
      <c r="B5004" s="32" t="n">
        <v>221.119</v>
      </c>
      <c r="D5004" s="33" t="n">
        <f aca="false">WEEKDAY(A5004,2)</f>
        <v>5</v>
      </c>
      <c r="E5004" s="33" t="n">
        <f aca="false">HOUR(A5004)+MINUTE(A5004)/60</f>
        <v>10</v>
      </c>
      <c r="F5004" s="33" t="n">
        <f aca="false">IF(OR(D5004&gt;5,E5004&lt;8,E5004&gt;=18,COUNTIF($K$2:$K$10,INT(A5004))&gt;0),1,0)</f>
        <v>0</v>
      </c>
      <c r="G5004" s="34" t="n">
        <f aca="false">B5004/1</f>
        <v>221.119</v>
      </c>
      <c r="H5004" s="34" t="str">
        <f aca="false">IF(F5004=1,G5004,"")</f>
        <v/>
      </c>
    </row>
    <row r="5005" customFormat="false" ht="15" hidden="false" customHeight="false" outlineLevel="0" collapsed="false">
      <c r="A5005" s="31" t="n">
        <v>42944.4583333333</v>
      </c>
      <c r="B5005" s="32" t="n">
        <v>227.725</v>
      </c>
      <c r="D5005" s="33" t="n">
        <f aca="false">WEEKDAY(A5005,2)</f>
        <v>5</v>
      </c>
      <c r="E5005" s="33" t="n">
        <f aca="false">HOUR(A5005)+MINUTE(A5005)/60</f>
        <v>11</v>
      </c>
      <c r="F5005" s="33" t="n">
        <f aca="false">IF(OR(D5005&gt;5,E5005&lt;8,E5005&gt;=18,COUNTIF($K$2:$K$10,INT(A5005))&gt;0),1,0)</f>
        <v>0</v>
      </c>
      <c r="G5005" s="34" t="n">
        <f aca="false">B5005/1</f>
        <v>227.725</v>
      </c>
      <c r="H5005" s="34" t="str">
        <f aca="false">IF(F5005=1,G5005,"")</f>
        <v/>
      </c>
    </row>
    <row r="5006" customFormat="false" ht="15" hidden="false" customHeight="false" outlineLevel="0" collapsed="false">
      <c r="A5006" s="31" t="n">
        <v>42944.5</v>
      </c>
      <c r="B5006" s="32" t="n">
        <v>231.657</v>
      </c>
      <c r="D5006" s="33" t="n">
        <f aca="false">WEEKDAY(A5006,2)</f>
        <v>5</v>
      </c>
      <c r="E5006" s="33" t="n">
        <f aca="false">HOUR(A5006)+MINUTE(A5006)/60</f>
        <v>12</v>
      </c>
      <c r="F5006" s="33" t="n">
        <f aca="false">IF(OR(D5006&gt;5,E5006&lt;8,E5006&gt;=18,COUNTIF($K$2:$K$10,INT(A5006))&gt;0),1,0)</f>
        <v>0</v>
      </c>
      <c r="G5006" s="34" t="n">
        <f aca="false">B5006/1</f>
        <v>231.657</v>
      </c>
      <c r="H5006" s="34" t="str">
        <f aca="false">IF(F5006=1,G5006,"")</f>
        <v/>
      </c>
    </row>
    <row r="5007" customFormat="false" ht="15" hidden="false" customHeight="false" outlineLevel="0" collapsed="false">
      <c r="A5007" s="31" t="n">
        <v>42944.5416666667</v>
      </c>
      <c r="B5007" s="32" t="n">
        <v>236.1</v>
      </c>
      <c r="D5007" s="33" t="n">
        <f aca="false">WEEKDAY(A5007,2)</f>
        <v>5</v>
      </c>
      <c r="E5007" s="33" t="n">
        <f aca="false">HOUR(A5007)+MINUTE(A5007)/60</f>
        <v>13</v>
      </c>
      <c r="F5007" s="33" t="n">
        <f aca="false">IF(OR(D5007&gt;5,E5007&lt;8,E5007&gt;=18,COUNTIF($K$2:$K$10,INT(A5007))&gt;0),1,0)</f>
        <v>0</v>
      </c>
      <c r="G5007" s="34" t="n">
        <f aca="false">B5007/1</f>
        <v>236.1</v>
      </c>
      <c r="H5007" s="34" t="str">
        <f aca="false">IF(F5007=1,G5007,"")</f>
        <v/>
      </c>
    </row>
    <row r="5008" customFormat="false" ht="15" hidden="false" customHeight="false" outlineLevel="0" collapsed="false">
      <c r="A5008" s="31" t="n">
        <v>42944.5833333333</v>
      </c>
      <c r="B5008" s="32" t="n">
        <v>230.554</v>
      </c>
      <c r="D5008" s="33" t="n">
        <f aca="false">WEEKDAY(A5008,2)</f>
        <v>5</v>
      </c>
      <c r="E5008" s="33" t="n">
        <f aca="false">HOUR(A5008)+MINUTE(A5008)/60</f>
        <v>14</v>
      </c>
      <c r="F5008" s="33" t="n">
        <f aca="false">IF(OR(D5008&gt;5,E5008&lt;8,E5008&gt;=18,COUNTIF($K$2:$K$10,INT(A5008))&gt;0),1,0)</f>
        <v>0</v>
      </c>
      <c r="G5008" s="34" t="n">
        <f aca="false">B5008/1</f>
        <v>230.554</v>
      </c>
      <c r="H5008" s="34" t="str">
        <f aca="false">IF(F5008=1,G5008,"")</f>
        <v/>
      </c>
    </row>
    <row r="5009" customFormat="false" ht="15" hidden="false" customHeight="false" outlineLevel="0" collapsed="false">
      <c r="A5009" s="31" t="n">
        <v>42944.625</v>
      </c>
      <c r="B5009" s="32" t="n">
        <v>224.839</v>
      </c>
      <c r="D5009" s="33" t="n">
        <f aca="false">WEEKDAY(A5009,2)</f>
        <v>5</v>
      </c>
      <c r="E5009" s="33" t="n">
        <f aca="false">HOUR(A5009)+MINUTE(A5009)/60</f>
        <v>15</v>
      </c>
      <c r="F5009" s="33" t="n">
        <f aca="false">IF(OR(D5009&gt;5,E5009&lt;8,E5009&gt;=18,COUNTIF($K$2:$K$10,INT(A5009))&gt;0),1,0)</f>
        <v>0</v>
      </c>
      <c r="G5009" s="34" t="n">
        <f aca="false">B5009/1</f>
        <v>224.839</v>
      </c>
      <c r="H5009" s="34" t="str">
        <f aca="false">IF(F5009=1,G5009,"")</f>
        <v/>
      </c>
    </row>
    <row r="5010" customFormat="false" ht="15" hidden="false" customHeight="false" outlineLevel="0" collapsed="false">
      <c r="A5010" s="31" t="n">
        <v>42944.6666666667</v>
      </c>
      <c r="B5010" s="32" t="n">
        <v>217.095</v>
      </c>
      <c r="D5010" s="33" t="n">
        <f aca="false">WEEKDAY(A5010,2)</f>
        <v>5</v>
      </c>
      <c r="E5010" s="33" t="n">
        <f aca="false">HOUR(A5010)+MINUTE(A5010)/60</f>
        <v>16</v>
      </c>
      <c r="F5010" s="33" t="n">
        <f aca="false">IF(OR(D5010&gt;5,E5010&lt;8,E5010&gt;=18,COUNTIF($K$2:$K$10,INT(A5010))&gt;0),1,0)</f>
        <v>0</v>
      </c>
      <c r="G5010" s="34" t="n">
        <f aca="false">B5010/1</f>
        <v>217.095</v>
      </c>
      <c r="H5010" s="34" t="str">
        <f aca="false">IF(F5010=1,G5010,"")</f>
        <v/>
      </c>
    </row>
    <row r="5011" customFormat="false" ht="15" hidden="false" customHeight="false" outlineLevel="0" collapsed="false">
      <c r="A5011" s="31" t="n">
        <v>42944.7083333333</v>
      </c>
      <c r="B5011" s="32" t="n">
        <v>194.347</v>
      </c>
      <c r="D5011" s="33" t="n">
        <f aca="false">WEEKDAY(A5011,2)</f>
        <v>5</v>
      </c>
      <c r="E5011" s="33" t="n">
        <f aca="false">HOUR(A5011)+MINUTE(A5011)/60</f>
        <v>17</v>
      </c>
      <c r="F5011" s="33" t="n">
        <f aca="false">IF(OR(D5011&gt;5,E5011&lt;8,E5011&gt;=18,COUNTIF($K$2:$K$10,INT(A5011))&gt;0),1,0)</f>
        <v>0</v>
      </c>
      <c r="G5011" s="34" t="n">
        <f aca="false">B5011/1</f>
        <v>194.347</v>
      </c>
      <c r="H5011" s="34" t="str">
        <f aca="false">IF(F5011=1,G5011,"")</f>
        <v/>
      </c>
    </row>
    <row r="5012" customFormat="false" ht="15" hidden="false" customHeight="false" outlineLevel="0" collapsed="false">
      <c r="A5012" s="31" t="n">
        <v>42944.75</v>
      </c>
      <c r="B5012" s="32" t="n">
        <v>176.273</v>
      </c>
      <c r="D5012" s="33" t="n">
        <f aca="false">WEEKDAY(A5012,2)</f>
        <v>5</v>
      </c>
      <c r="E5012" s="33" t="n">
        <f aca="false">HOUR(A5012)+MINUTE(A5012)/60</f>
        <v>18</v>
      </c>
      <c r="F5012" s="33" t="n">
        <f aca="false">IF(OR(D5012&gt;5,E5012&lt;8,E5012&gt;=18,COUNTIF($K$2:$K$10,INT(A5012))&gt;0),1,0)</f>
        <v>1</v>
      </c>
      <c r="G5012" s="34" t="n">
        <f aca="false">B5012/1</f>
        <v>176.273</v>
      </c>
      <c r="H5012" s="34" t="n">
        <f aca="false">IF(F5012=1,G5012,"")</f>
        <v>176.273</v>
      </c>
    </row>
    <row r="5013" customFormat="false" ht="15" hidden="false" customHeight="false" outlineLevel="0" collapsed="false">
      <c r="A5013" s="31" t="n">
        <v>42944.7916666667</v>
      </c>
      <c r="B5013" s="32" t="n">
        <v>170.904</v>
      </c>
      <c r="D5013" s="33" t="n">
        <f aca="false">WEEKDAY(A5013,2)</f>
        <v>5</v>
      </c>
      <c r="E5013" s="33" t="n">
        <f aca="false">HOUR(A5013)+MINUTE(A5013)/60</f>
        <v>19</v>
      </c>
      <c r="F5013" s="33" t="n">
        <f aca="false">IF(OR(D5013&gt;5,E5013&lt;8,E5013&gt;=18,COUNTIF($K$2:$K$10,INT(A5013))&gt;0),1,0)</f>
        <v>1</v>
      </c>
      <c r="G5013" s="34" t="n">
        <f aca="false">B5013/1</f>
        <v>170.904</v>
      </c>
      <c r="H5013" s="34" t="n">
        <f aca="false">IF(F5013=1,G5013,"")</f>
        <v>170.904</v>
      </c>
    </row>
    <row r="5014" customFormat="false" ht="15" hidden="false" customHeight="false" outlineLevel="0" collapsed="false">
      <c r="A5014" s="31" t="n">
        <v>42944.8333333333</v>
      </c>
      <c r="B5014" s="32" t="n">
        <v>165.143</v>
      </c>
      <c r="D5014" s="33" t="n">
        <f aca="false">WEEKDAY(A5014,2)</f>
        <v>5</v>
      </c>
      <c r="E5014" s="33" t="n">
        <f aca="false">HOUR(A5014)+MINUTE(A5014)/60</f>
        <v>20</v>
      </c>
      <c r="F5014" s="33" t="n">
        <f aca="false">IF(OR(D5014&gt;5,E5014&lt;8,E5014&gt;=18,COUNTIF($K$2:$K$10,INT(A5014))&gt;0),1,0)</f>
        <v>1</v>
      </c>
      <c r="G5014" s="34" t="n">
        <f aca="false">B5014/1</f>
        <v>165.143</v>
      </c>
      <c r="H5014" s="34" t="n">
        <f aca="false">IF(F5014=1,G5014,"")</f>
        <v>165.143</v>
      </c>
    </row>
    <row r="5015" customFormat="false" ht="15" hidden="false" customHeight="false" outlineLevel="0" collapsed="false">
      <c r="A5015" s="31" t="n">
        <v>42944.875</v>
      </c>
      <c r="B5015" s="32" t="n">
        <v>160.15</v>
      </c>
      <c r="D5015" s="33" t="n">
        <f aca="false">WEEKDAY(A5015,2)</f>
        <v>5</v>
      </c>
      <c r="E5015" s="33" t="n">
        <f aca="false">HOUR(A5015)+MINUTE(A5015)/60</f>
        <v>21</v>
      </c>
      <c r="F5015" s="33" t="n">
        <f aca="false">IF(OR(D5015&gt;5,E5015&lt;8,E5015&gt;=18,COUNTIF($K$2:$K$10,INT(A5015))&gt;0),1,0)</f>
        <v>1</v>
      </c>
      <c r="G5015" s="34" t="n">
        <f aca="false">B5015/1</f>
        <v>160.15</v>
      </c>
      <c r="H5015" s="34" t="n">
        <f aca="false">IF(F5015=1,G5015,"")</f>
        <v>160.15</v>
      </c>
    </row>
    <row r="5016" customFormat="false" ht="15" hidden="false" customHeight="false" outlineLevel="0" collapsed="false">
      <c r="A5016" s="31" t="n">
        <v>42944.9166666667</v>
      </c>
      <c r="B5016" s="32" t="n">
        <v>106.843</v>
      </c>
      <c r="D5016" s="33" t="n">
        <f aca="false">WEEKDAY(A5016,2)</f>
        <v>5</v>
      </c>
      <c r="E5016" s="33" t="n">
        <f aca="false">HOUR(A5016)+MINUTE(A5016)/60</f>
        <v>22</v>
      </c>
      <c r="F5016" s="33" t="n">
        <f aca="false">IF(OR(D5016&gt;5,E5016&lt;8,E5016&gt;=18,COUNTIF($K$2:$K$10,INT(A5016))&gt;0),1,0)</f>
        <v>1</v>
      </c>
      <c r="G5016" s="34" t="n">
        <f aca="false">B5016/1</f>
        <v>106.843</v>
      </c>
      <c r="H5016" s="34" t="n">
        <f aca="false">IF(F5016=1,G5016,"")</f>
        <v>106.843</v>
      </c>
    </row>
    <row r="5017" customFormat="false" ht="15" hidden="false" customHeight="false" outlineLevel="0" collapsed="false">
      <c r="A5017" s="31" t="n">
        <v>42944.9583333333</v>
      </c>
      <c r="B5017" s="32" t="n">
        <v>45.423</v>
      </c>
      <c r="D5017" s="33" t="n">
        <f aca="false">WEEKDAY(A5017,2)</f>
        <v>5</v>
      </c>
      <c r="E5017" s="33" t="n">
        <f aca="false">HOUR(A5017)+MINUTE(A5017)/60</f>
        <v>23</v>
      </c>
      <c r="F5017" s="33" t="n">
        <f aca="false">IF(OR(D5017&gt;5,E5017&lt;8,E5017&gt;=18,COUNTIF($K$2:$K$10,INT(A5017))&gt;0),1,0)</f>
        <v>1</v>
      </c>
      <c r="G5017" s="34" t="n">
        <f aca="false">B5017/1</f>
        <v>45.423</v>
      </c>
      <c r="H5017" s="34" t="n">
        <f aca="false">IF(F5017=1,G5017,"")</f>
        <v>45.423</v>
      </c>
    </row>
    <row r="5018" customFormat="false" ht="15" hidden="false" customHeight="false" outlineLevel="0" collapsed="false">
      <c r="A5018" s="31" t="n">
        <v>42945</v>
      </c>
      <c r="B5018" s="32" t="n">
        <v>44.531</v>
      </c>
      <c r="D5018" s="33" t="n">
        <f aca="false">WEEKDAY(A5018,2)</f>
        <v>6</v>
      </c>
      <c r="E5018" s="33" t="n">
        <f aca="false">HOUR(A5018)+MINUTE(A5018)/60</f>
        <v>0</v>
      </c>
      <c r="F5018" s="33" t="n">
        <f aca="false">IF(OR(D5018&gt;5,E5018&lt;8,E5018&gt;=18,COUNTIF($K$2:$K$10,INT(A5018))&gt;0),1,0)</f>
        <v>1</v>
      </c>
      <c r="G5018" s="34" t="n">
        <f aca="false">B5018/1</f>
        <v>44.531</v>
      </c>
      <c r="H5018" s="34" t="n">
        <f aca="false">IF(F5018=1,G5018,"")</f>
        <v>44.531</v>
      </c>
    </row>
    <row r="5019" customFormat="false" ht="15" hidden="false" customHeight="false" outlineLevel="0" collapsed="false">
      <c r="A5019" s="31" t="n">
        <v>42945.0416666667</v>
      </c>
      <c r="B5019" s="32" t="n">
        <v>44.261</v>
      </c>
      <c r="D5019" s="33" t="n">
        <f aca="false">WEEKDAY(A5019,2)</f>
        <v>6</v>
      </c>
      <c r="E5019" s="33" t="n">
        <f aca="false">HOUR(A5019)+MINUTE(A5019)/60</f>
        <v>1</v>
      </c>
      <c r="F5019" s="33" t="n">
        <f aca="false">IF(OR(D5019&gt;5,E5019&lt;8,E5019&gt;=18,COUNTIF($K$2:$K$10,INT(A5019))&gt;0),1,0)</f>
        <v>1</v>
      </c>
      <c r="G5019" s="34" t="n">
        <f aca="false">B5019/1</f>
        <v>44.261</v>
      </c>
      <c r="H5019" s="34" t="n">
        <f aca="false">IF(F5019=1,G5019,"")</f>
        <v>44.261</v>
      </c>
    </row>
    <row r="5020" customFormat="false" ht="15" hidden="false" customHeight="false" outlineLevel="0" collapsed="false">
      <c r="A5020" s="31" t="n">
        <v>42945.0833333333</v>
      </c>
      <c r="B5020" s="32" t="n">
        <v>43.625</v>
      </c>
      <c r="D5020" s="33" t="n">
        <f aca="false">WEEKDAY(A5020,2)</f>
        <v>6</v>
      </c>
      <c r="E5020" s="33" t="n">
        <f aca="false">HOUR(A5020)+MINUTE(A5020)/60</f>
        <v>2</v>
      </c>
      <c r="F5020" s="33" t="n">
        <f aca="false">IF(OR(D5020&gt;5,E5020&lt;8,E5020&gt;=18,COUNTIF($K$2:$K$10,INT(A5020))&gt;0),1,0)</f>
        <v>1</v>
      </c>
      <c r="G5020" s="34" t="n">
        <f aca="false">B5020/1</f>
        <v>43.625</v>
      </c>
      <c r="H5020" s="34" t="n">
        <f aca="false">IF(F5020=1,G5020,"")</f>
        <v>43.625</v>
      </c>
    </row>
    <row r="5021" customFormat="false" ht="15" hidden="false" customHeight="false" outlineLevel="0" collapsed="false">
      <c r="A5021" s="31" t="n">
        <v>42945.125</v>
      </c>
      <c r="B5021" s="32" t="n">
        <v>44.919</v>
      </c>
      <c r="D5021" s="33" t="n">
        <f aca="false">WEEKDAY(A5021,2)</f>
        <v>6</v>
      </c>
      <c r="E5021" s="33" t="n">
        <f aca="false">HOUR(A5021)+MINUTE(A5021)/60</f>
        <v>3</v>
      </c>
      <c r="F5021" s="33" t="n">
        <f aca="false">IF(OR(D5021&gt;5,E5021&lt;8,E5021&gt;=18,COUNTIF($K$2:$K$10,INT(A5021))&gt;0),1,0)</f>
        <v>1</v>
      </c>
      <c r="G5021" s="34" t="n">
        <f aca="false">B5021/1</f>
        <v>44.919</v>
      </c>
      <c r="H5021" s="34" t="n">
        <f aca="false">IF(F5021=1,G5021,"")</f>
        <v>44.919</v>
      </c>
    </row>
    <row r="5022" customFormat="false" ht="15" hidden="false" customHeight="false" outlineLevel="0" collapsed="false">
      <c r="A5022" s="31" t="n">
        <v>42945.1666666667</v>
      </c>
      <c r="B5022" s="32" t="n">
        <v>44.083</v>
      </c>
      <c r="D5022" s="33" t="n">
        <f aca="false">WEEKDAY(A5022,2)</f>
        <v>6</v>
      </c>
      <c r="E5022" s="33" t="n">
        <f aca="false">HOUR(A5022)+MINUTE(A5022)/60</f>
        <v>4</v>
      </c>
      <c r="F5022" s="33" t="n">
        <f aca="false">IF(OR(D5022&gt;5,E5022&lt;8,E5022&gt;=18,COUNTIF($K$2:$K$10,INT(A5022))&gt;0),1,0)</f>
        <v>1</v>
      </c>
      <c r="G5022" s="34" t="n">
        <f aca="false">B5022/1</f>
        <v>44.083</v>
      </c>
      <c r="H5022" s="34" t="n">
        <f aca="false">IF(F5022=1,G5022,"")</f>
        <v>44.083</v>
      </c>
    </row>
    <row r="5023" customFormat="false" ht="15" hidden="false" customHeight="false" outlineLevel="0" collapsed="false">
      <c r="A5023" s="31" t="n">
        <v>42945.2083333333</v>
      </c>
      <c r="B5023" s="32" t="n">
        <v>54.373</v>
      </c>
      <c r="D5023" s="33" t="n">
        <f aca="false">WEEKDAY(A5023,2)</f>
        <v>6</v>
      </c>
      <c r="E5023" s="33" t="n">
        <f aca="false">HOUR(A5023)+MINUTE(A5023)/60</f>
        <v>5</v>
      </c>
      <c r="F5023" s="33" t="n">
        <f aca="false">IF(OR(D5023&gt;5,E5023&lt;8,E5023&gt;=18,COUNTIF($K$2:$K$10,INT(A5023))&gt;0),1,0)</f>
        <v>1</v>
      </c>
      <c r="G5023" s="34" t="n">
        <f aca="false">B5023/1</f>
        <v>54.373</v>
      </c>
      <c r="H5023" s="34" t="n">
        <f aca="false">IF(F5023=1,G5023,"")</f>
        <v>54.373</v>
      </c>
    </row>
    <row r="5024" customFormat="false" ht="15" hidden="false" customHeight="false" outlineLevel="0" collapsed="false">
      <c r="A5024" s="31" t="n">
        <v>42945.25</v>
      </c>
      <c r="B5024" s="32" t="n">
        <v>60.546</v>
      </c>
      <c r="D5024" s="33" t="n">
        <f aca="false">WEEKDAY(A5024,2)</f>
        <v>6</v>
      </c>
      <c r="E5024" s="33" t="n">
        <f aca="false">HOUR(A5024)+MINUTE(A5024)/60</f>
        <v>6</v>
      </c>
      <c r="F5024" s="33" t="n">
        <f aca="false">IF(OR(D5024&gt;5,E5024&lt;8,E5024&gt;=18,COUNTIF($K$2:$K$10,INT(A5024))&gt;0),1,0)</f>
        <v>1</v>
      </c>
      <c r="G5024" s="34" t="n">
        <f aca="false">B5024/1</f>
        <v>60.546</v>
      </c>
      <c r="H5024" s="34" t="n">
        <f aca="false">IF(F5024=1,G5024,"")</f>
        <v>60.546</v>
      </c>
    </row>
    <row r="5025" customFormat="false" ht="15" hidden="false" customHeight="false" outlineLevel="0" collapsed="false">
      <c r="A5025" s="31" t="n">
        <v>42945.2916666667</v>
      </c>
      <c r="B5025" s="32" t="n">
        <v>46.671</v>
      </c>
      <c r="D5025" s="33" t="n">
        <f aca="false">WEEKDAY(A5025,2)</f>
        <v>6</v>
      </c>
      <c r="E5025" s="33" t="n">
        <f aca="false">HOUR(A5025)+MINUTE(A5025)/60</f>
        <v>7</v>
      </c>
      <c r="F5025" s="33" t="n">
        <f aca="false">IF(OR(D5025&gt;5,E5025&lt;8,E5025&gt;=18,COUNTIF($K$2:$K$10,INT(A5025))&gt;0),1,0)</f>
        <v>1</v>
      </c>
      <c r="G5025" s="34" t="n">
        <f aca="false">B5025/1</f>
        <v>46.671</v>
      </c>
      <c r="H5025" s="34" t="n">
        <f aca="false">IF(F5025=1,G5025,"")</f>
        <v>46.671</v>
      </c>
    </row>
    <row r="5026" customFormat="false" ht="15" hidden="false" customHeight="false" outlineLevel="0" collapsed="false">
      <c r="A5026" s="31" t="n">
        <v>42945.3333333333</v>
      </c>
      <c r="B5026" s="32" t="n">
        <v>112.985</v>
      </c>
      <c r="D5026" s="33" t="n">
        <f aca="false">WEEKDAY(A5026,2)</f>
        <v>6</v>
      </c>
      <c r="E5026" s="33" t="n">
        <f aca="false">HOUR(A5026)+MINUTE(A5026)/60</f>
        <v>8</v>
      </c>
      <c r="F5026" s="33" t="n">
        <f aca="false">IF(OR(D5026&gt;5,E5026&lt;8,E5026&gt;=18,COUNTIF($K$2:$K$10,INT(A5026))&gt;0),1,0)</f>
        <v>1</v>
      </c>
      <c r="G5026" s="34" t="n">
        <f aca="false">B5026/1</f>
        <v>112.985</v>
      </c>
      <c r="H5026" s="34" t="n">
        <f aca="false">IF(F5026=1,G5026,"")</f>
        <v>112.985</v>
      </c>
    </row>
    <row r="5027" customFormat="false" ht="15" hidden="false" customHeight="false" outlineLevel="0" collapsed="false">
      <c r="A5027" s="31" t="n">
        <v>42945.375</v>
      </c>
      <c r="B5027" s="32" t="n">
        <v>161.371</v>
      </c>
      <c r="D5027" s="33" t="n">
        <f aca="false">WEEKDAY(A5027,2)</f>
        <v>6</v>
      </c>
      <c r="E5027" s="33" t="n">
        <f aca="false">HOUR(A5027)+MINUTE(A5027)/60</f>
        <v>9</v>
      </c>
      <c r="F5027" s="33" t="n">
        <f aca="false">IF(OR(D5027&gt;5,E5027&lt;8,E5027&gt;=18,COUNTIF($K$2:$K$10,INT(A5027))&gt;0),1,0)</f>
        <v>1</v>
      </c>
      <c r="G5027" s="34" t="n">
        <f aca="false">B5027/1</f>
        <v>161.371</v>
      </c>
      <c r="H5027" s="34" t="n">
        <f aca="false">IF(F5027=1,G5027,"")</f>
        <v>161.371</v>
      </c>
    </row>
    <row r="5028" customFormat="false" ht="15" hidden="false" customHeight="false" outlineLevel="0" collapsed="false">
      <c r="A5028" s="31" t="n">
        <v>42945.4166666667</v>
      </c>
      <c r="B5028" s="32" t="n">
        <v>161.194</v>
      </c>
      <c r="D5028" s="33" t="n">
        <f aca="false">WEEKDAY(A5028,2)</f>
        <v>6</v>
      </c>
      <c r="E5028" s="33" t="n">
        <f aca="false">HOUR(A5028)+MINUTE(A5028)/60</f>
        <v>10</v>
      </c>
      <c r="F5028" s="33" t="n">
        <f aca="false">IF(OR(D5028&gt;5,E5028&lt;8,E5028&gt;=18,COUNTIF($K$2:$K$10,INT(A5028))&gt;0),1,0)</f>
        <v>1</v>
      </c>
      <c r="G5028" s="34" t="n">
        <f aca="false">B5028/1</f>
        <v>161.194</v>
      </c>
      <c r="H5028" s="34" t="n">
        <f aca="false">IF(F5028=1,G5028,"")</f>
        <v>161.194</v>
      </c>
    </row>
    <row r="5029" customFormat="false" ht="15" hidden="false" customHeight="false" outlineLevel="0" collapsed="false">
      <c r="A5029" s="31" t="n">
        <v>42945.4583333333</v>
      </c>
      <c r="B5029" s="32" t="n">
        <v>161.621</v>
      </c>
      <c r="D5029" s="33" t="n">
        <f aca="false">WEEKDAY(A5029,2)</f>
        <v>6</v>
      </c>
      <c r="E5029" s="33" t="n">
        <f aca="false">HOUR(A5029)+MINUTE(A5029)/60</f>
        <v>11</v>
      </c>
      <c r="F5029" s="33" t="n">
        <f aca="false">IF(OR(D5029&gt;5,E5029&lt;8,E5029&gt;=18,COUNTIF($K$2:$K$10,INT(A5029))&gt;0),1,0)</f>
        <v>1</v>
      </c>
      <c r="G5029" s="34" t="n">
        <f aca="false">B5029/1</f>
        <v>161.621</v>
      </c>
      <c r="H5029" s="34" t="n">
        <f aca="false">IF(F5029=1,G5029,"")</f>
        <v>161.621</v>
      </c>
    </row>
    <row r="5030" customFormat="false" ht="15" hidden="false" customHeight="false" outlineLevel="0" collapsed="false">
      <c r="A5030" s="31" t="n">
        <v>42945.5</v>
      </c>
      <c r="B5030" s="32" t="n">
        <v>162.217</v>
      </c>
      <c r="D5030" s="33" t="n">
        <f aca="false">WEEKDAY(A5030,2)</f>
        <v>6</v>
      </c>
      <c r="E5030" s="33" t="n">
        <f aca="false">HOUR(A5030)+MINUTE(A5030)/60</f>
        <v>12</v>
      </c>
      <c r="F5030" s="33" t="n">
        <f aca="false">IF(OR(D5030&gt;5,E5030&lt;8,E5030&gt;=18,COUNTIF($K$2:$K$10,INT(A5030))&gt;0),1,0)</f>
        <v>1</v>
      </c>
      <c r="G5030" s="34" t="n">
        <f aca="false">B5030/1</f>
        <v>162.217</v>
      </c>
      <c r="H5030" s="34" t="n">
        <f aca="false">IF(F5030=1,G5030,"")</f>
        <v>162.217</v>
      </c>
    </row>
    <row r="5031" customFormat="false" ht="15" hidden="false" customHeight="false" outlineLevel="0" collapsed="false">
      <c r="A5031" s="31" t="n">
        <v>42945.5416666667</v>
      </c>
      <c r="B5031" s="32" t="n">
        <v>161.49</v>
      </c>
      <c r="D5031" s="33" t="n">
        <f aca="false">WEEKDAY(A5031,2)</f>
        <v>6</v>
      </c>
      <c r="E5031" s="33" t="n">
        <f aca="false">HOUR(A5031)+MINUTE(A5031)/60</f>
        <v>13</v>
      </c>
      <c r="F5031" s="33" t="n">
        <f aca="false">IF(OR(D5031&gt;5,E5031&lt;8,E5031&gt;=18,COUNTIF($K$2:$K$10,INT(A5031))&gt;0),1,0)</f>
        <v>1</v>
      </c>
      <c r="G5031" s="34" t="n">
        <f aca="false">B5031/1</f>
        <v>161.49</v>
      </c>
      <c r="H5031" s="34" t="n">
        <f aca="false">IF(F5031=1,G5031,"")</f>
        <v>161.49</v>
      </c>
    </row>
    <row r="5032" customFormat="false" ht="15" hidden="false" customHeight="false" outlineLevel="0" collapsed="false">
      <c r="A5032" s="31" t="n">
        <v>42945.5833333333</v>
      </c>
      <c r="B5032" s="32" t="n">
        <v>161.22</v>
      </c>
      <c r="D5032" s="33" t="n">
        <f aca="false">WEEKDAY(A5032,2)</f>
        <v>6</v>
      </c>
      <c r="E5032" s="33" t="n">
        <f aca="false">HOUR(A5032)+MINUTE(A5032)/60</f>
        <v>14</v>
      </c>
      <c r="F5032" s="33" t="n">
        <f aca="false">IF(OR(D5032&gt;5,E5032&lt;8,E5032&gt;=18,COUNTIF($K$2:$K$10,INT(A5032))&gt;0),1,0)</f>
        <v>1</v>
      </c>
      <c r="G5032" s="34" t="n">
        <f aca="false">B5032/1</f>
        <v>161.22</v>
      </c>
      <c r="H5032" s="34" t="n">
        <f aca="false">IF(F5032=1,G5032,"")</f>
        <v>161.22</v>
      </c>
    </row>
    <row r="5033" customFormat="false" ht="15" hidden="false" customHeight="false" outlineLevel="0" collapsed="false">
      <c r="A5033" s="31" t="n">
        <v>42945.625</v>
      </c>
      <c r="B5033" s="32" t="n">
        <v>162.283</v>
      </c>
      <c r="D5033" s="33" t="n">
        <f aca="false">WEEKDAY(A5033,2)</f>
        <v>6</v>
      </c>
      <c r="E5033" s="33" t="n">
        <f aca="false">HOUR(A5033)+MINUTE(A5033)/60</f>
        <v>15</v>
      </c>
      <c r="F5033" s="33" t="n">
        <f aca="false">IF(OR(D5033&gt;5,E5033&lt;8,E5033&gt;=18,COUNTIF($K$2:$K$10,INT(A5033))&gt;0),1,0)</f>
        <v>1</v>
      </c>
      <c r="G5033" s="34" t="n">
        <f aca="false">B5033/1</f>
        <v>162.283</v>
      </c>
      <c r="H5033" s="34" t="n">
        <f aca="false">IF(F5033=1,G5033,"")</f>
        <v>162.283</v>
      </c>
    </row>
    <row r="5034" customFormat="false" ht="15" hidden="false" customHeight="false" outlineLevel="0" collapsed="false">
      <c r="A5034" s="31" t="n">
        <v>42945.6666666667</v>
      </c>
      <c r="B5034" s="32" t="n">
        <v>162.899</v>
      </c>
      <c r="D5034" s="33" t="n">
        <f aca="false">WEEKDAY(A5034,2)</f>
        <v>6</v>
      </c>
      <c r="E5034" s="33" t="n">
        <f aca="false">HOUR(A5034)+MINUTE(A5034)/60</f>
        <v>16</v>
      </c>
      <c r="F5034" s="33" t="n">
        <f aca="false">IF(OR(D5034&gt;5,E5034&lt;8,E5034&gt;=18,COUNTIF($K$2:$K$10,INT(A5034))&gt;0),1,0)</f>
        <v>1</v>
      </c>
      <c r="G5034" s="34" t="n">
        <f aca="false">B5034/1</f>
        <v>162.899</v>
      </c>
      <c r="H5034" s="34" t="n">
        <f aca="false">IF(F5034=1,G5034,"")</f>
        <v>162.899</v>
      </c>
    </row>
    <row r="5035" customFormat="false" ht="15" hidden="false" customHeight="false" outlineLevel="0" collapsed="false">
      <c r="A5035" s="31" t="n">
        <v>42945.7083333333</v>
      </c>
      <c r="B5035" s="32" t="n">
        <v>155.357</v>
      </c>
      <c r="D5035" s="33" t="n">
        <f aca="false">WEEKDAY(A5035,2)</f>
        <v>6</v>
      </c>
      <c r="E5035" s="33" t="n">
        <f aca="false">HOUR(A5035)+MINUTE(A5035)/60</f>
        <v>17</v>
      </c>
      <c r="F5035" s="33" t="n">
        <f aca="false">IF(OR(D5035&gt;5,E5035&lt;8,E5035&gt;=18,COUNTIF($K$2:$K$10,INT(A5035))&gt;0),1,0)</f>
        <v>1</v>
      </c>
      <c r="G5035" s="34" t="n">
        <f aca="false">B5035/1</f>
        <v>155.357</v>
      </c>
      <c r="H5035" s="34" t="n">
        <f aca="false">IF(F5035=1,G5035,"")</f>
        <v>155.357</v>
      </c>
    </row>
    <row r="5036" customFormat="false" ht="15" hidden="false" customHeight="false" outlineLevel="0" collapsed="false">
      <c r="A5036" s="31" t="n">
        <v>42945.75</v>
      </c>
      <c r="B5036" s="32" t="n">
        <v>60.187</v>
      </c>
      <c r="D5036" s="33" t="n">
        <f aca="false">WEEKDAY(A5036,2)</f>
        <v>6</v>
      </c>
      <c r="E5036" s="33" t="n">
        <f aca="false">HOUR(A5036)+MINUTE(A5036)/60</f>
        <v>18</v>
      </c>
      <c r="F5036" s="33" t="n">
        <f aca="false">IF(OR(D5036&gt;5,E5036&lt;8,E5036&gt;=18,COUNTIF($K$2:$K$10,INT(A5036))&gt;0),1,0)</f>
        <v>1</v>
      </c>
      <c r="G5036" s="34" t="n">
        <f aca="false">B5036/1</f>
        <v>60.187</v>
      </c>
      <c r="H5036" s="34" t="n">
        <f aca="false">IF(F5036=1,G5036,"")</f>
        <v>60.187</v>
      </c>
    </row>
    <row r="5037" customFormat="false" ht="15" hidden="false" customHeight="false" outlineLevel="0" collapsed="false">
      <c r="A5037" s="31" t="n">
        <v>42945.7916666667</v>
      </c>
      <c r="B5037" s="32" t="n">
        <v>42.918</v>
      </c>
      <c r="D5037" s="33" t="n">
        <f aca="false">WEEKDAY(A5037,2)</f>
        <v>6</v>
      </c>
      <c r="E5037" s="33" t="n">
        <f aca="false">HOUR(A5037)+MINUTE(A5037)/60</f>
        <v>19</v>
      </c>
      <c r="F5037" s="33" t="n">
        <f aca="false">IF(OR(D5037&gt;5,E5037&lt;8,E5037&gt;=18,COUNTIF($K$2:$K$10,INT(A5037))&gt;0),1,0)</f>
        <v>1</v>
      </c>
      <c r="G5037" s="34" t="n">
        <f aca="false">B5037/1</f>
        <v>42.918</v>
      </c>
      <c r="H5037" s="34" t="n">
        <f aca="false">IF(F5037=1,G5037,"")</f>
        <v>42.918</v>
      </c>
    </row>
    <row r="5038" customFormat="false" ht="15" hidden="false" customHeight="false" outlineLevel="0" collapsed="false">
      <c r="A5038" s="31" t="n">
        <v>42945.8333333333</v>
      </c>
      <c r="B5038" s="32" t="n">
        <v>41.586</v>
      </c>
      <c r="D5038" s="33" t="n">
        <f aca="false">WEEKDAY(A5038,2)</f>
        <v>6</v>
      </c>
      <c r="E5038" s="33" t="n">
        <f aca="false">HOUR(A5038)+MINUTE(A5038)/60</f>
        <v>20</v>
      </c>
      <c r="F5038" s="33" t="n">
        <f aca="false">IF(OR(D5038&gt;5,E5038&lt;8,E5038&gt;=18,COUNTIF($K$2:$K$10,INT(A5038))&gt;0),1,0)</f>
        <v>1</v>
      </c>
      <c r="G5038" s="34" t="n">
        <f aca="false">B5038/1</f>
        <v>41.586</v>
      </c>
      <c r="H5038" s="34" t="n">
        <f aca="false">IF(F5038=1,G5038,"")</f>
        <v>41.586</v>
      </c>
    </row>
    <row r="5039" customFormat="false" ht="15" hidden="false" customHeight="false" outlineLevel="0" collapsed="false">
      <c r="A5039" s="31" t="n">
        <v>42945.875</v>
      </c>
      <c r="B5039" s="32" t="n">
        <v>42.472</v>
      </c>
      <c r="D5039" s="33" t="n">
        <f aca="false">WEEKDAY(A5039,2)</f>
        <v>6</v>
      </c>
      <c r="E5039" s="33" t="n">
        <f aca="false">HOUR(A5039)+MINUTE(A5039)/60</f>
        <v>21</v>
      </c>
      <c r="F5039" s="33" t="n">
        <f aca="false">IF(OR(D5039&gt;5,E5039&lt;8,E5039&gt;=18,COUNTIF($K$2:$K$10,INT(A5039))&gt;0),1,0)</f>
        <v>1</v>
      </c>
      <c r="G5039" s="34" t="n">
        <f aca="false">B5039/1</f>
        <v>42.472</v>
      </c>
      <c r="H5039" s="34" t="n">
        <f aca="false">IF(F5039=1,G5039,"")</f>
        <v>42.472</v>
      </c>
    </row>
    <row r="5040" customFormat="false" ht="15" hidden="false" customHeight="false" outlineLevel="0" collapsed="false">
      <c r="A5040" s="31" t="n">
        <v>42945.9166666667</v>
      </c>
      <c r="B5040" s="32" t="n">
        <v>45.252</v>
      </c>
      <c r="D5040" s="33" t="n">
        <f aca="false">WEEKDAY(A5040,2)</f>
        <v>6</v>
      </c>
      <c r="E5040" s="33" t="n">
        <f aca="false">HOUR(A5040)+MINUTE(A5040)/60</f>
        <v>22</v>
      </c>
      <c r="F5040" s="33" t="n">
        <f aca="false">IF(OR(D5040&gt;5,E5040&lt;8,E5040&gt;=18,COUNTIF($K$2:$K$10,INT(A5040))&gt;0),1,0)</f>
        <v>1</v>
      </c>
      <c r="G5040" s="34" t="n">
        <f aca="false">B5040/1</f>
        <v>45.252</v>
      </c>
      <c r="H5040" s="34" t="n">
        <f aca="false">IF(F5040=1,G5040,"")</f>
        <v>45.252</v>
      </c>
    </row>
    <row r="5041" customFormat="false" ht="15" hidden="false" customHeight="false" outlineLevel="0" collapsed="false">
      <c r="A5041" s="31" t="n">
        <v>42945.9583333333</v>
      </c>
      <c r="B5041" s="32" t="n">
        <v>44.864</v>
      </c>
      <c r="D5041" s="33" t="n">
        <f aca="false">WEEKDAY(A5041,2)</f>
        <v>6</v>
      </c>
      <c r="E5041" s="33" t="n">
        <f aca="false">HOUR(A5041)+MINUTE(A5041)/60</f>
        <v>23</v>
      </c>
      <c r="F5041" s="33" t="n">
        <f aca="false">IF(OR(D5041&gt;5,E5041&lt;8,E5041&gt;=18,COUNTIF($K$2:$K$10,INT(A5041))&gt;0),1,0)</f>
        <v>1</v>
      </c>
      <c r="G5041" s="34" t="n">
        <f aca="false">B5041/1</f>
        <v>44.864</v>
      </c>
      <c r="H5041" s="34" t="n">
        <f aca="false">IF(F5041=1,G5041,"")</f>
        <v>44.864</v>
      </c>
    </row>
    <row r="5042" customFormat="false" ht="15" hidden="false" customHeight="false" outlineLevel="0" collapsed="false">
      <c r="A5042" s="31" t="n">
        <v>42946</v>
      </c>
      <c r="B5042" s="32" t="n">
        <v>44.621</v>
      </c>
      <c r="D5042" s="33" t="n">
        <f aca="false">WEEKDAY(A5042,2)</f>
        <v>7</v>
      </c>
      <c r="E5042" s="33" t="n">
        <f aca="false">HOUR(A5042)+MINUTE(A5042)/60</f>
        <v>0</v>
      </c>
      <c r="F5042" s="33" t="n">
        <f aca="false">IF(OR(D5042&gt;5,E5042&lt;8,E5042&gt;=18,COUNTIF($K$2:$K$10,INT(A5042))&gt;0),1,0)</f>
        <v>1</v>
      </c>
      <c r="G5042" s="34" t="n">
        <f aca="false">B5042/1</f>
        <v>44.621</v>
      </c>
      <c r="H5042" s="34" t="n">
        <f aca="false">IF(F5042=1,G5042,"")</f>
        <v>44.621</v>
      </c>
    </row>
    <row r="5043" customFormat="false" ht="15" hidden="false" customHeight="false" outlineLevel="0" collapsed="false">
      <c r="A5043" s="31" t="n">
        <v>42946.0416666667</v>
      </c>
      <c r="B5043" s="32" t="n">
        <v>44.839</v>
      </c>
      <c r="D5043" s="33" t="n">
        <f aca="false">WEEKDAY(A5043,2)</f>
        <v>7</v>
      </c>
      <c r="E5043" s="33" t="n">
        <f aca="false">HOUR(A5043)+MINUTE(A5043)/60</f>
        <v>1</v>
      </c>
      <c r="F5043" s="33" t="n">
        <f aca="false">IF(OR(D5043&gt;5,E5043&lt;8,E5043&gt;=18,COUNTIF($K$2:$K$10,INT(A5043))&gt;0),1,0)</f>
        <v>1</v>
      </c>
      <c r="G5043" s="34" t="n">
        <f aca="false">B5043/1</f>
        <v>44.839</v>
      </c>
      <c r="H5043" s="34" t="n">
        <f aca="false">IF(F5043=1,G5043,"")</f>
        <v>44.839</v>
      </c>
    </row>
    <row r="5044" customFormat="false" ht="15" hidden="false" customHeight="false" outlineLevel="0" collapsed="false">
      <c r="A5044" s="31" t="n">
        <v>42946.0833333333</v>
      </c>
      <c r="B5044" s="32" t="n">
        <v>44.178</v>
      </c>
      <c r="D5044" s="33" t="n">
        <f aca="false">WEEKDAY(A5044,2)</f>
        <v>7</v>
      </c>
      <c r="E5044" s="33" t="n">
        <f aca="false">HOUR(A5044)+MINUTE(A5044)/60</f>
        <v>2</v>
      </c>
      <c r="F5044" s="33" t="n">
        <f aca="false">IF(OR(D5044&gt;5,E5044&lt;8,E5044&gt;=18,COUNTIF($K$2:$K$10,INT(A5044))&gt;0),1,0)</f>
        <v>1</v>
      </c>
      <c r="G5044" s="34" t="n">
        <f aca="false">B5044/1</f>
        <v>44.178</v>
      </c>
      <c r="H5044" s="34" t="n">
        <f aca="false">IF(F5044=1,G5044,"")</f>
        <v>44.178</v>
      </c>
    </row>
    <row r="5045" customFormat="false" ht="15" hidden="false" customHeight="false" outlineLevel="0" collapsed="false">
      <c r="A5045" s="31" t="n">
        <v>42946.125</v>
      </c>
      <c r="B5045" s="32" t="n">
        <v>44.943</v>
      </c>
      <c r="D5045" s="33" t="n">
        <f aca="false">WEEKDAY(A5045,2)</f>
        <v>7</v>
      </c>
      <c r="E5045" s="33" t="n">
        <f aca="false">HOUR(A5045)+MINUTE(A5045)/60</f>
        <v>3</v>
      </c>
      <c r="F5045" s="33" t="n">
        <f aca="false">IF(OR(D5045&gt;5,E5045&lt;8,E5045&gt;=18,COUNTIF($K$2:$K$10,INT(A5045))&gt;0),1,0)</f>
        <v>1</v>
      </c>
      <c r="G5045" s="34" t="n">
        <f aca="false">B5045/1</f>
        <v>44.943</v>
      </c>
      <c r="H5045" s="34" t="n">
        <f aca="false">IF(F5045=1,G5045,"")</f>
        <v>44.943</v>
      </c>
    </row>
    <row r="5046" customFormat="false" ht="15" hidden="false" customHeight="false" outlineLevel="0" collapsed="false">
      <c r="A5046" s="31" t="n">
        <v>42946.1666666667</v>
      </c>
      <c r="B5046" s="32" t="n">
        <v>44.957</v>
      </c>
      <c r="D5046" s="33" t="n">
        <f aca="false">WEEKDAY(A5046,2)</f>
        <v>7</v>
      </c>
      <c r="E5046" s="33" t="n">
        <f aca="false">HOUR(A5046)+MINUTE(A5046)/60</f>
        <v>4</v>
      </c>
      <c r="F5046" s="33" t="n">
        <f aca="false">IF(OR(D5046&gt;5,E5046&lt;8,E5046&gt;=18,COUNTIF($K$2:$K$10,INT(A5046))&gt;0),1,0)</f>
        <v>1</v>
      </c>
      <c r="G5046" s="34" t="n">
        <f aca="false">B5046/1</f>
        <v>44.957</v>
      </c>
      <c r="H5046" s="34" t="n">
        <f aca="false">IF(F5046=1,G5046,"")</f>
        <v>44.957</v>
      </c>
    </row>
    <row r="5047" customFormat="false" ht="15" hidden="false" customHeight="false" outlineLevel="0" collapsed="false">
      <c r="A5047" s="31" t="n">
        <v>42946.2083333333</v>
      </c>
      <c r="B5047" s="32" t="n">
        <v>44.855</v>
      </c>
      <c r="D5047" s="33" t="n">
        <f aca="false">WEEKDAY(A5047,2)</f>
        <v>7</v>
      </c>
      <c r="E5047" s="33" t="n">
        <f aca="false">HOUR(A5047)+MINUTE(A5047)/60</f>
        <v>5</v>
      </c>
      <c r="F5047" s="33" t="n">
        <f aca="false">IF(OR(D5047&gt;5,E5047&lt;8,E5047&gt;=18,COUNTIF($K$2:$K$10,INT(A5047))&gt;0),1,0)</f>
        <v>1</v>
      </c>
      <c r="G5047" s="34" t="n">
        <f aca="false">B5047/1</f>
        <v>44.855</v>
      </c>
      <c r="H5047" s="34" t="n">
        <f aca="false">IF(F5047=1,G5047,"")</f>
        <v>44.855</v>
      </c>
    </row>
    <row r="5048" customFormat="false" ht="15" hidden="false" customHeight="false" outlineLevel="0" collapsed="false">
      <c r="A5048" s="31" t="n">
        <v>42946.25</v>
      </c>
      <c r="B5048" s="32" t="n">
        <v>56.757</v>
      </c>
      <c r="D5048" s="33" t="n">
        <f aca="false">WEEKDAY(A5048,2)</f>
        <v>7</v>
      </c>
      <c r="E5048" s="33" t="n">
        <f aca="false">HOUR(A5048)+MINUTE(A5048)/60</f>
        <v>6</v>
      </c>
      <c r="F5048" s="33" t="n">
        <f aca="false">IF(OR(D5048&gt;5,E5048&lt;8,E5048&gt;=18,COUNTIF($K$2:$K$10,INT(A5048))&gt;0),1,0)</f>
        <v>1</v>
      </c>
      <c r="G5048" s="34" t="n">
        <f aca="false">B5048/1</f>
        <v>56.757</v>
      </c>
      <c r="H5048" s="34" t="n">
        <f aca="false">IF(F5048=1,G5048,"")</f>
        <v>56.757</v>
      </c>
    </row>
    <row r="5049" customFormat="false" ht="15" hidden="false" customHeight="false" outlineLevel="0" collapsed="false">
      <c r="A5049" s="31" t="n">
        <v>42946.2916666667</v>
      </c>
      <c r="B5049" s="32" t="n">
        <v>46.256</v>
      </c>
      <c r="D5049" s="33" t="n">
        <f aca="false">WEEKDAY(A5049,2)</f>
        <v>7</v>
      </c>
      <c r="E5049" s="33" t="n">
        <f aca="false">HOUR(A5049)+MINUTE(A5049)/60</f>
        <v>7</v>
      </c>
      <c r="F5049" s="33" t="n">
        <f aca="false">IF(OR(D5049&gt;5,E5049&lt;8,E5049&gt;=18,COUNTIF($K$2:$K$10,INT(A5049))&gt;0),1,0)</f>
        <v>1</v>
      </c>
      <c r="G5049" s="34" t="n">
        <f aca="false">B5049/1</f>
        <v>46.256</v>
      </c>
      <c r="H5049" s="34" t="n">
        <f aca="false">IF(F5049=1,G5049,"")</f>
        <v>46.256</v>
      </c>
    </row>
    <row r="5050" customFormat="false" ht="15" hidden="false" customHeight="false" outlineLevel="0" collapsed="false">
      <c r="A5050" s="31" t="n">
        <v>42946.3333333333</v>
      </c>
      <c r="B5050" s="32" t="n">
        <v>45.597</v>
      </c>
      <c r="D5050" s="33" t="n">
        <f aca="false">WEEKDAY(A5050,2)</f>
        <v>7</v>
      </c>
      <c r="E5050" s="33" t="n">
        <f aca="false">HOUR(A5050)+MINUTE(A5050)/60</f>
        <v>8</v>
      </c>
      <c r="F5050" s="33" t="n">
        <f aca="false">IF(OR(D5050&gt;5,E5050&lt;8,E5050&gt;=18,COUNTIF($K$2:$K$10,INT(A5050))&gt;0),1,0)</f>
        <v>1</v>
      </c>
      <c r="G5050" s="34" t="n">
        <f aca="false">B5050/1</f>
        <v>45.597</v>
      </c>
      <c r="H5050" s="34" t="n">
        <f aca="false">IF(F5050=1,G5050,"")</f>
        <v>45.597</v>
      </c>
    </row>
    <row r="5051" customFormat="false" ht="15" hidden="false" customHeight="false" outlineLevel="0" collapsed="false">
      <c r="A5051" s="31" t="n">
        <v>42946.375</v>
      </c>
      <c r="B5051" s="32" t="n">
        <v>47.964</v>
      </c>
      <c r="D5051" s="33" t="n">
        <f aca="false">WEEKDAY(A5051,2)</f>
        <v>7</v>
      </c>
      <c r="E5051" s="33" t="n">
        <f aca="false">HOUR(A5051)+MINUTE(A5051)/60</f>
        <v>9</v>
      </c>
      <c r="F5051" s="33" t="n">
        <f aca="false">IF(OR(D5051&gt;5,E5051&lt;8,E5051&gt;=18,COUNTIF($K$2:$K$10,INT(A5051))&gt;0),1,0)</f>
        <v>1</v>
      </c>
      <c r="G5051" s="34" t="n">
        <f aca="false">B5051/1</f>
        <v>47.964</v>
      </c>
      <c r="H5051" s="34" t="n">
        <f aca="false">IF(F5051=1,G5051,"")</f>
        <v>47.964</v>
      </c>
    </row>
    <row r="5052" customFormat="false" ht="15" hidden="false" customHeight="false" outlineLevel="0" collapsed="false">
      <c r="A5052" s="31" t="n">
        <v>42946.4166666667</v>
      </c>
      <c r="B5052" s="32" t="n">
        <v>48.547</v>
      </c>
      <c r="D5052" s="33" t="n">
        <f aca="false">WEEKDAY(A5052,2)</f>
        <v>7</v>
      </c>
      <c r="E5052" s="33" t="n">
        <f aca="false">HOUR(A5052)+MINUTE(A5052)/60</f>
        <v>10</v>
      </c>
      <c r="F5052" s="33" t="n">
        <f aca="false">IF(OR(D5052&gt;5,E5052&lt;8,E5052&gt;=18,COUNTIF($K$2:$K$10,INT(A5052))&gt;0),1,0)</f>
        <v>1</v>
      </c>
      <c r="G5052" s="34" t="n">
        <f aca="false">B5052/1</f>
        <v>48.547</v>
      </c>
      <c r="H5052" s="34" t="n">
        <f aca="false">IF(F5052=1,G5052,"")</f>
        <v>48.547</v>
      </c>
    </row>
    <row r="5053" customFormat="false" ht="15" hidden="false" customHeight="false" outlineLevel="0" collapsed="false">
      <c r="A5053" s="31" t="n">
        <v>42946.4583333333</v>
      </c>
      <c r="B5053" s="32" t="n">
        <v>69.213</v>
      </c>
      <c r="D5053" s="33" t="n">
        <f aca="false">WEEKDAY(A5053,2)</f>
        <v>7</v>
      </c>
      <c r="E5053" s="33" t="n">
        <f aca="false">HOUR(A5053)+MINUTE(A5053)/60</f>
        <v>11</v>
      </c>
      <c r="F5053" s="33" t="n">
        <f aca="false">IF(OR(D5053&gt;5,E5053&lt;8,E5053&gt;=18,COUNTIF($K$2:$K$10,INT(A5053))&gt;0),1,0)</f>
        <v>1</v>
      </c>
      <c r="G5053" s="34" t="n">
        <f aca="false">B5053/1</f>
        <v>69.213</v>
      </c>
      <c r="H5053" s="34" t="n">
        <f aca="false">IF(F5053=1,G5053,"")</f>
        <v>69.213</v>
      </c>
    </row>
    <row r="5054" customFormat="false" ht="15" hidden="false" customHeight="false" outlineLevel="0" collapsed="false">
      <c r="A5054" s="31" t="n">
        <v>42946.5</v>
      </c>
      <c r="B5054" s="32" t="n">
        <v>75.038</v>
      </c>
      <c r="D5054" s="33" t="n">
        <f aca="false">WEEKDAY(A5054,2)</f>
        <v>7</v>
      </c>
      <c r="E5054" s="33" t="n">
        <f aca="false">HOUR(A5054)+MINUTE(A5054)/60</f>
        <v>12</v>
      </c>
      <c r="F5054" s="33" t="n">
        <f aca="false">IF(OR(D5054&gt;5,E5054&lt;8,E5054&gt;=18,COUNTIF($K$2:$K$10,INT(A5054))&gt;0),1,0)</f>
        <v>1</v>
      </c>
      <c r="G5054" s="34" t="n">
        <f aca="false">B5054/1</f>
        <v>75.038</v>
      </c>
      <c r="H5054" s="34" t="n">
        <f aca="false">IF(F5054=1,G5054,"")</f>
        <v>75.038</v>
      </c>
    </row>
    <row r="5055" customFormat="false" ht="15" hidden="false" customHeight="false" outlineLevel="0" collapsed="false">
      <c r="A5055" s="31" t="n">
        <v>42946.5416666667</v>
      </c>
      <c r="B5055" s="32" t="n">
        <v>130.904</v>
      </c>
      <c r="D5055" s="33" t="n">
        <f aca="false">WEEKDAY(A5055,2)</f>
        <v>7</v>
      </c>
      <c r="E5055" s="33" t="n">
        <f aca="false">HOUR(A5055)+MINUTE(A5055)/60</f>
        <v>13</v>
      </c>
      <c r="F5055" s="33" t="n">
        <f aca="false">IF(OR(D5055&gt;5,E5055&lt;8,E5055&gt;=18,COUNTIF($K$2:$K$10,INT(A5055))&gt;0),1,0)</f>
        <v>1</v>
      </c>
      <c r="G5055" s="34" t="n">
        <f aca="false">B5055/1</f>
        <v>130.904</v>
      </c>
      <c r="H5055" s="34" t="n">
        <f aca="false">IF(F5055=1,G5055,"")</f>
        <v>130.904</v>
      </c>
    </row>
    <row r="5056" customFormat="false" ht="15" hidden="false" customHeight="false" outlineLevel="0" collapsed="false">
      <c r="A5056" s="31" t="n">
        <v>42946.5833333333</v>
      </c>
      <c r="B5056" s="32" t="n">
        <v>144.439</v>
      </c>
      <c r="D5056" s="33" t="n">
        <f aca="false">WEEKDAY(A5056,2)</f>
        <v>7</v>
      </c>
      <c r="E5056" s="33" t="n">
        <f aca="false">HOUR(A5056)+MINUTE(A5056)/60</f>
        <v>14</v>
      </c>
      <c r="F5056" s="33" t="n">
        <f aca="false">IF(OR(D5056&gt;5,E5056&lt;8,E5056&gt;=18,COUNTIF($K$2:$K$10,INT(A5056))&gt;0),1,0)</f>
        <v>1</v>
      </c>
      <c r="G5056" s="34" t="n">
        <f aca="false">B5056/1</f>
        <v>144.439</v>
      </c>
      <c r="H5056" s="34" t="n">
        <f aca="false">IF(F5056=1,G5056,"")</f>
        <v>144.439</v>
      </c>
    </row>
    <row r="5057" customFormat="false" ht="15" hidden="false" customHeight="false" outlineLevel="0" collapsed="false">
      <c r="A5057" s="31" t="n">
        <v>42946.625</v>
      </c>
      <c r="B5057" s="32" t="n">
        <v>136.696</v>
      </c>
      <c r="D5057" s="33" t="n">
        <f aca="false">WEEKDAY(A5057,2)</f>
        <v>7</v>
      </c>
      <c r="E5057" s="33" t="n">
        <f aca="false">HOUR(A5057)+MINUTE(A5057)/60</f>
        <v>15</v>
      </c>
      <c r="F5057" s="33" t="n">
        <f aca="false">IF(OR(D5057&gt;5,E5057&lt;8,E5057&gt;=18,COUNTIF($K$2:$K$10,INT(A5057))&gt;0),1,0)</f>
        <v>1</v>
      </c>
      <c r="G5057" s="34" t="n">
        <f aca="false">B5057/1</f>
        <v>136.696</v>
      </c>
      <c r="H5057" s="34" t="n">
        <f aca="false">IF(F5057=1,G5057,"")</f>
        <v>136.696</v>
      </c>
    </row>
    <row r="5058" customFormat="false" ht="15" hidden="false" customHeight="false" outlineLevel="0" collapsed="false">
      <c r="A5058" s="31" t="n">
        <v>42946.6666666667</v>
      </c>
      <c r="B5058" s="32" t="n">
        <v>133.223</v>
      </c>
      <c r="D5058" s="33" t="n">
        <f aca="false">WEEKDAY(A5058,2)</f>
        <v>7</v>
      </c>
      <c r="E5058" s="33" t="n">
        <f aca="false">HOUR(A5058)+MINUTE(A5058)/60</f>
        <v>16</v>
      </c>
      <c r="F5058" s="33" t="n">
        <f aca="false">IF(OR(D5058&gt;5,E5058&lt;8,E5058&gt;=18,COUNTIF($K$2:$K$10,INT(A5058))&gt;0),1,0)</f>
        <v>1</v>
      </c>
      <c r="G5058" s="34" t="n">
        <f aca="false">B5058/1</f>
        <v>133.223</v>
      </c>
      <c r="H5058" s="34" t="n">
        <f aca="false">IF(F5058=1,G5058,"")</f>
        <v>133.223</v>
      </c>
    </row>
    <row r="5059" customFormat="false" ht="15" hidden="false" customHeight="false" outlineLevel="0" collapsed="false">
      <c r="A5059" s="31" t="n">
        <v>42946.7083333333</v>
      </c>
      <c r="B5059" s="32" t="n">
        <v>131.377</v>
      </c>
      <c r="D5059" s="33" t="n">
        <f aca="false">WEEKDAY(A5059,2)</f>
        <v>7</v>
      </c>
      <c r="E5059" s="33" t="n">
        <f aca="false">HOUR(A5059)+MINUTE(A5059)/60</f>
        <v>17</v>
      </c>
      <c r="F5059" s="33" t="n">
        <f aca="false">IF(OR(D5059&gt;5,E5059&lt;8,E5059&gt;=18,COUNTIF($K$2:$K$10,INT(A5059))&gt;0),1,0)</f>
        <v>1</v>
      </c>
      <c r="G5059" s="34" t="n">
        <f aca="false">B5059/1</f>
        <v>131.377</v>
      </c>
      <c r="H5059" s="34" t="n">
        <f aca="false">IF(F5059=1,G5059,"")</f>
        <v>131.377</v>
      </c>
    </row>
    <row r="5060" customFormat="false" ht="15" hidden="false" customHeight="false" outlineLevel="0" collapsed="false">
      <c r="A5060" s="31" t="n">
        <v>42946.75</v>
      </c>
      <c r="B5060" s="32" t="n">
        <v>51.259</v>
      </c>
      <c r="D5060" s="33" t="n">
        <f aca="false">WEEKDAY(A5060,2)</f>
        <v>7</v>
      </c>
      <c r="E5060" s="33" t="n">
        <f aca="false">HOUR(A5060)+MINUTE(A5060)/60</f>
        <v>18</v>
      </c>
      <c r="F5060" s="33" t="n">
        <f aca="false">IF(OR(D5060&gt;5,E5060&lt;8,E5060&gt;=18,COUNTIF($K$2:$K$10,INT(A5060))&gt;0),1,0)</f>
        <v>1</v>
      </c>
      <c r="G5060" s="34" t="n">
        <f aca="false">B5060/1</f>
        <v>51.259</v>
      </c>
      <c r="H5060" s="34" t="n">
        <f aca="false">IF(F5060=1,G5060,"")</f>
        <v>51.259</v>
      </c>
    </row>
    <row r="5061" customFormat="false" ht="15" hidden="false" customHeight="false" outlineLevel="0" collapsed="false">
      <c r="A5061" s="31" t="n">
        <v>42946.7916666667</v>
      </c>
      <c r="B5061" s="32" t="n">
        <v>45.458</v>
      </c>
      <c r="D5061" s="33" t="n">
        <f aca="false">WEEKDAY(A5061,2)</f>
        <v>7</v>
      </c>
      <c r="E5061" s="33" t="n">
        <f aca="false">HOUR(A5061)+MINUTE(A5061)/60</f>
        <v>19</v>
      </c>
      <c r="F5061" s="33" t="n">
        <f aca="false">IF(OR(D5061&gt;5,E5061&lt;8,E5061&gt;=18,COUNTIF($K$2:$K$10,INT(A5061))&gt;0),1,0)</f>
        <v>1</v>
      </c>
      <c r="G5061" s="34" t="n">
        <f aca="false">B5061/1</f>
        <v>45.458</v>
      </c>
      <c r="H5061" s="34" t="n">
        <f aca="false">IF(F5061=1,G5061,"")</f>
        <v>45.458</v>
      </c>
    </row>
    <row r="5062" customFormat="false" ht="15" hidden="false" customHeight="false" outlineLevel="0" collapsed="false">
      <c r="A5062" s="31" t="n">
        <v>42946.8333333333</v>
      </c>
      <c r="B5062" s="32" t="n">
        <v>45.516</v>
      </c>
      <c r="D5062" s="33" t="n">
        <f aca="false">WEEKDAY(A5062,2)</f>
        <v>7</v>
      </c>
      <c r="E5062" s="33" t="n">
        <f aca="false">HOUR(A5062)+MINUTE(A5062)/60</f>
        <v>20</v>
      </c>
      <c r="F5062" s="33" t="n">
        <f aca="false">IF(OR(D5062&gt;5,E5062&lt;8,E5062&gt;=18,COUNTIF($K$2:$K$10,INT(A5062))&gt;0),1,0)</f>
        <v>1</v>
      </c>
      <c r="G5062" s="34" t="n">
        <f aca="false">B5062/1</f>
        <v>45.516</v>
      </c>
      <c r="H5062" s="34" t="n">
        <f aca="false">IF(F5062=1,G5062,"")</f>
        <v>45.516</v>
      </c>
    </row>
    <row r="5063" customFormat="false" ht="15" hidden="false" customHeight="false" outlineLevel="0" collapsed="false">
      <c r="A5063" s="31" t="n">
        <v>42946.875</v>
      </c>
      <c r="B5063" s="32" t="n">
        <v>45.288</v>
      </c>
      <c r="D5063" s="33" t="n">
        <f aca="false">WEEKDAY(A5063,2)</f>
        <v>7</v>
      </c>
      <c r="E5063" s="33" t="n">
        <f aca="false">HOUR(A5063)+MINUTE(A5063)/60</f>
        <v>21</v>
      </c>
      <c r="F5063" s="33" t="n">
        <f aca="false">IF(OR(D5063&gt;5,E5063&lt;8,E5063&gt;=18,COUNTIF($K$2:$K$10,INT(A5063))&gt;0),1,0)</f>
        <v>1</v>
      </c>
      <c r="G5063" s="34" t="n">
        <f aca="false">B5063/1</f>
        <v>45.288</v>
      </c>
      <c r="H5063" s="34" t="n">
        <f aca="false">IF(F5063=1,G5063,"")</f>
        <v>45.288</v>
      </c>
    </row>
    <row r="5064" customFormat="false" ht="15" hidden="false" customHeight="false" outlineLevel="0" collapsed="false">
      <c r="A5064" s="31" t="n">
        <v>42946.9166666667</v>
      </c>
      <c r="B5064" s="32" t="n">
        <v>47.08</v>
      </c>
      <c r="D5064" s="33" t="n">
        <f aca="false">WEEKDAY(A5064,2)</f>
        <v>7</v>
      </c>
      <c r="E5064" s="33" t="n">
        <f aca="false">HOUR(A5064)+MINUTE(A5064)/60</f>
        <v>22</v>
      </c>
      <c r="F5064" s="33" t="n">
        <f aca="false">IF(OR(D5064&gt;5,E5064&lt;8,E5064&gt;=18,COUNTIF($K$2:$K$10,INT(A5064))&gt;0),1,0)</f>
        <v>1</v>
      </c>
      <c r="G5064" s="34" t="n">
        <f aca="false">B5064/1</f>
        <v>47.08</v>
      </c>
      <c r="H5064" s="34" t="n">
        <f aca="false">IF(F5064=1,G5064,"")</f>
        <v>47.08</v>
      </c>
    </row>
    <row r="5065" customFormat="false" ht="15" hidden="false" customHeight="false" outlineLevel="0" collapsed="false">
      <c r="A5065" s="31" t="n">
        <v>42946.9583333333</v>
      </c>
      <c r="B5065" s="32" t="n">
        <v>49.01</v>
      </c>
      <c r="D5065" s="33" t="n">
        <f aca="false">WEEKDAY(A5065,2)</f>
        <v>7</v>
      </c>
      <c r="E5065" s="33" t="n">
        <f aca="false">HOUR(A5065)+MINUTE(A5065)/60</f>
        <v>23</v>
      </c>
      <c r="F5065" s="33" t="n">
        <f aca="false">IF(OR(D5065&gt;5,E5065&lt;8,E5065&gt;=18,COUNTIF($K$2:$K$10,INT(A5065))&gt;0),1,0)</f>
        <v>1</v>
      </c>
      <c r="G5065" s="34" t="n">
        <f aca="false">B5065/1</f>
        <v>49.01</v>
      </c>
      <c r="H5065" s="34" t="n">
        <f aca="false">IF(F5065=1,G5065,"")</f>
        <v>49.01</v>
      </c>
    </row>
    <row r="5066" customFormat="false" ht="15" hidden="false" customHeight="false" outlineLevel="0" collapsed="false">
      <c r="A5066" s="31" t="n">
        <v>42947</v>
      </c>
      <c r="B5066" s="32" t="n">
        <v>54.305</v>
      </c>
      <c r="D5066" s="33" t="n">
        <f aca="false">WEEKDAY(A5066,2)</f>
        <v>1</v>
      </c>
      <c r="E5066" s="33" t="n">
        <f aca="false">HOUR(A5066)+MINUTE(A5066)/60</f>
        <v>0</v>
      </c>
      <c r="F5066" s="33" t="n">
        <f aca="false">IF(OR(D5066&gt;5,E5066&lt;8,E5066&gt;=18,COUNTIF($K$2:$K$10,INT(A5066))&gt;0),1,0)</f>
        <v>1</v>
      </c>
      <c r="G5066" s="34" t="n">
        <f aca="false">B5066/1</f>
        <v>54.305</v>
      </c>
      <c r="H5066" s="34" t="n">
        <f aca="false">IF(F5066=1,G5066,"")</f>
        <v>54.305</v>
      </c>
    </row>
    <row r="5067" customFormat="false" ht="15" hidden="false" customHeight="false" outlineLevel="0" collapsed="false">
      <c r="A5067" s="31" t="n">
        <v>42947.0416666667</v>
      </c>
      <c r="B5067" s="32" t="n">
        <v>50.871</v>
      </c>
      <c r="D5067" s="33" t="n">
        <f aca="false">WEEKDAY(A5067,2)</f>
        <v>1</v>
      </c>
      <c r="E5067" s="33" t="n">
        <f aca="false">HOUR(A5067)+MINUTE(A5067)/60</f>
        <v>1</v>
      </c>
      <c r="F5067" s="33" t="n">
        <f aca="false">IF(OR(D5067&gt;5,E5067&lt;8,E5067&gt;=18,COUNTIF($K$2:$K$10,INT(A5067))&gt;0),1,0)</f>
        <v>1</v>
      </c>
      <c r="G5067" s="34" t="n">
        <f aca="false">B5067/1</f>
        <v>50.871</v>
      </c>
      <c r="H5067" s="34" t="n">
        <f aca="false">IF(F5067=1,G5067,"")</f>
        <v>50.871</v>
      </c>
    </row>
    <row r="5068" customFormat="false" ht="15" hidden="false" customHeight="false" outlineLevel="0" collapsed="false">
      <c r="A5068" s="31" t="n">
        <v>42947.0833333333</v>
      </c>
      <c r="B5068" s="32" t="n">
        <v>52.018</v>
      </c>
      <c r="D5068" s="33" t="n">
        <f aca="false">WEEKDAY(A5068,2)</f>
        <v>1</v>
      </c>
      <c r="E5068" s="33" t="n">
        <f aca="false">HOUR(A5068)+MINUTE(A5068)/60</f>
        <v>2</v>
      </c>
      <c r="F5068" s="33" t="n">
        <f aca="false">IF(OR(D5068&gt;5,E5068&lt;8,E5068&gt;=18,COUNTIF($K$2:$K$10,INT(A5068))&gt;0),1,0)</f>
        <v>1</v>
      </c>
      <c r="G5068" s="34" t="n">
        <f aca="false">B5068/1</f>
        <v>52.018</v>
      </c>
      <c r="H5068" s="34" t="n">
        <f aca="false">IF(F5068=1,G5068,"")</f>
        <v>52.018</v>
      </c>
    </row>
    <row r="5069" customFormat="false" ht="15" hidden="false" customHeight="false" outlineLevel="0" collapsed="false">
      <c r="A5069" s="31" t="n">
        <v>42947.125</v>
      </c>
      <c r="B5069" s="32" t="n">
        <v>52.018</v>
      </c>
      <c r="D5069" s="33" t="n">
        <f aca="false">WEEKDAY(A5069,2)</f>
        <v>1</v>
      </c>
      <c r="E5069" s="33" t="n">
        <f aca="false">HOUR(A5069)+MINUTE(A5069)/60</f>
        <v>3</v>
      </c>
      <c r="F5069" s="33" t="n">
        <f aca="false">IF(OR(D5069&gt;5,E5069&lt;8,E5069&gt;=18,COUNTIF($K$2:$K$10,INT(A5069))&gt;0),1,0)</f>
        <v>1</v>
      </c>
      <c r="G5069" s="34" t="n">
        <f aca="false">B5069/1</f>
        <v>52.018</v>
      </c>
      <c r="H5069" s="34" t="n">
        <f aca="false">IF(F5069=1,G5069,"")</f>
        <v>52.018</v>
      </c>
    </row>
    <row r="5070" customFormat="false" ht="15" hidden="false" customHeight="false" outlineLevel="0" collapsed="false">
      <c r="A5070" s="31" t="n">
        <v>42947.1666666667</v>
      </c>
      <c r="B5070" s="32" t="n">
        <v>52.018</v>
      </c>
      <c r="D5070" s="33" t="n">
        <f aca="false">WEEKDAY(A5070,2)</f>
        <v>1</v>
      </c>
      <c r="E5070" s="33" t="n">
        <f aca="false">HOUR(A5070)+MINUTE(A5070)/60</f>
        <v>4</v>
      </c>
      <c r="F5070" s="33" t="n">
        <f aca="false">IF(OR(D5070&gt;5,E5070&lt;8,E5070&gt;=18,COUNTIF($K$2:$K$10,INT(A5070))&gt;0),1,0)</f>
        <v>1</v>
      </c>
      <c r="G5070" s="34" t="n">
        <f aca="false">B5070/1</f>
        <v>52.018</v>
      </c>
      <c r="H5070" s="34" t="n">
        <f aca="false">IF(F5070=1,G5070,"")</f>
        <v>52.018</v>
      </c>
    </row>
    <row r="5071" customFormat="false" ht="15" hidden="false" customHeight="false" outlineLevel="0" collapsed="false">
      <c r="A5071" s="31" t="n">
        <v>42947.2083333333</v>
      </c>
      <c r="B5071" s="32" t="n">
        <v>52.018</v>
      </c>
      <c r="D5071" s="33" t="n">
        <f aca="false">WEEKDAY(A5071,2)</f>
        <v>1</v>
      </c>
      <c r="E5071" s="33" t="n">
        <f aca="false">HOUR(A5071)+MINUTE(A5071)/60</f>
        <v>5</v>
      </c>
      <c r="F5071" s="33" t="n">
        <f aca="false">IF(OR(D5071&gt;5,E5071&lt;8,E5071&gt;=18,COUNTIF($K$2:$K$10,INT(A5071))&gt;0),1,0)</f>
        <v>1</v>
      </c>
      <c r="G5071" s="34" t="n">
        <f aca="false">B5071/1</f>
        <v>52.018</v>
      </c>
      <c r="H5071" s="34" t="n">
        <f aca="false">IF(F5071=1,G5071,"")</f>
        <v>52.018</v>
      </c>
    </row>
    <row r="5072" customFormat="false" ht="15" hidden="false" customHeight="false" outlineLevel="0" collapsed="false">
      <c r="A5072" s="31" t="n">
        <v>42947.25</v>
      </c>
      <c r="B5072" s="32" t="n">
        <v>52.018</v>
      </c>
      <c r="D5072" s="33" t="n">
        <f aca="false">WEEKDAY(A5072,2)</f>
        <v>1</v>
      </c>
      <c r="E5072" s="33" t="n">
        <f aca="false">HOUR(A5072)+MINUTE(A5072)/60</f>
        <v>6</v>
      </c>
      <c r="F5072" s="33" t="n">
        <f aca="false">IF(OR(D5072&gt;5,E5072&lt;8,E5072&gt;=18,COUNTIF($K$2:$K$10,INT(A5072))&gt;0),1,0)</f>
        <v>1</v>
      </c>
      <c r="G5072" s="34" t="n">
        <f aca="false">B5072/1</f>
        <v>52.018</v>
      </c>
      <c r="H5072" s="34" t="n">
        <f aca="false">IF(F5072=1,G5072,"")</f>
        <v>52.018</v>
      </c>
    </row>
    <row r="5073" customFormat="false" ht="15" hidden="false" customHeight="false" outlineLevel="0" collapsed="false">
      <c r="A5073" s="31" t="n">
        <v>42947.2916666667</v>
      </c>
      <c r="B5073" s="32" t="n">
        <v>107.956</v>
      </c>
      <c r="D5073" s="33" t="n">
        <f aca="false">WEEKDAY(A5073,2)</f>
        <v>1</v>
      </c>
      <c r="E5073" s="33" t="n">
        <f aca="false">HOUR(A5073)+MINUTE(A5073)/60</f>
        <v>7</v>
      </c>
      <c r="F5073" s="33" t="n">
        <f aca="false">IF(OR(D5073&gt;5,E5073&lt;8,E5073&gt;=18,COUNTIF($K$2:$K$10,INT(A5073))&gt;0),1,0)</f>
        <v>1</v>
      </c>
      <c r="G5073" s="34" t="n">
        <f aca="false">B5073/1</f>
        <v>107.956</v>
      </c>
      <c r="H5073" s="34" t="n">
        <f aca="false">IF(F5073=1,G5073,"")</f>
        <v>107.956</v>
      </c>
    </row>
    <row r="5074" customFormat="false" ht="15" hidden="false" customHeight="false" outlineLevel="0" collapsed="false">
      <c r="A5074" s="31" t="n">
        <v>42947.3333333333</v>
      </c>
      <c r="B5074" s="32" t="n">
        <v>183.615</v>
      </c>
      <c r="D5074" s="33" t="n">
        <f aca="false">WEEKDAY(A5074,2)</f>
        <v>1</v>
      </c>
      <c r="E5074" s="33" t="n">
        <f aca="false">HOUR(A5074)+MINUTE(A5074)/60</f>
        <v>8</v>
      </c>
      <c r="F5074" s="33" t="n">
        <f aca="false">IF(OR(D5074&gt;5,E5074&lt;8,E5074&gt;=18,COUNTIF($K$2:$K$10,INT(A5074))&gt;0),1,0)</f>
        <v>0</v>
      </c>
      <c r="G5074" s="34" t="n">
        <f aca="false">B5074/1</f>
        <v>183.615</v>
      </c>
      <c r="H5074" s="34" t="str">
        <f aca="false">IF(F5074=1,G5074,"")</f>
        <v/>
      </c>
    </row>
    <row r="5075" customFormat="false" ht="15" hidden="false" customHeight="false" outlineLevel="0" collapsed="false">
      <c r="A5075" s="31" t="n">
        <v>42947.375</v>
      </c>
      <c r="B5075" s="32" t="n">
        <v>199.587</v>
      </c>
      <c r="D5075" s="33" t="n">
        <f aca="false">WEEKDAY(A5075,2)</f>
        <v>1</v>
      </c>
      <c r="E5075" s="33" t="n">
        <f aca="false">HOUR(A5075)+MINUTE(A5075)/60</f>
        <v>9</v>
      </c>
      <c r="F5075" s="33" t="n">
        <f aca="false">IF(OR(D5075&gt;5,E5075&lt;8,E5075&gt;=18,COUNTIF($K$2:$K$10,INT(A5075))&gt;0),1,0)</f>
        <v>0</v>
      </c>
      <c r="G5075" s="34" t="n">
        <f aca="false">B5075/1</f>
        <v>199.587</v>
      </c>
      <c r="H5075" s="34" t="str">
        <f aca="false">IF(F5075=1,G5075,"")</f>
        <v/>
      </c>
    </row>
    <row r="5076" customFormat="false" ht="15" hidden="false" customHeight="false" outlineLevel="0" collapsed="false">
      <c r="A5076" s="31" t="n">
        <v>42947.4166666667</v>
      </c>
      <c r="B5076" s="32" t="n">
        <v>212.089</v>
      </c>
      <c r="D5076" s="33" t="n">
        <f aca="false">WEEKDAY(A5076,2)</f>
        <v>1</v>
      </c>
      <c r="E5076" s="33" t="n">
        <f aca="false">HOUR(A5076)+MINUTE(A5076)/60</f>
        <v>10</v>
      </c>
      <c r="F5076" s="33" t="n">
        <f aca="false">IF(OR(D5076&gt;5,E5076&lt;8,E5076&gt;=18,COUNTIF($K$2:$K$10,INT(A5076))&gt;0),1,0)</f>
        <v>0</v>
      </c>
      <c r="G5076" s="34" t="n">
        <f aca="false">B5076/1</f>
        <v>212.089</v>
      </c>
      <c r="H5076" s="34" t="str">
        <f aca="false">IF(F5076=1,G5076,"")</f>
        <v/>
      </c>
    </row>
    <row r="5077" customFormat="false" ht="15" hidden="false" customHeight="false" outlineLevel="0" collapsed="false">
      <c r="A5077" s="31" t="n">
        <v>42947.4583333333</v>
      </c>
      <c r="B5077" s="32" t="n">
        <v>215.974</v>
      </c>
      <c r="D5077" s="33" t="n">
        <f aca="false">WEEKDAY(A5077,2)</f>
        <v>1</v>
      </c>
      <c r="E5077" s="33" t="n">
        <f aca="false">HOUR(A5077)+MINUTE(A5077)/60</f>
        <v>11</v>
      </c>
      <c r="F5077" s="33" t="n">
        <f aca="false">IF(OR(D5077&gt;5,E5077&lt;8,E5077&gt;=18,COUNTIF($K$2:$K$10,INT(A5077))&gt;0),1,0)</f>
        <v>0</v>
      </c>
      <c r="G5077" s="34" t="n">
        <f aca="false">B5077/1</f>
        <v>215.974</v>
      </c>
      <c r="H5077" s="34" t="str">
        <f aca="false">IF(F5077=1,G5077,"")</f>
        <v/>
      </c>
    </row>
    <row r="5078" customFormat="false" ht="15" hidden="false" customHeight="false" outlineLevel="0" collapsed="false">
      <c r="A5078" s="31" t="n">
        <v>42947.5</v>
      </c>
      <c r="B5078" s="32" t="n">
        <v>216.336</v>
      </c>
      <c r="D5078" s="33" t="n">
        <f aca="false">WEEKDAY(A5078,2)</f>
        <v>1</v>
      </c>
      <c r="E5078" s="33" t="n">
        <f aca="false">HOUR(A5078)+MINUTE(A5078)/60</f>
        <v>12</v>
      </c>
      <c r="F5078" s="33" t="n">
        <f aca="false">IF(OR(D5078&gt;5,E5078&lt;8,E5078&gt;=18,COUNTIF($K$2:$K$10,INT(A5078))&gt;0),1,0)</f>
        <v>0</v>
      </c>
      <c r="G5078" s="34" t="n">
        <f aca="false">B5078/1</f>
        <v>216.336</v>
      </c>
      <c r="H5078" s="34" t="str">
        <f aca="false">IF(F5078=1,G5078,"")</f>
        <v/>
      </c>
    </row>
    <row r="5079" customFormat="false" ht="15" hidden="false" customHeight="false" outlineLevel="0" collapsed="false">
      <c r="A5079" s="31" t="n">
        <v>42947.5416666667</v>
      </c>
      <c r="B5079" s="32" t="n">
        <v>220.524</v>
      </c>
      <c r="D5079" s="33" t="n">
        <f aca="false">WEEKDAY(A5079,2)</f>
        <v>1</v>
      </c>
      <c r="E5079" s="33" t="n">
        <f aca="false">HOUR(A5079)+MINUTE(A5079)/60</f>
        <v>13</v>
      </c>
      <c r="F5079" s="33" t="n">
        <f aca="false">IF(OR(D5079&gt;5,E5079&lt;8,E5079&gt;=18,COUNTIF($K$2:$K$10,INT(A5079))&gt;0),1,0)</f>
        <v>0</v>
      </c>
      <c r="G5079" s="34" t="n">
        <f aca="false">B5079/1</f>
        <v>220.524</v>
      </c>
      <c r="H5079" s="34" t="str">
        <f aca="false">IF(F5079=1,G5079,"")</f>
        <v/>
      </c>
    </row>
    <row r="5080" customFormat="false" ht="15" hidden="false" customHeight="false" outlineLevel="0" collapsed="false">
      <c r="A5080" s="31" t="n">
        <v>42947.5833333333</v>
      </c>
      <c r="B5080" s="32" t="n">
        <v>221.143</v>
      </c>
      <c r="D5080" s="33" t="n">
        <f aca="false">WEEKDAY(A5080,2)</f>
        <v>1</v>
      </c>
      <c r="E5080" s="33" t="n">
        <f aca="false">HOUR(A5080)+MINUTE(A5080)/60</f>
        <v>14</v>
      </c>
      <c r="F5080" s="33" t="n">
        <f aca="false">IF(OR(D5080&gt;5,E5080&lt;8,E5080&gt;=18,COUNTIF($K$2:$K$10,INT(A5080))&gt;0),1,0)</f>
        <v>0</v>
      </c>
      <c r="G5080" s="34" t="n">
        <f aca="false">B5080/1</f>
        <v>221.143</v>
      </c>
      <c r="H5080" s="34" t="str">
        <f aca="false">IF(F5080=1,G5080,"")</f>
        <v/>
      </c>
    </row>
    <row r="5081" customFormat="false" ht="15" hidden="false" customHeight="false" outlineLevel="0" collapsed="false">
      <c r="A5081" s="31" t="n">
        <v>42947.625</v>
      </c>
      <c r="B5081" s="32" t="n">
        <v>216.132</v>
      </c>
      <c r="D5081" s="33" t="n">
        <f aca="false">WEEKDAY(A5081,2)</f>
        <v>1</v>
      </c>
      <c r="E5081" s="33" t="n">
        <f aca="false">HOUR(A5081)+MINUTE(A5081)/60</f>
        <v>15</v>
      </c>
      <c r="F5081" s="33" t="n">
        <f aca="false">IF(OR(D5081&gt;5,E5081&lt;8,E5081&gt;=18,COUNTIF($K$2:$K$10,INT(A5081))&gt;0),1,0)</f>
        <v>0</v>
      </c>
      <c r="G5081" s="34" t="n">
        <f aca="false">B5081/1</f>
        <v>216.132</v>
      </c>
      <c r="H5081" s="34" t="str">
        <f aca="false">IF(F5081=1,G5081,"")</f>
        <v/>
      </c>
    </row>
    <row r="5082" customFormat="false" ht="15" hidden="false" customHeight="false" outlineLevel="0" collapsed="false">
      <c r="A5082" s="31" t="n">
        <v>42947.6666666667</v>
      </c>
      <c r="B5082" s="32" t="n">
        <v>209.24</v>
      </c>
      <c r="D5082" s="33" t="n">
        <f aca="false">WEEKDAY(A5082,2)</f>
        <v>1</v>
      </c>
      <c r="E5082" s="33" t="n">
        <f aca="false">HOUR(A5082)+MINUTE(A5082)/60</f>
        <v>16</v>
      </c>
      <c r="F5082" s="33" t="n">
        <f aca="false">IF(OR(D5082&gt;5,E5082&lt;8,E5082&gt;=18,COUNTIF($K$2:$K$10,INT(A5082))&gt;0),1,0)</f>
        <v>0</v>
      </c>
      <c r="G5082" s="34" t="n">
        <f aca="false">B5082/1</f>
        <v>209.24</v>
      </c>
      <c r="H5082" s="34" t="str">
        <f aca="false">IF(F5082=1,G5082,"")</f>
        <v/>
      </c>
    </row>
    <row r="5083" customFormat="false" ht="15" hidden="false" customHeight="false" outlineLevel="0" collapsed="false">
      <c r="A5083" s="31" t="n">
        <v>42947.7083333333</v>
      </c>
      <c r="B5083" s="32" t="n">
        <v>198.07</v>
      </c>
      <c r="D5083" s="33" t="n">
        <f aca="false">WEEKDAY(A5083,2)</f>
        <v>1</v>
      </c>
      <c r="E5083" s="33" t="n">
        <f aca="false">HOUR(A5083)+MINUTE(A5083)/60</f>
        <v>17</v>
      </c>
      <c r="F5083" s="33" t="n">
        <f aca="false">IF(OR(D5083&gt;5,E5083&lt;8,E5083&gt;=18,COUNTIF($K$2:$K$10,INT(A5083))&gt;0),1,0)</f>
        <v>0</v>
      </c>
      <c r="G5083" s="34" t="n">
        <f aca="false">B5083/1</f>
        <v>198.07</v>
      </c>
      <c r="H5083" s="34" t="str">
        <f aca="false">IF(F5083=1,G5083,"")</f>
        <v/>
      </c>
    </row>
    <row r="5084" customFormat="false" ht="15" hidden="false" customHeight="false" outlineLevel="0" collapsed="false">
      <c r="A5084" s="31" t="n">
        <v>42947.75</v>
      </c>
      <c r="B5084" s="32" t="n">
        <v>182.433</v>
      </c>
      <c r="D5084" s="33" t="n">
        <f aca="false">WEEKDAY(A5084,2)</f>
        <v>1</v>
      </c>
      <c r="E5084" s="33" t="n">
        <f aca="false">HOUR(A5084)+MINUTE(A5084)/60</f>
        <v>18</v>
      </c>
      <c r="F5084" s="33" t="n">
        <f aca="false">IF(OR(D5084&gt;5,E5084&lt;8,E5084&gt;=18,COUNTIF($K$2:$K$10,INT(A5084))&gt;0),1,0)</f>
        <v>1</v>
      </c>
      <c r="G5084" s="34" t="n">
        <f aca="false">B5084/1</f>
        <v>182.433</v>
      </c>
      <c r="H5084" s="34" t="n">
        <f aca="false">IF(F5084=1,G5084,"")</f>
        <v>182.433</v>
      </c>
    </row>
    <row r="5085" customFormat="false" ht="15" hidden="false" customHeight="false" outlineLevel="0" collapsed="false">
      <c r="A5085" s="31" t="n">
        <v>42947.7916666667</v>
      </c>
      <c r="B5085" s="32" t="n">
        <v>177.096</v>
      </c>
      <c r="D5085" s="33" t="n">
        <f aca="false">WEEKDAY(A5085,2)</f>
        <v>1</v>
      </c>
      <c r="E5085" s="33" t="n">
        <f aca="false">HOUR(A5085)+MINUTE(A5085)/60</f>
        <v>19</v>
      </c>
      <c r="F5085" s="33" t="n">
        <f aca="false">IF(OR(D5085&gt;5,E5085&lt;8,E5085&gt;=18,COUNTIF($K$2:$K$10,INT(A5085))&gt;0),1,0)</f>
        <v>1</v>
      </c>
      <c r="G5085" s="34" t="n">
        <f aca="false">B5085/1</f>
        <v>177.096</v>
      </c>
      <c r="H5085" s="34" t="n">
        <f aca="false">IF(F5085=1,G5085,"")</f>
        <v>177.096</v>
      </c>
    </row>
    <row r="5086" customFormat="false" ht="15" hidden="false" customHeight="false" outlineLevel="0" collapsed="false">
      <c r="A5086" s="31" t="n">
        <v>42947.8333333333</v>
      </c>
      <c r="B5086" s="32" t="n">
        <v>167.103</v>
      </c>
      <c r="D5086" s="33" t="n">
        <f aca="false">WEEKDAY(A5086,2)</f>
        <v>1</v>
      </c>
      <c r="E5086" s="33" t="n">
        <f aca="false">HOUR(A5086)+MINUTE(A5086)/60</f>
        <v>20</v>
      </c>
      <c r="F5086" s="33" t="n">
        <f aca="false">IF(OR(D5086&gt;5,E5086&lt;8,E5086&gt;=18,COUNTIF($K$2:$K$10,INT(A5086))&gt;0),1,0)</f>
        <v>1</v>
      </c>
      <c r="G5086" s="34" t="n">
        <f aca="false">B5086/1</f>
        <v>167.103</v>
      </c>
      <c r="H5086" s="34" t="n">
        <f aca="false">IF(F5086=1,G5086,"")</f>
        <v>167.103</v>
      </c>
    </row>
    <row r="5087" customFormat="false" ht="15" hidden="false" customHeight="false" outlineLevel="0" collapsed="false">
      <c r="A5087" s="31" t="n">
        <v>42947.875</v>
      </c>
      <c r="B5087" s="32" t="n">
        <v>162.069</v>
      </c>
      <c r="D5087" s="33" t="n">
        <f aca="false">WEEKDAY(A5087,2)</f>
        <v>1</v>
      </c>
      <c r="E5087" s="33" t="n">
        <f aca="false">HOUR(A5087)+MINUTE(A5087)/60</f>
        <v>21</v>
      </c>
      <c r="F5087" s="33" t="n">
        <f aca="false">IF(OR(D5087&gt;5,E5087&lt;8,E5087&gt;=18,COUNTIF($K$2:$K$10,INT(A5087))&gt;0),1,0)</f>
        <v>1</v>
      </c>
      <c r="G5087" s="34" t="n">
        <f aca="false">B5087/1</f>
        <v>162.069</v>
      </c>
      <c r="H5087" s="34" t="n">
        <f aca="false">IF(F5087=1,G5087,"")</f>
        <v>162.069</v>
      </c>
    </row>
    <row r="5088" customFormat="false" ht="15" hidden="false" customHeight="false" outlineLevel="0" collapsed="false">
      <c r="A5088" s="31" t="n">
        <v>42947.9166666667</v>
      </c>
      <c r="B5088" s="32" t="n">
        <v>112.893</v>
      </c>
      <c r="D5088" s="33" t="n">
        <f aca="false">WEEKDAY(A5088,2)</f>
        <v>1</v>
      </c>
      <c r="E5088" s="33" t="n">
        <f aca="false">HOUR(A5088)+MINUTE(A5088)/60</f>
        <v>22</v>
      </c>
      <c r="F5088" s="33" t="n">
        <f aca="false">IF(OR(D5088&gt;5,E5088&lt;8,E5088&gt;=18,COUNTIF($K$2:$K$10,INT(A5088))&gt;0),1,0)</f>
        <v>1</v>
      </c>
      <c r="G5088" s="34" t="n">
        <f aca="false">B5088/1</f>
        <v>112.893</v>
      </c>
      <c r="H5088" s="34" t="n">
        <f aca="false">IF(F5088=1,G5088,"")</f>
        <v>112.893</v>
      </c>
    </row>
    <row r="5089" customFormat="false" ht="15" hidden="false" customHeight="false" outlineLevel="0" collapsed="false">
      <c r="A5089" s="31" t="n">
        <v>42947.9583333333</v>
      </c>
      <c r="B5089" s="32" t="n">
        <v>57.947</v>
      </c>
      <c r="D5089" s="33" t="n">
        <f aca="false">WEEKDAY(A5089,2)</f>
        <v>1</v>
      </c>
      <c r="E5089" s="33" t="n">
        <f aca="false">HOUR(A5089)+MINUTE(A5089)/60</f>
        <v>23</v>
      </c>
      <c r="F5089" s="33" t="n">
        <f aca="false">IF(OR(D5089&gt;5,E5089&lt;8,E5089&gt;=18,COUNTIF($K$2:$K$10,INT(A5089))&gt;0),1,0)</f>
        <v>1</v>
      </c>
      <c r="G5089" s="34" t="n">
        <f aca="false">B5089/1</f>
        <v>57.947</v>
      </c>
      <c r="H5089" s="34" t="n">
        <f aca="false">IF(F5089=1,G5089,"")</f>
        <v>57.947</v>
      </c>
    </row>
    <row r="5090" customFormat="false" ht="15" hidden="false" customHeight="false" outlineLevel="0" collapsed="false">
      <c r="A5090" s="31" t="n">
        <v>42948</v>
      </c>
      <c r="B5090" s="32" t="n">
        <v>58.973</v>
      </c>
      <c r="D5090" s="33" t="n">
        <f aca="false">WEEKDAY(A5090,2)</f>
        <v>2</v>
      </c>
      <c r="E5090" s="33" t="n">
        <f aca="false">HOUR(A5090)+MINUTE(A5090)/60</f>
        <v>0</v>
      </c>
      <c r="F5090" s="33" t="n">
        <f aca="false">IF(OR(D5090&gt;5,E5090&lt;8,E5090&gt;=18,COUNTIF($K$2:$K$10,INT(A5090))&gt;0),1,0)</f>
        <v>1</v>
      </c>
      <c r="G5090" s="34" t="n">
        <f aca="false">B5090/1</f>
        <v>58.973</v>
      </c>
      <c r="H5090" s="34" t="n">
        <f aca="false">IF(F5090=1,G5090,"")</f>
        <v>58.973</v>
      </c>
    </row>
    <row r="5091" customFormat="false" ht="15" hidden="false" customHeight="false" outlineLevel="0" collapsed="false">
      <c r="A5091" s="31" t="n">
        <v>42948.0416666667</v>
      </c>
      <c r="B5091" s="32" t="n">
        <v>57.241</v>
      </c>
      <c r="D5091" s="33" t="n">
        <f aca="false">WEEKDAY(A5091,2)</f>
        <v>2</v>
      </c>
      <c r="E5091" s="33" t="n">
        <f aca="false">HOUR(A5091)+MINUTE(A5091)/60</f>
        <v>1</v>
      </c>
      <c r="F5091" s="33" t="n">
        <f aca="false">IF(OR(D5091&gt;5,E5091&lt;8,E5091&gt;=18,COUNTIF($K$2:$K$10,INT(A5091))&gt;0),1,0)</f>
        <v>1</v>
      </c>
      <c r="G5091" s="34" t="n">
        <f aca="false">B5091/1</f>
        <v>57.241</v>
      </c>
      <c r="H5091" s="34" t="n">
        <f aca="false">IF(F5091=1,G5091,"")</f>
        <v>57.241</v>
      </c>
    </row>
    <row r="5092" customFormat="false" ht="15" hidden="false" customHeight="false" outlineLevel="0" collapsed="false">
      <c r="A5092" s="31" t="n">
        <v>42948.0833333333</v>
      </c>
      <c r="B5092" s="32" t="n">
        <v>54.033</v>
      </c>
      <c r="D5092" s="33" t="n">
        <f aca="false">WEEKDAY(A5092,2)</f>
        <v>2</v>
      </c>
      <c r="E5092" s="33" t="n">
        <f aca="false">HOUR(A5092)+MINUTE(A5092)/60</f>
        <v>2</v>
      </c>
      <c r="F5092" s="33" t="n">
        <f aca="false">IF(OR(D5092&gt;5,E5092&lt;8,E5092&gt;=18,COUNTIF($K$2:$K$10,INT(A5092))&gt;0),1,0)</f>
        <v>1</v>
      </c>
      <c r="G5092" s="34" t="n">
        <f aca="false">B5092/1</f>
        <v>54.033</v>
      </c>
      <c r="H5092" s="34" t="n">
        <f aca="false">IF(F5092=1,G5092,"")</f>
        <v>54.033</v>
      </c>
    </row>
    <row r="5093" customFormat="false" ht="15" hidden="false" customHeight="false" outlineLevel="0" collapsed="false">
      <c r="A5093" s="31" t="n">
        <v>42948.125</v>
      </c>
      <c r="B5093" s="32" t="n">
        <v>54.033</v>
      </c>
      <c r="D5093" s="33" t="n">
        <f aca="false">WEEKDAY(A5093,2)</f>
        <v>2</v>
      </c>
      <c r="E5093" s="33" t="n">
        <f aca="false">HOUR(A5093)+MINUTE(A5093)/60</f>
        <v>3</v>
      </c>
      <c r="F5093" s="33" t="n">
        <f aca="false">IF(OR(D5093&gt;5,E5093&lt;8,E5093&gt;=18,COUNTIF($K$2:$K$10,INT(A5093))&gt;0),1,0)</f>
        <v>1</v>
      </c>
      <c r="G5093" s="34" t="n">
        <f aca="false">B5093/1</f>
        <v>54.033</v>
      </c>
      <c r="H5093" s="34" t="n">
        <f aca="false">IF(F5093=1,G5093,"")</f>
        <v>54.033</v>
      </c>
    </row>
    <row r="5094" customFormat="false" ht="15" hidden="false" customHeight="false" outlineLevel="0" collapsed="false">
      <c r="A5094" s="31" t="n">
        <v>42948.1666666667</v>
      </c>
      <c r="B5094" s="32" t="n">
        <v>54.033</v>
      </c>
      <c r="D5094" s="33" t="n">
        <f aca="false">WEEKDAY(A5094,2)</f>
        <v>2</v>
      </c>
      <c r="E5094" s="33" t="n">
        <f aca="false">HOUR(A5094)+MINUTE(A5094)/60</f>
        <v>4</v>
      </c>
      <c r="F5094" s="33" t="n">
        <f aca="false">IF(OR(D5094&gt;5,E5094&lt;8,E5094&gt;=18,COUNTIF($K$2:$K$10,INT(A5094))&gt;0),1,0)</f>
        <v>1</v>
      </c>
      <c r="G5094" s="34" t="n">
        <f aca="false">B5094/1</f>
        <v>54.033</v>
      </c>
      <c r="H5094" s="34" t="n">
        <f aca="false">IF(F5094=1,G5094,"")</f>
        <v>54.033</v>
      </c>
    </row>
    <row r="5095" customFormat="false" ht="15" hidden="false" customHeight="false" outlineLevel="0" collapsed="false">
      <c r="A5095" s="31" t="n">
        <v>42948.2083333333</v>
      </c>
      <c r="B5095" s="32" t="n">
        <v>54.033</v>
      </c>
      <c r="D5095" s="33" t="n">
        <f aca="false">WEEKDAY(A5095,2)</f>
        <v>2</v>
      </c>
      <c r="E5095" s="33" t="n">
        <f aca="false">HOUR(A5095)+MINUTE(A5095)/60</f>
        <v>5</v>
      </c>
      <c r="F5095" s="33" t="n">
        <f aca="false">IF(OR(D5095&gt;5,E5095&lt;8,E5095&gt;=18,COUNTIF($K$2:$K$10,INT(A5095))&gt;0),1,0)</f>
        <v>1</v>
      </c>
      <c r="G5095" s="34" t="n">
        <f aca="false">B5095/1</f>
        <v>54.033</v>
      </c>
      <c r="H5095" s="34" t="n">
        <f aca="false">IF(F5095=1,G5095,"")</f>
        <v>54.033</v>
      </c>
    </row>
    <row r="5096" customFormat="false" ht="15" hidden="false" customHeight="false" outlineLevel="0" collapsed="false">
      <c r="A5096" s="31" t="n">
        <v>42948.25</v>
      </c>
      <c r="B5096" s="32" t="n">
        <v>54.033</v>
      </c>
      <c r="D5096" s="33" t="n">
        <f aca="false">WEEKDAY(A5096,2)</f>
        <v>2</v>
      </c>
      <c r="E5096" s="33" t="n">
        <f aca="false">HOUR(A5096)+MINUTE(A5096)/60</f>
        <v>6</v>
      </c>
      <c r="F5096" s="33" t="n">
        <f aca="false">IF(OR(D5096&gt;5,E5096&lt;8,E5096&gt;=18,COUNTIF($K$2:$K$10,INT(A5096))&gt;0),1,0)</f>
        <v>1</v>
      </c>
      <c r="G5096" s="34" t="n">
        <f aca="false">B5096/1</f>
        <v>54.033</v>
      </c>
      <c r="H5096" s="34" t="n">
        <f aca="false">IF(F5096=1,G5096,"")</f>
        <v>54.033</v>
      </c>
    </row>
    <row r="5097" customFormat="false" ht="15" hidden="false" customHeight="false" outlineLevel="0" collapsed="false">
      <c r="A5097" s="31" t="n">
        <v>42948.2916666667</v>
      </c>
      <c r="B5097" s="32" t="n">
        <v>64.521</v>
      </c>
      <c r="D5097" s="33" t="n">
        <f aca="false">WEEKDAY(A5097,2)</f>
        <v>2</v>
      </c>
      <c r="E5097" s="33" t="n">
        <f aca="false">HOUR(A5097)+MINUTE(A5097)/60</f>
        <v>7</v>
      </c>
      <c r="F5097" s="33" t="n">
        <f aca="false">IF(OR(D5097&gt;5,E5097&lt;8,E5097&gt;=18,COUNTIF($K$2:$K$10,INT(A5097))&gt;0),1,0)</f>
        <v>1</v>
      </c>
      <c r="G5097" s="34" t="n">
        <f aca="false">B5097/1</f>
        <v>64.521</v>
      </c>
      <c r="H5097" s="34" t="n">
        <f aca="false">IF(F5097=1,G5097,"")</f>
        <v>64.521</v>
      </c>
    </row>
    <row r="5098" customFormat="false" ht="15" hidden="false" customHeight="false" outlineLevel="0" collapsed="false">
      <c r="A5098" s="31" t="n">
        <v>42948.3333333333</v>
      </c>
      <c r="B5098" s="32" t="n">
        <v>169.316</v>
      </c>
      <c r="D5098" s="33" t="n">
        <f aca="false">WEEKDAY(A5098,2)</f>
        <v>2</v>
      </c>
      <c r="E5098" s="33" t="n">
        <f aca="false">HOUR(A5098)+MINUTE(A5098)/60</f>
        <v>8</v>
      </c>
      <c r="F5098" s="33" t="n">
        <f aca="false">IF(OR(D5098&gt;5,E5098&lt;8,E5098&gt;=18,COUNTIF($K$2:$K$10,INT(A5098))&gt;0),1,0)</f>
        <v>0</v>
      </c>
      <c r="G5098" s="34" t="n">
        <f aca="false">B5098/1</f>
        <v>169.316</v>
      </c>
      <c r="H5098" s="34" t="str">
        <f aca="false">IF(F5098=1,G5098,"")</f>
        <v/>
      </c>
    </row>
    <row r="5099" customFormat="false" ht="15" hidden="false" customHeight="false" outlineLevel="0" collapsed="false">
      <c r="A5099" s="31" t="n">
        <v>42948.375</v>
      </c>
      <c r="B5099" s="32" t="n">
        <v>195.416</v>
      </c>
      <c r="D5099" s="33" t="n">
        <f aca="false">WEEKDAY(A5099,2)</f>
        <v>2</v>
      </c>
      <c r="E5099" s="33" t="n">
        <f aca="false">HOUR(A5099)+MINUTE(A5099)/60</f>
        <v>9</v>
      </c>
      <c r="F5099" s="33" t="n">
        <f aca="false">IF(OR(D5099&gt;5,E5099&lt;8,E5099&gt;=18,COUNTIF($K$2:$K$10,INT(A5099))&gt;0),1,0)</f>
        <v>0</v>
      </c>
      <c r="G5099" s="34" t="n">
        <f aca="false">B5099/1</f>
        <v>195.416</v>
      </c>
      <c r="H5099" s="34" t="str">
        <f aca="false">IF(F5099=1,G5099,"")</f>
        <v/>
      </c>
    </row>
    <row r="5100" customFormat="false" ht="15" hidden="false" customHeight="false" outlineLevel="0" collapsed="false">
      <c r="A5100" s="31" t="n">
        <v>42948.4166666667</v>
      </c>
      <c r="B5100" s="32" t="n">
        <v>218.787</v>
      </c>
      <c r="D5100" s="33" t="n">
        <f aca="false">WEEKDAY(A5100,2)</f>
        <v>2</v>
      </c>
      <c r="E5100" s="33" t="n">
        <f aca="false">HOUR(A5100)+MINUTE(A5100)/60</f>
        <v>10</v>
      </c>
      <c r="F5100" s="33" t="n">
        <f aca="false">IF(OR(D5100&gt;5,E5100&lt;8,E5100&gt;=18,COUNTIF($K$2:$K$10,INT(A5100))&gt;0),1,0)</f>
        <v>0</v>
      </c>
      <c r="G5100" s="34" t="n">
        <f aca="false">B5100/1</f>
        <v>218.787</v>
      </c>
      <c r="H5100" s="34" t="str">
        <f aca="false">IF(F5100=1,G5100,"")</f>
        <v/>
      </c>
    </row>
    <row r="5101" customFormat="false" ht="15" hidden="false" customHeight="false" outlineLevel="0" collapsed="false">
      <c r="A5101" s="31" t="n">
        <v>42948.4583333333</v>
      </c>
      <c r="B5101" s="32" t="n">
        <v>237.717</v>
      </c>
      <c r="D5101" s="33" t="n">
        <f aca="false">WEEKDAY(A5101,2)</f>
        <v>2</v>
      </c>
      <c r="E5101" s="33" t="n">
        <f aca="false">HOUR(A5101)+MINUTE(A5101)/60</f>
        <v>11</v>
      </c>
      <c r="F5101" s="33" t="n">
        <f aca="false">IF(OR(D5101&gt;5,E5101&lt;8,E5101&gt;=18,COUNTIF($K$2:$K$10,INT(A5101))&gt;0),1,0)</f>
        <v>0</v>
      </c>
      <c r="G5101" s="34" t="n">
        <f aca="false">B5101/1</f>
        <v>237.717</v>
      </c>
      <c r="H5101" s="34" t="str">
        <f aca="false">IF(F5101=1,G5101,"")</f>
        <v/>
      </c>
    </row>
    <row r="5102" customFormat="false" ht="15" hidden="false" customHeight="false" outlineLevel="0" collapsed="false">
      <c r="A5102" s="31" t="n">
        <v>42948.5</v>
      </c>
      <c r="B5102" s="32" t="n">
        <v>241.006</v>
      </c>
      <c r="D5102" s="33" t="n">
        <f aca="false">WEEKDAY(A5102,2)</f>
        <v>2</v>
      </c>
      <c r="E5102" s="33" t="n">
        <f aca="false">HOUR(A5102)+MINUTE(A5102)/60</f>
        <v>12</v>
      </c>
      <c r="F5102" s="33" t="n">
        <f aca="false">IF(OR(D5102&gt;5,E5102&lt;8,E5102&gt;=18,COUNTIF($K$2:$K$10,INT(A5102))&gt;0),1,0)</f>
        <v>0</v>
      </c>
      <c r="G5102" s="34" t="n">
        <f aca="false">B5102/1</f>
        <v>241.006</v>
      </c>
      <c r="H5102" s="34" t="str">
        <f aca="false">IF(F5102=1,G5102,"")</f>
        <v/>
      </c>
    </row>
    <row r="5103" customFormat="false" ht="15" hidden="false" customHeight="false" outlineLevel="0" collapsed="false">
      <c r="A5103" s="31" t="n">
        <v>42948.5416666667</v>
      </c>
      <c r="B5103" s="32" t="n">
        <v>238.699</v>
      </c>
      <c r="D5103" s="33" t="n">
        <f aca="false">WEEKDAY(A5103,2)</f>
        <v>2</v>
      </c>
      <c r="E5103" s="33" t="n">
        <f aca="false">HOUR(A5103)+MINUTE(A5103)/60</f>
        <v>13</v>
      </c>
      <c r="F5103" s="33" t="n">
        <f aca="false">IF(OR(D5103&gt;5,E5103&lt;8,E5103&gt;=18,COUNTIF($K$2:$K$10,INT(A5103))&gt;0),1,0)</f>
        <v>0</v>
      </c>
      <c r="G5103" s="34" t="n">
        <f aca="false">B5103/1</f>
        <v>238.699</v>
      </c>
      <c r="H5103" s="34" t="str">
        <f aca="false">IF(F5103=1,G5103,"")</f>
        <v/>
      </c>
    </row>
    <row r="5104" customFormat="false" ht="15" hidden="false" customHeight="false" outlineLevel="0" collapsed="false">
      <c r="A5104" s="31" t="n">
        <v>42948.5833333333</v>
      </c>
      <c r="B5104" s="32" t="n">
        <v>240.741</v>
      </c>
      <c r="D5104" s="33" t="n">
        <f aca="false">WEEKDAY(A5104,2)</f>
        <v>2</v>
      </c>
      <c r="E5104" s="33" t="n">
        <f aca="false">HOUR(A5104)+MINUTE(A5104)/60</f>
        <v>14</v>
      </c>
      <c r="F5104" s="33" t="n">
        <f aca="false">IF(OR(D5104&gt;5,E5104&lt;8,E5104&gt;=18,COUNTIF($K$2:$K$10,INT(A5104))&gt;0),1,0)</f>
        <v>0</v>
      </c>
      <c r="G5104" s="34" t="n">
        <f aca="false">B5104/1</f>
        <v>240.741</v>
      </c>
      <c r="H5104" s="34" t="str">
        <f aca="false">IF(F5104=1,G5104,"")</f>
        <v/>
      </c>
    </row>
    <row r="5105" customFormat="false" ht="15" hidden="false" customHeight="false" outlineLevel="0" collapsed="false">
      <c r="A5105" s="31" t="n">
        <v>42948.625</v>
      </c>
      <c r="B5105" s="32" t="n">
        <v>236.476</v>
      </c>
      <c r="D5105" s="33" t="n">
        <f aca="false">WEEKDAY(A5105,2)</f>
        <v>2</v>
      </c>
      <c r="E5105" s="33" t="n">
        <f aca="false">HOUR(A5105)+MINUTE(A5105)/60</f>
        <v>15</v>
      </c>
      <c r="F5105" s="33" t="n">
        <f aca="false">IF(OR(D5105&gt;5,E5105&lt;8,E5105&gt;=18,COUNTIF($K$2:$K$10,INT(A5105))&gt;0),1,0)</f>
        <v>0</v>
      </c>
      <c r="G5105" s="34" t="n">
        <f aca="false">B5105/1</f>
        <v>236.476</v>
      </c>
      <c r="H5105" s="34" t="str">
        <f aca="false">IF(F5105=1,G5105,"")</f>
        <v/>
      </c>
    </row>
    <row r="5106" customFormat="false" ht="15" hidden="false" customHeight="false" outlineLevel="0" collapsed="false">
      <c r="A5106" s="31" t="n">
        <v>42948.6666666667</v>
      </c>
      <c r="B5106" s="32" t="n">
        <v>224.596</v>
      </c>
      <c r="D5106" s="33" t="n">
        <f aca="false">WEEKDAY(A5106,2)</f>
        <v>2</v>
      </c>
      <c r="E5106" s="33" t="n">
        <f aca="false">HOUR(A5106)+MINUTE(A5106)/60</f>
        <v>16</v>
      </c>
      <c r="F5106" s="33" t="n">
        <f aca="false">IF(OR(D5106&gt;5,E5106&lt;8,E5106&gt;=18,COUNTIF($K$2:$K$10,INT(A5106))&gt;0),1,0)</f>
        <v>0</v>
      </c>
      <c r="G5106" s="34" t="n">
        <f aca="false">B5106/1</f>
        <v>224.596</v>
      </c>
      <c r="H5106" s="34" t="str">
        <f aca="false">IF(F5106=1,G5106,"")</f>
        <v/>
      </c>
    </row>
    <row r="5107" customFormat="false" ht="15" hidden="false" customHeight="false" outlineLevel="0" collapsed="false">
      <c r="A5107" s="31" t="n">
        <v>42948.7083333333</v>
      </c>
      <c r="B5107" s="32" t="n">
        <v>201.325</v>
      </c>
      <c r="D5107" s="33" t="n">
        <f aca="false">WEEKDAY(A5107,2)</f>
        <v>2</v>
      </c>
      <c r="E5107" s="33" t="n">
        <f aca="false">HOUR(A5107)+MINUTE(A5107)/60</f>
        <v>17</v>
      </c>
      <c r="F5107" s="33" t="n">
        <f aca="false">IF(OR(D5107&gt;5,E5107&lt;8,E5107&gt;=18,COUNTIF($K$2:$K$10,INT(A5107))&gt;0),1,0)</f>
        <v>0</v>
      </c>
      <c r="G5107" s="34" t="n">
        <f aca="false">B5107/1</f>
        <v>201.325</v>
      </c>
      <c r="H5107" s="34" t="str">
        <f aca="false">IF(F5107=1,G5107,"")</f>
        <v/>
      </c>
    </row>
    <row r="5108" customFormat="false" ht="15" hidden="false" customHeight="false" outlineLevel="0" collapsed="false">
      <c r="A5108" s="31" t="n">
        <v>42948.75</v>
      </c>
      <c r="B5108" s="32" t="n">
        <v>182.904</v>
      </c>
      <c r="D5108" s="33" t="n">
        <f aca="false">WEEKDAY(A5108,2)</f>
        <v>2</v>
      </c>
      <c r="E5108" s="33" t="n">
        <f aca="false">HOUR(A5108)+MINUTE(A5108)/60</f>
        <v>18</v>
      </c>
      <c r="F5108" s="33" t="n">
        <f aca="false">IF(OR(D5108&gt;5,E5108&lt;8,E5108&gt;=18,COUNTIF($K$2:$K$10,INT(A5108))&gt;0),1,0)</f>
        <v>1</v>
      </c>
      <c r="G5108" s="34" t="n">
        <f aca="false">B5108/1</f>
        <v>182.904</v>
      </c>
      <c r="H5108" s="34" t="n">
        <f aca="false">IF(F5108=1,G5108,"")</f>
        <v>182.904</v>
      </c>
    </row>
    <row r="5109" customFormat="false" ht="15" hidden="false" customHeight="false" outlineLevel="0" collapsed="false">
      <c r="A5109" s="31" t="n">
        <v>42948.7916666667</v>
      </c>
      <c r="B5109" s="32" t="n">
        <v>174.674</v>
      </c>
      <c r="D5109" s="33" t="n">
        <f aca="false">WEEKDAY(A5109,2)</f>
        <v>2</v>
      </c>
      <c r="E5109" s="33" t="n">
        <f aca="false">HOUR(A5109)+MINUTE(A5109)/60</f>
        <v>19</v>
      </c>
      <c r="F5109" s="33" t="n">
        <f aca="false">IF(OR(D5109&gt;5,E5109&lt;8,E5109&gt;=18,COUNTIF($K$2:$K$10,INT(A5109))&gt;0),1,0)</f>
        <v>1</v>
      </c>
      <c r="G5109" s="34" t="n">
        <f aca="false">B5109/1</f>
        <v>174.674</v>
      </c>
      <c r="H5109" s="34" t="n">
        <f aca="false">IF(F5109=1,G5109,"")</f>
        <v>174.674</v>
      </c>
    </row>
    <row r="5110" customFormat="false" ht="15" hidden="false" customHeight="false" outlineLevel="0" collapsed="false">
      <c r="A5110" s="31" t="n">
        <v>42948.8333333333</v>
      </c>
      <c r="B5110" s="32" t="n">
        <v>167.051</v>
      </c>
      <c r="D5110" s="33" t="n">
        <f aca="false">WEEKDAY(A5110,2)</f>
        <v>2</v>
      </c>
      <c r="E5110" s="33" t="n">
        <f aca="false">HOUR(A5110)+MINUTE(A5110)/60</f>
        <v>20</v>
      </c>
      <c r="F5110" s="33" t="n">
        <f aca="false">IF(OR(D5110&gt;5,E5110&lt;8,E5110&gt;=18,COUNTIF($K$2:$K$10,INT(A5110))&gt;0),1,0)</f>
        <v>1</v>
      </c>
      <c r="G5110" s="34" t="n">
        <f aca="false">B5110/1</f>
        <v>167.051</v>
      </c>
      <c r="H5110" s="34" t="n">
        <f aca="false">IF(F5110=1,G5110,"")</f>
        <v>167.051</v>
      </c>
    </row>
    <row r="5111" customFormat="false" ht="15" hidden="false" customHeight="false" outlineLevel="0" collapsed="false">
      <c r="A5111" s="31" t="n">
        <v>42948.875</v>
      </c>
      <c r="B5111" s="32" t="n">
        <v>164.198</v>
      </c>
      <c r="D5111" s="33" t="n">
        <f aca="false">WEEKDAY(A5111,2)</f>
        <v>2</v>
      </c>
      <c r="E5111" s="33" t="n">
        <f aca="false">HOUR(A5111)+MINUTE(A5111)/60</f>
        <v>21</v>
      </c>
      <c r="F5111" s="33" t="n">
        <f aca="false">IF(OR(D5111&gt;5,E5111&lt;8,E5111&gt;=18,COUNTIF($K$2:$K$10,INT(A5111))&gt;0),1,0)</f>
        <v>1</v>
      </c>
      <c r="G5111" s="34" t="n">
        <f aca="false">B5111/1</f>
        <v>164.198</v>
      </c>
      <c r="H5111" s="34" t="n">
        <f aca="false">IF(F5111=1,G5111,"")</f>
        <v>164.198</v>
      </c>
    </row>
    <row r="5112" customFormat="false" ht="15" hidden="false" customHeight="false" outlineLevel="0" collapsed="false">
      <c r="A5112" s="31" t="n">
        <v>42948.9166666667</v>
      </c>
      <c r="B5112" s="32" t="n">
        <v>113.239</v>
      </c>
      <c r="D5112" s="33" t="n">
        <f aca="false">WEEKDAY(A5112,2)</f>
        <v>2</v>
      </c>
      <c r="E5112" s="33" t="n">
        <f aca="false">HOUR(A5112)+MINUTE(A5112)/60</f>
        <v>22</v>
      </c>
      <c r="F5112" s="33" t="n">
        <f aca="false">IF(OR(D5112&gt;5,E5112&lt;8,E5112&gt;=18,COUNTIF($K$2:$K$10,INT(A5112))&gt;0),1,0)</f>
        <v>1</v>
      </c>
      <c r="G5112" s="34" t="n">
        <f aca="false">B5112/1</f>
        <v>113.239</v>
      </c>
      <c r="H5112" s="34" t="n">
        <f aca="false">IF(F5112=1,G5112,"")</f>
        <v>113.239</v>
      </c>
    </row>
    <row r="5113" customFormat="false" ht="15" hidden="false" customHeight="false" outlineLevel="0" collapsed="false">
      <c r="A5113" s="31" t="n">
        <v>42948.9583333333</v>
      </c>
      <c r="B5113" s="32" t="n">
        <v>60.77</v>
      </c>
      <c r="D5113" s="33" t="n">
        <f aca="false">WEEKDAY(A5113,2)</f>
        <v>2</v>
      </c>
      <c r="E5113" s="33" t="n">
        <f aca="false">HOUR(A5113)+MINUTE(A5113)/60</f>
        <v>23</v>
      </c>
      <c r="F5113" s="33" t="n">
        <f aca="false">IF(OR(D5113&gt;5,E5113&lt;8,E5113&gt;=18,COUNTIF($K$2:$K$10,INT(A5113))&gt;0),1,0)</f>
        <v>1</v>
      </c>
      <c r="G5113" s="34" t="n">
        <f aca="false">B5113/1</f>
        <v>60.77</v>
      </c>
      <c r="H5113" s="34" t="n">
        <f aca="false">IF(F5113=1,G5113,"")</f>
        <v>60.77</v>
      </c>
    </row>
    <row r="5114" customFormat="false" ht="15" hidden="false" customHeight="false" outlineLevel="0" collapsed="false">
      <c r="A5114" s="31" t="n">
        <v>42949</v>
      </c>
      <c r="B5114" s="32" t="n">
        <v>58.092</v>
      </c>
      <c r="D5114" s="33" t="n">
        <f aca="false">WEEKDAY(A5114,2)</f>
        <v>3</v>
      </c>
      <c r="E5114" s="33" t="n">
        <f aca="false">HOUR(A5114)+MINUTE(A5114)/60</f>
        <v>0</v>
      </c>
      <c r="F5114" s="33" t="n">
        <f aca="false">IF(OR(D5114&gt;5,E5114&lt;8,E5114&gt;=18,COUNTIF($K$2:$K$10,INT(A5114))&gt;0),1,0)</f>
        <v>1</v>
      </c>
      <c r="G5114" s="34" t="n">
        <f aca="false">B5114/1</f>
        <v>58.092</v>
      </c>
      <c r="H5114" s="34" t="n">
        <f aca="false">IF(F5114=1,G5114,"")</f>
        <v>58.092</v>
      </c>
    </row>
    <row r="5115" customFormat="false" ht="15" hidden="false" customHeight="false" outlineLevel="0" collapsed="false">
      <c r="A5115" s="31" t="n">
        <v>42949.0416666667</v>
      </c>
      <c r="B5115" s="32" t="n">
        <v>57.692</v>
      </c>
      <c r="D5115" s="33" t="n">
        <f aca="false">WEEKDAY(A5115,2)</f>
        <v>3</v>
      </c>
      <c r="E5115" s="33" t="n">
        <f aca="false">HOUR(A5115)+MINUTE(A5115)/60</f>
        <v>1</v>
      </c>
      <c r="F5115" s="33" t="n">
        <f aca="false">IF(OR(D5115&gt;5,E5115&lt;8,E5115&gt;=18,COUNTIF($K$2:$K$10,INT(A5115))&gt;0),1,0)</f>
        <v>1</v>
      </c>
      <c r="G5115" s="34" t="n">
        <f aca="false">B5115/1</f>
        <v>57.692</v>
      </c>
      <c r="H5115" s="34" t="n">
        <f aca="false">IF(F5115=1,G5115,"")</f>
        <v>57.692</v>
      </c>
    </row>
    <row r="5116" customFormat="false" ht="15" hidden="false" customHeight="false" outlineLevel="0" collapsed="false">
      <c r="A5116" s="31" t="n">
        <v>42949.0833333333</v>
      </c>
      <c r="B5116" s="32" t="n">
        <v>68.783</v>
      </c>
      <c r="D5116" s="33" t="n">
        <f aca="false">WEEKDAY(A5116,2)</f>
        <v>3</v>
      </c>
      <c r="E5116" s="33" t="n">
        <f aca="false">HOUR(A5116)+MINUTE(A5116)/60</f>
        <v>2</v>
      </c>
      <c r="F5116" s="33" t="n">
        <f aca="false">IF(OR(D5116&gt;5,E5116&lt;8,E5116&gt;=18,COUNTIF($K$2:$K$10,INT(A5116))&gt;0),1,0)</f>
        <v>1</v>
      </c>
      <c r="G5116" s="34" t="n">
        <f aca="false">B5116/1</f>
        <v>68.783</v>
      </c>
      <c r="H5116" s="34" t="n">
        <f aca="false">IF(F5116=1,G5116,"")</f>
        <v>68.783</v>
      </c>
    </row>
    <row r="5117" customFormat="false" ht="15" hidden="false" customHeight="false" outlineLevel="0" collapsed="false">
      <c r="A5117" s="31" t="n">
        <v>42949.125</v>
      </c>
      <c r="B5117" s="32" t="n">
        <v>68.783</v>
      </c>
      <c r="D5117" s="33" t="n">
        <f aca="false">WEEKDAY(A5117,2)</f>
        <v>3</v>
      </c>
      <c r="E5117" s="33" t="n">
        <f aca="false">HOUR(A5117)+MINUTE(A5117)/60</f>
        <v>3</v>
      </c>
      <c r="F5117" s="33" t="n">
        <f aca="false">IF(OR(D5117&gt;5,E5117&lt;8,E5117&gt;=18,COUNTIF($K$2:$K$10,INT(A5117))&gt;0),1,0)</f>
        <v>1</v>
      </c>
      <c r="G5117" s="34" t="n">
        <f aca="false">B5117/1</f>
        <v>68.783</v>
      </c>
      <c r="H5117" s="34" t="n">
        <f aca="false">IF(F5117=1,G5117,"")</f>
        <v>68.783</v>
      </c>
    </row>
    <row r="5118" customFormat="false" ht="15" hidden="false" customHeight="false" outlineLevel="0" collapsed="false">
      <c r="A5118" s="31" t="n">
        <v>42949.1666666667</v>
      </c>
      <c r="B5118" s="32" t="n">
        <v>68.783</v>
      </c>
      <c r="D5118" s="33" t="n">
        <f aca="false">WEEKDAY(A5118,2)</f>
        <v>3</v>
      </c>
      <c r="E5118" s="33" t="n">
        <f aca="false">HOUR(A5118)+MINUTE(A5118)/60</f>
        <v>4</v>
      </c>
      <c r="F5118" s="33" t="n">
        <f aca="false">IF(OR(D5118&gt;5,E5118&lt;8,E5118&gt;=18,COUNTIF($K$2:$K$10,INT(A5118))&gt;0),1,0)</f>
        <v>1</v>
      </c>
      <c r="G5118" s="34" t="n">
        <f aca="false">B5118/1</f>
        <v>68.783</v>
      </c>
      <c r="H5118" s="34" t="n">
        <f aca="false">IF(F5118=1,G5118,"")</f>
        <v>68.783</v>
      </c>
    </row>
    <row r="5119" customFormat="false" ht="15" hidden="false" customHeight="false" outlineLevel="0" collapsed="false">
      <c r="A5119" s="31" t="n">
        <v>42949.2083333333</v>
      </c>
      <c r="B5119" s="32" t="n">
        <v>68.783</v>
      </c>
      <c r="D5119" s="33" t="n">
        <f aca="false">WEEKDAY(A5119,2)</f>
        <v>3</v>
      </c>
      <c r="E5119" s="33" t="n">
        <f aca="false">HOUR(A5119)+MINUTE(A5119)/60</f>
        <v>5</v>
      </c>
      <c r="F5119" s="33" t="n">
        <f aca="false">IF(OR(D5119&gt;5,E5119&lt;8,E5119&gt;=18,COUNTIF($K$2:$K$10,INT(A5119))&gt;0),1,0)</f>
        <v>1</v>
      </c>
      <c r="G5119" s="34" t="n">
        <f aca="false">B5119/1</f>
        <v>68.783</v>
      </c>
      <c r="H5119" s="34" t="n">
        <f aca="false">IF(F5119=1,G5119,"")</f>
        <v>68.783</v>
      </c>
    </row>
    <row r="5120" customFormat="false" ht="15" hidden="false" customHeight="false" outlineLevel="0" collapsed="false">
      <c r="A5120" s="31" t="n">
        <v>42949.25</v>
      </c>
      <c r="B5120" s="32" t="n">
        <v>68.783</v>
      </c>
      <c r="D5120" s="33" t="n">
        <f aca="false">WEEKDAY(A5120,2)</f>
        <v>3</v>
      </c>
      <c r="E5120" s="33" t="n">
        <f aca="false">HOUR(A5120)+MINUTE(A5120)/60</f>
        <v>6</v>
      </c>
      <c r="F5120" s="33" t="n">
        <f aca="false">IF(OR(D5120&gt;5,E5120&lt;8,E5120&gt;=18,COUNTIF($K$2:$K$10,INT(A5120))&gt;0),1,0)</f>
        <v>1</v>
      </c>
      <c r="G5120" s="34" t="n">
        <f aca="false">B5120/1</f>
        <v>68.783</v>
      </c>
      <c r="H5120" s="34" t="n">
        <f aca="false">IF(F5120=1,G5120,"")</f>
        <v>68.783</v>
      </c>
    </row>
    <row r="5121" customFormat="false" ht="15" hidden="false" customHeight="false" outlineLevel="0" collapsed="false">
      <c r="A5121" s="31" t="n">
        <v>42949.2916666667</v>
      </c>
      <c r="B5121" s="32" t="n">
        <v>88.882</v>
      </c>
      <c r="D5121" s="33" t="n">
        <f aca="false">WEEKDAY(A5121,2)</f>
        <v>3</v>
      </c>
      <c r="E5121" s="33" t="n">
        <f aca="false">HOUR(A5121)+MINUTE(A5121)/60</f>
        <v>7</v>
      </c>
      <c r="F5121" s="33" t="n">
        <f aca="false">IF(OR(D5121&gt;5,E5121&lt;8,E5121&gt;=18,COUNTIF($K$2:$K$10,INT(A5121))&gt;0),1,0)</f>
        <v>1</v>
      </c>
      <c r="G5121" s="34" t="n">
        <f aca="false">B5121/1</f>
        <v>88.882</v>
      </c>
      <c r="H5121" s="34" t="n">
        <f aca="false">IF(F5121=1,G5121,"")</f>
        <v>88.882</v>
      </c>
    </row>
    <row r="5122" customFormat="false" ht="15" hidden="false" customHeight="false" outlineLevel="0" collapsed="false">
      <c r="A5122" s="31" t="n">
        <v>42949.3333333333</v>
      </c>
      <c r="B5122" s="32" t="n">
        <v>194.975</v>
      </c>
      <c r="D5122" s="33" t="n">
        <f aca="false">WEEKDAY(A5122,2)</f>
        <v>3</v>
      </c>
      <c r="E5122" s="33" t="n">
        <f aca="false">HOUR(A5122)+MINUTE(A5122)/60</f>
        <v>8</v>
      </c>
      <c r="F5122" s="33" t="n">
        <f aca="false">IF(OR(D5122&gt;5,E5122&lt;8,E5122&gt;=18,COUNTIF($K$2:$K$10,INT(A5122))&gt;0),1,0)</f>
        <v>0</v>
      </c>
      <c r="G5122" s="34" t="n">
        <f aca="false">B5122/1</f>
        <v>194.975</v>
      </c>
      <c r="H5122" s="34" t="str">
        <f aca="false">IF(F5122=1,G5122,"")</f>
        <v/>
      </c>
    </row>
    <row r="5123" customFormat="false" ht="15" hidden="false" customHeight="false" outlineLevel="0" collapsed="false">
      <c r="A5123" s="31" t="n">
        <v>42949.375</v>
      </c>
      <c r="B5123" s="32" t="n">
        <v>220.677</v>
      </c>
      <c r="D5123" s="33" t="n">
        <f aca="false">WEEKDAY(A5123,2)</f>
        <v>3</v>
      </c>
      <c r="E5123" s="33" t="n">
        <f aca="false">HOUR(A5123)+MINUTE(A5123)/60</f>
        <v>9</v>
      </c>
      <c r="F5123" s="33" t="n">
        <f aca="false">IF(OR(D5123&gt;5,E5123&lt;8,E5123&gt;=18,COUNTIF($K$2:$K$10,INT(A5123))&gt;0),1,0)</f>
        <v>0</v>
      </c>
      <c r="G5123" s="34" t="n">
        <f aca="false">B5123/1</f>
        <v>220.677</v>
      </c>
      <c r="H5123" s="34" t="str">
        <f aca="false">IF(F5123=1,G5123,"")</f>
        <v/>
      </c>
    </row>
    <row r="5124" customFormat="false" ht="15" hidden="false" customHeight="false" outlineLevel="0" collapsed="false">
      <c r="A5124" s="31" t="n">
        <v>42949.4166666667</v>
      </c>
      <c r="B5124" s="32" t="n">
        <v>232.771</v>
      </c>
      <c r="D5124" s="33" t="n">
        <f aca="false">WEEKDAY(A5124,2)</f>
        <v>3</v>
      </c>
      <c r="E5124" s="33" t="n">
        <f aca="false">HOUR(A5124)+MINUTE(A5124)/60</f>
        <v>10</v>
      </c>
      <c r="F5124" s="33" t="n">
        <f aca="false">IF(OR(D5124&gt;5,E5124&lt;8,E5124&gt;=18,COUNTIF($K$2:$K$10,INT(A5124))&gt;0),1,0)</f>
        <v>0</v>
      </c>
      <c r="G5124" s="34" t="n">
        <f aca="false">B5124/1</f>
        <v>232.771</v>
      </c>
      <c r="H5124" s="34" t="str">
        <f aca="false">IF(F5124=1,G5124,"")</f>
        <v/>
      </c>
    </row>
    <row r="5125" customFormat="false" ht="15" hidden="false" customHeight="false" outlineLevel="0" collapsed="false">
      <c r="A5125" s="31" t="n">
        <v>42949.4583333333</v>
      </c>
      <c r="B5125" s="32" t="n">
        <v>236.783</v>
      </c>
      <c r="D5125" s="33" t="n">
        <f aca="false">WEEKDAY(A5125,2)</f>
        <v>3</v>
      </c>
      <c r="E5125" s="33" t="n">
        <f aca="false">HOUR(A5125)+MINUTE(A5125)/60</f>
        <v>11</v>
      </c>
      <c r="F5125" s="33" t="n">
        <f aca="false">IF(OR(D5125&gt;5,E5125&lt;8,E5125&gt;=18,COUNTIF($K$2:$K$10,INT(A5125))&gt;0),1,0)</f>
        <v>0</v>
      </c>
      <c r="G5125" s="34" t="n">
        <f aca="false">B5125/1</f>
        <v>236.783</v>
      </c>
      <c r="H5125" s="34" t="str">
        <f aca="false">IF(F5125=1,G5125,"")</f>
        <v/>
      </c>
    </row>
    <row r="5126" customFormat="false" ht="15" hidden="false" customHeight="false" outlineLevel="0" collapsed="false">
      <c r="A5126" s="31" t="n">
        <v>42949.5</v>
      </c>
      <c r="B5126" s="32" t="n">
        <v>236.702</v>
      </c>
      <c r="D5126" s="33" t="n">
        <f aca="false">WEEKDAY(A5126,2)</f>
        <v>3</v>
      </c>
      <c r="E5126" s="33" t="n">
        <f aca="false">HOUR(A5126)+MINUTE(A5126)/60</f>
        <v>12</v>
      </c>
      <c r="F5126" s="33" t="n">
        <f aca="false">IF(OR(D5126&gt;5,E5126&lt;8,E5126&gt;=18,COUNTIF($K$2:$K$10,INT(A5126))&gt;0),1,0)</f>
        <v>0</v>
      </c>
      <c r="G5126" s="34" t="n">
        <f aca="false">B5126/1</f>
        <v>236.702</v>
      </c>
      <c r="H5126" s="34" t="str">
        <f aca="false">IF(F5126=1,G5126,"")</f>
        <v/>
      </c>
    </row>
    <row r="5127" customFormat="false" ht="15" hidden="false" customHeight="false" outlineLevel="0" collapsed="false">
      <c r="A5127" s="31" t="n">
        <v>42949.5416666667</v>
      </c>
      <c r="B5127" s="32" t="n">
        <v>231.347</v>
      </c>
      <c r="D5127" s="33" t="n">
        <f aca="false">WEEKDAY(A5127,2)</f>
        <v>3</v>
      </c>
      <c r="E5127" s="33" t="n">
        <f aca="false">HOUR(A5127)+MINUTE(A5127)/60</f>
        <v>13</v>
      </c>
      <c r="F5127" s="33" t="n">
        <f aca="false">IF(OR(D5127&gt;5,E5127&lt;8,E5127&gt;=18,COUNTIF($K$2:$K$10,INT(A5127))&gt;0),1,0)</f>
        <v>0</v>
      </c>
      <c r="G5127" s="34" t="n">
        <f aca="false">B5127/1</f>
        <v>231.347</v>
      </c>
      <c r="H5127" s="34" t="str">
        <f aca="false">IF(F5127=1,G5127,"")</f>
        <v/>
      </c>
    </row>
    <row r="5128" customFormat="false" ht="15" hidden="false" customHeight="false" outlineLevel="0" collapsed="false">
      <c r="A5128" s="31" t="n">
        <v>42949.5833333333</v>
      </c>
      <c r="B5128" s="32" t="n">
        <v>229.468</v>
      </c>
      <c r="D5128" s="33" t="n">
        <f aca="false">WEEKDAY(A5128,2)</f>
        <v>3</v>
      </c>
      <c r="E5128" s="33" t="n">
        <f aca="false">HOUR(A5128)+MINUTE(A5128)/60</f>
        <v>14</v>
      </c>
      <c r="F5128" s="33" t="n">
        <f aca="false">IF(OR(D5128&gt;5,E5128&lt;8,E5128&gt;=18,COUNTIF($K$2:$K$10,INT(A5128))&gt;0),1,0)</f>
        <v>0</v>
      </c>
      <c r="G5128" s="34" t="n">
        <f aca="false">B5128/1</f>
        <v>229.468</v>
      </c>
      <c r="H5128" s="34" t="str">
        <f aca="false">IF(F5128=1,G5128,"")</f>
        <v/>
      </c>
    </row>
    <row r="5129" customFormat="false" ht="15" hidden="false" customHeight="false" outlineLevel="0" collapsed="false">
      <c r="A5129" s="31" t="n">
        <v>42949.625</v>
      </c>
      <c r="B5129" s="32" t="n">
        <v>227.014</v>
      </c>
      <c r="D5129" s="33" t="n">
        <f aca="false">WEEKDAY(A5129,2)</f>
        <v>3</v>
      </c>
      <c r="E5129" s="33" t="n">
        <f aca="false">HOUR(A5129)+MINUTE(A5129)/60</f>
        <v>15</v>
      </c>
      <c r="F5129" s="33" t="n">
        <f aca="false">IF(OR(D5129&gt;5,E5129&lt;8,E5129&gt;=18,COUNTIF($K$2:$K$10,INT(A5129))&gt;0),1,0)</f>
        <v>0</v>
      </c>
      <c r="G5129" s="34" t="n">
        <f aca="false">B5129/1</f>
        <v>227.014</v>
      </c>
      <c r="H5129" s="34" t="str">
        <f aca="false">IF(F5129=1,G5129,"")</f>
        <v/>
      </c>
    </row>
    <row r="5130" customFormat="false" ht="15" hidden="false" customHeight="false" outlineLevel="0" collapsed="false">
      <c r="A5130" s="31" t="n">
        <v>42949.6666666667</v>
      </c>
      <c r="B5130" s="32" t="n">
        <v>208.285</v>
      </c>
      <c r="D5130" s="33" t="n">
        <f aca="false">WEEKDAY(A5130,2)</f>
        <v>3</v>
      </c>
      <c r="E5130" s="33" t="n">
        <f aca="false">HOUR(A5130)+MINUTE(A5130)/60</f>
        <v>16</v>
      </c>
      <c r="F5130" s="33" t="n">
        <f aca="false">IF(OR(D5130&gt;5,E5130&lt;8,E5130&gt;=18,COUNTIF($K$2:$K$10,INT(A5130))&gt;0),1,0)</f>
        <v>0</v>
      </c>
      <c r="G5130" s="34" t="n">
        <f aca="false">B5130/1</f>
        <v>208.285</v>
      </c>
      <c r="H5130" s="34" t="str">
        <f aca="false">IF(F5130=1,G5130,"")</f>
        <v/>
      </c>
    </row>
    <row r="5131" customFormat="false" ht="15" hidden="false" customHeight="false" outlineLevel="0" collapsed="false">
      <c r="A5131" s="31" t="n">
        <v>42949.7083333333</v>
      </c>
      <c r="B5131" s="32" t="n">
        <v>196.787</v>
      </c>
      <c r="D5131" s="33" t="n">
        <f aca="false">WEEKDAY(A5131,2)</f>
        <v>3</v>
      </c>
      <c r="E5131" s="33" t="n">
        <f aca="false">HOUR(A5131)+MINUTE(A5131)/60</f>
        <v>17</v>
      </c>
      <c r="F5131" s="33" t="n">
        <f aca="false">IF(OR(D5131&gt;5,E5131&lt;8,E5131&gt;=18,COUNTIF($K$2:$K$10,INT(A5131))&gt;0),1,0)</f>
        <v>0</v>
      </c>
      <c r="G5131" s="34" t="n">
        <f aca="false">B5131/1</f>
        <v>196.787</v>
      </c>
      <c r="H5131" s="34" t="str">
        <f aca="false">IF(F5131=1,G5131,"")</f>
        <v/>
      </c>
    </row>
    <row r="5132" customFormat="false" ht="15" hidden="false" customHeight="false" outlineLevel="0" collapsed="false">
      <c r="A5132" s="31" t="n">
        <v>42949.75</v>
      </c>
      <c r="B5132" s="32" t="n">
        <v>181.556</v>
      </c>
      <c r="D5132" s="33" t="n">
        <f aca="false">WEEKDAY(A5132,2)</f>
        <v>3</v>
      </c>
      <c r="E5132" s="33" t="n">
        <f aca="false">HOUR(A5132)+MINUTE(A5132)/60</f>
        <v>18</v>
      </c>
      <c r="F5132" s="33" t="n">
        <f aca="false">IF(OR(D5132&gt;5,E5132&lt;8,E5132&gt;=18,COUNTIF($K$2:$K$10,INT(A5132))&gt;0),1,0)</f>
        <v>1</v>
      </c>
      <c r="G5132" s="34" t="n">
        <f aca="false">B5132/1</f>
        <v>181.556</v>
      </c>
      <c r="H5132" s="34" t="n">
        <f aca="false">IF(F5132=1,G5132,"")</f>
        <v>181.556</v>
      </c>
    </row>
    <row r="5133" customFormat="false" ht="15" hidden="false" customHeight="false" outlineLevel="0" collapsed="false">
      <c r="A5133" s="31" t="n">
        <v>42949.7916666667</v>
      </c>
      <c r="B5133" s="32" t="n">
        <v>171.271</v>
      </c>
      <c r="D5133" s="33" t="n">
        <f aca="false">WEEKDAY(A5133,2)</f>
        <v>3</v>
      </c>
      <c r="E5133" s="33" t="n">
        <f aca="false">HOUR(A5133)+MINUTE(A5133)/60</f>
        <v>19</v>
      </c>
      <c r="F5133" s="33" t="n">
        <f aca="false">IF(OR(D5133&gt;5,E5133&lt;8,E5133&gt;=18,COUNTIF($K$2:$K$10,INT(A5133))&gt;0),1,0)</f>
        <v>1</v>
      </c>
      <c r="G5133" s="34" t="n">
        <f aca="false">B5133/1</f>
        <v>171.271</v>
      </c>
      <c r="H5133" s="34" t="n">
        <f aca="false">IF(F5133=1,G5133,"")</f>
        <v>171.271</v>
      </c>
    </row>
    <row r="5134" customFormat="false" ht="15" hidden="false" customHeight="false" outlineLevel="0" collapsed="false">
      <c r="A5134" s="31" t="n">
        <v>42949.8333333333</v>
      </c>
      <c r="B5134" s="32" t="n">
        <v>173.175</v>
      </c>
      <c r="D5134" s="33" t="n">
        <f aca="false">WEEKDAY(A5134,2)</f>
        <v>3</v>
      </c>
      <c r="E5134" s="33" t="n">
        <f aca="false">HOUR(A5134)+MINUTE(A5134)/60</f>
        <v>20</v>
      </c>
      <c r="F5134" s="33" t="n">
        <f aca="false">IF(OR(D5134&gt;5,E5134&lt;8,E5134&gt;=18,COUNTIF($K$2:$K$10,INT(A5134))&gt;0),1,0)</f>
        <v>1</v>
      </c>
      <c r="G5134" s="34" t="n">
        <f aca="false">B5134/1</f>
        <v>173.175</v>
      </c>
      <c r="H5134" s="34" t="n">
        <f aca="false">IF(F5134=1,G5134,"")</f>
        <v>173.175</v>
      </c>
    </row>
    <row r="5135" customFormat="false" ht="15" hidden="false" customHeight="false" outlineLevel="0" collapsed="false">
      <c r="A5135" s="31" t="n">
        <v>42949.875</v>
      </c>
      <c r="B5135" s="32" t="n">
        <v>165.501</v>
      </c>
      <c r="D5135" s="33" t="n">
        <f aca="false">WEEKDAY(A5135,2)</f>
        <v>3</v>
      </c>
      <c r="E5135" s="33" t="n">
        <f aca="false">HOUR(A5135)+MINUTE(A5135)/60</f>
        <v>21</v>
      </c>
      <c r="F5135" s="33" t="n">
        <f aca="false">IF(OR(D5135&gt;5,E5135&lt;8,E5135&gt;=18,COUNTIF($K$2:$K$10,INT(A5135))&gt;0),1,0)</f>
        <v>1</v>
      </c>
      <c r="G5135" s="34" t="n">
        <f aca="false">B5135/1</f>
        <v>165.501</v>
      </c>
      <c r="H5135" s="34" t="n">
        <f aca="false">IF(F5135=1,G5135,"")</f>
        <v>165.501</v>
      </c>
    </row>
    <row r="5136" customFormat="false" ht="15" hidden="false" customHeight="false" outlineLevel="0" collapsed="false">
      <c r="A5136" s="31" t="n">
        <v>42949.9166666667</v>
      </c>
      <c r="B5136" s="32" t="n">
        <v>118.185</v>
      </c>
      <c r="D5136" s="33" t="n">
        <f aca="false">WEEKDAY(A5136,2)</f>
        <v>3</v>
      </c>
      <c r="E5136" s="33" t="n">
        <f aca="false">HOUR(A5136)+MINUTE(A5136)/60</f>
        <v>22</v>
      </c>
      <c r="F5136" s="33" t="n">
        <f aca="false">IF(OR(D5136&gt;5,E5136&lt;8,E5136&gt;=18,COUNTIF($K$2:$K$10,INT(A5136))&gt;0),1,0)</f>
        <v>1</v>
      </c>
      <c r="G5136" s="34" t="n">
        <f aca="false">B5136/1</f>
        <v>118.185</v>
      </c>
      <c r="H5136" s="34" t="n">
        <f aca="false">IF(F5136=1,G5136,"")</f>
        <v>118.185</v>
      </c>
    </row>
    <row r="5137" customFormat="false" ht="15" hidden="false" customHeight="false" outlineLevel="0" collapsed="false">
      <c r="A5137" s="31" t="n">
        <v>42949.9583333333</v>
      </c>
      <c r="B5137" s="32" t="n">
        <v>65.69</v>
      </c>
      <c r="D5137" s="33" t="n">
        <f aca="false">WEEKDAY(A5137,2)</f>
        <v>3</v>
      </c>
      <c r="E5137" s="33" t="n">
        <f aca="false">HOUR(A5137)+MINUTE(A5137)/60</f>
        <v>23</v>
      </c>
      <c r="F5137" s="33" t="n">
        <f aca="false">IF(OR(D5137&gt;5,E5137&lt;8,E5137&gt;=18,COUNTIF($K$2:$K$10,INT(A5137))&gt;0),1,0)</f>
        <v>1</v>
      </c>
      <c r="G5137" s="34" t="n">
        <f aca="false">B5137/1</f>
        <v>65.69</v>
      </c>
      <c r="H5137" s="34" t="n">
        <f aca="false">IF(F5137=1,G5137,"")</f>
        <v>65.69</v>
      </c>
    </row>
    <row r="5138" customFormat="false" ht="15" hidden="false" customHeight="false" outlineLevel="0" collapsed="false">
      <c r="A5138" s="31" t="n">
        <v>42950</v>
      </c>
      <c r="B5138" s="32" t="n">
        <v>59.951</v>
      </c>
      <c r="D5138" s="33" t="n">
        <f aca="false">WEEKDAY(A5138,2)</f>
        <v>4</v>
      </c>
      <c r="E5138" s="33" t="n">
        <f aca="false">HOUR(A5138)+MINUTE(A5138)/60</f>
        <v>0</v>
      </c>
      <c r="F5138" s="33" t="n">
        <f aca="false">IF(OR(D5138&gt;5,E5138&lt;8,E5138&gt;=18,COUNTIF($K$2:$K$10,INT(A5138))&gt;0),1,0)</f>
        <v>1</v>
      </c>
      <c r="G5138" s="34" t="n">
        <f aca="false">B5138/1</f>
        <v>59.951</v>
      </c>
      <c r="H5138" s="34" t="n">
        <f aca="false">IF(F5138=1,G5138,"")</f>
        <v>59.951</v>
      </c>
    </row>
    <row r="5139" customFormat="false" ht="15" hidden="false" customHeight="false" outlineLevel="0" collapsed="false">
      <c r="A5139" s="31" t="n">
        <v>42950.0416666667</v>
      </c>
      <c r="B5139" s="32" t="n">
        <v>58.561</v>
      </c>
      <c r="D5139" s="33" t="n">
        <f aca="false">WEEKDAY(A5139,2)</f>
        <v>4</v>
      </c>
      <c r="E5139" s="33" t="n">
        <f aca="false">HOUR(A5139)+MINUTE(A5139)/60</f>
        <v>1</v>
      </c>
      <c r="F5139" s="33" t="n">
        <f aca="false">IF(OR(D5139&gt;5,E5139&lt;8,E5139&gt;=18,COUNTIF($K$2:$K$10,INT(A5139))&gt;0),1,0)</f>
        <v>1</v>
      </c>
      <c r="G5139" s="34" t="n">
        <f aca="false">B5139/1</f>
        <v>58.561</v>
      </c>
      <c r="H5139" s="34" t="n">
        <f aca="false">IF(F5139=1,G5139,"")</f>
        <v>58.561</v>
      </c>
    </row>
    <row r="5140" customFormat="false" ht="15" hidden="false" customHeight="false" outlineLevel="0" collapsed="false">
      <c r="A5140" s="31" t="n">
        <v>42950.0833333333</v>
      </c>
      <c r="B5140" s="32" t="n">
        <v>57.447</v>
      </c>
      <c r="D5140" s="33" t="n">
        <f aca="false">WEEKDAY(A5140,2)</f>
        <v>4</v>
      </c>
      <c r="E5140" s="33" t="n">
        <f aca="false">HOUR(A5140)+MINUTE(A5140)/60</f>
        <v>2</v>
      </c>
      <c r="F5140" s="33" t="n">
        <f aca="false">IF(OR(D5140&gt;5,E5140&lt;8,E5140&gt;=18,COUNTIF($K$2:$K$10,INT(A5140))&gt;0),1,0)</f>
        <v>1</v>
      </c>
      <c r="G5140" s="34" t="n">
        <f aca="false">B5140/1</f>
        <v>57.447</v>
      </c>
      <c r="H5140" s="34" t="n">
        <f aca="false">IF(F5140=1,G5140,"")</f>
        <v>57.447</v>
      </c>
    </row>
    <row r="5141" customFormat="false" ht="15" hidden="false" customHeight="false" outlineLevel="0" collapsed="false">
      <c r="A5141" s="31" t="n">
        <v>42950.125</v>
      </c>
      <c r="B5141" s="32" t="n">
        <v>57.447</v>
      </c>
      <c r="D5141" s="33" t="n">
        <f aca="false">WEEKDAY(A5141,2)</f>
        <v>4</v>
      </c>
      <c r="E5141" s="33" t="n">
        <f aca="false">HOUR(A5141)+MINUTE(A5141)/60</f>
        <v>3</v>
      </c>
      <c r="F5141" s="33" t="n">
        <f aca="false">IF(OR(D5141&gt;5,E5141&lt;8,E5141&gt;=18,COUNTIF($K$2:$K$10,INT(A5141))&gt;0),1,0)</f>
        <v>1</v>
      </c>
      <c r="G5141" s="34" t="n">
        <f aca="false">B5141/1</f>
        <v>57.447</v>
      </c>
      <c r="H5141" s="34" t="n">
        <f aca="false">IF(F5141=1,G5141,"")</f>
        <v>57.447</v>
      </c>
    </row>
    <row r="5142" customFormat="false" ht="15" hidden="false" customHeight="false" outlineLevel="0" collapsed="false">
      <c r="A5142" s="31" t="n">
        <v>42950.1666666667</v>
      </c>
      <c r="B5142" s="32" t="n">
        <v>57.447</v>
      </c>
      <c r="D5142" s="33" t="n">
        <f aca="false">WEEKDAY(A5142,2)</f>
        <v>4</v>
      </c>
      <c r="E5142" s="33" t="n">
        <f aca="false">HOUR(A5142)+MINUTE(A5142)/60</f>
        <v>4</v>
      </c>
      <c r="F5142" s="33" t="n">
        <f aca="false">IF(OR(D5142&gt;5,E5142&lt;8,E5142&gt;=18,COUNTIF($K$2:$K$10,INT(A5142))&gt;0),1,0)</f>
        <v>1</v>
      </c>
      <c r="G5142" s="34" t="n">
        <f aca="false">B5142/1</f>
        <v>57.447</v>
      </c>
      <c r="H5142" s="34" t="n">
        <f aca="false">IF(F5142=1,G5142,"")</f>
        <v>57.447</v>
      </c>
    </row>
    <row r="5143" customFormat="false" ht="15" hidden="false" customHeight="false" outlineLevel="0" collapsed="false">
      <c r="A5143" s="31" t="n">
        <v>42950.2083333333</v>
      </c>
      <c r="B5143" s="32" t="n">
        <v>57.447</v>
      </c>
      <c r="D5143" s="33" t="n">
        <f aca="false">WEEKDAY(A5143,2)</f>
        <v>4</v>
      </c>
      <c r="E5143" s="33" t="n">
        <f aca="false">HOUR(A5143)+MINUTE(A5143)/60</f>
        <v>5</v>
      </c>
      <c r="F5143" s="33" t="n">
        <f aca="false">IF(OR(D5143&gt;5,E5143&lt;8,E5143&gt;=18,COUNTIF($K$2:$K$10,INT(A5143))&gt;0),1,0)</f>
        <v>1</v>
      </c>
      <c r="G5143" s="34" t="n">
        <f aca="false">B5143/1</f>
        <v>57.447</v>
      </c>
      <c r="H5143" s="34" t="n">
        <f aca="false">IF(F5143=1,G5143,"")</f>
        <v>57.447</v>
      </c>
    </row>
    <row r="5144" customFormat="false" ht="15" hidden="false" customHeight="false" outlineLevel="0" collapsed="false">
      <c r="A5144" s="31" t="n">
        <v>42950.25</v>
      </c>
      <c r="B5144" s="32" t="n">
        <v>57.447</v>
      </c>
      <c r="D5144" s="33" t="n">
        <f aca="false">WEEKDAY(A5144,2)</f>
        <v>4</v>
      </c>
      <c r="E5144" s="33" t="n">
        <f aca="false">HOUR(A5144)+MINUTE(A5144)/60</f>
        <v>6</v>
      </c>
      <c r="F5144" s="33" t="n">
        <f aca="false">IF(OR(D5144&gt;5,E5144&lt;8,E5144&gt;=18,COUNTIF($K$2:$K$10,INT(A5144))&gt;0),1,0)</f>
        <v>1</v>
      </c>
      <c r="G5144" s="34" t="n">
        <f aca="false">B5144/1</f>
        <v>57.447</v>
      </c>
      <c r="H5144" s="34" t="n">
        <f aca="false">IF(F5144=1,G5144,"")</f>
        <v>57.447</v>
      </c>
    </row>
    <row r="5145" customFormat="false" ht="15" hidden="false" customHeight="false" outlineLevel="0" collapsed="false">
      <c r="A5145" s="31" t="n">
        <v>42950.2916666667</v>
      </c>
      <c r="B5145" s="32" t="n">
        <v>65.78</v>
      </c>
      <c r="D5145" s="33" t="n">
        <f aca="false">WEEKDAY(A5145,2)</f>
        <v>4</v>
      </c>
      <c r="E5145" s="33" t="n">
        <f aca="false">HOUR(A5145)+MINUTE(A5145)/60</f>
        <v>7</v>
      </c>
      <c r="F5145" s="33" t="n">
        <f aca="false">IF(OR(D5145&gt;5,E5145&lt;8,E5145&gt;=18,COUNTIF($K$2:$K$10,INT(A5145))&gt;0),1,0)</f>
        <v>1</v>
      </c>
      <c r="G5145" s="34" t="n">
        <f aca="false">B5145/1</f>
        <v>65.78</v>
      </c>
      <c r="H5145" s="34" t="n">
        <f aca="false">IF(F5145=1,G5145,"")</f>
        <v>65.78</v>
      </c>
    </row>
    <row r="5146" customFormat="false" ht="15" hidden="false" customHeight="false" outlineLevel="0" collapsed="false">
      <c r="A5146" s="31" t="n">
        <v>42950.3333333333</v>
      </c>
      <c r="B5146" s="32" t="n">
        <v>193.558</v>
      </c>
      <c r="D5146" s="33" t="n">
        <f aca="false">WEEKDAY(A5146,2)</f>
        <v>4</v>
      </c>
      <c r="E5146" s="33" t="n">
        <f aca="false">HOUR(A5146)+MINUTE(A5146)/60</f>
        <v>8</v>
      </c>
      <c r="F5146" s="33" t="n">
        <f aca="false">IF(OR(D5146&gt;5,E5146&lt;8,E5146&gt;=18,COUNTIF($K$2:$K$10,INT(A5146))&gt;0),1,0)</f>
        <v>0</v>
      </c>
      <c r="G5146" s="34" t="n">
        <f aca="false">B5146/1</f>
        <v>193.558</v>
      </c>
      <c r="H5146" s="34" t="str">
        <f aca="false">IF(F5146=1,G5146,"")</f>
        <v/>
      </c>
    </row>
    <row r="5147" customFormat="false" ht="15" hidden="false" customHeight="false" outlineLevel="0" collapsed="false">
      <c r="A5147" s="31" t="n">
        <v>42950.375</v>
      </c>
      <c r="B5147" s="32" t="n">
        <v>220.647</v>
      </c>
      <c r="D5147" s="33" t="n">
        <f aca="false">WEEKDAY(A5147,2)</f>
        <v>4</v>
      </c>
      <c r="E5147" s="33" t="n">
        <f aca="false">HOUR(A5147)+MINUTE(A5147)/60</f>
        <v>9</v>
      </c>
      <c r="F5147" s="33" t="n">
        <f aca="false">IF(OR(D5147&gt;5,E5147&lt;8,E5147&gt;=18,COUNTIF($K$2:$K$10,INT(A5147))&gt;0),1,0)</f>
        <v>0</v>
      </c>
      <c r="G5147" s="34" t="n">
        <f aca="false">B5147/1</f>
        <v>220.647</v>
      </c>
      <c r="H5147" s="34" t="str">
        <f aca="false">IF(F5147=1,G5147,"")</f>
        <v/>
      </c>
    </row>
    <row r="5148" customFormat="false" ht="15" hidden="false" customHeight="false" outlineLevel="0" collapsed="false">
      <c r="A5148" s="31" t="n">
        <v>42950.4166666667</v>
      </c>
      <c r="B5148" s="32" t="n">
        <v>232.998</v>
      </c>
      <c r="D5148" s="33" t="n">
        <f aca="false">WEEKDAY(A5148,2)</f>
        <v>4</v>
      </c>
      <c r="E5148" s="33" t="n">
        <f aca="false">HOUR(A5148)+MINUTE(A5148)/60</f>
        <v>10</v>
      </c>
      <c r="F5148" s="33" t="n">
        <f aca="false">IF(OR(D5148&gt;5,E5148&lt;8,E5148&gt;=18,COUNTIF($K$2:$K$10,INT(A5148))&gt;0),1,0)</f>
        <v>0</v>
      </c>
      <c r="G5148" s="34" t="n">
        <f aca="false">B5148/1</f>
        <v>232.998</v>
      </c>
      <c r="H5148" s="34" t="str">
        <f aca="false">IF(F5148=1,G5148,"")</f>
        <v/>
      </c>
    </row>
    <row r="5149" customFormat="false" ht="15" hidden="false" customHeight="false" outlineLevel="0" collapsed="false">
      <c r="A5149" s="31" t="n">
        <v>42950.4583333333</v>
      </c>
      <c r="B5149" s="32" t="n">
        <v>233.097</v>
      </c>
      <c r="D5149" s="33" t="n">
        <f aca="false">WEEKDAY(A5149,2)</f>
        <v>4</v>
      </c>
      <c r="E5149" s="33" t="n">
        <f aca="false">HOUR(A5149)+MINUTE(A5149)/60</f>
        <v>11</v>
      </c>
      <c r="F5149" s="33" t="n">
        <f aca="false">IF(OR(D5149&gt;5,E5149&lt;8,E5149&gt;=18,COUNTIF($K$2:$K$10,INT(A5149))&gt;0),1,0)</f>
        <v>0</v>
      </c>
      <c r="G5149" s="34" t="n">
        <f aca="false">B5149/1</f>
        <v>233.097</v>
      </c>
      <c r="H5149" s="34" t="str">
        <f aca="false">IF(F5149=1,G5149,"")</f>
        <v/>
      </c>
    </row>
    <row r="5150" customFormat="false" ht="15" hidden="false" customHeight="false" outlineLevel="0" collapsed="false">
      <c r="A5150" s="31" t="n">
        <v>42950.5</v>
      </c>
      <c r="B5150" s="32" t="n">
        <v>230.15</v>
      </c>
      <c r="D5150" s="33" t="n">
        <f aca="false">WEEKDAY(A5150,2)</f>
        <v>4</v>
      </c>
      <c r="E5150" s="33" t="n">
        <f aca="false">HOUR(A5150)+MINUTE(A5150)/60</f>
        <v>12</v>
      </c>
      <c r="F5150" s="33" t="n">
        <f aca="false">IF(OR(D5150&gt;5,E5150&lt;8,E5150&gt;=18,COUNTIF($K$2:$K$10,INT(A5150))&gt;0),1,0)</f>
        <v>0</v>
      </c>
      <c r="G5150" s="34" t="n">
        <f aca="false">B5150/1</f>
        <v>230.15</v>
      </c>
      <c r="H5150" s="34" t="str">
        <f aca="false">IF(F5150=1,G5150,"")</f>
        <v/>
      </c>
    </row>
    <row r="5151" customFormat="false" ht="15" hidden="false" customHeight="false" outlineLevel="0" collapsed="false">
      <c r="A5151" s="31" t="n">
        <v>42950.5416666667</v>
      </c>
      <c r="B5151" s="32" t="n">
        <v>209.546</v>
      </c>
      <c r="D5151" s="33" t="n">
        <f aca="false">WEEKDAY(A5151,2)</f>
        <v>4</v>
      </c>
      <c r="E5151" s="33" t="n">
        <f aca="false">HOUR(A5151)+MINUTE(A5151)/60</f>
        <v>13</v>
      </c>
      <c r="F5151" s="33" t="n">
        <f aca="false">IF(OR(D5151&gt;5,E5151&lt;8,E5151&gt;=18,COUNTIF($K$2:$K$10,INT(A5151))&gt;0),1,0)</f>
        <v>0</v>
      </c>
      <c r="G5151" s="34" t="n">
        <f aca="false">B5151/1</f>
        <v>209.546</v>
      </c>
      <c r="H5151" s="34" t="str">
        <f aca="false">IF(F5151=1,G5151,"")</f>
        <v/>
      </c>
    </row>
    <row r="5152" customFormat="false" ht="15" hidden="false" customHeight="false" outlineLevel="0" collapsed="false">
      <c r="A5152" s="31" t="n">
        <v>42950.5833333333</v>
      </c>
      <c r="B5152" s="32" t="n">
        <v>211.306</v>
      </c>
      <c r="D5152" s="33" t="n">
        <f aca="false">WEEKDAY(A5152,2)</f>
        <v>4</v>
      </c>
      <c r="E5152" s="33" t="n">
        <f aca="false">HOUR(A5152)+MINUTE(A5152)/60</f>
        <v>14</v>
      </c>
      <c r="F5152" s="33" t="n">
        <f aca="false">IF(OR(D5152&gt;5,E5152&lt;8,E5152&gt;=18,COUNTIF($K$2:$K$10,INT(A5152))&gt;0),1,0)</f>
        <v>0</v>
      </c>
      <c r="G5152" s="34" t="n">
        <f aca="false">B5152/1</f>
        <v>211.306</v>
      </c>
      <c r="H5152" s="34" t="str">
        <f aca="false">IF(F5152=1,G5152,"")</f>
        <v/>
      </c>
    </row>
    <row r="5153" customFormat="false" ht="15" hidden="false" customHeight="false" outlineLevel="0" collapsed="false">
      <c r="A5153" s="31" t="n">
        <v>42950.625</v>
      </c>
      <c r="B5153" s="32" t="n">
        <v>206.955</v>
      </c>
      <c r="D5153" s="33" t="n">
        <f aca="false">WEEKDAY(A5153,2)</f>
        <v>4</v>
      </c>
      <c r="E5153" s="33" t="n">
        <f aca="false">HOUR(A5153)+MINUTE(A5153)/60</f>
        <v>15</v>
      </c>
      <c r="F5153" s="33" t="n">
        <f aca="false">IF(OR(D5153&gt;5,E5153&lt;8,E5153&gt;=18,COUNTIF($K$2:$K$10,INT(A5153))&gt;0),1,0)</f>
        <v>0</v>
      </c>
      <c r="G5153" s="34" t="n">
        <f aca="false">B5153/1</f>
        <v>206.955</v>
      </c>
      <c r="H5153" s="34" t="str">
        <f aca="false">IF(F5153=1,G5153,"")</f>
        <v/>
      </c>
    </row>
    <row r="5154" customFormat="false" ht="15" hidden="false" customHeight="false" outlineLevel="0" collapsed="false">
      <c r="A5154" s="31" t="n">
        <v>42950.6666666667</v>
      </c>
      <c r="B5154" s="32" t="n">
        <v>199.932</v>
      </c>
      <c r="D5154" s="33" t="n">
        <f aca="false">WEEKDAY(A5154,2)</f>
        <v>4</v>
      </c>
      <c r="E5154" s="33" t="n">
        <f aca="false">HOUR(A5154)+MINUTE(A5154)/60</f>
        <v>16</v>
      </c>
      <c r="F5154" s="33" t="n">
        <f aca="false">IF(OR(D5154&gt;5,E5154&lt;8,E5154&gt;=18,COUNTIF($K$2:$K$10,INT(A5154))&gt;0),1,0)</f>
        <v>0</v>
      </c>
      <c r="G5154" s="34" t="n">
        <f aca="false">B5154/1</f>
        <v>199.932</v>
      </c>
      <c r="H5154" s="34" t="str">
        <f aca="false">IF(F5154=1,G5154,"")</f>
        <v/>
      </c>
    </row>
    <row r="5155" customFormat="false" ht="15" hidden="false" customHeight="false" outlineLevel="0" collapsed="false">
      <c r="A5155" s="31" t="n">
        <v>42950.7083333333</v>
      </c>
      <c r="B5155" s="32" t="n">
        <v>188.563</v>
      </c>
      <c r="D5155" s="33" t="n">
        <f aca="false">WEEKDAY(A5155,2)</f>
        <v>4</v>
      </c>
      <c r="E5155" s="33" t="n">
        <f aca="false">HOUR(A5155)+MINUTE(A5155)/60</f>
        <v>17</v>
      </c>
      <c r="F5155" s="33" t="n">
        <f aca="false">IF(OR(D5155&gt;5,E5155&lt;8,E5155&gt;=18,COUNTIF($K$2:$K$10,INT(A5155))&gt;0),1,0)</f>
        <v>0</v>
      </c>
      <c r="G5155" s="34" t="n">
        <f aca="false">B5155/1</f>
        <v>188.563</v>
      </c>
      <c r="H5155" s="34" t="str">
        <f aca="false">IF(F5155=1,G5155,"")</f>
        <v/>
      </c>
    </row>
    <row r="5156" customFormat="false" ht="15" hidden="false" customHeight="false" outlineLevel="0" collapsed="false">
      <c r="A5156" s="31" t="n">
        <v>42950.75</v>
      </c>
      <c r="B5156" s="32" t="n">
        <v>172.088</v>
      </c>
      <c r="D5156" s="33" t="n">
        <f aca="false">WEEKDAY(A5156,2)</f>
        <v>4</v>
      </c>
      <c r="E5156" s="33" t="n">
        <f aca="false">HOUR(A5156)+MINUTE(A5156)/60</f>
        <v>18</v>
      </c>
      <c r="F5156" s="33" t="n">
        <f aca="false">IF(OR(D5156&gt;5,E5156&lt;8,E5156&gt;=18,COUNTIF($K$2:$K$10,INT(A5156))&gt;0),1,0)</f>
        <v>1</v>
      </c>
      <c r="G5156" s="34" t="n">
        <f aca="false">B5156/1</f>
        <v>172.088</v>
      </c>
      <c r="H5156" s="34" t="n">
        <f aca="false">IF(F5156=1,G5156,"")</f>
        <v>172.088</v>
      </c>
    </row>
    <row r="5157" customFormat="false" ht="15" hidden="false" customHeight="false" outlineLevel="0" collapsed="false">
      <c r="A5157" s="31" t="n">
        <v>42950.7916666667</v>
      </c>
      <c r="B5157" s="32" t="n">
        <v>169.942</v>
      </c>
      <c r="D5157" s="33" t="n">
        <f aca="false">WEEKDAY(A5157,2)</f>
        <v>4</v>
      </c>
      <c r="E5157" s="33" t="n">
        <f aca="false">HOUR(A5157)+MINUTE(A5157)/60</f>
        <v>19</v>
      </c>
      <c r="F5157" s="33" t="n">
        <f aca="false">IF(OR(D5157&gt;5,E5157&lt;8,E5157&gt;=18,COUNTIF($K$2:$K$10,INT(A5157))&gt;0),1,0)</f>
        <v>1</v>
      </c>
      <c r="G5157" s="34" t="n">
        <f aca="false">B5157/1</f>
        <v>169.942</v>
      </c>
      <c r="H5157" s="34" t="n">
        <f aca="false">IF(F5157=1,G5157,"")</f>
        <v>169.942</v>
      </c>
    </row>
    <row r="5158" customFormat="false" ht="15" hidden="false" customHeight="false" outlineLevel="0" collapsed="false">
      <c r="A5158" s="31" t="n">
        <v>42950.8333333333</v>
      </c>
      <c r="B5158" s="32" t="n">
        <v>164.016</v>
      </c>
      <c r="D5158" s="33" t="n">
        <f aca="false">WEEKDAY(A5158,2)</f>
        <v>4</v>
      </c>
      <c r="E5158" s="33" t="n">
        <f aca="false">HOUR(A5158)+MINUTE(A5158)/60</f>
        <v>20</v>
      </c>
      <c r="F5158" s="33" t="n">
        <f aca="false">IF(OR(D5158&gt;5,E5158&lt;8,E5158&gt;=18,COUNTIF($K$2:$K$10,INT(A5158))&gt;0),1,0)</f>
        <v>1</v>
      </c>
      <c r="G5158" s="34" t="n">
        <f aca="false">B5158/1</f>
        <v>164.016</v>
      </c>
      <c r="H5158" s="34" t="n">
        <f aca="false">IF(F5158=1,G5158,"")</f>
        <v>164.016</v>
      </c>
    </row>
    <row r="5159" customFormat="false" ht="15" hidden="false" customHeight="false" outlineLevel="0" collapsed="false">
      <c r="A5159" s="31" t="n">
        <v>42950.875</v>
      </c>
      <c r="B5159" s="32" t="n">
        <v>168.167</v>
      </c>
      <c r="D5159" s="33" t="n">
        <f aca="false">WEEKDAY(A5159,2)</f>
        <v>4</v>
      </c>
      <c r="E5159" s="33" t="n">
        <f aca="false">HOUR(A5159)+MINUTE(A5159)/60</f>
        <v>21</v>
      </c>
      <c r="F5159" s="33" t="n">
        <f aca="false">IF(OR(D5159&gt;5,E5159&lt;8,E5159&gt;=18,COUNTIF($K$2:$K$10,INT(A5159))&gt;0),1,0)</f>
        <v>1</v>
      </c>
      <c r="G5159" s="34" t="n">
        <f aca="false">B5159/1</f>
        <v>168.167</v>
      </c>
      <c r="H5159" s="34" t="n">
        <f aca="false">IF(F5159=1,G5159,"")</f>
        <v>168.167</v>
      </c>
    </row>
    <row r="5160" customFormat="false" ht="15" hidden="false" customHeight="false" outlineLevel="0" collapsed="false">
      <c r="A5160" s="31" t="n">
        <v>42950.9166666667</v>
      </c>
      <c r="B5160" s="32" t="n">
        <v>112.097</v>
      </c>
      <c r="D5160" s="33" t="n">
        <f aca="false">WEEKDAY(A5160,2)</f>
        <v>4</v>
      </c>
      <c r="E5160" s="33" t="n">
        <f aca="false">HOUR(A5160)+MINUTE(A5160)/60</f>
        <v>22</v>
      </c>
      <c r="F5160" s="33" t="n">
        <f aca="false">IF(OR(D5160&gt;5,E5160&lt;8,E5160&gt;=18,COUNTIF($K$2:$K$10,INT(A5160))&gt;0),1,0)</f>
        <v>1</v>
      </c>
      <c r="G5160" s="34" t="n">
        <f aca="false">B5160/1</f>
        <v>112.097</v>
      </c>
      <c r="H5160" s="34" t="n">
        <f aca="false">IF(F5160=1,G5160,"")</f>
        <v>112.097</v>
      </c>
    </row>
    <row r="5161" customFormat="false" ht="15" hidden="false" customHeight="false" outlineLevel="0" collapsed="false">
      <c r="A5161" s="31" t="n">
        <v>42950.9583333333</v>
      </c>
      <c r="B5161" s="32" t="n">
        <v>52.056</v>
      </c>
      <c r="D5161" s="33" t="n">
        <f aca="false">WEEKDAY(A5161,2)</f>
        <v>4</v>
      </c>
      <c r="E5161" s="33" t="n">
        <f aca="false">HOUR(A5161)+MINUTE(A5161)/60</f>
        <v>23</v>
      </c>
      <c r="F5161" s="33" t="n">
        <f aca="false">IF(OR(D5161&gt;5,E5161&lt;8,E5161&gt;=18,COUNTIF($K$2:$K$10,INT(A5161))&gt;0),1,0)</f>
        <v>1</v>
      </c>
      <c r="G5161" s="34" t="n">
        <f aca="false">B5161/1</f>
        <v>52.056</v>
      </c>
      <c r="H5161" s="34" t="n">
        <f aca="false">IF(F5161=1,G5161,"")</f>
        <v>52.056</v>
      </c>
    </row>
    <row r="5162" customFormat="false" ht="15" hidden="false" customHeight="false" outlineLevel="0" collapsed="false">
      <c r="A5162" s="31" t="n">
        <v>42951</v>
      </c>
      <c r="B5162" s="32" t="n">
        <v>51.56</v>
      </c>
      <c r="D5162" s="33" t="n">
        <f aca="false">WEEKDAY(A5162,2)</f>
        <v>5</v>
      </c>
      <c r="E5162" s="33" t="n">
        <f aca="false">HOUR(A5162)+MINUTE(A5162)/60</f>
        <v>0</v>
      </c>
      <c r="F5162" s="33" t="n">
        <f aca="false">IF(OR(D5162&gt;5,E5162&lt;8,E5162&gt;=18,COUNTIF($K$2:$K$10,INT(A5162))&gt;0),1,0)</f>
        <v>1</v>
      </c>
      <c r="G5162" s="34" t="n">
        <f aca="false">B5162/1</f>
        <v>51.56</v>
      </c>
      <c r="H5162" s="34" t="n">
        <f aca="false">IF(F5162=1,G5162,"")</f>
        <v>51.56</v>
      </c>
    </row>
    <row r="5163" customFormat="false" ht="15" hidden="false" customHeight="false" outlineLevel="0" collapsed="false">
      <c r="A5163" s="31" t="n">
        <v>42951.0416666667</v>
      </c>
      <c r="B5163" s="32" t="n">
        <v>50.619</v>
      </c>
      <c r="D5163" s="33" t="n">
        <f aca="false">WEEKDAY(A5163,2)</f>
        <v>5</v>
      </c>
      <c r="E5163" s="33" t="n">
        <f aca="false">HOUR(A5163)+MINUTE(A5163)/60</f>
        <v>1</v>
      </c>
      <c r="F5163" s="33" t="n">
        <f aca="false">IF(OR(D5163&gt;5,E5163&lt;8,E5163&gt;=18,COUNTIF($K$2:$K$10,INT(A5163))&gt;0),1,0)</f>
        <v>1</v>
      </c>
      <c r="G5163" s="34" t="n">
        <f aca="false">B5163/1</f>
        <v>50.619</v>
      </c>
      <c r="H5163" s="34" t="n">
        <f aca="false">IF(F5163=1,G5163,"")</f>
        <v>50.619</v>
      </c>
    </row>
    <row r="5164" customFormat="false" ht="15" hidden="false" customHeight="false" outlineLevel="0" collapsed="false">
      <c r="A5164" s="31" t="n">
        <v>42951.0833333333</v>
      </c>
      <c r="B5164" s="32" t="n">
        <v>51.408</v>
      </c>
      <c r="D5164" s="33" t="n">
        <f aca="false">WEEKDAY(A5164,2)</f>
        <v>5</v>
      </c>
      <c r="E5164" s="33" t="n">
        <f aca="false">HOUR(A5164)+MINUTE(A5164)/60</f>
        <v>2</v>
      </c>
      <c r="F5164" s="33" t="n">
        <f aca="false">IF(OR(D5164&gt;5,E5164&lt;8,E5164&gt;=18,COUNTIF($K$2:$K$10,INT(A5164))&gt;0),1,0)</f>
        <v>1</v>
      </c>
      <c r="G5164" s="34" t="n">
        <f aca="false">B5164/1</f>
        <v>51.408</v>
      </c>
      <c r="H5164" s="34" t="n">
        <f aca="false">IF(F5164=1,G5164,"")</f>
        <v>51.408</v>
      </c>
    </row>
    <row r="5165" customFormat="false" ht="15" hidden="false" customHeight="false" outlineLevel="0" collapsed="false">
      <c r="A5165" s="31" t="n">
        <v>42951.125</v>
      </c>
      <c r="B5165" s="32" t="n">
        <v>50.731</v>
      </c>
      <c r="D5165" s="33" t="n">
        <f aca="false">WEEKDAY(A5165,2)</f>
        <v>5</v>
      </c>
      <c r="E5165" s="33" t="n">
        <f aca="false">HOUR(A5165)+MINUTE(A5165)/60</f>
        <v>3</v>
      </c>
      <c r="F5165" s="33" t="n">
        <f aca="false">IF(OR(D5165&gt;5,E5165&lt;8,E5165&gt;=18,COUNTIF($K$2:$K$10,INT(A5165))&gt;0),1,0)</f>
        <v>1</v>
      </c>
      <c r="G5165" s="34" t="n">
        <f aca="false">B5165/1</f>
        <v>50.731</v>
      </c>
      <c r="H5165" s="34" t="n">
        <f aca="false">IF(F5165=1,G5165,"")</f>
        <v>50.731</v>
      </c>
    </row>
    <row r="5166" customFormat="false" ht="15" hidden="false" customHeight="false" outlineLevel="0" collapsed="false">
      <c r="A5166" s="31" t="n">
        <v>42951.1666666667</v>
      </c>
      <c r="B5166" s="32" t="n">
        <v>50.53</v>
      </c>
      <c r="D5166" s="33" t="n">
        <f aca="false">WEEKDAY(A5166,2)</f>
        <v>5</v>
      </c>
      <c r="E5166" s="33" t="n">
        <f aca="false">HOUR(A5166)+MINUTE(A5166)/60</f>
        <v>4</v>
      </c>
      <c r="F5166" s="33" t="n">
        <f aca="false">IF(OR(D5166&gt;5,E5166&lt;8,E5166&gt;=18,COUNTIF($K$2:$K$10,INT(A5166))&gt;0),1,0)</f>
        <v>1</v>
      </c>
      <c r="G5166" s="34" t="n">
        <f aca="false">B5166/1</f>
        <v>50.53</v>
      </c>
      <c r="H5166" s="34" t="n">
        <f aca="false">IF(F5166=1,G5166,"")</f>
        <v>50.53</v>
      </c>
    </row>
    <row r="5167" customFormat="false" ht="15" hidden="false" customHeight="false" outlineLevel="0" collapsed="false">
      <c r="A5167" s="31" t="n">
        <v>42951.2083333333</v>
      </c>
      <c r="B5167" s="32" t="n">
        <v>51.193</v>
      </c>
      <c r="D5167" s="33" t="n">
        <f aca="false">WEEKDAY(A5167,2)</f>
        <v>5</v>
      </c>
      <c r="E5167" s="33" t="n">
        <f aca="false">HOUR(A5167)+MINUTE(A5167)/60</f>
        <v>5</v>
      </c>
      <c r="F5167" s="33" t="n">
        <f aca="false">IF(OR(D5167&gt;5,E5167&lt;8,E5167&gt;=18,COUNTIF($K$2:$K$10,INT(A5167))&gt;0),1,0)</f>
        <v>1</v>
      </c>
      <c r="G5167" s="34" t="n">
        <f aca="false">B5167/1</f>
        <v>51.193</v>
      </c>
      <c r="H5167" s="34" t="n">
        <f aca="false">IF(F5167=1,G5167,"")</f>
        <v>51.193</v>
      </c>
    </row>
    <row r="5168" customFormat="false" ht="15" hidden="false" customHeight="false" outlineLevel="0" collapsed="false">
      <c r="A5168" s="31" t="n">
        <v>42951.25</v>
      </c>
      <c r="B5168" s="32" t="n">
        <v>50.803</v>
      </c>
      <c r="D5168" s="33" t="n">
        <f aca="false">WEEKDAY(A5168,2)</f>
        <v>5</v>
      </c>
      <c r="E5168" s="33" t="n">
        <f aca="false">HOUR(A5168)+MINUTE(A5168)/60</f>
        <v>6</v>
      </c>
      <c r="F5168" s="33" t="n">
        <f aca="false">IF(OR(D5168&gt;5,E5168&lt;8,E5168&gt;=18,COUNTIF($K$2:$K$10,INT(A5168))&gt;0),1,0)</f>
        <v>1</v>
      </c>
      <c r="G5168" s="34" t="n">
        <f aca="false">B5168/1</f>
        <v>50.803</v>
      </c>
      <c r="H5168" s="34" t="n">
        <f aca="false">IF(F5168=1,G5168,"")</f>
        <v>50.803</v>
      </c>
    </row>
    <row r="5169" customFormat="false" ht="15" hidden="false" customHeight="false" outlineLevel="0" collapsed="false">
      <c r="A5169" s="31" t="n">
        <v>42951.2916666667</v>
      </c>
      <c r="B5169" s="32" t="n">
        <v>50.184</v>
      </c>
      <c r="D5169" s="33" t="n">
        <f aca="false">WEEKDAY(A5169,2)</f>
        <v>5</v>
      </c>
      <c r="E5169" s="33" t="n">
        <f aca="false">HOUR(A5169)+MINUTE(A5169)/60</f>
        <v>7</v>
      </c>
      <c r="F5169" s="33" t="n">
        <f aca="false">IF(OR(D5169&gt;5,E5169&lt;8,E5169&gt;=18,COUNTIF($K$2:$K$10,INT(A5169))&gt;0),1,0)</f>
        <v>1</v>
      </c>
      <c r="G5169" s="34" t="n">
        <f aca="false">B5169/1</f>
        <v>50.184</v>
      </c>
      <c r="H5169" s="34" t="n">
        <f aca="false">IF(F5169=1,G5169,"")</f>
        <v>50.184</v>
      </c>
    </row>
    <row r="5170" customFormat="false" ht="15" hidden="false" customHeight="false" outlineLevel="0" collapsed="false">
      <c r="A5170" s="31" t="n">
        <v>42951.3333333333</v>
      </c>
      <c r="B5170" s="32" t="n">
        <v>155.148</v>
      </c>
      <c r="D5170" s="33" t="n">
        <f aca="false">WEEKDAY(A5170,2)</f>
        <v>5</v>
      </c>
      <c r="E5170" s="33" t="n">
        <f aca="false">HOUR(A5170)+MINUTE(A5170)/60</f>
        <v>8</v>
      </c>
      <c r="F5170" s="33" t="n">
        <f aca="false">IF(OR(D5170&gt;5,E5170&lt;8,E5170&gt;=18,COUNTIF($K$2:$K$10,INT(A5170))&gt;0),1,0)</f>
        <v>0</v>
      </c>
      <c r="G5170" s="34" t="n">
        <f aca="false">B5170/1</f>
        <v>155.148</v>
      </c>
      <c r="H5170" s="34" t="str">
        <f aca="false">IF(F5170=1,G5170,"")</f>
        <v/>
      </c>
    </row>
    <row r="5171" customFormat="false" ht="15" hidden="false" customHeight="false" outlineLevel="0" collapsed="false">
      <c r="A5171" s="31" t="n">
        <v>42951.375</v>
      </c>
      <c r="B5171" s="32" t="n">
        <v>176.758</v>
      </c>
      <c r="D5171" s="33" t="n">
        <f aca="false">WEEKDAY(A5171,2)</f>
        <v>5</v>
      </c>
      <c r="E5171" s="33" t="n">
        <f aca="false">HOUR(A5171)+MINUTE(A5171)/60</f>
        <v>9</v>
      </c>
      <c r="F5171" s="33" t="n">
        <f aca="false">IF(OR(D5171&gt;5,E5171&lt;8,E5171&gt;=18,COUNTIF($K$2:$K$10,INT(A5171))&gt;0),1,0)</f>
        <v>0</v>
      </c>
      <c r="G5171" s="34" t="n">
        <f aca="false">B5171/1</f>
        <v>176.758</v>
      </c>
      <c r="H5171" s="34" t="str">
        <f aca="false">IF(F5171=1,G5171,"")</f>
        <v/>
      </c>
    </row>
    <row r="5172" customFormat="false" ht="15" hidden="false" customHeight="false" outlineLevel="0" collapsed="false">
      <c r="A5172" s="31" t="n">
        <v>42951.4166666667</v>
      </c>
      <c r="B5172" s="32" t="n">
        <v>191.078</v>
      </c>
      <c r="D5172" s="33" t="n">
        <f aca="false">WEEKDAY(A5172,2)</f>
        <v>5</v>
      </c>
      <c r="E5172" s="33" t="n">
        <f aca="false">HOUR(A5172)+MINUTE(A5172)/60</f>
        <v>10</v>
      </c>
      <c r="F5172" s="33" t="n">
        <f aca="false">IF(OR(D5172&gt;5,E5172&lt;8,E5172&gt;=18,COUNTIF($K$2:$K$10,INT(A5172))&gt;0),1,0)</f>
        <v>0</v>
      </c>
      <c r="G5172" s="34" t="n">
        <f aca="false">B5172/1</f>
        <v>191.078</v>
      </c>
      <c r="H5172" s="34" t="str">
        <f aca="false">IF(F5172=1,G5172,"")</f>
        <v/>
      </c>
    </row>
    <row r="5173" customFormat="false" ht="15" hidden="false" customHeight="false" outlineLevel="0" collapsed="false">
      <c r="A5173" s="31" t="n">
        <v>42951.4583333333</v>
      </c>
      <c r="B5173" s="32" t="n">
        <v>193.915</v>
      </c>
      <c r="D5173" s="33" t="n">
        <f aca="false">WEEKDAY(A5173,2)</f>
        <v>5</v>
      </c>
      <c r="E5173" s="33" t="n">
        <f aca="false">HOUR(A5173)+MINUTE(A5173)/60</f>
        <v>11</v>
      </c>
      <c r="F5173" s="33" t="n">
        <f aca="false">IF(OR(D5173&gt;5,E5173&lt;8,E5173&gt;=18,COUNTIF($K$2:$K$10,INT(A5173))&gt;0),1,0)</f>
        <v>0</v>
      </c>
      <c r="G5173" s="34" t="n">
        <f aca="false">B5173/1</f>
        <v>193.915</v>
      </c>
      <c r="H5173" s="34" t="str">
        <f aca="false">IF(F5173=1,G5173,"")</f>
        <v/>
      </c>
    </row>
    <row r="5174" customFormat="false" ht="15" hidden="false" customHeight="false" outlineLevel="0" collapsed="false">
      <c r="A5174" s="31" t="n">
        <v>42951.5</v>
      </c>
      <c r="B5174" s="32" t="n">
        <v>199.16</v>
      </c>
      <c r="D5174" s="33" t="n">
        <f aca="false">WEEKDAY(A5174,2)</f>
        <v>5</v>
      </c>
      <c r="E5174" s="33" t="n">
        <f aca="false">HOUR(A5174)+MINUTE(A5174)/60</f>
        <v>12</v>
      </c>
      <c r="F5174" s="33" t="n">
        <f aca="false">IF(OR(D5174&gt;5,E5174&lt;8,E5174&gt;=18,COUNTIF($K$2:$K$10,INT(A5174))&gt;0),1,0)</f>
        <v>0</v>
      </c>
      <c r="G5174" s="34" t="n">
        <f aca="false">B5174/1</f>
        <v>199.16</v>
      </c>
      <c r="H5174" s="34" t="str">
        <f aca="false">IF(F5174=1,G5174,"")</f>
        <v/>
      </c>
    </row>
    <row r="5175" customFormat="false" ht="15" hidden="false" customHeight="false" outlineLevel="0" collapsed="false">
      <c r="A5175" s="31" t="n">
        <v>42951.5416666667</v>
      </c>
      <c r="B5175" s="32" t="n">
        <v>197.483</v>
      </c>
      <c r="D5175" s="33" t="n">
        <f aca="false">WEEKDAY(A5175,2)</f>
        <v>5</v>
      </c>
      <c r="E5175" s="33" t="n">
        <f aca="false">HOUR(A5175)+MINUTE(A5175)/60</f>
        <v>13</v>
      </c>
      <c r="F5175" s="33" t="n">
        <f aca="false">IF(OR(D5175&gt;5,E5175&lt;8,E5175&gt;=18,COUNTIF($K$2:$K$10,INT(A5175))&gt;0),1,0)</f>
        <v>0</v>
      </c>
      <c r="G5175" s="34" t="n">
        <f aca="false">B5175/1</f>
        <v>197.483</v>
      </c>
      <c r="H5175" s="34" t="str">
        <f aca="false">IF(F5175=1,G5175,"")</f>
        <v/>
      </c>
    </row>
    <row r="5176" customFormat="false" ht="15" hidden="false" customHeight="false" outlineLevel="0" collapsed="false">
      <c r="A5176" s="31" t="n">
        <v>42951.5833333333</v>
      </c>
      <c r="B5176" s="32" t="n">
        <v>197.467</v>
      </c>
      <c r="D5176" s="33" t="n">
        <f aca="false">WEEKDAY(A5176,2)</f>
        <v>5</v>
      </c>
      <c r="E5176" s="33" t="n">
        <f aca="false">HOUR(A5176)+MINUTE(A5176)/60</f>
        <v>14</v>
      </c>
      <c r="F5176" s="33" t="n">
        <f aca="false">IF(OR(D5176&gt;5,E5176&lt;8,E5176&gt;=18,COUNTIF($K$2:$K$10,INT(A5176))&gt;0),1,0)</f>
        <v>0</v>
      </c>
      <c r="G5176" s="34" t="n">
        <f aca="false">B5176/1</f>
        <v>197.467</v>
      </c>
      <c r="H5176" s="34" t="str">
        <f aca="false">IF(F5176=1,G5176,"")</f>
        <v/>
      </c>
    </row>
    <row r="5177" customFormat="false" ht="15" hidden="false" customHeight="false" outlineLevel="0" collapsed="false">
      <c r="A5177" s="31" t="n">
        <v>42951.625</v>
      </c>
      <c r="B5177" s="32" t="n">
        <v>196.449</v>
      </c>
      <c r="D5177" s="33" t="n">
        <f aca="false">WEEKDAY(A5177,2)</f>
        <v>5</v>
      </c>
      <c r="E5177" s="33" t="n">
        <f aca="false">HOUR(A5177)+MINUTE(A5177)/60</f>
        <v>15</v>
      </c>
      <c r="F5177" s="33" t="n">
        <f aca="false">IF(OR(D5177&gt;5,E5177&lt;8,E5177&gt;=18,COUNTIF($K$2:$K$10,INT(A5177))&gt;0),1,0)</f>
        <v>0</v>
      </c>
      <c r="G5177" s="34" t="n">
        <f aca="false">B5177/1</f>
        <v>196.449</v>
      </c>
      <c r="H5177" s="34" t="str">
        <f aca="false">IF(F5177=1,G5177,"")</f>
        <v/>
      </c>
    </row>
    <row r="5178" customFormat="false" ht="15" hidden="false" customHeight="false" outlineLevel="0" collapsed="false">
      <c r="A5178" s="31" t="n">
        <v>42951.6666666667</v>
      </c>
      <c r="B5178" s="32" t="n">
        <v>194.202</v>
      </c>
      <c r="D5178" s="33" t="n">
        <f aca="false">WEEKDAY(A5178,2)</f>
        <v>5</v>
      </c>
      <c r="E5178" s="33" t="n">
        <f aca="false">HOUR(A5178)+MINUTE(A5178)/60</f>
        <v>16</v>
      </c>
      <c r="F5178" s="33" t="n">
        <f aca="false">IF(OR(D5178&gt;5,E5178&lt;8,E5178&gt;=18,COUNTIF($K$2:$K$10,INT(A5178))&gt;0),1,0)</f>
        <v>0</v>
      </c>
      <c r="G5178" s="34" t="n">
        <f aca="false">B5178/1</f>
        <v>194.202</v>
      </c>
      <c r="H5178" s="34" t="str">
        <f aca="false">IF(F5178=1,G5178,"")</f>
        <v/>
      </c>
    </row>
    <row r="5179" customFormat="false" ht="15" hidden="false" customHeight="false" outlineLevel="0" collapsed="false">
      <c r="A5179" s="31" t="n">
        <v>42951.7083333333</v>
      </c>
      <c r="B5179" s="32" t="n">
        <v>176.903</v>
      </c>
      <c r="D5179" s="33" t="n">
        <f aca="false">WEEKDAY(A5179,2)</f>
        <v>5</v>
      </c>
      <c r="E5179" s="33" t="n">
        <f aca="false">HOUR(A5179)+MINUTE(A5179)/60</f>
        <v>17</v>
      </c>
      <c r="F5179" s="33" t="n">
        <f aca="false">IF(OR(D5179&gt;5,E5179&lt;8,E5179&gt;=18,COUNTIF($K$2:$K$10,INT(A5179))&gt;0),1,0)</f>
        <v>0</v>
      </c>
      <c r="G5179" s="34" t="n">
        <f aca="false">B5179/1</f>
        <v>176.903</v>
      </c>
      <c r="H5179" s="34" t="str">
        <f aca="false">IF(F5179=1,G5179,"")</f>
        <v/>
      </c>
    </row>
    <row r="5180" customFormat="false" ht="15" hidden="false" customHeight="false" outlineLevel="0" collapsed="false">
      <c r="A5180" s="31" t="n">
        <v>42951.75</v>
      </c>
      <c r="B5180" s="32" t="n">
        <v>168.066</v>
      </c>
      <c r="D5180" s="33" t="n">
        <f aca="false">WEEKDAY(A5180,2)</f>
        <v>5</v>
      </c>
      <c r="E5180" s="33" t="n">
        <f aca="false">HOUR(A5180)+MINUTE(A5180)/60</f>
        <v>18</v>
      </c>
      <c r="F5180" s="33" t="n">
        <f aca="false">IF(OR(D5180&gt;5,E5180&lt;8,E5180&gt;=18,COUNTIF($K$2:$K$10,INT(A5180))&gt;0),1,0)</f>
        <v>1</v>
      </c>
      <c r="G5180" s="34" t="n">
        <f aca="false">B5180/1</f>
        <v>168.066</v>
      </c>
      <c r="H5180" s="34" t="n">
        <f aca="false">IF(F5180=1,G5180,"")</f>
        <v>168.066</v>
      </c>
    </row>
    <row r="5181" customFormat="false" ht="15" hidden="false" customHeight="false" outlineLevel="0" collapsed="false">
      <c r="A5181" s="31" t="n">
        <v>42951.7916666667</v>
      </c>
      <c r="B5181" s="32" t="n">
        <v>163.204</v>
      </c>
      <c r="D5181" s="33" t="n">
        <f aca="false">WEEKDAY(A5181,2)</f>
        <v>5</v>
      </c>
      <c r="E5181" s="33" t="n">
        <f aca="false">HOUR(A5181)+MINUTE(A5181)/60</f>
        <v>19</v>
      </c>
      <c r="F5181" s="33" t="n">
        <f aca="false">IF(OR(D5181&gt;5,E5181&lt;8,E5181&gt;=18,COUNTIF($K$2:$K$10,INT(A5181))&gt;0),1,0)</f>
        <v>1</v>
      </c>
      <c r="G5181" s="34" t="n">
        <f aca="false">B5181/1</f>
        <v>163.204</v>
      </c>
      <c r="H5181" s="34" t="n">
        <f aca="false">IF(F5181=1,G5181,"")</f>
        <v>163.204</v>
      </c>
    </row>
    <row r="5182" customFormat="false" ht="15" hidden="false" customHeight="false" outlineLevel="0" collapsed="false">
      <c r="A5182" s="31" t="n">
        <v>42951.8333333333</v>
      </c>
      <c r="B5182" s="32" t="n">
        <v>157.78</v>
      </c>
      <c r="D5182" s="33" t="n">
        <f aca="false">WEEKDAY(A5182,2)</f>
        <v>5</v>
      </c>
      <c r="E5182" s="33" t="n">
        <f aca="false">HOUR(A5182)+MINUTE(A5182)/60</f>
        <v>20</v>
      </c>
      <c r="F5182" s="33" t="n">
        <f aca="false">IF(OR(D5182&gt;5,E5182&lt;8,E5182&gt;=18,COUNTIF($K$2:$K$10,INT(A5182))&gt;0),1,0)</f>
        <v>1</v>
      </c>
      <c r="G5182" s="34" t="n">
        <f aca="false">B5182/1</f>
        <v>157.78</v>
      </c>
      <c r="H5182" s="34" t="n">
        <f aca="false">IF(F5182=1,G5182,"")</f>
        <v>157.78</v>
      </c>
    </row>
    <row r="5183" customFormat="false" ht="15" hidden="false" customHeight="false" outlineLevel="0" collapsed="false">
      <c r="A5183" s="31" t="n">
        <v>42951.875</v>
      </c>
      <c r="B5183" s="32" t="n">
        <v>157.746</v>
      </c>
      <c r="D5183" s="33" t="n">
        <f aca="false">WEEKDAY(A5183,2)</f>
        <v>5</v>
      </c>
      <c r="E5183" s="33" t="n">
        <f aca="false">HOUR(A5183)+MINUTE(A5183)/60</f>
        <v>21</v>
      </c>
      <c r="F5183" s="33" t="n">
        <f aca="false">IF(OR(D5183&gt;5,E5183&lt;8,E5183&gt;=18,COUNTIF($K$2:$K$10,INT(A5183))&gt;0),1,0)</f>
        <v>1</v>
      </c>
      <c r="G5183" s="34" t="n">
        <f aca="false">B5183/1</f>
        <v>157.746</v>
      </c>
      <c r="H5183" s="34" t="n">
        <f aca="false">IF(F5183=1,G5183,"")</f>
        <v>157.746</v>
      </c>
    </row>
    <row r="5184" customFormat="false" ht="15" hidden="false" customHeight="false" outlineLevel="0" collapsed="false">
      <c r="A5184" s="31" t="n">
        <v>42951.9166666667</v>
      </c>
      <c r="B5184" s="32" t="n">
        <v>107.436</v>
      </c>
      <c r="D5184" s="33" t="n">
        <f aca="false">WEEKDAY(A5184,2)</f>
        <v>5</v>
      </c>
      <c r="E5184" s="33" t="n">
        <f aca="false">HOUR(A5184)+MINUTE(A5184)/60</f>
        <v>22</v>
      </c>
      <c r="F5184" s="33" t="n">
        <f aca="false">IF(OR(D5184&gt;5,E5184&lt;8,E5184&gt;=18,COUNTIF($K$2:$K$10,INT(A5184))&gt;0),1,0)</f>
        <v>1</v>
      </c>
      <c r="G5184" s="34" t="n">
        <f aca="false">B5184/1</f>
        <v>107.436</v>
      </c>
      <c r="H5184" s="34" t="n">
        <f aca="false">IF(F5184=1,G5184,"")</f>
        <v>107.436</v>
      </c>
    </row>
    <row r="5185" customFormat="false" ht="15" hidden="false" customHeight="false" outlineLevel="0" collapsed="false">
      <c r="A5185" s="31" t="n">
        <v>42951.9583333333</v>
      </c>
      <c r="B5185" s="32" t="n">
        <v>45.05</v>
      </c>
      <c r="D5185" s="33" t="n">
        <f aca="false">WEEKDAY(A5185,2)</f>
        <v>5</v>
      </c>
      <c r="E5185" s="33" t="n">
        <f aca="false">HOUR(A5185)+MINUTE(A5185)/60</f>
        <v>23</v>
      </c>
      <c r="F5185" s="33" t="n">
        <f aca="false">IF(OR(D5185&gt;5,E5185&lt;8,E5185&gt;=18,COUNTIF($K$2:$K$10,INT(A5185))&gt;0),1,0)</f>
        <v>1</v>
      </c>
      <c r="G5185" s="34" t="n">
        <f aca="false">B5185/1</f>
        <v>45.05</v>
      </c>
      <c r="H5185" s="34" t="n">
        <f aca="false">IF(F5185=1,G5185,"")</f>
        <v>45.05</v>
      </c>
    </row>
    <row r="5186" customFormat="false" ht="15" hidden="false" customHeight="false" outlineLevel="0" collapsed="false">
      <c r="A5186" s="31" t="n">
        <v>42952</v>
      </c>
      <c r="B5186" s="32" t="n">
        <v>43.885</v>
      </c>
      <c r="D5186" s="33" t="n">
        <f aca="false">WEEKDAY(A5186,2)</f>
        <v>6</v>
      </c>
      <c r="E5186" s="33" t="n">
        <f aca="false">HOUR(A5186)+MINUTE(A5186)/60</f>
        <v>0</v>
      </c>
      <c r="F5186" s="33" t="n">
        <f aca="false">IF(OR(D5186&gt;5,E5186&lt;8,E5186&gt;=18,COUNTIF($K$2:$K$10,INT(A5186))&gt;0),1,0)</f>
        <v>1</v>
      </c>
      <c r="G5186" s="34" t="n">
        <f aca="false">B5186/1</f>
        <v>43.885</v>
      </c>
      <c r="H5186" s="34" t="n">
        <f aca="false">IF(F5186=1,G5186,"")</f>
        <v>43.885</v>
      </c>
    </row>
    <row r="5187" customFormat="false" ht="15" hidden="false" customHeight="false" outlineLevel="0" collapsed="false">
      <c r="A5187" s="31" t="n">
        <v>42952.0416666667</v>
      </c>
      <c r="B5187" s="32" t="n">
        <v>42.758</v>
      </c>
      <c r="D5187" s="33" t="n">
        <f aca="false">WEEKDAY(A5187,2)</f>
        <v>6</v>
      </c>
      <c r="E5187" s="33" t="n">
        <f aca="false">HOUR(A5187)+MINUTE(A5187)/60</f>
        <v>1</v>
      </c>
      <c r="F5187" s="33" t="n">
        <f aca="false">IF(OR(D5187&gt;5,E5187&lt;8,E5187&gt;=18,COUNTIF($K$2:$K$10,INT(A5187))&gt;0),1,0)</f>
        <v>1</v>
      </c>
      <c r="G5187" s="34" t="n">
        <f aca="false">B5187/1</f>
        <v>42.758</v>
      </c>
      <c r="H5187" s="34" t="n">
        <f aca="false">IF(F5187=1,G5187,"")</f>
        <v>42.758</v>
      </c>
    </row>
    <row r="5188" customFormat="false" ht="15" hidden="false" customHeight="false" outlineLevel="0" collapsed="false">
      <c r="A5188" s="31" t="n">
        <v>42952.0833333333</v>
      </c>
      <c r="B5188" s="32" t="n">
        <v>42.614</v>
      </c>
      <c r="D5188" s="33" t="n">
        <f aca="false">WEEKDAY(A5188,2)</f>
        <v>6</v>
      </c>
      <c r="E5188" s="33" t="n">
        <f aca="false">HOUR(A5188)+MINUTE(A5188)/60</f>
        <v>2</v>
      </c>
      <c r="F5188" s="33" t="n">
        <f aca="false">IF(OR(D5188&gt;5,E5188&lt;8,E5188&gt;=18,COUNTIF($K$2:$K$10,INT(A5188))&gt;0),1,0)</f>
        <v>1</v>
      </c>
      <c r="G5188" s="34" t="n">
        <f aca="false">B5188/1</f>
        <v>42.614</v>
      </c>
      <c r="H5188" s="34" t="n">
        <f aca="false">IF(F5188=1,G5188,"")</f>
        <v>42.614</v>
      </c>
    </row>
    <row r="5189" customFormat="false" ht="15" hidden="false" customHeight="false" outlineLevel="0" collapsed="false">
      <c r="A5189" s="31" t="n">
        <v>42952.125</v>
      </c>
      <c r="B5189" s="32" t="n">
        <v>43.799</v>
      </c>
      <c r="D5189" s="33" t="n">
        <f aca="false">WEEKDAY(A5189,2)</f>
        <v>6</v>
      </c>
      <c r="E5189" s="33" t="n">
        <f aca="false">HOUR(A5189)+MINUTE(A5189)/60</f>
        <v>3</v>
      </c>
      <c r="F5189" s="33" t="n">
        <f aca="false">IF(OR(D5189&gt;5,E5189&lt;8,E5189&gt;=18,COUNTIF($K$2:$K$10,INT(A5189))&gt;0),1,0)</f>
        <v>1</v>
      </c>
      <c r="G5189" s="34" t="n">
        <f aca="false">B5189/1</f>
        <v>43.799</v>
      </c>
      <c r="H5189" s="34" t="n">
        <f aca="false">IF(F5189=1,G5189,"")</f>
        <v>43.799</v>
      </c>
    </row>
    <row r="5190" customFormat="false" ht="15" hidden="false" customHeight="false" outlineLevel="0" collapsed="false">
      <c r="A5190" s="31" t="n">
        <v>42952.1666666667</v>
      </c>
      <c r="B5190" s="32" t="n">
        <v>42.15</v>
      </c>
      <c r="D5190" s="33" t="n">
        <f aca="false">WEEKDAY(A5190,2)</f>
        <v>6</v>
      </c>
      <c r="E5190" s="33" t="n">
        <f aca="false">HOUR(A5190)+MINUTE(A5190)/60</f>
        <v>4</v>
      </c>
      <c r="F5190" s="33" t="n">
        <f aca="false">IF(OR(D5190&gt;5,E5190&lt;8,E5190&gt;=18,COUNTIF($K$2:$K$10,INT(A5190))&gt;0),1,0)</f>
        <v>1</v>
      </c>
      <c r="G5190" s="34" t="n">
        <f aca="false">B5190/1</f>
        <v>42.15</v>
      </c>
      <c r="H5190" s="34" t="n">
        <f aca="false">IF(F5190=1,G5190,"")</f>
        <v>42.15</v>
      </c>
    </row>
    <row r="5191" customFormat="false" ht="15" hidden="false" customHeight="false" outlineLevel="0" collapsed="false">
      <c r="A5191" s="31" t="n">
        <v>42952.2083333333</v>
      </c>
      <c r="B5191" s="32" t="n">
        <v>42.544</v>
      </c>
      <c r="D5191" s="33" t="n">
        <f aca="false">WEEKDAY(A5191,2)</f>
        <v>6</v>
      </c>
      <c r="E5191" s="33" t="n">
        <f aca="false">HOUR(A5191)+MINUTE(A5191)/60</f>
        <v>5</v>
      </c>
      <c r="F5191" s="33" t="n">
        <f aca="false">IF(OR(D5191&gt;5,E5191&lt;8,E5191&gt;=18,COUNTIF($K$2:$K$10,INT(A5191))&gt;0),1,0)</f>
        <v>1</v>
      </c>
      <c r="G5191" s="34" t="n">
        <f aca="false">B5191/1</f>
        <v>42.544</v>
      </c>
      <c r="H5191" s="34" t="n">
        <f aca="false">IF(F5191=1,G5191,"")</f>
        <v>42.544</v>
      </c>
    </row>
    <row r="5192" customFormat="false" ht="15" hidden="false" customHeight="false" outlineLevel="0" collapsed="false">
      <c r="A5192" s="31" t="n">
        <v>42952.25</v>
      </c>
      <c r="B5192" s="32" t="n">
        <v>42.837</v>
      </c>
      <c r="D5192" s="33" t="n">
        <f aca="false">WEEKDAY(A5192,2)</f>
        <v>6</v>
      </c>
      <c r="E5192" s="33" t="n">
        <f aca="false">HOUR(A5192)+MINUTE(A5192)/60</f>
        <v>6</v>
      </c>
      <c r="F5192" s="33" t="n">
        <f aca="false">IF(OR(D5192&gt;5,E5192&lt;8,E5192&gt;=18,COUNTIF($K$2:$K$10,INT(A5192))&gt;0),1,0)</f>
        <v>1</v>
      </c>
      <c r="G5192" s="34" t="n">
        <f aca="false">B5192/1</f>
        <v>42.837</v>
      </c>
      <c r="H5192" s="34" t="n">
        <f aca="false">IF(F5192=1,G5192,"")</f>
        <v>42.837</v>
      </c>
    </row>
    <row r="5193" customFormat="false" ht="15" hidden="false" customHeight="false" outlineLevel="0" collapsed="false">
      <c r="A5193" s="31" t="n">
        <v>42952.2916666667</v>
      </c>
      <c r="B5193" s="32" t="n">
        <v>41.459</v>
      </c>
      <c r="D5193" s="33" t="n">
        <f aca="false">WEEKDAY(A5193,2)</f>
        <v>6</v>
      </c>
      <c r="E5193" s="33" t="n">
        <f aca="false">HOUR(A5193)+MINUTE(A5193)/60</f>
        <v>7</v>
      </c>
      <c r="F5193" s="33" t="n">
        <f aca="false">IF(OR(D5193&gt;5,E5193&lt;8,E5193&gt;=18,COUNTIF($K$2:$K$10,INT(A5193))&gt;0),1,0)</f>
        <v>1</v>
      </c>
      <c r="G5193" s="34" t="n">
        <f aca="false">B5193/1</f>
        <v>41.459</v>
      </c>
      <c r="H5193" s="34" t="n">
        <f aca="false">IF(F5193=1,G5193,"")</f>
        <v>41.459</v>
      </c>
    </row>
    <row r="5194" customFormat="false" ht="15" hidden="false" customHeight="false" outlineLevel="0" collapsed="false">
      <c r="A5194" s="31" t="n">
        <v>42952.3333333333</v>
      </c>
      <c r="B5194" s="32" t="n">
        <v>105.296</v>
      </c>
      <c r="D5194" s="33" t="n">
        <f aca="false">WEEKDAY(A5194,2)</f>
        <v>6</v>
      </c>
      <c r="E5194" s="33" t="n">
        <f aca="false">HOUR(A5194)+MINUTE(A5194)/60</f>
        <v>8</v>
      </c>
      <c r="F5194" s="33" t="n">
        <f aca="false">IF(OR(D5194&gt;5,E5194&lt;8,E5194&gt;=18,COUNTIF($K$2:$K$10,INT(A5194))&gt;0),1,0)</f>
        <v>1</v>
      </c>
      <c r="G5194" s="34" t="n">
        <f aca="false">B5194/1</f>
        <v>105.296</v>
      </c>
      <c r="H5194" s="34" t="n">
        <f aca="false">IF(F5194=1,G5194,"")</f>
        <v>105.296</v>
      </c>
    </row>
    <row r="5195" customFormat="false" ht="15" hidden="false" customHeight="false" outlineLevel="0" collapsed="false">
      <c r="A5195" s="31" t="n">
        <v>42952.375</v>
      </c>
      <c r="B5195" s="32" t="n">
        <v>150.394</v>
      </c>
      <c r="D5195" s="33" t="n">
        <f aca="false">WEEKDAY(A5195,2)</f>
        <v>6</v>
      </c>
      <c r="E5195" s="33" t="n">
        <f aca="false">HOUR(A5195)+MINUTE(A5195)/60</f>
        <v>9</v>
      </c>
      <c r="F5195" s="33" t="n">
        <f aca="false">IF(OR(D5195&gt;5,E5195&lt;8,E5195&gt;=18,COUNTIF($K$2:$K$10,INT(A5195))&gt;0),1,0)</f>
        <v>1</v>
      </c>
      <c r="G5195" s="34" t="n">
        <f aca="false">B5195/1</f>
        <v>150.394</v>
      </c>
      <c r="H5195" s="34" t="n">
        <f aca="false">IF(F5195=1,G5195,"")</f>
        <v>150.394</v>
      </c>
    </row>
    <row r="5196" customFormat="false" ht="15" hidden="false" customHeight="false" outlineLevel="0" collapsed="false">
      <c r="A5196" s="31" t="n">
        <v>42952.4166666667</v>
      </c>
      <c r="B5196" s="32" t="n">
        <v>153.436</v>
      </c>
      <c r="D5196" s="33" t="n">
        <f aca="false">WEEKDAY(A5196,2)</f>
        <v>6</v>
      </c>
      <c r="E5196" s="33" t="n">
        <f aca="false">HOUR(A5196)+MINUTE(A5196)/60</f>
        <v>10</v>
      </c>
      <c r="F5196" s="33" t="n">
        <f aca="false">IF(OR(D5196&gt;5,E5196&lt;8,E5196&gt;=18,COUNTIF($K$2:$K$10,INT(A5196))&gt;0),1,0)</f>
        <v>1</v>
      </c>
      <c r="G5196" s="34" t="n">
        <f aca="false">B5196/1</f>
        <v>153.436</v>
      </c>
      <c r="H5196" s="34" t="n">
        <f aca="false">IF(F5196=1,G5196,"")</f>
        <v>153.436</v>
      </c>
    </row>
    <row r="5197" customFormat="false" ht="15" hidden="false" customHeight="false" outlineLevel="0" collapsed="false">
      <c r="A5197" s="31" t="n">
        <v>42952.4583333333</v>
      </c>
      <c r="B5197" s="32" t="n">
        <v>150.727</v>
      </c>
      <c r="D5197" s="33" t="n">
        <f aca="false">WEEKDAY(A5197,2)</f>
        <v>6</v>
      </c>
      <c r="E5197" s="33" t="n">
        <f aca="false">HOUR(A5197)+MINUTE(A5197)/60</f>
        <v>11</v>
      </c>
      <c r="F5197" s="33" t="n">
        <f aca="false">IF(OR(D5197&gt;5,E5197&lt;8,E5197&gt;=18,COUNTIF($K$2:$K$10,INT(A5197))&gt;0),1,0)</f>
        <v>1</v>
      </c>
      <c r="G5197" s="34" t="n">
        <f aca="false">B5197/1</f>
        <v>150.727</v>
      </c>
      <c r="H5197" s="34" t="n">
        <f aca="false">IF(F5197=1,G5197,"")</f>
        <v>150.727</v>
      </c>
    </row>
    <row r="5198" customFormat="false" ht="15" hidden="false" customHeight="false" outlineLevel="0" collapsed="false">
      <c r="A5198" s="31" t="n">
        <v>42952.5</v>
      </c>
      <c r="B5198" s="32" t="n">
        <v>150.934</v>
      </c>
      <c r="D5198" s="33" t="n">
        <f aca="false">WEEKDAY(A5198,2)</f>
        <v>6</v>
      </c>
      <c r="E5198" s="33" t="n">
        <f aca="false">HOUR(A5198)+MINUTE(A5198)/60</f>
        <v>12</v>
      </c>
      <c r="F5198" s="33" t="n">
        <f aca="false">IF(OR(D5198&gt;5,E5198&lt;8,E5198&gt;=18,COUNTIF($K$2:$K$10,INT(A5198))&gt;0),1,0)</f>
        <v>1</v>
      </c>
      <c r="G5198" s="34" t="n">
        <f aca="false">B5198/1</f>
        <v>150.934</v>
      </c>
      <c r="H5198" s="34" t="n">
        <f aca="false">IF(F5198=1,G5198,"")</f>
        <v>150.934</v>
      </c>
    </row>
    <row r="5199" customFormat="false" ht="15" hidden="false" customHeight="false" outlineLevel="0" collapsed="false">
      <c r="A5199" s="31" t="n">
        <v>42952.5416666667</v>
      </c>
      <c r="B5199" s="32" t="n">
        <v>152.52</v>
      </c>
      <c r="D5199" s="33" t="n">
        <f aca="false">WEEKDAY(A5199,2)</f>
        <v>6</v>
      </c>
      <c r="E5199" s="33" t="n">
        <f aca="false">HOUR(A5199)+MINUTE(A5199)/60</f>
        <v>13</v>
      </c>
      <c r="F5199" s="33" t="n">
        <f aca="false">IF(OR(D5199&gt;5,E5199&lt;8,E5199&gt;=18,COUNTIF($K$2:$K$10,INT(A5199))&gt;0),1,0)</f>
        <v>1</v>
      </c>
      <c r="G5199" s="34" t="n">
        <f aca="false">B5199/1</f>
        <v>152.52</v>
      </c>
      <c r="H5199" s="34" t="n">
        <f aca="false">IF(F5199=1,G5199,"")</f>
        <v>152.52</v>
      </c>
    </row>
    <row r="5200" customFormat="false" ht="15" hidden="false" customHeight="false" outlineLevel="0" collapsed="false">
      <c r="A5200" s="31" t="n">
        <v>42952.5833333333</v>
      </c>
      <c r="B5200" s="32" t="n">
        <v>153.113</v>
      </c>
      <c r="D5200" s="33" t="n">
        <f aca="false">WEEKDAY(A5200,2)</f>
        <v>6</v>
      </c>
      <c r="E5200" s="33" t="n">
        <f aca="false">HOUR(A5200)+MINUTE(A5200)/60</f>
        <v>14</v>
      </c>
      <c r="F5200" s="33" t="n">
        <f aca="false">IF(OR(D5200&gt;5,E5200&lt;8,E5200&gt;=18,COUNTIF($K$2:$K$10,INT(A5200))&gt;0),1,0)</f>
        <v>1</v>
      </c>
      <c r="G5200" s="34" t="n">
        <f aca="false">B5200/1</f>
        <v>153.113</v>
      </c>
      <c r="H5200" s="34" t="n">
        <f aca="false">IF(F5200=1,G5200,"")</f>
        <v>153.113</v>
      </c>
    </row>
    <row r="5201" customFormat="false" ht="15" hidden="false" customHeight="false" outlineLevel="0" collapsed="false">
      <c r="A5201" s="31" t="n">
        <v>42952.625</v>
      </c>
      <c r="B5201" s="32" t="n">
        <v>154.387</v>
      </c>
      <c r="D5201" s="33" t="n">
        <f aca="false">WEEKDAY(A5201,2)</f>
        <v>6</v>
      </c>
      <c r="E5201" s="33" t="n">
        <f aca="false">HOUR(A5201)+MINUTE(A5201)/60</f>
        <v>15</v>
      </c>
      <c r="F5201" s="33" t="n">
        <f aca="false">IF(OR(D5201&gt;5,E5201&lt;8,E5201&gt;=18,COUNTIF($K$2:$K$10,INT(A5201))&gt;0),1,0)</f>
        <v>1</v>
      </c>
      <c r="G5201" s="34" t="n">
        <f aca="false">B5201/1</f>
        <v>154.387</v>
      </c>
      <c r="H5201" s="34" t="n">
        <f aca="false">IF(F5201=1,G5201,"")</f>
        <v>154.387</v>
      </c>
    </row>
    <row r="5202" customFormat="false" ht="15" hidden="false" customHeight="false" outlineLevel="0" collapsed="false">
      <c r="A5202" s="31" t="n">
        <v>42952.6666666667</v>
      </c>
      <c r="B5202" s="32" t="n">
        <v>153.734</v>
      </c>
      <c r="D5202" s="33" t="n">
        <f aca="false">WEEKDAY(A5202,2)</f>
        <v>6</v>
      </c>
      <c r="E5202" s="33" t="n">
        <f aca="false">HOUR(A5202)+MINUTE(A5202)/60</f>
        <v>16</v>
      </c>
      <c r="F5202" s="33" t="n">
        <f aca="false">IF(OR(D5202&gt;5,E5202&lt;8,E5202&gt;=18,COUNTIF($K$2:$K$10,INT(A5202))&gt;0),1,0)</f>
        <v>1</v>
      </c>
      <c r="G5202" s="34" t="n">
        <f aca="false">B5202/1</f>
        <v>153.734</v>
      </c>
      <c r="H5202" s="34" t="n">
        <f aca="false">IF(F5202=1,G5202,"")</f>
        <v>153.734</v>
      </c>
    </row>
    <row r="5203" customFormat="false" ht="15" hidden="false" customHeight="false" outlineLevel="0" collapsed="false">
      <c r="A5203" s="31" t="n">
        <v>42952.7083333333</v>
      </c>
      <c r="B5203" s="32" t="n">
        <v>148.715</v>
      </c>
      <c r="D5203" s="33" t="n">
        <f aca="false">WEEKDAY(A5203,2)</f>
        <v>6</v>
      </c>
      <c r="E5203" s="33" t="n">
        <f aca="false">HOUR(A5203)+MINUTE(A5203)/60</f>
        <v>17</v>
      </c>
      <c r="F5203" s="33" t="n">
        <f aca="false">IF(OR(D5203&gt;5,E5203&lt;8,E5203&gt;=18,COUNTIF($K$2:$K$10,INT(A5203))&gt;0),1,0)</f>
        <v>1</v>
      </c>
      <c r="G5203" s="34" t="n">
        <f aca="false">B5203/1</f>
        <v>148.715</v>
      </c>
      <c r="H5203" s="34" t="n">
        <f aca="false">IF(F5203=1,G5203,"")</f>
        <v>148.715</v>
      </c>
    </row>
    <row r="5204" customFormat="false" ht="15" hidden="false" customHeight="false" outlineLevel="0" collapsed="false">
      <c r="A5204" s="31" t="n">
        <v>42952.75</v>
      </c>
      <c r="B5204" s="32" t="n">
        <v>60.095</v>
      </c>
      <c r="D5204" s="33" t="n">
        <f aca="false">WEEKDAY(A5204,2)</f>
        <v>6</v>
      </c>
      <c r="E5204" s="33" t="n">
        <f aca="false">HOUR(A5204)+MINUTE(A5204)/60</f>
        <v>18</v>
      </c>
      <c r="F5204" s="33" t="n">
        <f aca="false">IF(OR(D5204&gt;5,E5204&lt;8,E5204&gt;=18,COUNTIF($K$2:$K$10,INT(A5204))&gt;0),1,0)</f>
        <v>1</v>
      </c>
      <c r="G5204" s="34" t="n">
        <f aca="false">B5204/1</f>
        <v>60.095</v>
      </c>
      <c r="H5204" s="34" t="n">
        <f aca="false">IF(F5204=1,G5204,"")</f>
        <v>60.095</v>
      </c>
    </row>
    <row r="5205" customFormat="false" ht="15" hidden="false" customHeight="false" outlineLevel="0" collapsed="false">
      <c r="A5205" s="31" t="n">
        <v>42952.7916666667</v>
      </c>
      <c r="B5205" s="32" t="n">
        <v>41.654</v>
      </c>
      <c r="D5205" s="33" t="n">
        <f aca="false">WEEKDAY(A5205,2)</f>
        <v>6</v>
      </c>
      <c r="E5205" s="33" t="n">
        <f aca="false">HOUR(A5205)+MINUTE(A5205)/60</f>
        <v>19</v>
      </c>
      <c r="F5205" s="33" t="n">
        <f aca="false">IF(OR(D5205&gt;5,E5205&lt;8,E5205&gt;=18,COUNTIF($K$2:$K$10,INT(A5205))&gt;0),1,0)</f>
        <v>1</v>
      </c>
      <c r="G5205" s="34" t="n">
        <f aca="false">B5205/1</f>
        <v>41.654</v>
      </c>
      <c r="H5205" s="34" t="n">
        <f aca="false">IF(F5205=1,G5205,"")</f>
        <v>41.654</v>
      </c>
    </row>
    <row r="5206" customFormat="false" ht="15" hidden="false" customHeight="false" outlineLevel="0" collapsed="false">
      <c r="A5206" s="31" t="n">
        <v>42952.8333333333</v>
      </c>
      <c r="B5206" s="32" t="n">
        <v>41.693</v>
      </c>
      <c r="D5206" s="33" t="n">
        <f aca="false">WEEKDAY(A5206,2)</f>
        <v>6</v>
      </c>
      <c r="E5206" s="33" t="n">
        <f aca="false">HOUR(A5206)+MINUTE(A5206)/60</f>
        <v>20</v>
      </c>
      <c r="F5206" s="33" t="n">
        <f aca="false">IF(OR(D5206&gt;5,E5206&lt;8,E5206&gt;=18,COUNTIF($K$2:$K$10,INT(A5206))&gt;0),1,0)</f>
        <v>1</v>
      </c>
      <c r="G5206" s="34" t="n">
        <f aca="false">B5206/1</f>
        <v>41.693</v>
      </c>
      <c r="H5206" s="34" t="n">
        <f aca="false">IF(F5206=1,G5206,"")</f>
        <v>41.693</v>
      </c>
    </row>
    <row r="5207" customFormat="false" ht="15" hidden="false" customHeight="false" outlineLevel="0" collapsed="false">
      <c r="A5207" s="31" t="n">
        <v>42952.875</v>
      </c>
      <c r="B5207" s="32" t="n">
        <v>43.25</v>
      </c>
      <c r="D5207" s="33" t="n">
        <f aca="false">WEEKDAY(A5207,2)</f>
        <v>6</v>
      </c>
      <c r="E5207" s="33" t="n">
        <f aca="false">HOUR(A5207)+MINUTE(A5207)/60</f>
        <v>21</v>
      </c>
      <c r="F5207" s="33" t="n">
        <f aca="false">IF(OR(D5207&gt;5,E5207&lt;8,E5207&gt;=18,COUNTIF($K$2:$K$10,INT(A5207))&gt;0),1,0)</f>
        <v>1</v>
      </c>
      <c r="G5207" s="34" t="n">
        <f aca="false">B5207/1</f>
        <v>43.25</v>
      </c>
      <c r="H5207" s="34" t="n">
        <f aca="false">IF(F5207=1,G5207,"")</f>
        <v>43.25</v>
      </c>
    </row>
    <row r="5208" customFormat="false" ht="15" hidden="false" customHeight="false" outlineLevel="0" collapsed="false">
      <c r="A5208" s="31" t="n">
        <v>42952.9166666667</v>
      </c>
      <c r="B5208" s="32" t="n">
        <v>44.445</v>
      </c>
      <c r="D5208" s="33" t="n">
        <f aca="false">WEEKDAY(A5208,2)</f>
        <v>6</v>
      </c>
      <c r="E5208" s="33" t="n">
        <f aca="false">HOUR(A5208)+MINUTE(A5208)/60</f>
        <v>22</v>
      </c>
      <c r="F5208" s="33" t="n">
        <f aca="false">IF(OR(D5208&gt;5,E5208&lt;8,E5208&gt;=18,COUNTIF($K$2:$K$10,INT(A5208))&gt;0),1,0)</f>
        <v>1</v>
      </c>
      <c r="G5208" s="34" t="n">
        <f aca="false">B5208/1</f>
        <v>44.445</v>
      </c>
      <c r="H5208" s="34" t="n">
        <f aca="false">IF(F5208=1,G5208,"")</f>
        <v>44.445</v>
      </c>
    </row>
    <row r="5209" customFormat="false" ht="15" hidden="false" customHeight="false" outlineLevel="0" collapsed="false">
      <c r="A5209" s="31" t="n">
        <v>42952.9583333333</v>
      </c>
      <c r="B5209" s="32" t="n">
        <v>44.376</v>
      </c>
      <c r="D5209" s="33" t="n">
        <f aca="false">WEEKDAY(A5209,2)</f>
        <v>6</v>
      </c>
      <c r="E5209" s="33" t="n">
        <f aca="false">HOUR(A5209)+MINUTE(A5209)/60</f>
        <v>23</v>
      </c>
      <c r="F5209" s="33" t="n">
        <f aca="false">IF(OR(D5209&gt;5,E5209&lt;8,E5209&gt;=18,COUNTIF($K$2:$K$10,INT(A5209))&gt;0),1,0)</f>
        <v>1</v>
      </c>
      <c r="G5209" s="34" t="n">
        <f aca="false">B5209/1</f>
        <v>44.376</v>
      </c>
      <c r="H5209" s="34" t="n">
        <f aca="false">IF(F5209=1,G5209,"")</f>
        <v>44.376</v>
      </c>
    </row>
    <row r="5210" customFormat="false" ht="15" hidden="false" customHeight="false" outlineLevel="0" collapsed="false">
      <c r="A5210" s="31" t="n">
        <v>42953</v>
      </c>
      <c r="B5210" s="32" t="n">
        <v>43.384</v>
      </c>
      <c r="D5210" s="33" t="n">
        <f aca="false">WEEKDAY(A5210,2)</f>
        <v>7</v>
      </c>
      <c r="E5210" s="33" t="n">
        <f aca="false">HOUR(A5210)+MINUTE(A5210)/60</f>
        <v>0</v>
      </c>
      <c r="F5210" s="33" t="n">
        <f aca="false">IF(OR(D5210&gt;5,E5210&lt;8,E5210&gt;=18,COUNTIF($K$2:$K$10,INT(A5210))&gt;0),1,0)</f>
        <v>1</v>
      </c>
      <c r="G5210" s="34" t="n">
        <f aca="false">B5210/1</f>
        <v>43.384</v>
      </c>
      <c r="H5210" s="34" t="n">
        <f aca="false">IF(F5210=1,G5210,"")</f>
        <v>43.384</v>
      </c>
    </row>
    <row r="5211" customFormat="false" ht="15" hidden="false" customHeight="false" outlineLevel="0" collapsed="false">
      <c r="A5211" s="31" t="n">
        <v>42953.0416666667</v>
      </c>
      <c r="B5211" s="32" t="n">
        <v>44.222</v>
      </c>
      <c r="D5211" s="33" t="n">
        <f aca="false">WEEKDAY(A5211,2)</f>
        <v>7</v>
      </c>
      <c r="E5211" s="33" t="n">
        <f aca="false">HOUR(A5211)+MINUTE(A5211)/60</f>
        <v>1</v>
      </c>
      <c r="F5211" s="33" t="n">
        <f aca="false">IF(OR(D5211&gt;5,E5211&lt;8,E5211&gt;=18,COUNTIF($K$2:$K$10,INT(A5211))&gt;0),1,0)</f>
        <v>1</v>
      </c>
      <c r="G5211" s="34" t="n">
        <f aca="false">B5211/1</f>
        <v>44.222</v>
      </c>
      <c r="H5211" s="34" t="n">
        <f aca="false">IF(F5211=1,G5211,"")</f>
        <v>44.222</v>
      </c>
    </row>
    <row r="5212" customFormat="false" ht="15" hidden="false" customHeight="false" outlineLevel="0" collapsed="false">
      <c r="A5212" s="31" t="n">
        <v>42953.0833333333</v>
      </c>
      <c r="B5212" s="32" t="n">
        <v>44.348</v>
      </c>
      <c r="D5212" s="33" t="n">
        <f aca="false">WEEKDAY(A5212,2)</f>
        <v>7</v>
      </c>
      <c r="E5212" s="33" t="n">
        <f aca="false">HOUR(A5212)+MINUTE(A5212)/60</f>
        <v>2</v>
      </c>
      <c r="F5212" s="33" t="n">
        <f aca="false">IF(OR(D5212&gt;5,E5212&lt;8,E5212&gt;=18,COUNTIF($K$2:$K$10,INT(A5212))&gt;0),1,0)</f>
        <v>1</v>
      </c>
      <c r="G5212" s="34" t="n">
        <f aca="false">B5212/1</f>
        <v>44.348</v>
      </c>
      <c r="H5212" s="34" t="n">
        <f aca="false">IF(F5212=1,G5212,"")</f>
        <v>44.348</v>
      </c>
    </row>
    <row r="5213" customFormat="false" ht="15" hidden="false" customHeight="false" outlineLevel="0" collapsed="false">
      <c r="A5213" s="31" t="n">
        <v>42953.125</v>
      </c>
      <c r="B5213" s="32" t="n">
        <v>44.429</v>
      </c>
      <c r="D5213" s="33" t="n">
        <f aca="false">WEEKDAY(A5213,2)</f>
        <v>7</v>
      </c>
      <c r="E5213" s="33" t="n">
        <f aca="false">HOUR(A5213)+MINUTE(A5213)/60</f>
        <v>3</v>
      </c>
      <c r="F5213" s="33" t="n">
        <f aca="false">IF(OR(D5213&gt;5,E5213&lt;8,E5213&gt;=18,COUNTIF($K$2:$K$10,INT(A5213))&gt;0),1,0)</f>
        <v>1</v>
      </c>
      <c r="G5213" s="34" t="n">
        <f aca="false">B5213/1</f>
        <v>44.429</v>
      </c>
      <c r="H5213" s="34" t="n">
        <f aca="false">IF(F5213=1,G5213,"")</f>
        <v>44.429</v>
      </c>
    </row>
    <row r="5214" customFormat="false" ht="15" hidden="false" customHeight="false" outlineLevel="0" collapsed="false">
      <c r="A5214" s="31" t="n">
        <v>42953.1666666667</v>
      </c>
      <c r="B5214" s="32" t="n">
        <v>43.626</v>
      </c>
      <c r="D5214" s="33" t="n">
        <f aca="false">WEEKDAY(A5214,2)</f>
        <v>7</v>
      </c>
      <c r="E5214" s="33" t="n">
        <f aca="false">HOUR(A5214)+MINUTE(A5214)/60</f>
        <v>4</v>
      </c>
      <c r="F5214" s="33" t="n">
        <f aca="false">IF(OR(D5214&gt;5,E5214&lt;8,E5214&gt;=18,COUNTIF($K$2:$K$10,INT(A5214))&gt;0),1,0)</f>
        <v>1</v>
      </c>
      <c r="G5214" s="34" t="n">
        <f aca="false">B5214/1</f>
        <v>43.626</v>
      </c>
      <c r="H5214" s="34" t="n">
        <f aca="false">IF(F5214=1,G5214,"")</f>
        <v>43.626</v>
      </c>
    </row>
    <row r="5215" customFormat="false" ht="15" hidden="false" customHeight="false" outlineLevel="0" collapsed="false">
      <c r="A5215" s="31" t="n">
        <v>42953.2083333333</v>
      </c>
      <c r="B5215" s="32" t="n">
        <v>43.871</v>
      </c>
      <c r="D5215" s="33" t="n">
        <f aca="false">WEEKDAY(A5215,2)</f>
        <v>7</v>
      </c>
      <c r="E5215" s="33" t="n">
        <f aca="false">HOUR(A5215)+MINUTE(A5215)/60</f>
        <v>5</v>
      </c>
      <c r="F5215" s="33" t="n">
        <f aca="false">IF(OR(D5215&gt;5,E5215&lt;8,E5215&gt;=18,COUNTIF($K$2:$K$10,INT(A5215))&gt;0),1,0)</f>
        <v>1</v>
      </c>
      <c r="G5215" s="34" t="n">
        <f aca="false">B5215/1</f>
        <v>43.871</v>
      </c>
      <c r="H5215" s="34" t="n">
        <f aca="false">IF(F5215=1,G5215,"")</f>
        <v>43.871</v>
      </c>
    </row>
    <row r="5216" customFormat="false" ht="15" hidden="false" customHeight="false" outlineLevel="0" collapsed="false">
      <c r="A5216" s="31" t="n">
        <v>42953.25</v>
      </c>
      <c r="B5216" s="32" t="n">
        <v>43.428</v>
      </c>
      <c r="D5216" s="33" t="n">
        <f aca="false">WEEKDAY(A5216,2)</f>
        <v>7</v>
      </c>
      <c r="E5216" s="33" t="n">
        <f aca="false">HOUR(A5216)+MINUTE(A5216)/60</f>
        <v>6</v>
      </c>
      <c r="F5216" s="33" t="n">
        <f aca="false">IF(OR(D5216&gt;5,E5216&lt;8,E5216&gt;=18,COUNTIF($K$2:$K$10,INT(A5216))&gt;0),1,0)</f>
        <v>1</v>
      </c>
      <c r="G5216" s="34" t="n">
        <f aca="false">B5216/1</f>
        <v>43.428</v>
      </c>
      <c r="H5216" s="34" t="n">
        <f aca="false">IF(F5216=1,G5216,"")</f>
        <v>43.428</v>
      </c>
    </row>
    <row r="5217" customFormat="false" ht="15" hidden="false" customHeight="false" outlineLevel="0" collapsed="false">
      <c r="A5217" s="31" t="n">
        <v>42953.2916666667</v>
      </c>
      <c r="B5217" s="32" t="n">
        <v>44.562</v>
      </c>
      <c r="D5217" s="33" t="n">
        <f aca="false">WEEKDAY(A5217,2)</f>
        <v>7</v>
      </c>
      <c r="E5217" s="33" t="n">
        <f aca="false">HOUR(A5217)+MINUTE(A5217)/60</f>
        <v>7</v>
      </c>
      <c r="F5217" s="33" t="n">
        <f aca="false">IF(OR(D5217&gt;5,E5217&lt;8,E5217&gt;=18,COUNTIF($K$2:$K$10,INT(A5217))&gt;0),1,0)</f>
        <v>1</v>
      </c>
      <c r="G5217" s="34" t="n">
        <f aca="false">B5217/1</f>
        <v>44.562</v>
      </c>
      <c r="H5217" s="34" t="n">
        <f aca="false">IF(F5217=1,G5217,"")</f>
        <v>44.562</v>
      </c>
    </row>
    <row r="5218" customFormat="false" ht="15" hidden="false" customHeight="false" outlineLevel="0" collapsed="false">
      <c r="A5218" s="31" t="n">
        <v>42953.3333333333</v>
      </c>
      <c r="B5218" s="32" t="n">
        <v>41.632</v>
      </c>
      <c r="D5218" s="33" t="n">
        <f aca="false">WEEKDAY(A5218,2)</f>
        <v>7</v>
      </c>
      <c r="E5218" s="33" t="n">
        <f aca="false">HOUR(A5218)+MINUTE(A5218)/60</f>
        <v>8</v>
      </c>
      <c r="F5218" s="33" t="n">
        <f aca="false">IF(OR(D5218&gt;5,E5218&lt;8,E5218&gt;=18,COUNTIF($K$2:$K$10,INT(A5218))&gt;0),1,0)</f>
        <v>1</v>
      </c>
      <c r="G5218" s="34" t="n">
        <f aca="false">B5218/1</f>
        <v>41.632</v>
      </c>
      <c r="H5218" s="34" t="n">
        <f aca="false">IF(F5218=1,G5218,"")</f>
        <v>41.632</v>
      </c>
    </row>
    <row r="5219" customFormat="false" ht="15" hidden="false" customHeight="false" outlineLevel="0" collapsed="false">
      <c r="A5219" s="31" t="n">
        <v>42953.375</v>
      </c>
      <c r="B5219" s="32" t="n">
        <v>49.424</v>
      </c>
      <c r="D5219" s="33" t="n">
        <f aca="false">WEEKDAY(A5219,2)</f>
        <v>7</v>
      </c>
      <c r="E5219" s="33" t="n">
        <f aca="false">HOUR(A5219)+MINUTE(A5219)/60</f>
        <v>9</v>
      </c>
      <c r="F5219" s="33" t="n">
        <f aca="false">IF(OR(D5219&gt;5,E5219&lt;8,E5219&gt;=18,COUNTIF($K$2:$K$10,INT(A5219))&gt;0),1,0)</f>
        <v>1</v>
      </c>
      <c r="G5219" s="34" t="n">
        <f aca="false">B5219/1</f>
        <v>49.424</v>
      </c>
      <c r="H5219" s="34" t="n">
        <f aca="false">IF(F5219=1,G5219,"")</f>
        <v>49.424</v>
      </c>
    </row>
    <row r="5220" customFormat="false" ht="15" hidden="false" customHeight="false" outlineLevel="0" collapsed="false">
      <c r="A5220" s="31" t="n">
        <v>42953.4166666667</v>
      </c>
      <c r="B5220" s="32" t="n">
        <v>48.116</v>
      </c>
      <c r="D5220" s="33" t="n">
        <f aca="false">WEEKDAY(A5220,2)</f>
        <v>7</v>
      </c>
      <c r="E5220" s="33" t="n">
        <f aca="false">HOUR(A5220)+MINUTE(A5220)/60</f>
        <v>10</v>
      </c>
      <c r="F5220" s="33" t="n">
        <f aca="false">IF(OR(D5220&gt;5,E5220&lt;8,E5220&gt;=18,COUNTIF($K$2:$K$10,INT(A5220))&gt;0),1,0)</f>
        <v>1</v>
      </c>
      <c r="G5220" s="34" t="n">
        <f aca="false">B5220/1</f>
        <v>48.116</v>
      </c>
      <c r="H5220" s="34" t="n">
        <f aca="false">IF(F5220=1,G5220,"")</f>
        <v>48.116</v>
      </c>
    </row>
    <row r="5221" customFormat="false" ht="15" hidden="false" customHeight="false" outlineLevel="0" collapsed="false">
      <c r="A5221" s="31" t="n">
        <v>42953.4583333333</v>
      </c>
      <c r="B5221" s="32" t="n">
        <v>48.583</v>
      </c>
      <c r="D5221" s="33" t="n">
        <f aca="false">WEEKDAY(A5221,2)</f>
        <v>7</v>
      </c>
      <c r="E5221" s="33" t="n">
        <f aca="false">HOUR(A5221)+MINUTE(A5221)/60</f>
        <v>11</v>
      </c>
      <c r="F5221" s="33" t="n">
        <f aca="false">IF(OR(D5221&gt;5,E5221&lt;8,E5221&gt;=18,COUNTIF($K$2:$K$10,INT(A5221))&gt;0),1,0)</f>
        <v>1</v>
      </c>
      <c r="G5221" s="34" t="n">
        <f aca="false">B5221/1</f>
        <v>48.583</v>
      </c>
      <c r="H5221" s="34" t="n">
        <f aca="false">IF(F5221=1,G5221,"")</f>
        <v>48.583</v>
      </c>
    </row>
    <row r="5222" customFormat="false" ht="15" hidden="false" customHeight="false" outlineLevel="0" collapsed="false">
      <c r="A5222" s="31" t="n">
        <v>42953.5</v>
      </c>
      <c r="B5222" s="32" t="n">
        <v>50.362</v>
      </c>
      <c r="D5222" s="33" t="n">
        <f aca="false">WEEKDAY(A5222,2)</f>
        <v>7</v>
      </c>
      <c r="E5222" s="33" t="n">
        <f aca="false">HOUR(A5222)+MINUTE(A5222)/60</f>
        <v>12</v>
      </c>
      <c r="F5222" s="33" t="n">
        <f aca="false">IF(OR(D5222&gt;5,E5222&lt;8,E5222&gt;=18,COUNTIF($K$2:$K$10,INT(A5222))&gt;0),1,0)</f>
        <v>1</v>
      </c>
      <c r="G5222" s="34" t="n">
        <f aca="false">B5222/1</f>
        <v>50.362</v>
      </c>
      <c r="H5222" s="34" t="n">
        <f aca="false">IF(F5222=1,G5222,"")</f>
        <v>50.362</v>
      </c>
    </row>
    <row r="5223" customFormat="false" ht="15" hidden="false" customHeight="false" outlineLevel="0" collapsed="false">
      <c r="A5223" s="31" t="n">
        <v>42953.5416666667</v>
      </c>
      <c r="B5223" s="32" t="n">
        <v>99.597</v>
      </c>
      <c r="D5223" s="33" t="n">
        <f aca="false">WEEKDAY(A5223,2)</f>
        <v>7</v>
      </c>
      <c r="E5223" s="33" t="n">
        <f aca="false">HOUR(A5223)+MINUTE(A5223)/60</f>
        <v>13</v>
      </c>
      <c r="F5223" s="33" t="n">
        <f aca="false">IF(OR(D5223&gt;5,E5223&lt;8,E5223&gt;=18,COUNTIF($K$2:$K$10,INT(A5223))&gt;0),1,0)</f>
        <v>1</v>
      </c>
      <c r="G5223" s="34" t="n">
        <f aca="false">B5223/1</f>
        <v>99.597</v>
      </c>
      <c r="H5223" s="34" t="n">
        <f aca="false">IF(F5223=1,G5223,"")</f>
        <v>99.597</v>
      </c>
    </row>
    <row r="5224" customFormat="false" ht="15" hidden="false" customHeight="false" outlineLevel="0" collapsed="false">
      <c r="A5224" s="31" t="n">
        <v>42953.5833333333</v>
      </c>
      <c r="B5224" s="32" t="n">
        <v>127.988</v>
      </c>
      <c r="D5224" s="33" t="n">
        <f aca="false">WEEKDAY(A5224,2)</f>
        <v>7</v>
      </c>
      <c r="E5224" s="33" t="n">
        <f aca="false">HOUR(A5224)+MINUTE(A5224)/60</f>
        <v>14</v>
      </c>
      <c r="F5224" s="33" t="n">
        <f aca="false">IF(OR(D5224&gt;5,E5224&lt;8,E5224&gt;=18,COUNTIF($K$2:$K$10,INT(A5224))&gt;0),1,0)</f>
        <v>1</v>
      </c>
      <c r="G5224" s="34" t="n">
        <f aca="false">B5224/1</f>
        <v>127.988</v>
      </c>
      <c r="H5224" s="34" t="n">
        <f aca="false">IF(F5224=1,G5224,"")</f>
        <v>127.988</v>
      </c>
    </row>
    <row r="5225" customFormat="false" ht="15" hidden="false" customHeight="false" outlineLevel="0" collapsed="false">
      <c r="A5225" s="31" t="n">
        <v>42953.625</v>
      </c>
      <c r="B5225" s="32" t="n">
        <v>146.094</v>
      </c>
      <c r="D5225" s="33" t="n">
        <f aca="false">WEEKDAY(A5225,2)</f>
        <v>7</v>
      </c>
      <c r="E5225" s="33" t="n">
        <f aca="false">HOUR(A5225)+MINUTE(A5225)/60</f>
        <v>15</v>
      </c>
      <c r="F5225" s="33" t="n">
        <f aca="false">IF(OR(D5225&gt;5,E5225&lt;8,E5225&gt;=18,COUNTIF($K$2:$K$10,INT(A5225))&gt;0),1,0)</f>
        <v>1</v>
      </c>
      <c r="G5225" s="34" t="n">
        <f aca="false">B5225/1</f>
        <v>146.094</v>
      </c>
      <c r="H5225" s="34" t="n">
        <f aca="false">IF(F5225=1,G5225,"")</f>
        <v>146.094</v>
      </c>
    </row>
    <row r="5226" customFormat="false" ht="15" hidden="false" customHeight="false" outlineLevel="0" collapsed="false">
      <c r="A5226" s="31" t="n">
        <v>42953.6666666667</v>
      </c>
      <c r="B5226" s="32" t="n">
        <v>146.328</v>
      </c>
      <c r="D5226" s="33" t="n">
        <f aca="false">WEEKDAY(A5226,2)</f>
        <v>7</v>
      </c>
      <c r="E5226" s="33" t="n">
        <f aca="false">HOUR(A5226)+MINUTE(A5226)/60</f>
        <v>16</v>
      </c>
      <c r="F5226" s="33" t="n">
        <f aca="false">IF(OR(D5226&gt;5,E5226&lt;8,E5226&gt;=18,COUNTIF($K$2:$K$10,INT(A5226))&gt;0),1,0)</f>
        <v>1</v>
      </c>
      <c r="G5226" s="34" t="n">
        <f aca="false">B5226/1</f>
        <v>146.328</v>
      </c>
      <c r="H5226" s="34" t="n">
        <f aca="false">IF(F5226=1,G5226,"")</f>
        <v>146.328</v>
      </c>
    </row>
    <row r="5227" customFormat="false" ht="15" hidden="false" customHeight="false" outlineLevel="0" collapsed="false">
      <c r="A5227" s="31" t="n">
        <v>42953.7083333333</v>
      </c>
      <c r="B5227" s="32" t="n">
        <v>144.164</v>
      </c>
      <c r="D5227" s="33" t="n">
        <f aca="false">WEEKDAY(A5227,2)</f>
        <v>7</v>
      </c>
      <c r="E5227" s="33" t="n">
        <f aca="false">HOUR(A5227)+MINUTE(A5227)/60</f>
        <v>17</v>
      </c>
      <c r="F5227" s="33" t="n">
        <f aca="false">IF(OR(D5227&gt;5,E5227&lt;8,E5227&gt;=18,COUNTIF($K$2:$K$10,INT(A5227))&gt;0),1,0)</f>
        <v>1</v>
      </c>
      <c r="G5227" s="34" t="n">
        <f aca="false">B5227/1</f>
        <v>144.164</v>
      </c>
      <c r="H5227" s="34" t="n">
        <f aca="false">IF(F5227=1,G5227,"")</f>
        <v>144.164</v>
      </c>
    </row>
    <row r="5228" customFormat="false" ht="15" hidden="false" customHeight="false" outlineLevel="0" collapsed="false">
      <c r="A5228" s="31" t="n">
        <v>42953.75</v>
      </c>
      <c r="B5228" s="32" t="n">
        <v>68.378</v>
      </c>
      <c r="D5228" s="33" t="n">
        <f aca="false">WEEKDAY(A5228,2)</f>
        <v>7</v>
      </c>
      <c r="E5228" s="33" t="n">
        <f aca="false">HOUR(A5228)+MINUTE(A5228)/60</f>
        <v>18</v>
      </c>
      <c r="F5228" s="33" t="n">
        <f aca="false">IF(OR(D5228&gt;5,E5228&lt;8,E5228&gt;=18,COUNTIF($K$2:$K$10,INT(A5228))&gt;0),1,0)</f>
        <v>1</v>
      </c>
      <c r="G5228" s="34" t="n">
        <f aca="false">B5228/1</f>
        <v>68.378</v>
      </c>
      <c r="H5228" s="34" t="n">
        <f aca="false">IF(F5228=1,G5228,"")</f>
        <v>68.378</v>
      </c>
    </row>
    <row r="5229" customFormat="false" ht="15" hidden="false" customHeight="false" outlineLevel="0" collapsed="false">
      <c r="A5229" s="31" t="n">
        <v>42953.7916666667</v>
      </c>
      <c r="B5229" s="32" t="n">
        <v>60.257</v>
      </c>
      <c r="D5229" s="33" t="n">
        <f aca="false">WEEKDAY(A5229,2)</f>
        <v>7</v>
      </c>
      <c r="E5229" s="33" t="n">
        <f aca="false">HOUR(A5229)+MINUTE(A5229)/60</f>
        <v>19</v>
      </c>
      <c r="F5229" s="33" t="n">
        <f aca="false">IF(OR(D5229&gt;5,E5229&lt;8,E5229&gt;=18,COUNTIF($K$2:$K$10,INT(A5229))&gt;0),1,0)</f>
        <v>1</v>
      </c>
      <c r="G5229" s="34" t="n">
        <f aca="false">B5229/1</f>
        <v>60.257</v>
      </c>
      <c r="H5229" s="34" t="n">
        <f aca="false">IF(F5229=1,G5229,"")</f>
        <v>60.257</v>
      </c>
    </row>
    <row r="5230" customFormat="false" ht="15" hidden="false" customHeight="false" outlineLevel="0" collapsed="false">
      <c r="A5230" s="31" t="n">
        <v>42953.8333333333</v>
      </c>
      <c r="B5230" s="32" t="n">
        <v>62.928</v>
      </c>
      <c r="D5230" s="33" t="n">
        <f aca="false">WEEKDAY(A5230,2)</f>
        <v>7</v>
      </c>
      <c r="E5230" s="33" t="n">
        <f aca="false">HOUR(A5230)+MINUTE(A5230)/60</f>
        <v>20</v>
      </c>
      <c r="F5230" s="33" t="n">
        <f aca="false">IF(OR(D5230&gt;5,E5230&lt;8,E5230&gt;=18,COUNTIF($K$2:$K$10,INT(A5230))&gt;0),1,0)</f>
        <v>1</v>
      </c>
      <c r="G5230" s="34" t="n">
        <f aca="false">B5230/1</f>
        <v>62.928</v>
      </c>
      <c r="H5230" s="34" t="n">
        <f aca="false">IF(F5230=1,G5230,"")</f>
        <v>62.928</v>
      </c>
    </row>
    <row r="5231" customFormat="false" ht="15" hidden="false" customHeight="false" outlineLevel="0" collapsed="false">
      <c r="A5231" s="31" t="n">
        <v>42953.875</v>
      </c>
      <c r="B5231" s="32" t="n">
        <v>63.525</v>
      </c>
      <c r="D5231" s="33" t="n">
        <f aca="false">WEEKDAY(A5231,2)</f>
        <v>7</v>
      </c>
      <c r="E5231" s="33" t="n">
        <f aca="false">HOUR(A5231)+MINUTE(A5231)/60</f>
        <v>21</v>
      </c>
      <c r="F5231" s="33" t="n">
        <f aca="false">IF(OR(D5231&gt;5,E5231&lt;8,E5231&gt;=18,COUNTIF($K$2:$K$10,INT(A5231))&gt;0),1,0)</f>
        <v>1</v>
      </c>
      <c r="G5231" s="34" t="n">
        <f aca="false">B5231/1</f>
        <v>63.525</v>
      </c>
      <c r="H5231" s="34" t="n">
        <f aca="false">IF(F5231=1,G5231,"")</f>
        <v>63.525</v>
      </c>
    </row>
    <row r="5232" customFormat="false" ht="15" hidden="false" customHeight="false" outlineLevel="0" collapsed="false">
      <c r="A5232" s="31" t="n">
        <v>42953.9166666667</v>
      </c>
      <c r="B5232" s="32" t="n">
        <v>64.282</v>
      </c>
      <c r="D5232" s="33" t="n">
        <f aca="false">WEEKDAY(A5232,2)</f>
        <v>7</v>
      </c>
      <c r="E5232" s="33" t="n">
        <f aca="false">HOUR(A5232)+MINUTE(A5232)/60</f>
        <v>22</v>
      </c>
      <c r="F5232" s="33" t="n">
        <f aca="false">IF(OR(D5232&gt;5,E5232&lt;8,E5232&gt;=18,COUNTIF($K$2:$K$10,INT(A5232))&gt;0),1,0)</f>
        <v>1</v>
      </c>
      <c r="G5232" s="34" t="n">
        <f aca="false">B5232/1</f>
        <v>64.282</v>
      </c>
      <c r="H5232" s="34" t="n">
        <f aca="false">IF(F5232=1,G5232,"")</f>
        <v>64.282</v>
      </c>
    </row>
    <row r="5233" customFormat="false" ht="15" hidden="false" customHeight="false" outlineLevel="0" collapsed="false">
      <c r="A5233" s="31" t="n">
        <v>42953.9583333333</v>
      </c>
      <c r="B5233" s="32" t="n">
        <v>64.959</v>
      </c>
      <c r="D5233" s="33" t="n">
        <f aca="false">WEEKDAY(A5233,2)</f>
        <v>7</v>
      </c>
      <c r="E5233" s="33" t="n">
        <f aca="false">HOUR(A5233)+MINUTE(A5233)/60</f>
        <v>23</v>
      </c>
      <c r="F5233" s="33" t="n">
        <f aca="false">IF(OR(D5233&gt;5,E5233&lt;8,E5233&gt;=18,COUNTIF($K$2:$K$10,INT(A5233))&gt;0),1,0)</f>
        <v>1</v>
      </c>
      <c r="G5233" s="34" t="n">
        <f aca="false">B5233/1</f>
        <v>64.959</v>
      </c>
      <c r="H5233" s="34" t="n">
        <f aca="false">IF(F5233=1,G5233,"")</f>
        <v>64.959</v>
      </c>
    </row>
    <row r="5234" customFormat="false" ht="15" hidden="false" customHeight="false" outlineLevel="0" collapsed="false">
      <c r="A5234" s="31" t="n">
        <v>42954</v>
      </c>
      <c r="B5234" s="32" t="n">
        <v>66.556</v>
      </c>
      <c r="D5234" s="33" t="n">
        <f aca="false">WEEKDAY(A5234,2)</f>
        <v>1</v>
      </c>
      <c r="E5234" s="33" t="n">
        <f aca="false">HOUR(A5234)+MINUTE(A5234)/60</f>
        <v>0</v>
      </c>
      <c r="F5234" s="33" t="n">
        <f aca="false">IF(OR(D5234&gt;5,E5234&lt;8,E5234&gt;=18,COUNTIF($K$2:$K$10,INT(A5234))&gt;0),1,0)</f>
        <v>1</v>
      </c>
      <c r="G5234" s="34" t="n">
        <f aca="false">B5234/1</f>
        <v>66.556</v>
      </c>
      <c r="H5234" s="34" t="n">
        <f aca="false">IF(F5234=1,G5234,"")</f>
        <v>66.556</v>
      </c>
    </row>
    <row r="5235" customFormat="false" ht="15" hidden="false" customHeight="false" outlineLevel="0" collapsed="false">
      <c r="A5235" s="31" t="n">
        <v>42954.0416666667</v>
      </c>
      <c r="B5235" s="32" t="n">
        <v>67.126</v>
      </c>
      <c r="D5235" s="33" t="n">
        <f aca="false">WEEKDAY(A5235,2)</f>
        <v>1</v>
      </c>
      <c r="E5235" s="33" t="n">
        <f aca="false">HOUR(A5235)+MINUTE(A5235)/60</f>
        <v>1</v>
      </c>
      <c r="F5235" s="33" t="n">
        <f aca="false">IF(OR(D5235&gt;5,E5235&lt;8,E5235&gt;=18,COUNTIF($K$2:$K$10,INT(A5235))&gt;0),1,0)</f>
        <v>1</v>
      </c>
      <c r="G5235" s="34" t="n">
        <f aca="false">B5235/1</f>
        <v>67.126</v>
      </c>
      <c r="H5235" s="34" t="n">
        <f aca="false">IF(F5235=1,G5235,"")</f>
        <v>67.126</v>
      </c>
    </row>
    <row r="5236" customFormat="false" ht="15" hidden="false" customHeight="false" outlineLevel="0" collapsed="false">
      <c r="A5236" s="31" t="n">
        <v>42954.0833333333</v>
      </c>
      <c r="B5236" s="32" t="n">
        <v>69.699</v>
      </c>
      <c r="D5236" s="33" t="n">
        <f aca="false">WEEKDAY(A5236,2)</f>
        <v>1</v>
      </c>
      <c r="E5236" s="33" t="n">
        <f aca="false">HOUR(A5236)+MINUTE(A5236)/60</f>
        <v>2</v>
      </c>
      <c r="F5236" s="33" t="n">
        <f aca="false">IF(OR(D5236&gt;5,E5236&lt;8,E5236&gt;=18,COUNTIF($K$2:$K$10,INT(A5236))&gt;0),1,0)</f>
        <v>1</v>
      </c>
      <c r="G5236" s="34" t="n">
        <f aca="false">B5236/1</f>
        <v>69.699</v>
      </c>
      <c r="H5236" s="34" t="n">
        <f aca="false">IF(F5236=1,G5236,"")</f>
        <v>69.699</v>
      </c>
    </row>
    <row r="5237" customFormat="false" ht="15" hidden="false" customHeight="false" outlineLevel="0" collapsed="false">
      <c r="A5237" s="31" t="n">
        <v>42954.125</v>
      </c>
      <c r="B5237" s="32" t="n">
        <v>74.074</v>
      </c>
      <c r="D5237" s="33" t="n">
        <f aca="false">WEEKDAY(A5237,2)</f>
        <v>1</v>
      </c>
      <c r="E5237" s="33" t="n">
        <f aca="false">HOUR(A5237)+MINUTE(A5237)/60</f>
        <v>3</v>
      </c>
      <c r="F5237" s="33" t="n">
        <f aca="false">IF(OR(D5237&gt;5,E5237&lt;8,E5237&gt;=18,COUNTIF($K$2:$K$10,INT(A5237))&gt;0),1,0)</f>
        <v>1</v>
      </c>
      <c r="G5237" s="34" t="n">
        <f aca="false">B5237/1</f>
        <v>74.074</v>
      </c>
      <c r="H5237" s="34" t="n">
        <f aca="false">IF(F5237=1,G5237,"")</f>
        <v>74.074</v>
      </c>
    </row>
    <row r="5238" customFormat="false" ht="15" hidden="false" customHeight="false" outlineLevel="0" collapsed="false">
      <c r="A5238" s="31" t="n">
        <v>42954.1666666667</v>
      </c>
      <c r="B5238" s="32" t="n">
        <v>73.776</v>
      </c>
      <c r="D5238" s="33" t="n">
        <f aca="false">WEEKDAY(A5238,2)</f>
        <v>1</v>
      </c>
      <c r="E5238" s="33" t="n">
        <f aca="false">HOUR(A5238)+MINUTE(A5238)/60</f>
        <v>4</v>
      </c>
      <c r="F5238" s="33" t="n">
        <f aca="false">IF(OR(D5238&gt;5,E5238&lt;8,E5238&gt;=18,COUNTIF($K$2:$K$10,INT(A5238))&gt;0),1,0)</f>
        <v>1</v>
      </c>
      <c r="G5238" s="34" t="n">
        <f aca="false">B5238/1</f>
        <v>73.776</v>
      </c>
      <c r="H5238" s="34" t="n">
        <f aca="false">IF(F5238=1,G5238,"")</f>
        <v>73.776</v>
      </c>
    </row>
    <row r="5239" customFormat="false" ht="15" hidden="false" customHeight="false" outlineLevel="0" collapsed="false">
      <c r="A5239" s="31" t="n">
        <v>42954.2083333333</v>
      </c>
      <c r="B5239" s="32" t="n">
        <v>72.555</v>
      </c>
      <c r="D5239" s="33" t="n">
        <f aca="false">WEEKDAY(A5239,2)</f>
        <v>1</v>
      </c>
      <c r="E5239" s="33" t="n">
        <f aca="false">HOUR(A5239)+MINUTE(A5239)/60</f>
        <v>5</v>
      </c>
      <c r="F5239" s="33" t="n">
        <f aca="false">IF(OR(D5239&gt;5,E5239&lt;8,E5239&gt;=18,COUNTIF($K$2:$K$10,INT(A5239))&gt;0),1,0)</f>
        <v>1</v>
      </c>
      <c r="G5239" s="34" t="n">
        <f aca="false">B5239/1</f>
        <v>72.555</v>
      </c>
      <c r="H5239" s="34" t="n">
        <f aca="false">IF(F5239=1,G5239,"")</f>
        <v>72.555</v>
      </c>
    </row>
    <row r="5240" customFormat="false" ht="15" hidden="false" customHeight="false" outlineLevel="0" collapsed="false">
      <c r="A5240" s="31" t="n">
        <v>42954.25</v>
      </c>
      <c r="B5240" s="32" t="n">
        <v>72.775</v>
      </c>
      <c r="D5240" s="33" t="n">
        <f aca="false">WEEKDAY(A5240,2)</f>
        <v>1</v>
      </c>
      <c r="E5240" s="33" t="n">
        <f aca="false">HOUR(A5240)+MINUTE(A5240)/60</f>
        <v>6</v>
      </c>
      <c r="F5240" s="33" t="n">
        <f aca="false">IF(OR(D5240&gt;5,E5240&lt;8,E5240&gt;=18,COUNTIF($K$2:$K$10,INT(A5240))&gt;0),1,0)</f>
        <v>1</v>
      </c>
      <c r="G5240" s="34" t="n">
        <f aca="false">B5240/1</f>
        <v>72.775</v>
      </c>
      <c r="H5240" s="34" t="n">
        <f aca="false">IF(F5240=1,G5240,"")</f>
        <v>72.775</v>
      </c>
    </row>
    <row r="5241" customFormat="false" ht="15" hidden="false" customHeight="false" outlineLevel="0" collapsed="false">
      <c r="A5241" s="31" t="n">
        <v>42954.2916666667</v>
      </c>
      <c r="B5241" s="32" t="n">
        <v>91.595</v>
      </c>
      <c r="D5241" s="33" t="n">
        <f aca="false">WEEKDAY(A5241,2)</f>
        <v>1</v>
      </c>
      <c r="E5241" s="33" t="n">
        <f aca="false">HOUR(A5241)+MINUTE(A5241)/60</f>
        <v>7</v>
      </c>
      <c r="F5241" s="33" t="n">
        <f aca="false">IF(OR(D5241&gt;5,E5241&lt;8,E5241&gt;=18,COUNTIF($K$2:$K$10,INT(A5241))&gt;0),1,0)</f>
        <v>1</v>
      </c>
      <c r="G5241" s="34" t="n">
        <f aca="false">B5241/1</f>
        <v>91.595</v>
      </c>
      <c r="H5241" s="34" t="n">
        <f aca="false">IF(F5241=1,G5241,"")</f>
        <v>91.595</v>
      </c>
    </row>
    <row r="5242" customFormat="false" ht="15" hidden="false" customHeight="false" outlineLevel="0" collapsed="false">
      <c r="A5242" s="31" t="n">
        <v>42954.3333333333</v>
      </c>
      <c r="B5242" s="32" t="n">
        <v>189.581</v>
      </c>
      <c r="D5242" s="33" t="n">
        <f aca="false">WEEKDAY(A5242,2)</f>
        <v>1</v>
      </c>
      <c r="E5242" s="33" t="n">
        <f aca="false">HOUR(A5242)+MINUTE(A5242)/60</f>
        <v>8</v>
      </c>
      <c r="F5242" s="33" t="n">
        <f aca="false">IF(OR(D5242&gt;5,E5242&lt;8,E5242&gt;=18,COUNTIF($K$2:$K$10,INT(A5242))&gt;0),1,0)</f>
        <v>0</v>
      </c>
      <c r="G5242" s="34" t="n">
        <f aca="false">B5242/1</f>
        <v>189.581</v>
      </c>
      <c r="H5242" s="34" t="str">
        <f aca="false">IF(F5242=1,G5242,"")</f>
        <v/>
      </c>
    </row>
    <row r="5243" customFormat="false" ht="15" hidden="false" customHeight="false" outlineLevel="0" collapsed="false">
      <c r="A5243" s="31" t="n">
        <v>42954.375</v>
      </c>
      <c r="B5243" s="32" t="n">
        <v>230.011</v>
      </c>
      <c r="D5243" s="33" t="n">
        <f aca="false">WEEKDAY(A5243,2)</f>
        <v>1</v>
      </c>
      <c r="E5243" s="33" t="n">
        <f aca="false">HOUR(A5243)+MINUTE(A5243)/60</f>
        <v>9</v>
      </c>
      <c r="F5243" s="33" t="n">
        <f aca="false">IF(OR(D5243&gt;5,E5243&lt;8,E5243&gt;=18,COUNTIF($K$2:$K$10,INT(A5243))&gt;0),1,0)</f>
        <v>0</v>
      </c>
      <c r="G5243" s="34" t="n">
        <f aca="false">B5243/1</f>
        <v>230.011</v>
      </c>
      <c r="H5243" s="34" t="str">
        <f aca="false">IF(F5243=1,G5243,"")</f>
        <v/>
      </c>
    </row>
    <row r="5244" customFormat="false" ht="15" hidden="false" customHeight="false" outlineLevel="0" collapsed="false">
      <c r="A5244" s="31" t="n">
        <v>42954.4166666667</v>
      </c>
      <c r="B5244" s="32" t="n">
        <v>253.714</v>
      </c>
      <c r="D5244" s="33" t="n">
        <f aca="false">WEEKDAY(A5244,2)</f>
        <v>1</v>
      </c>
      <c r="E5244" s="33" t="n">
        <f aca="false">HOUR(A5244)+MINUTE(A5244)/60</f>
        <v>10</v>
      </c>
      <c r="F5244" s="33" t="n">
        <f aca="false">IF(OR(D5244&gt;5,E5244&lt;8,E5244&gt;=18,COUNTIF($K$2:$K$10,INT(A5244))&gt;0),1,0)</f>
        <v>0</v>
      </c>
      <c r="G5244" s="34" t="n">
        <f aca="false">B5244/1</f>
        <v>253.714</v>
      </c>
      <c r="H5244" s="34" t="str">
        <f aca="false">IF(F5244=1,G5244,"")</f>
        <v/>
      </c>
    </row>
    <row r="5245" customFormat="false" ht="15" hidden="false" customHeight="false" outlineLevel="0" collapsed="false">
      <c r="A5245" s="31" t="n">
        <v>42954.4583333333</v>
      </c>
      <c r="B5245" s="32" t="n">
        <v>260.587</v>
      </c>
      <c r="D5245" s="33" t="n">
        <f aca="false">WEEKDAY(A5245,2)</f>
        <v>1</v>
      </c>
      <c r="E5245" s="33" t="n">
        <f aca="false">HOUR(A5245)+MINUTE(A5245)/60</f>
        <v>11</v>
      </c>
      <c r="F5245" s="33" t="n">
        <f aca="false">IF(OR(D5245&gt;5,E5245&lt;8,E5245&gt;=18,COUNTIF($K$2:$K$10,INT(A5245))&gt;0),1,0)</f>
        <v>0</v>
      </c>
      <c r="G5245" s="34" t="n">
        <f aca="false">B5245/1</f>
        <v>260.587</v>
      </c>
      <c r="H5245" s="34" t="str">
        <f aca="false">IF(F5245=1,G5245,"")</f>
        <v/>
      </c>
    </row>
    <row r="5246" customFormat="false" ht="15" hidden="false" customHeight="false" outlineLevel="0" collapsed="false">
      <c r="A5246" s="31" t="n">
        <v>42954.5</v>
      </c>
      <c r="B5246" s="32" t="n">
        <v>257.208</v>
      </c>
      <c r="D5246" s="33" t="n">
        <f aca="false">WEEKDAY(A5246,2)</f>
        <v>1</v>
      </c>
      <c r="E5246" s="33" t="n">
        <f aca="false">HOUR(A5246)+MINUTE(A5246)/60</f>
        <v>12</v>
      </c>
      <c r="F5246" s="33" t="n">
        <f aca="false">IF(OR(D5246&gt;5,E5246&lt;8,E5246&gt;=18,COUNTIF($K$2:$K$10,INT(A5246))&gt;0),1,0)</f>
        <v>0</v>
      </c>
      <c r="G5246" s="34" t="n">
        <f aca="false">B5246/1</f>
        <v>257.208</v>
      </c>
      <c r="H5246" s="34" t="str">
        <f aca="false">IF(F5246=1,G5246,"")</f>
        <v/>
      </c>
    </row>
    <row r="5247" customFormat="false" ht="15" hidden="false" customHeight="false" outlineLevel="0" collapsed="false">
      <c r="A5247" s="31" t="n">
        <v>42954.5416666667</v>
      </c>
      <c r="B5247" s="32" t="n">
        <v>245.155</v>
      </c>
      <c r="D5247" s="33" t="n">
        <f aca="false">WEEKDAY(A5247,2)</f>
        <v>1</v>
      </c>
      <c r="E5247" s="33" t="n">
        <f aca="false">HOUR(A5247)+MINUTE(A5247)/60</f>
        <v>13</v>
      </c>
      <c r="F5247" s="33" t="n">
        <f aca="false">IF(OR(D5247&gt;5,E5247&lt;8,E5247&gt;=18,COUNTIF($K$2:$K$10,INT(A5247))&gt;0),1,0)</f>
        <v>0</v>
      </c>
      <c r="G5247" s="34" t="n">
        <f aca="false">B5247/1</f>
        <v>245.155</v>
      </c>
      <c r="H5247" s="34" t="str">
        <f aca="false">IF(F5247=1,G5247,"")</f>
        <v/>
      </c>
    </row>
    <row r="5248" customFormat="false" ht="15" hidden="false" customHeight="false" outlineLevel="0" collapsed="false">
      <c r="A5248" s="31" t="n">
        <v>42954.5833333333</v>
      </c>
      <c r="B5248" s="32" t="n">
        <v>234.588</v>
      </c>
      <c r="D5248" s="33" t="n">
        <f aca="false">WEEKDAY(A5248,2)</f>
        <v>1</v>
      </c>
      <c r="E5248" s="33" t="n">
        <f aca="false">HOUR(A5248)+MINUTE(A5248)/60</f>
        <v>14</v>
      </c>
      <c r="F5248" s="33" t="n">
        <f aca="false">IF(OR(D5248&gt;5,E5248&lt;8,E5248&gt;=18,COUNTIF($K$2:$K$10,INT(A5248))&gt;0),1,0)</f>
        <v>0</v>
      </c>
      <c r="G5248" s="34" t="n">
        <f aca="false">B5248/1</f>
        <v>234.588</v>
      </c>
      <c r="H5248" s="34" t="str">
        <f aca="false">IF(F5248=1,G5248,"")</f>
        <v/>
      </c>
    </row>
    <row r="5249" customFormat="false" ht="15" hidden="false" customHeight="false" outlineLevel="0" collapsed="false">
      <c r="A5249" s="31" t="n">
        <v>42954.625</v>
      </c>
      <c r="B5249" s="32" t="n">
        <v>231.074</v>
      </c>
      <c r="D5249" s="33" t="n">
        <f aca="false">WEEKDAY(A5249,2)</f>
        <v>1</v>
      </c>
      <c r="E5249" s="33" t="n">
        <f aca="false">HOUR(A5249)+MINUTE(A5249)/60</f>
        <v>15</v>
      </c>
      <c r="F5249" s="33" t="n">
        <f aca="false">IF(OR(D5249&gt;5,E5249&lt;8,E5249&gt;=18,COUNTIF($K$2:$K$10,INT(A5249))&gt;0),1,0)</f>
        <v>0</v>
      </c>
      <c r="G5249" s="34" t="n">
        <f aca="false">B5249/1</f>
        <v>231.074</v>
      </c>
      <c r="H5249" s="34" t="str">
        <f aca="false">IF(F5249=1,G5249,"")</f>
        <v/>
      </c>
    </row>
    <row r="5250" customFormat="false" ht="15" hidden="false" customHeight="false" outlineLevel="0" collapsed="false">
      <c r="A5250" s="31" t="n">
        <v>42954.6666666667</v>
      </c>
      <c r="B5250" s="32" t="n">
        <v>215.039</v>
      </c>
      <c r="D5250" s="33" t="n">
        <f aca="false">WEEKDAY(A5250,2)</f>
        <v>1</v>
      </c>
      <c r="E5250" s="33" t="n">
        <f aca="false">HOUR(A5250)+MINUTE(A5250)/60</f>
        <v>16</v>
      </c>
      <c r="F5250" s="33" t="n">
        <f aca="false">IF(OR(D5250&gt;5,E5250&lt;8,E5250&gt;=18,COUNTIF($K$2:$K$10,INT(A5250))&gt;0),1,0)</f>
        <v>0</v>
      </c>
      <c r="G5250" s="34" t="n">
        <f aca="false">B5250/1</f>
        <v>215.039</v>
      </c>
      <c r="H5250" s="34" t="str">
        <f aca="false">IF(F5250=1,G5250,"")</f>
        <v/>
      </c>
    </row>
    <row r="5251" customFormat="false" ht="15" hidden="false" customHeight="false" outlineLevel="0" collapsed="false">
      <c r="A5251" s="31" t="n">
        <v>42954.7083333333</v>
      </c>
      <c r="B5251" s="32" t="n">
        <v>193.597</v>
      </c>
      <c r="D5251" s="33" t="n">
        <f aca="false">WEEKDAY(A5251,2)</f>
        <v>1</v>
      </c>
      <c r="E5251" s="33" t="n">
        <f aca="false">HOUR(A5251)+MINUTE(A5251)/60</f>
        <v>17</v>
      </c>
      <c r="F5251" s="33" t="n">
        <f aca="false">IF(OR(D5251&gt;5,E5251&lt;8,E5251&gt;=18,COUNTIF($K$2:$K$10,INT(A5251))&gt;0),1,0)</f>
        <v>0</v>
      </c>
      <c r="G5251" s="34" t="n">
        <f aca="false">B5251/1</f>
        <v>193.597</v>
      </c>
      <c r="H5251" s="34" t="str">
        <f aca="false">IF(F5251=1,G5251,"")</f>
        <v/>
      </c>
    </row>
    <row r="5252" customFormat="false" ht="15" hidden="false" customHeight="false" outlineLevel="0" collapsed="false">
      <c r="A5252" s="31" t="n">
        <v>42954.75</v>
      </c>
      <c r="B5252" s="32" t="n">
        <v>174.677</v>
      </c>
      <c r="D5252" s="33" t="n">
        <f aca="false">WEEKDAY(A5252,2)</f>
        <v>1</v>
      </c>
      <c r="E5252" s="33" t="n">
        <f aca="false">HOUR(A5252)+MINUTE(A5252)/60</f>
        <v>18</v>
      </c>
      <c r="F5252" s="33" t="n">
        <f aca="false">IF(OR(D5252&gt;5,E5252&lt;8,E5252&gt;=18,COUNTIF($K$2:$K$10,INT(A5252))&gt;0),1,0)</f>
        <v>1</v>
      </c>
      <c r="G5252" s="34" t="n">
        <f aca="false">B5252/1</f>
        <v>174.677</v>
      </c>
      <c r="H5252" s="34" t="n">
        <f aca="false">IF(F5252=1,G5252,"")</f>
        <v>174.677</v>
      </c>
    </row>
    <row r="5253" customFormat="false" ht="15" hidden="false" customHeight="false" outlineLevel="0" collapsed="false">
      <c r="A5253" s="31" t="n">
        <v>42954.7916666667</v>
      </c>
      <c r="B5253" s="32" t="n">
        <v>168.989</v>
      </c>
      <c r="D5253" s="33" t="n">
        <f aca="false">WEEKDAY(A5253,2)</f>
        <v>1</v>
      </c>
      <c r="E5253" s="33" t="n">
        <f aca="false">HOUR(A5253)+MINUTE(A5253)/60</f>
        <v>19</v>
      </c>
      <c r="F5253" s="33" t="n">
        <f aca="false">IF(OR(D5253&gt;5,E5253&lt;8,E5253&gt;=18,COUNTIF($K$2:$K$10,INT(A5253))&gt;0),1,0)</f>
        <v>1</v>
      </c>
      <c r="G5253" s="34" t="n">
        <f aca="false">B5253/1</f>
        <v>168.989</v>
      </c>
      <c r="H5253" s="34" t="n">
        <f aca="false">IF(F5253=1,G5253,"")</f>
        <v>168.989</v>
      </c>
    </row>
    <row r="5254" customFormat="false" ht="15" hidden="false" customHeight="false" outlineLevel="0" collapsed="false">
      <c r="A5254" s="31" t="n">
        <v>42954.8333333333</v>
      </c>
      <c r="B5254" s="32" t="n">
        <v>163.123</v>
      </c>
      <c r="D5254" s="33" t="n">
        <f aca="false">WEEKDAY(A5254,2)</f>
        <v>1</v>
      </c>
      <c r="E5254" s="33" t="n">
        <f aca="false">HOUR(A5254)+MINUTE(A5254)/60</f>
        <v>20</v>
      </c>
      <c r="F5254" s="33" t="n">
        <f aca="false">IF(OR(D5254&gt;5,E5254&lt;8,E5254&gt;=18,COUNTIF($K$2:$K$10,INT(A5254))&gt;0),1,0)</f>
        <v>1</v>
      </c>
      <c r="G5254" s="34" t="n">
        <f aca="false">B5254/1</f>
        <v>163.123</v>
      </c>
      <c r="H5254" s="34" t="n">
        <f aca="false">IF(F5254=1,G5254,"")</f>
        <v>163.123</v>
      </c>
    </row>
    <row r="5255" customFormat="false" ht="15" hidden="false" customHeight="false" outlineLevel="0" collapsed="false">
      <c r="A5255" s="31" t="n">
        <v>42954.875</v>
      </c>
      <c r="B5255" s="32" t="n">
        <v>159.56</v>
      </c>
      <c r="D5255" s="33" t="n">
        <f aca="false">WEEKDAY(A5255,2)</f>
        <v>1</v>
      </c>
      <c r="E5255" s="33" t="n">
        <f aca="false">HOUR(A5255)+MINUTE(A5255)/60</f>
        <v>21</v>
      </c>
      <c r="F5255" s="33" t="n">
        <f aca="false">IF(OR(D5255&gt;5,E5255&lt;8,E5255&gt;=18,COUNTIF($K$2:$K$10,INT(A5255))&gt;0),1,0)</f>
        <v>1</v>
      </c>
      <c r="G5255" s="34" t="n">
        <f aca="false">B5255/1</f>
        <v>159.56</v>
      </c>
      <c r="H5255" s="34" t="n">
        <f aca="false">IF(F5255=1,G5255,"")</f>
        <v>159.56</v>
      </c>
    </row>
    <row r="5256" customFormat="false" ht="15" hidden="false" customHeight="false" outlineLevel="0" collapsed="false">
      <c r="A5256" s="31" t="n">
        <v>42954.9166666667</v>
      </c>
      <c r="B5256" s="32" t="n">
        <v>109.369</v>
      </c>
      <c r="D5256" s="33" t="n">
        <f aca="false">WEEKDAY(A5256,2)</f>
        <v>1</v>
      </c>
      <c r="E5256" s="33" t="n">
        <f aca="false">HOUR(A5256)+MINUTE(A5256)/60</f>
        <v>22</v>
      </c>
      <c r="F5256" s="33" t="n">
        <f aca="false">IF(OR(D5256&gt;5,E5256&lt;8,E5256&gt;=18,COUNTIF($K$2:$K$10,INT(A5256))&gt;0),1,0)</f>
        <v>1</v>
      </c>
      <c r="G5256" s="34" t="n">
        <f aca="false">B5256/1</f>
        <v>109.369</v>
      </c>
      <c r="H5256" s="34" t="n">
        <f aca="false">IF(F5256=1,G5256,"")</f>
        <v>109.369</v>
      </c>
    </row>
    <row r="5257" customFormat="false" ht="15" hidden="false" customHeight="false" outlineLevel="0" collapsed="false">
      <c r="A5257" s="31" t="n">
        <v>42954.9583333333</v>
      </c>
      <c r="B5257" s="32" t="n">
        <v>49.629</v>
      </c>
      <c r="D5257" s="33" t="n">
        <f aca="false">WEEKDAY(A5257,2)</f>
        <v>1</v>
      </c>
      <c r="E5257" s="33" t="n">
        <f aca="false">HOUR(A5257)+MINUTE(A5257)/60</f>
        <v>23</v>
      </c>
      <c r="F5257" s="33" t="n">
        <f aca="false">IF(OR(D5257&gt;5,E5257&lt;8,E5257&gt;=18,COUNTIF($K$2:$K$10,INT(A5257))&gt;0),1,0)</f>
        <v>1</v>
      </c>
      <c r="G5257" s="34" t="n">
        <f aca="false">B5257/1</f>
        <v>49.629</v>
      </c>
      <c r="H5257" s="34" t="n">
        <f aca="false">IF(F5257=1,G5257,"")</f>
        <v>49.629</v>
      </c>
    </row>
    <row r="5258" customFormat="false" ht="15" hidden="false" customHeight="false" outlineLevel="0" collapsed="false">
      <c r="A5258" s="31" t="n">
        <v>42955</v>
      </c>
      <c r="B5258" s="32" t="n">
        <v>48.62</v>
      </c>
      <c r="D5258" s="33" t="n">
        <f aca="false">WEEKDAY(A5258,2)</f>
        <v>2</v>
      </c>
      <c r="E5258" s="33" t="n">
        <f aca="false">HOUR(A5258)+MINUTE(A5258)/60</f>
        <v>0</v>
      </c>
      <c r="F5258" s="33" t="n">
        <f aca="false">IF(OR(D5258&gt;5,E5258&lt;8,E5258&gt;=18,COUNTIF($K$2:$K$10,INT(A5258))&gt;0),1,0)</f>
        <v>1</v>
      </c>
      <c r="G5258" s="34" t="n">
        <f aca="false">B5258/1</f>
        <v>48.62</v>
      </c>
      <c r="H5258" s="34" t="n">
        <f aca="false">IF(F5258=1,G5258,"")</f>
        <v>48.62</v>
      </c>
    </row>
    <row r="5259" customFormat="false" ht="15" hidden="false" customHeight="false" outlineLevel="0" collapsed="false">
      <c r="A5259" s="31" t="n">
        <v>42955.0416666667</v>
      </c>
      <c r="B5259" s="32" t="n">
        <v>49.791</v>
      </c>
      <c r="D5259" s="33" t="n">
        <f aca="false">WEEKDAY(A5259,2)</f>
        <v>2</v>
      </c>
      <c r="E5259" s="33" t="n">
        <f aca="false">HOUR(A5259)+MINUTE(A5259)/60</f>
        <v>1</v>
      </c>
      <c r="F5259" s="33" t="n">
        <f aca="false">IF(OR(D5259&gt;5,E5259&lt;8,E5259&gt;=18,COUNTIF($K$2:$K$10,INT(A5259))&gt;0),1,0)</f>
        <v>1</v>
      </c>
      <c r="G5259" s="34" t="n">
        <f aca="false">B5259/1</f>
        <v>49.791</v>
      </c>
      <c r="H5259" s="34" t="n">
        <f aca="false">IF(F5259=1,G5259,"")</f>
        <v>49.791</v>
      </c>
    </row>
    <row r="5260" customFormat="false" ht="15" hidden="false" customHeight="false" outlineLevel="0" collapsed="false">
      <c r="A5260" s="31" t="n">
        <v>42955.0833333333</v>
      </c>
      <c r="B5260" s="32" t="n">
        <v>52.009</v>
      </c>
      <c r="D5260" s="33" t="n">
        <f aca="false">WEEKDAY(A5260,2)</f>
        <v>2</v>
      </c>
      <c r="E5260" s="33" t="n">
        <f aca="false">HOUR(A5260)+MINUTE(A5260)/60</f>
        <v>2</v>
      </c>
      <c r="F5260" s="33" t="n">
        <f aca="false">IF(OR(D5260&gt;5,E5260&lt;8,E5260&gt;=18,COUNTIF($K$2:$K$10,INT(A5260))&gt;0),1,0)</f>
        <v>1</v>
      </c>
      <c r="G5260" s="34" t="n">
        <f aca="false">B5260/1</f>
        <v>52.009</v>
      </c>
      <c r="H5260" s="34" t="n">
        <f aca="false">IF(F5260=1,G5260,"")</f>
        <v>52.009</v>
      </c>
    </row>
    <row r="5261" customFormat="false" ht="15" hidden="false" customHeight="false" outlineLevel="0" collapsed="false">
      <c r="A5261" s="31" t="n">
        <v>42955.125</v>
      </c>
      <c r="B5261" s="32" t="n">
        <v>51.222</v>
      </c>
      <c r="D5261" s="33" t="n">
        <f aca="false">WEEKDAY(A5261,2)</f>
        <v>2</v>
      </c>
      <c r="E5261" s="33" t="n">
        <f aca="false">HOUR(A5261)+MINUTE(A5261)/60</f>
        <v>3</v>
      </c>
      <c r="F5261" s="33" t="n">
        <f aca="false">IF(OR(D5261&gt;5,E5261&lt;8,E5261&gt;=18,COUNTIF($K$2:$K$10,INT(A5261))&gt;0),1,0)</f>
        <v>1</v>
      </c>
      <c r="G5261" s="34" t="n">
        <f aca="false">B5261/1</f>
        <v>51.222</v>
      </c>
      <c r="H5261" s="34" t="n">
        <f aca="false">IF(F5261=1,G5261,"")</f>
        <v>51.222</v>
      </c>
    </row>
    <row r="5262" customFormat="false" ht="15" hidden="false" customHeight="false" outlineLevel="0" collapsed="false">
      <c r="A5262" s="31" t="n">
        <v>42955.1666666667</v>
      </c>
      <c r="B5262" s="32" t="n">
        <v>51.425</v>
      </c>
      <c r="D5262" s="33" t="n">
        <f aca="false">WEEKDAY(A5262,2)</f>
        <v>2</v>
      </c>
      <c r="E5262" s="33" t="n">
        <f aca="false">HOUR(A5262)+MINUTE(A5262)/60</f>
        <v>4</v>
      </c>
      <c r="F5262" s="33" t="n">
        <f aca="false">IF(OR(D5262&gt;5,E5262&lt;8,E5262&gt;=18,COUNTIF($K$2:$K$10,INT(A5262))&gt;0),1,0)</f>
        <v>1</v>
      </c>
      <c r="G5262" s="34" t="n">
        <f aca="false">B5262/1</f>
        <v>51.425</v>
      </c>
      <c r="H5262" s="34" t="n">
        <f aca="false">IF(F5262=1,G5262,"")</f>
        <v>51.425</v>
      </c>
    </row>
    <row r="5263" customFormat="false" ht="15" hidden="false" customHeight="false" outlineLevel="0" collapsed="false">
      <c r="A5263" s="31" t="n">
        <v>42955.2083333333</v>
      </c>
      <c r="B5263" s="32" t="n">
        <v>51.889</v>
      </c>
      <c r="D5263" s="33" t="n">
        <f aca="false">WEEKDAY(A5263,2)</f>
        <v>2</v>
      </c>
      <c r="E5263" s="33" t="n">
        <f aca="false">HOUR(A5263)+MINUTE(A5263)/60</f>
        <v>5</v>
      </c>
      <c r="F5263" s="33" t="n">
        <f aca="false">IF(OR(D5263&gt;5,E5263&lt;8,E5263&gt;=18,COUNTIF($K$2:$K$10,INT(A5263))&gt;0),1,0)</f>
        <v>1</v>
      </c>
      <c r="G5263" s="34" t="n">
        <f aca="false">B5263/1</f>
        <v>51.889</v>
      </c>
      <c r="H5263" s="34" t="n">
        <f aca="false">IF(F5263=1,G5263,"")</f>
        <v>51.889</v>
      </c>
    </row>
    <row r="5264" customFormat="false" ht="15" hidden="false" customHeight="false" outlineLevel="0" collapsed="false">
      <c r="A5264" s="31" t="n">
        <v>42955.25</v>
      </c>
      <c r="B5264" s="32" t="n">
        <v>52.331</v>
      </c>
      <c r="D5264" s="33" t="n">
        <f aca="false">WEEKDAY(A5264,2)</f>
        <v>2</v>
      </c>
      <c r="E5264" s="33" t="n">
        <f aca="false">HOUR(A5264)+MINUTE(A5264)/60</f>
        <v>6</v>
      </c>
      <c r="F5264" s="33" t="n">
        <f aca="false">IF(OR(D5264&gt;5,E5264&lt;8,E5264&gt;=18,COUNTIF($K$2:$K$10,INT(A5264))&gt;0),1,0)</f>
        <v>1</v>
      </c>
      <c r="G5264" s="34" t="n">
        <f aca="false">B5264/1</f>
        <v>52.331</v>
      </c>
      <c r="H5264" s="34" t="n">
        <f aca="false">IF(F5264=1,G5264,"")</f>
        <v>52.331</v>
      </c>
    </row>
    <row r="5265" customFormat="false" ht="15" hidden="false" customHeight="false" outlineLevel="0" collapsed="false">
      <c r="A5265" s="31" t="n">
        <v>42955.2916666667</v>
      </c>
      <c r="B5265" s="32" t="n">
        <v>52.613</v>
      </c>
      <c r="D5265" s="33" t="n">
        <f aca="false">WEEKDAY(A5265,2)</f>
        <v>2</v>
      </c>
      <c r="E5265" s="33" t="n">
        <f aca="false">HOUR(A5265)+MINUTE(A5265)/60</f>
        <v>7</v>
      </c>
      <c r="F5265" s="33" t="n">
        <f aca="false">IF(OR(D5265&gt;5,E5265&lt;8,E5265&gt;=18,COUNTIF($K$2:$K$10,INT(A5265))&gt;0),1,0)</f>
        <v>1</v>
      </c>
      <c r="G5265" s="34" t="n">
        <f aca="false">B5265/1</f>
        <v>52.613</v>
      </c>
      <c r="H5265" s="34" t="n">
        <f aca="false">IF(F5265=1,G5265,"")</f>
        <v>52.613</v>
      </c>
    </row>
    <row r="5266" customFormat="false" ht="15" hidden="false" customHeight="false" outlineLevel="0" collapsed="false">
      <c r="A5266" s="31" t="n">
        <v>42955.3333333333</v>
      </c>
      <c r="B5266" s="32" t="n">
        <v>160.889</v>
      </c>
      <c r="D5266" s="33" t="n">
        <f aca="false">WEEKDAY(A5266,2)</f>
        <v>2</v>
      </c>
      <c r="E5266" s="33" t="n">
        <f aca="false">HOUR(A5266)+MINUTE(A5266)/60</f>
        <v>8</v>
      </c>
      <c r="F5266" s="33" t="n">
        <f aca="false">IF(OR(D5266&gt;5,E5266&lt;8,E5266&gt;=18,COUNTIF($K$2:$K$10,INT(A5266))&gt;0),1,0)</f>
        <v>0</v>
      </c>
      <c r="G5266" s="34" t="n">
        <f aca="false">B5266/1</f>
        <v>160.889</v>
      </c>
      <c r="H5266" s="34" t="str">
        <f aca="false">IF(F5266=1,G5266,"")</f>
        <v/>
      </c>
    </row>
    <row r="5267" customFormat="false" ht="15" hidden="false" customHeight="false" outlineLevel="0" collapsed="false">
      <c r="A5267" s="31" t="n">
        <v>42955.375</v>
      </c>
      <c r="B5267" s="32" t="n">
        <v>209.948</v>
      </c>
      <c r="D5267" s="33" t="n">
        <f aca="false">WEEKDAY(A5267,2)</f>
        <v>2</v>
      </c>
      <c r="E5267" s="33" t="n">
        <f aca="false">HOUR(A5267)+MINUTE(A5267)/60</f>
        <v>9</v>
      </c>
      <c r="F5267" s="33" t="n">
        <f aca="false">IF(OR(D5267&gt;5,E5267&lt;8,E5267&gt;=18,COUNTIF($K$2:$K$10,INT(A5267))&gt;0),1,0)</f>
        <v>0</v>
      </c>
      <c r="G5267" s="34" t="n">
        <f aca="false">B5267/1</f>
        <v>209.948</v>
      </c>
      <c r="H5267" s="34" t="str">
        <f aca="false">IF(F5267=1,G5267,"")</f>
        <v/>
      </c>
    </row>
    <row r="5268" customFormat="false" ht="15" hidden="false" customHeight="false" outlineLevel="0" collapsed="false">
      <c r="A5268" s="31" t="n">
        <v>42955.4166666667</v>
      </c>
      <c r="B5268" s="32" t="n">
        <v>221.378</v>
      </c>
      <c r="D5268" s="33" t="n">
        <f aca="false">WEEKDAY(A5268,2)</f>
        <v>2</v>
      </c>
      <c r="E5268" s="33" t="n">
        <f aca="false">HOUR(A5268)+MINUTE(A5268)/60</f>
        <v>10</v>
      </c>
      <c r="F5268" s="33" t="n">
        <f aca="false">IF(OR(D5268&gt;5,E5268&lt;8,E5268&gt;=18,COUNTIF($K$2:$K$10,INT(A5268))&gt;0),1,0)</f>
        <v>0</v>
      </c>
      <c r="G5268" s="34" t="n">
        <f aca="false">B5268/1</f>
        <v>221.378</v>
      </c>
      <c r="H5268" s="34" t="str">
        <f aca="false">IF(F5268=1,G5268,"")</f>
        <v/>
      </c>
    </row>
    <row r="5269" customFormat="false" ht="15" hidden="false" customHeight="false" outlineLevel="0" collapsed="false">
      <c r="A5269" s="31" t="n">
        <v>42955.4583333333</v>
      </c>
      <c r="B5269" s="32" t="n">
        <v>228.393</v>
      </c>
      <c r="D5269" s="33" t="n">
        <f aca="false">WEEKDAY(A5269,2)</f>
        <v>2</v>
      </c>
      <c r="E5269" s="33" t="n">
        <f aca="false">HOUR(A5269)+MINUTE(A5269)/60</f>
        <v>11</v>
      </c>
      <c r="F5269" s="33" t="n">
        <f aca="false">IF(OR(D5269&gt;5,E5269&lt;8,E5269&gt;=18,COUNTIF($K$2:$K$10,INT(A5269))&gt;0),1,0)</f>
        <v>0</v>
      </c>
      <c r="G5269" s="34" t="n">
        <f aca="false">B5269/1</f>
        <v>228.393</v>
      </c>
      <c r="H5269" s="34" t="str">
        <f aca="false">IF(F5269=1,G5269,"")</f>
        <v/>
      </c>
    </row>
    <row r="5270" customFormat="false" ht="15" hidden="false" customHeight="false" outlineLevel="0" collapsed="false">
      <c r="A5270" s="31" t="n">
        <v>42955.5</v>
      </c>
      <c r="B5270" s="32" t="n">
        <v>233.693</v>
      </c>
      <c r="D5270" s="33" t="n">
        <f aca="false">WEEKDAY(A5270,2)</f>
        <v>2</v>
      </c>
      <c r="E5270" s="33" t="n">
        <f aca="false">HOUR(A5270)+MINUTE(A5270)/60</f>
        <v>12</v>
      </c>
      <c r="F5270" s="33" t="n">
        <f aca="false">IF(OR(D5270&gt;5,E5270&lt;8,E5270&gt;=18,COUNTIF($K$2:$K$10,INT(A5270))&gt;0),1,0)</f>
        <v>0</v>
      </c>
      <c r="G5270" s="34" t="n">
        <f aca="false">B5270/1</f>
        <v>233.693</v>
      </c>
      <c r="H5270" s="34" t="str">
        <f aca="false">IF(F5270=1,G5270,"")</f>
        <v/>
      </c>
    </row>
    <row r="5271" customFormat="false" ht="15" hidden="false" customHeight="false" outlineLevel="0" collapsed="false">
      <c r="A5271" s="31" t="n">
        <v>42955.5416666667</v>
      </c>
      <c r="B5271" s="32" t="n">
        <v>218.377</v>
      </c>
      <c r="D5271" s="33" t="n">
        <f aca="false">WEEKDAY(A5271,2)</f>
        <v>2</v>
      </c>
      <c r="E5271" s="33" t="n">
        <f aca="false">HOUR(A5271)+MINUTE(A5271)/60</f>
        <v>13</v>
      </c>
      <c r="F5271" s="33" t="n">
        <f aca="false">IF(OR(D5271&gt;5,E5271&lt;8,E5271&gt;=18,COUNTIF($K$2:$K$10,INT(A5271))&gt;0),1,0)</f>
        <v>0</v>
      </c>
      <c r="G5271" s="34" t="n">
        <f aca="false">B5271/1</f>
        <v>218.377</v>
      </c>
      <c r="H5271" s="34" t="str">
        <f aca="false">IF(F5271=1,G5271,"")</f>
        <v/>
      </c>
    </row>
    <row r="5272" customFormat="false" ht="15" hidden="false" customHeight="false" outlineLevel="0" collapsed="false">
      <c r="A5272" s="31" t="n">
        <v>42955.5833333333</v>
      </c>
      <c r="B5272" s="32" t="n">
        <v>212.139</v>
      </c>
      <c r="D5272" s="33" t="n">
        <f aca="false">WEEKDAY(A5272,2)</f>
        <v>2</v>
      </c>
      <c r="E5272" s="33" t="n">
        <f aca="false">HOUR(A5272)+MINUTE(A5272)/60</f>
        <v>14</v>
      </c>
      <c r="F5272" s="33" t="n">
        <f aca="false">IF(OR(D5272&gt;5,E5272&lt;8,E5272&gt;=18,COUNTIF($K$2:$K$10,INT(A5272))&gt;0),1,0)</f>
        <v>0</v>
      </c>
      <c r="G5272" s="34" t="n">
        <f aca="false">B5272/1</f>
        <v>212.139</v>
      </c>
      <c r="H5272" s="34" t="str">
        <f aca="false">IF(F5272=1,G5272,"")</f>
        <v/>
      </c>
    </row>
    <row r="5273" customFormat="false" ht="15" hidden="false" customHeight="false" outlineLevel="0" collapsed="false">
      <c r="A5273" s="31" t="n">
        <v>42955.625</v>
      </c>
      <c r="B5273" s="32" t="n">
        <v>212.741</v>
      </c>
      <c r="D5273" s="33" t="n">
        <f aca="false">WEEKDAY(A5273,2)</f>
        <v>2</v>
      </c>
      <c r="E5273" s="33" t="n">
        <f aca="false">HOUR(A5273)+MINUTE(A5273)/60</f>
        <v>15</v>
      </c>
      <c r="F5273" s="33" t="n">
        <f aca="false">IF(OR(D5273&gt;5,E5273&lt;8,E5273&gt;=18,COUNTIF($K$2:$K$10,INT(A5273))&gt;0),1,0)</f>
        <v>0</v>
      </c>
      <c r="G5273" s="34" t="n">
        <f aca="false">B5273/1</f>
        <v>212.741</v>
      </c>
      <c r="H5273" s="34" t="str">
        <f aca="false">IF(F5273=1,G5273,"")</f>
        <v/>
      </c>
    </row>
    <row r="5274" customFormat="false" ht="15" hidden="false" customHeight="false" outlineLevel="0" collapsed="false">
      <c r="A5274" s="31" t="n">
        <v>42955.6666666667</v>
      </c>
      <c r="B5274" s="32" t="n">
        <v>205.578</v>
      </c>
      <c r="D5274" s="33" t="n">
        <f aca="false">WEEKDAY(A5274,2)</f>
        <v>2</v>
      </c>
      <c r="E5274" s="33" t="n">
        <f aca="false">HOUR(A5274)+MINUTE(A5274)/60</f>
        <v>16</v>
      </c>
      <c r="F5274" s="33" t="n">
        <f aca="false">IF(OR(D5274&gt;5,E5274&lt;8,E5274&gt;=18,COUNTIF($K$2:$K$10,INT(A5274))&gt;0),1,0)</f>
        <v>0</v>
      </c>
      <c r="G5274" s="34" t="n">
        <f aca="false">B5274/1</f>
        <v>205.578</v>
      </c>
      <c r="H5274" s="34" t="str">
        <f aca="false">IF(F5274=1,G5274,"")</f>
        <v/>
      </c>
    </row>
    <row r="5275" customFormat="false" ht="15" hidden="false" customHeight="false" outlineLevel="0" collapsed="false">
      <c r="A5275" s="31" t="n">
        <v>42955.7083333333</v>
      </c>
      <c r="B5275" s="32" t="n">
        <v>191.666</v>
      </c>
      <c r="D5275" s="33" t="n">
        <f aca="false">WEEKDAY(A5275,2)</f>
        <v>2</v>
      </c>
      <c r="E5275" s="33" t="n">
        <f aca="false">HOUR(A5275)+MINUTE(A5275)/60</f>
        <v>17</v>
      </c>
      <c r="F5275" s="33" t="n">
        <f aca="false">IF(OR(D5275&gt;5,E5275&lt;8,E5275&gt;=18,COUNTIF($K$2:$K$10,INT(A5275))&gt;0),1,0)</f>
        <v>0</v>
      </c>
      <c r="G5275" s="34" t="n">
        <f aca="false">B5275/1</f>
        <v>191.666</v>
      </c>
      <c r="H5275" s="34" t="str">
        <f aca="false">IF(F5275=1,G5275,"")</f>
        <v/>
      </c>
    </row>
    <row r="5276" customFormat="false" ht="15" hidden="false" customHeight="false" outlineLevel="0" collapsed="false">
      <c r="A5276" s="31" t="n">
        <v>42955.75</v>
      </c>
      <c r="B5276" s="32" t="n">
        <v>175.553</v>
      </c>
      <c r="D5276" s="33" t="n">
        <f aca="false">WEEKDAY(A5276,2)</f>
        <v>2</v>
      </c>
      <c r="E5276" s="33" t="n">
        <f aca="false">HOUR(A5276)+MINUTE(A5276)/60</f>
        <v>18</v>
      </c>
      <c r="F5276" s="33" t="n">
        <f aca="false">IF(OR(D5276&gt;5,E5276&lt;8,E5276&gt;=18,COUNTIF($K$2:$K$10,INT(A5276))&gt;0),1,0)</f>
        <v>1</v>
      </c>
      <c r="G5276" s="34" t="n">
        <f aca="false">B5276/1</f>
        <v>175.553</v>
      </c>
      <c r="H5276" s="34" t="n">
        <f aca="false">IF(F5276=1,G5276,"")</f>
        <v>175.553</v>
      </c>
    </row>
    <row r="5277" customFormat="false" ht="15" hidden="false" customHeight="false" outlineLevel="0" collapsed="false">
      <c r="A5277" s="31" t="n">
        <v>42955.7916666667</v>
      </c>
      <c r="B5277" s="32" t="n">
        <v>169.438</v>
      </c>
      <c r="D5277" s="33" t="n">
        <f aca="false">WEEKDAY(A5277,2)</f>
        <v>2</v>
      </c>
      <c r="E5277" s="33" t="n">
        <f aca="false">HOUR(A5277)+MINUTE(A5277)/60</f>
        <v>19</v>
      </c>
      <c r="F5277" s="33" t="n">
        <f aca="false">IF(OR(D5277&gt;5,E5277&lt;8,E5277&gt;=18,COUNTIF($K$2:$K$10,INT(A5277))&gt;0),1,0)</f>
        <v>1</v>
      </c>
      <c r="G5277" s="34" t="n">
        <f aca="false">B5277/1</f>
        <v>169.438</v>
      </c>
      <c r="H5277" s="34" t="n">
        <f aca="false">IF(F5277=1,G5277,"")</f>
        <v>169.438</v>
      </c>
    </row>
    <row r="5278" customFormat="false" ht="15" hidden="false" customHeight="false" outlineLevel="0" collapsed="false">
      <c r="A5278" s="31" t="n">
        <v>42955.8333333333</v>
      </c>
      <c r="B5278" s="32" t="n">
        <v>165.532</v>
      </c>
      <c r="D5278" s="33" t="n">
        <f aca="false">WEEKDAY(A5278,2)</f>
        <v>2</v>
      </c>
      <c r="E5278" s="33" t="n">
        <f aca="false">HOUR(A5278)+MINUTE(A5278)/60</f>
        <v>20</v>
      </c>
      <c r="F5278" s="33" t="n">
        <f aca="false">IF(OR(D5278&gt;5,E5278&lt;8,E5278&gt;=18,COUNTIF($K$2:$K$10,INT(A5278))&gt;0),1,0)</f>
        <v>1</v>
      </c>
      <c r="G5278" s="34" t="n">
        <f aca="false">B5278/1</f>
        <v>165.532</v>
      </c>
      <c r="H5278" s="34" t="n">
        <f aca="false">IF(F5278=1,G5278,"")</f>
        <v>165.532</v>
      </c>
    </row>
    <row r="5279" customFormat="false" ht="15" hidden="false" customHeight="false" outlineLevel="0" collapsed="false">
      <c r="A5279" s="31" t="n">
        <v>42955.875</v>
      </c>
      <c r="B5279" s="32" t="n">
        <v>161.991</v>
      </c>
      <c r="D5279" s="33" t="n">
        <f aca="false">WEEKDAY(A5279,2)</f>
        <v>2</v>
      </c>
      <c r="E5279" s="33" t="n">
        <f aca="false">HOUR(A5279)+MINUTE(A5279)/60</f>
        <v>21</v>
      </c>
      <c r="F5279" s="33" t="n">
        <f aca="false">IF(OR(D5279&gt;5,E5279&lt;8,E5279&gt;=18,COUNTIF($K$2:$K$10,INT(A5279))&gt;0),1,0)</f>
        <v>1</v>
      </c>
      <c r="G5279" s="34" t="n">
        <f aca="false">B5279/1</f>
        <v>161.991</v>
      </c>
      <c r="H5279" s="34" t="n">
        <f aca="false">IF(F5279=1,G5279,"")</f>
        <v>161.991</v>
      </c>
    </row>
    <row r="5280" customFormat="false" ht="15" hidden="false" customHeight="false" outlineLevel="0" collapsed="false">
      <c r="A5280" s="31" t="n">
        <v>42955.9166666667</v>
      </c>
      <c r="B5280" s="32" t="n">
        <v>110.973</v>
      </c>
      <c r="D5280" s="33" t="n">
        <f aca="false">WEEKDAY(A5280,2)</f>
        <v>2</v>
      </c>
      <c r="E5280" s="33" t="n">
        <f aca="false">HOUR(A5280)+MINUTE(A5280)/60</f>
        <v>22</v>
      </c>
      <c r="F5280" s="33" t="n">
        <f aca="false">IF(OR(D5280&gt;5,E5280&lt;8,E5280&gt;=18,COUNTIF($K$2:$K$10,INT(A5280))&gt;0),1,0)</f>
        <v>1</v>
      </c>
      <c r="G5280" s="34" t="n">
        <f aca="false">B5280/1</f>
        <v>110.973</v>
      </c>
      <c r="H5280" s="34" t="n">
        <f aca="false">IF(F5280=1,G5280,"")</f>
        <v>110.973</v>
      </c>
    </row>
    <row r="5281" customFormat="false" ht="15" hidden="false" customHeight="false" outlineLevel="0" collapsed="false">
      <c r="A5281" s="31" t="n">
        <v>42955.9583333333</v>
      </c>
      <c r="B5281" s="32" t="n">
        <v>49.587</v>
      </c>
      <c r="D5281" s="33" t="n">
        <f aca="false">WEEKDAY(A5281,2)</f>
        <v>2</v>
      </c>
      <c r="E5281" s="33" t="n">
        <f aca="false">HOUR(A5281)+MINUTE(A5281)/60</f>
        <v>23</v>
      </c>
      <c r="F5281" s="33" t="n">
        <f aca="false">IF(OR(D5281&gt;5,E5281&lt;8,E5281&gt;=18,COUNTIF($K$2:$K$10,INT(A5281))&gt;0),1,0)</f>
        <v>1</v>
      </c>
      <c r="G5281" s="34" t="n">
        <f aca="false">B5281/1</f>
        <v>49.587</v>
      </c>
      <c r="H5281" s="34" t="n">
        <f aca="false">IF(F5281=1,G5281,"")</f>
        <v>49.587</v>
      </c>
    </row>
    <row r="5282" customFormat="false" ht="15" hidden="false" customHeight="false" outlineLevel="0" collapsed="false">
      <c r="A5282" s="31" t="n">
        <v>42956</v>
      </c>
      <c r="B5282" s="32" t="n">
        <v>51.241</v>
      </c>
      <c r="D5282" s="33" t="n">
        <f aca="false">WEEKDAY(A5282,2)</f>
        <v>3</v>
      </c>
      <c r="E5282" s="33" t="n">
        <f aca="false">HOUR(A5282)+MINUTE(A5282)/60</f>
        <v>0</v>
      </c>
      <c r="F5282" s="33" t="n">
        <f aca="false">IF(OR(D5282&gt;5,E5282&lt;8,E5282&gt;=18,COUNTIF($K$2:$K$10,INT(A5282))&gt;0),1,0)</f>
        <v>1</v>
      </c>
      <c r="G5282" s="34" t="n">
        <f aca="false">B5282/1</f>
        <v>51.241</v>
      </c>
      <c r="H5282" s="34" t="n">
        <f aca="false">IF(F5282=1,G5282,"")</f>
        <v>51.241</v>
      </c>
    </row>
    <row r="5283" customFormat="false" ht="15" hidden="false" customHeight="false" outlineLevel="0" collapsed="false">
      <c r="A5283" s="31" t="n">
        <v>42956.0416666667</v>
      </c>
      <c r="B5283" s="32" t="n">
        <v>52.088</v>
      </c>
      <c r="D5283" s="33" t="n">
        <f aca="false">WEEKDAY(A5283,2)</f>
        <v>3</v>
      </c>
      <c r="E5283" s="33" t="n">
        <f aca="false">HOUR(A5283)+MINUTE(A5283)/60</f>
        <v>1</v>
      </c>
      <c r="F5283" s="33" t="n">
        <f aca="false">IF(OR(D5283&gt;5,E5283&lt;8,E5283&gt;=18,COUNTIF($K$2:$K$10,INT(A5283))&gt;0),1,0)</f>
        <v>1</v>
      </c>
      <c r="G5283" s="34" t="n">
        <f aca="false">B5283/1</f>
        <v>52.088</v>
      </c>
      <c r="H5283" s="34" t="n">
        <f aca="false">IF(F5283=1,G5283,"")</f>
        <v>52.088</v>
      </c>
    </row>
    <row r="5284" customFormat="false" ht="15" hidden="false" customHeight="false" outlineLevel="0" collapsed="false">
      <c r="A5284" s="31" t="n">
        <v>42956.0833333333</v>
      </c>
      <c r="B5284" s="32" t="n">
        <v>53.266</v>
      </c>
      <c r="D5284" s="33" t="n">
        <f aca="false">WEEKDAY(A5284,2)</f>
        <v>3</v>
      </c>
      <c r="E5284" s="33" t="n">
        <f aca="false">HOUR(A5284)+MINUTE(A5284)/60</f>
        <v>2</v>
      </c>
      <c r="F5284" s="33" t="n">
        <f aca="false">IF(OR(D5284&gt;5,E5284&lt;8,E5284&gt;=18,COUNTIF($K$2:$K$10,INT(A5284))&gt;0),1,0)</f>
        <v>1</v>
      </c>
      <c r="G5284" s="34" t="n">
        <f aca="false">B5284/1</f>
        <v>53.266</v>
      </c>
      <c r="H5284" s="34" t="n">
        <f aca="false">IF(F5284=1,G5284,"")</f>
        <v>53.266</v>
      </c>
    </row>
    <row r="5285" customFormat="false" ht="15" hidden="false" customHeight="false" outlineLevel="0" collapsed="false">
      <c r="A5285" s="31" t="n">
        <v>42956.125</v>
      </c>
      <c r="B5285" s="32" t="n">
        <v>51.784</v>
      </c>
      <c r="D5285" s="33" t="n">
        <f aca="false">WEEKDAY(A5285,2)</f>
        <v>3</v>
      </c>
      <c r="E5285" s="33" t="n">
        <f aca="false">HOUR(A5285)+MINUTE(A5285)/60</f>
        <v>3</v>
      </c>
      <c r="F5285" s="33" t="n">
        <f aca="false">IF(OR(D5285&gt;5,E5285&lt;8,E5285&gt;=18,COUNTIF($K$2:$K$10,INT(A5285))&gt;0),1,0)</f>
        <v>1</v>
      </c>
      <c r="G5285" s="34" t="n">
        <f aca="false">B5285/1</f>
        <v>51.784</v>
      </c>
      <c r="H5285" s="34" t="n">
        <f aca="false">IF(F5285=1,G5285,"")</f>
        <v>51.784</v>
      </c>
    </row>
    <row r="5286" customFormat="false" ht="15" hidden="false" customHeight="false" outlineLevel="0" collapsed="false">
      <c r="A5286" s="31" t="n">
        <v>42956.1666666667</v>
      </c>
      <c r="B5286" s="32" t="n">
        <v>50.037</v>
      </c>
      <c r="D5286" s="33" t="n">
        <f aca="false">WEEKDAY(A5286,2)</f>
        <v>3</v>
      </c>
      <c r="E5286" s="33" t="n">
        <f aca="false">HOUR(A5286)+MINUTE(A5286)/60</f>
        <v>4</v>
      </c>
      <c r="F5286" s="33" t="n">
        <f aca="false">IF(OR(D5286&gt;5,E5286&lt;8,E5286&gt;=18,COUNTIF($K$2:$K$10,INT(A5286))&gt;0),1,0)</f>
        <v>1</v>
      </c>
      <c r="G5286" s="34" t="n">
        <f aca="false">B5286/1</f>
        <v>50.037</v>
      </c>
      <c r="H5286" s="34" t="n">
        <f aca="false">IF(F5286=1,G5286,"")</f>
        <v>50.037</v>
      </c>
    </row>
    <row r="5287" customFormat="false" ht="15" hidden="false" customHeight="false" outlineLevel="0" collapsed="false">
      <c r="A5287" s="31" t="n">
        <v>42956.2083333333</v>
      </c>
      <c r="B5287" s="32" t="n">
        <v>48.873</v>
      </c>
      <c r="D5287" s="33" t="n">
        <f aca="false">WEEKDAY(A5287,2)</f>
        <v>3</v>
      </c>
      <c r="E5287" s="33" t="n">
        <f aca="false">HOUR(A5287)+MINUTE(A5287)/60</f>
        <v>5</v>
      </c>
      <c r="F5287" s="33" t="n">
        <f aca="false">IF(OR(D5287&gt;5,E5287&lt;8,E5287&gt;=18,COUNTIF($K$2:$K$10,INT(A5287))&gt;0),1,0)</f>
        <v>1</v>
      </c>
      <c r="G5287" s="34" t="n">
        <f aca="false">B5287/1</f>
        <v>48.873</v>
      </c>
      <c r="H5287" s="34" t="n">
        <f aca="false">IF(F5287=1,G5287,"")</f>
        <v>48.873</v>
      </c>
    </row>
    <row r="5288" customFormat="false" ht="15" hidden="false" customHeight="false" outlineLevel="0" collapsed="false">
      <c r="A5288" s="31" t="n">
        <v>42956.25</v>
      </c>
      <c r="B5288" s="32" t="n">
        <v>48.592</v>
      </c>
      <c r="D5288" s="33" t="n">
        <f aca="false">WEEKDAY(A5288,2)</f>
        <v>3</v>
      </c>
      <c r="E5288" s="33" t="n">
        <f aca="false">HOUR(A5288)+MINUTE(A5288)/60</f>
        <v>6</v>
      </c>
      <c r="F5288" s="33" t="n">
        <f aca="false">IF(OR(D5288&gt;5,E5288&lt;8,E5288&gt;=18,COUNTIF($K$2:$K$10,INT(A5288))&gt;0),1,0)</f>
        <v>1</v>
      </c>
      <c r="G5288" s="34" t="n">
        <f aca="false">B5288/1</f>
        <v>48.592</v>
      </c>
      <c r="H5288" s="34" t="n">
        <f aca="false">IF(F5288=1,G5288,"")</f>
        <v>48.592</v>
      </c>
    </row>
    <row r="5289" customFormat="false" ht="15" hidden="false" customHeight="false" outlineLevel="0" collapsed="false">
      <c r="A5289" s="31" t="n">
        <v>42956.2916666667</v>
      </c>
      <c r="B5289" s="32" t="n">
        <v>50.895</v>
      </c>
      <c r="D5289" s="33" t="n">
        <f aca="false">WEEKDAY(A5289,2)</f>
        <v>3</v>
      </c>
      <c r="E5289" s="33" t="n">
        <f aca="false">HOUR(A5289)+MINUTE(A5289)/60</f>
        <v>7</v>
      </c>
      <c r="F5289" s="33" t="n">
        <f aca="false">IF(OR(D5289&gt;5,E5289&lt;8,E5289&gt;=18,COUNTIF($K$2:$K$10,INT(A5289))&gt;0),1,0)</f>
        <v>1</v>
      </c>
      <c r="G5289" s="34" t="n">
        <f aca="false">B5289/1</f>
        <v>50.895</v>
      </c>
      <c r="H5289" s="34" t="n">
        <f aca="false">IF(F5289=1,G5289,"")</f>
        <v>50.895</v>
      </c>
    </row>
    <row r="5290" customFormat="false" ht="15" hidden="false" customHeight="false" outlineLevel="0" collapsed="false">
      <c r="A5290" s="31" t="n">
        <v>42956.3333333333</v>
      </c>
      <c r="B5290" s="32" t="n">
        <v>160.382</v>
      </c>
      <c r="D5290" s="33" t="n">
        <f aca="false">WEEKDAY(A5290,2)</f>
        <v>3</v>
      </c>
      <c r="E5290" s="33" t="n">
        <f aca="false">HOUR(A5290)+MINUTE(A5290)/60</f>
        <v>8</v>
      </c>
      <c r="F5290" s="33" t="n">
        <f aca="false">IF(OR(D5290&gt;5,E5290&lt;8,E5290&gt;=18,COUNTIF($K$2:$K$10,INT(A5290))&gt;0),1,0)</f>
        <v>0</v>
      </c>
      <c r="G5290" s="34" t="n">
        <f aca="false">B5290/1</f>
        <v>160.382</v>
      </c>
      <c r="H5290" s="34" t="str">
        <f aca="false">IF(F5290=1,G5290,"")</f>
        <v/>
      </c>
    </row>
    <row r="5291" customFormat="false" ht="15" hidden="false" customHeight="false" outlineLevel="0" collapsed="false">
      <c r="A5291" s="31" t="n">
        <v>42956.375</v>
      </c>
      <c r="B5291" s="32" t="n">
        <v>188.138</v>
      </c>
      <c r="D5291" s="33" t="n">
        <f aca="false">WEEKDAY(A5291,2)</f>
        <v>3</v>
      </c>
      <c r="E5291" s="33" t="n">
        <f aca="false">HOUR(A5291)+MINUTE(A5291)/60</f>
        <v>9</v>
      </c>
      <c r="F5291" s="33" t="n">
        <f aca="false">IF(OR(D5291&gt;5,E5291&lt;8,E5291&gt;=18,COUNTIF($K$2:$K$10,INT(A5291))&gt;0),1,0)</f>
        <v>0</v>
      </c>
      <c r="G5291" s="34" t="n">
        <f aca="false">B5291/1</f>
        <v>188.138</v>
      </c>
      <c r="H5291" s="34" t="str">
        <f aca="false">IF(F5291=1,G5291,"")</f>
        <v/>
      </c>
    </row>
    <row r="5292" customFormat="false" ht="15" hidden="false" customHeight="false" outlineLevel="0" collapsed="false">
      <c r="A5292" s="31" t="n">
        <v>42956.4166666667</v>
      </c>
      <c r="B5292" s="32" t="n">
        <v>204.311</v>
      </c>
      <c r="D5292" s="33" t="n">
        <f aca="false">WEEKDAY(A5292,2)</f>
        <v>3</v>
      </c>
      <c r="E5292" s="33" t="n">
        <f aca="false">HOUR(A5292)+MINUTE(A5292)/60</f>
        <v>10</v>
      </c>
      <c r="F5292" s="33" t="n">
        <f aca="false">IF(OR(D5292&gt;5,E5292&lt;8,E5292&gt;=18,COUNTIF($K$2:$K$10,INT(A5292))&gt;0),1,0)</f>
        <v>0</v>
      </c>
      <c r="G5292" s="34" t="n">
        <f aca="false">B5292/1</f>
        <v>204.311</v>
      </c>
      <c r="H5292" s="34" t="str">
        <f aca="false">IF(F5292=1,G5292,"")</f>
        <v/>
      </c>
    </row>
    <row r="5293" customFormat="false" ht="15" hidden="false" customHeight="false" outlineLevel="0" collapsed="false">
      <c r="A5293" s="31" t="n">
        <v>42956.4583333333</v>
      </c>
      <c r="B5293" s="32" t="n">
        <v>205.784</v>
      </c>
      <c r="D5293" s="33" t="n">
        <f aca="false">WEEKDAY(A5293,2)</f>
        <v>3</v>
      </c>
      <c r="E5293" s="33" t="n">
        <f aca="false">HOUR(A5293)+MINUTE(A5293)/60</f>
        <v>11</v>
      </c>
      <c r="F5293" s="33" t="n">
        <f aca="false">IF(OR(D5293&gt;5,E5293&lt;8,E5293&gt;=18,COUNTIF($K$2:$K$10,INT(A5293))&gt;0),1,0)</f>
        <v>0</v>
      </c>
      <c r="G5293" s="34" t="n">
        <f aca="false">B5293/1</f>
        <v>205.784</v>
      </c>
      <c r="H5293" s="34" t="str">
        <f aca="false">IF(F5293=1,G5293,"")</f>
        <v/>
      </c>
    </row>
    <row r="5294" customFormat="false" ht="15" hidden="false" customHeight="false" outlineLevel="0" collapsed="false">
      <c r="A5294" s="31" t="n">
        <v>42956.5</v>
      </c>
      <c r="B5294" s="32" t="n">
        <v>208.735</v>
      </c>
      <c r="D5294" s="33" t="n">
        <f aca="false">WEEKDAY(A5294,2)</f>
        <v>3</v>
      </c>
      <c r="E5294" s="33" t="n">
        <f aca="false">HOUR(A5294)+MINUTE(A5294)/60</f>
        <v>12</v>
      </c>
      <c r="F5294" s="33" t="n">
        <f aca="false">IF(OR(D5294&gt;5,E5294&lt;8,E5294&gt;=18,COUNTIF($K$2:$K$10,INT(A5294))&gt;0),1,0)</f>
        <v>0</v>
      </c>
      <c r="G5294" s="34" t="n">
        <f aca="false">B5294/1</f>
        <v>208.735</v>
      </c>
      <c r="H5294" s="34" t="str">
        <f aca="false">IF(F5294=1,G5294,"")</f>
        <v/>
      </c>
    </row>
    <row r="5295" customFormat="false" ht="15" hidden="false" customHeight="false" outlineLevel="0" collapsed="false">
      <c r="A5295" s="31" t="n">
        <v>42956.5416666667</v>
      </c>
      <c r="B5295" s="32" t="n">
        <v>220.734</v>
      </c>
      <c r="D5295" s="33" t="n">
        <f aca="false">WEEKDAY(A5295,2)</f>
        <v>3</v>
      </c>
      <c r="E5295" s="33" t="n">
        <f aca="false">HOUR(A5295)+MINUTE(A5295)/60</f>
        <v>13</v>
      </c>
      <c r="F5295" s="33" t="n">
        <f aca="false">IF(OR(D5295&gt;5,E5295&lt;8,E5295&gt;=18,COUNTIF($K$2:$K$10,INT(A5295))&gt;0),1,0)</f>
        <v>0</v>
      </c>
      <c r="G5295" s="34" t="n">
        <f aca="false">B5295/1</f>
        <v>220.734</v>
      </c>
      <c r="H5295" s="34" t="str">
        <f aca="false">IF(F5295=1,G5295,"")</f>
        <v/>
      </c>
    </row>
    <row r="5296" customFormat="false" ht="15" hidden="false" customHeight="false" outlineLevel="0" collapsed="false">
      <c r="A5296" s="31" t="n">
        <v>42956.5833333333</v>
      </c>
      <c r="B5296" s="32" t="n">
        <v>239.876</v>
      </c>
      <c r="D5296" s="33" t="n">
        <f aca="false">WEEKDAY(A5296,2)</f>
        <v>3</v>
      </c>
      <c r="E5296" s="33" t="n">
        <f aca="false">HOUR(A5296)+MINUTE(A5296)/60</f>
        <v>14</v>
      </c>
      <c r="F5296" s="33" t="n">
        <f aca="false">IF(OR(D5296&gt;5,E5296&lt;8,E5296&gt;=18,COUNTIF($K$2:$K$10,INT(A5296))&gt;0),1,0)</f>
        <v>0</v>
      </c>
      <c r="G5296" s="34" t="n">
        <f aca="false">B5296/1</f>
        <v>239.876</v>
      </c>
      <c r="H5296" s="34" t="str">
        <f aca="false">IF(F5296=1,G5296,"")</f>
        <v/>
      </c>
    </row>
    <row r="5297" customFormat="false" ht="15" hidden="false" customHeight="false" outlineLevel="0" collapsed="false">
      <c r="A5297" s="31" t="n">
        <v>42956.625</v>
      </c>
      <c r="B5297" s="32" t="n">
        <v>238.029</v>
      </c>
      <c r="D5297" s="33" t="n">
        <f aca="false">WEEKDAY(A5297,2)</f>
        <v>3</v>
      </c>
      <c r="E5297" s="33" t="n">
        <f aca="false">HOUR(A5297)+MINUTE(A5297)/60</f>
        <v>15</v>
      </c>
      <c r="F5297" s="33" t="n">
        <f aca="false">IF(OR(D5297&gt;5,E5297&lt;8,E5297&gt;=18,COUNTIF($K$2:$K$10,INT(A5297))&gt;0),1,0)</f>
        <v>0</v>
      </c>
      <c r="G5297" s="34" t="n">
        <f aca="false">B5297/1</f>
        <v>238.029</v>
      </c>
      <c r="H5297" s="34" t="str">
        <f aca="false">IF(F5297=1,G5297,"")</f>
        <v/>
      </c>
    </row>
    <row r="5298" customFormat="false" ht="15" hidden="false" customHeight="false" outlineLevel="0" collapsed="false">
      <c r="A5298" s="31" t="n">
        <v>42956.6666666667</v>
      </c>
      <c r="B5298" s="32" t="n">
        <v>233.597</v>
      </c>
      <c r="D5298" s="33" t="n">
        <f aca="false">WEEKDAY(A5298,2)</f>
        <v>3</v>
      </c>
      <c r="E5298" s="33" t="n">
        <f aca="false">HOUR(A5298)+MINUTE(A5298)/60</f>
        <v>16</v>
      </c>
      <c r="F5298" s="33" t="n">
        <f aca="false">IF(OR(D5298&gt;5,E5298&lt;8,E5298&gt;=18,COUNTIF($K$2:$K$10,INT(A5298))&gt;0),1,0)</f>
        <v>0</v>
      </c>
      <c r="G5298" s="34" t="n">
        <f aca="false">B5298/1</f>
        <v>233.597</v>
      </c>
      <c r="H5298" s="34" t="str">
        <f aca="false">IF(F5298=1,G5298,"")</f>
        <v/>
      </c>
    </row>
    <row r="5299" customFormat="false" ht="15" hidden="false" customHeight="false" outlineLevel="0" collapsed="false">
      <c r="A5299" s="31" t="n">
        <v>42956.7083333333</v>
      </c>
      <c r="B5299" s="32" t="n">
        <v>215.189</v>
      </c>
      <c r="D5299" s="33" t="n">
        <f aca="false">WEEKDAY(A5299,2)</f>
        <v>3</v>
      </c>
      <c r="E5299" s="33" t="n">
        <f aca="false">HOUR(A5299)+MINUTE(A5299)/60</f>
        <v>17</v>
      </c>
      <c r="F5299" s="33" t="n">
        <f aca="false">IF(OR(D5299&gt;5,E5299&lt;8,E5299&gt;=18,COUNTIF($K$2:$K$10,INT(A5299))&gt;0),1,0)</f>
        <v>0</v>
      </c>
      <c r="G5299" s="34" t="n">
        <f aca="false">B5299/1</f>
        <v>215.189</v>
      </c>
      <c r="H5299" s="34" t="str">
        <f aca="false">IF(F5299=1,G5299,"")</f>
        <v/>
      </c>
    </row>
    <row r="5300" customFormat="false" ht="15" hidden="false" customHeight="false" outlineLevel="0" collapsed="false">
      <c r="A5300" s="31" t="n">
        <v>42956.75</v>
      </c>
      <c r="B5300" s="32" t="n">
        <v>194.857</v>
      </c>
      <c r="D5300" s="33" t="n">
        <f aca="false">WEEKDAY(A5300,2)</f>
        <v>3</v>
      </c>
      <c r="E5300" s="33" t="n">
        <f aca="false">HOUR(A5300)+MINUTE(A5300)/60</f>
        <v>18</v>
      </c>
      <c r="F5300" s="33" t="n">
        <f aca="false">IF(OR(D5300&gt;5,E5300&lt;8,E5300&gt;=18,COUNTIF($K$2:$K$10,INT(A5300))&gt;0),1,0)</f>
        <v>1</v>
      </c>
      <c r="G5300" s="34" t="n">
        <f aca="false">B5300/1</f>
        <v>194.857</v>
      </c>
      <c r="H5300" s="34" t="n">
        <f aca="false">IF(F5300=1,G5300,"")</f>
        <v>194.857</v>
      </c>
    </row>
    <row r="5301" customFormat="false" ht="15" hidden="false" customHeight="false" outlineLevel="0" collapsed="false">
      <c r="A5301" s="31" t="n">
        <v>42956.7916666667</v>
      </c>
      <c r="B5301" s="32" t="n">
        <v>190.129</v>
      </c>
      <c r="D5301" s="33" t="n">
        <f aca="false">WEEKDAY(A5301,2)</f>
        <v>3</v>
      </c>
      <c r="E5301" s="33" t="n">
        <f aca="false">HOUR(A5301)+MINUTE(A5301)/60</f>
        <v>19</v>
      </c>
      <c r="F5301" s="33" t="n">
        <f aca="false">IF(OR(D5301&gt;5,E5301&lt;8,E5301&gt;=18,COUNTIF($K$2:$K$10,INT(A5301))&gt;0),1,0)</f>
        <v>1</v>
      </c>
      <c r="G5301" s="34" t="n">
        <f aca="false">B5301/1</f>
        <v>190.129</v>
      </c>
      <c r="H5301" s="34" t="n">
        <f aca="false">IF(F5301=1,G5301,"")</f>
        <v>190.129</v>
      </c>
    </row>
    <row r="5302" customFormat="false" ht="15" hidden="false" customHeight="false" outlineLevel="0" collapsed="false">
      <c r="A5302" s="31" t="n">
        <v>42956.8333333333</v>
      </c>
      <c r="B5302" s="32" t="n">
        <v>190.426</v>
      </c>
      <c r="D5302" s="33" t="n">
        <f aca="false">WEEKDAY(A5302,2)</f>
        <v>3</v>
      </c>
      <c r="E5302" s="33" t="n">
        <f aca="false">HOUR(A5302)+MINUTE(A5302)/60</f>
        <v>20</v>
      </c>
      <c r="F5302" s="33" t="n">
        <f aca="false">IF(OR(D5302&gt;5,E5302&lt;8,E5302&gt;=18,COUNTIF($K$2:$K$10,INT(A5302))&gt;0),1,0)</f>
        <v>1</v>
      </c>
      <c r="G5302" s="34" t="n">
        <f aca="false">B5302/1</f>
        <v>190.426</v>
      </c>
      <c r="H5302" s="34" t="n">
        <f aca="false">IF(F5302=1,G5302,"")</f>
        <v>190.426</v>
      </c>
    </row>
    <row r="5303" customFormat="false" ht="15" hidden="false" customHeight="false" outlineLevel="0" collapsed="false">
      <c r="A5303" s="31" t="n">
        <v>42956.875</v>
      </c>
      <c r="B5303" s="32" t="n">
        <v>191.739</v>
      </c>
      <c r="D5303" s="33" t="n">
        <f aca="false">WEEKDAY(A5303,2)</f>
        <v>3</v>
      </c>
      <c r="E5303" s="33" t="n">
        <f aca="false">HOUR(A5303)+MINUTE(A5303)/60</f>
        <v>21</v>
      </c>
      <c r="F5303" s="33" t="n">
        <f aca="false">IF(OR(D5303&gt;5,E5303&lt;8,E5303&gt;=18,COUNTIF($K$2:$K$10,INT(A5303))&gt;0),1,0)</f>
        <v>1</v>
      </c>
      <c r="G5303" s="34" t="n">
        <f aca="false">B5303/1</f>
        <v>191.739</v>
      </c>
      <c r="H5303" s="34" t="n">
        <f aca="false">IF(F5303=1,G5303,"")</f>
        <v>191.739</v>
      </c>
    </row>
    <row r="5304" customFormat="false" ht="15" hidden="false" customHeight="false" outlineLevel="0" collapsed="false">
      <c r="A5304" s="31" t="n">
        <v>42956.9166666667</v>
      </c>
      <c r="B5304" s="32" t="n">
        <v>136.445</v>
      </c>
      <c r="D5304" s="33" t="n">
        <f aca="false">WEEKDAY(A5304,2)</f>
        <v>3</v>
      </c>
      <c r="E5304" s="33" t="n">
        <f aca="false">HOUR(A5304)+MINUTE(A5304)/60</f>
        <v>22</v>
      </c>
      <c r="F5304" s="33" t="n">
        <f aca="false">IF(OR(D5304&gt;5,E5304&lt;8,E5304&gt;=18,COUNTIF($K$2:$K$10,INT(A5304))&gt;0),1,0)</f>
        <v>1</v>
      </c>
      <c r="G5304" s="34" t="n">
        <f aca="false">B5304/1</f>
        <v>136.445</v>
      </c>
      <c r="H5304" s="34" t="n">
        <f aca="false">IF(F5304=1,G5304,"")</f>
        <v>136.445</v>
      </c>
    </row>
    <row r="5305" customFormat="false" ht="15" hidden="false" customHeight="false" outlineLevel="0" collapsed="false">
      <c r="A5305" s="31" t="n">
        <v>42956.9583333333</v>
      </c>
      <c r="B5305" s="32" t="n">
        <v>72.642</v>
      </c>
      <c r="D5305" s="33" t="n">
        <f aca="false">WEEKDAY(A5305,2)</f>
        <v>3</v>
      </c>
      <c r="E5305" s="33" t="n">
        <f aca="false">HOUR(A5305)+MINUTE(A5305)/60</f>
        <v>23</v>
      </c>
      <c r="F5305" s="33" t="n">
        <f aca="false">IF(OR(D5305&gt;5,E5305&lt;8,E5305&gt;=18,COUNTIF($K$2:$K$10,INT(A5305))&gt;0),1,0)</f>
        <v>1</v>
      </c>
      <c r="G5305" s="34" t="n">
        <f aca="false">B5305/1</f>
        <v>72.642</v>
      </c>
      <c r="H5305" s="34" t="n">
        <f aca="false">IF(F5305=1,G5305,"")</f>
        <v>72.642</v>
      </c>
    </row>
    <row r="5306" customFormat="false" ht="15" hidden="false" customHeight="false" outlineLevel="0" collapsed="false">
      <c r="A5306" s="31" t="n">
        <v>42957</v>
      </c>
      <c r="B5306" s="32" t="n">
        <v>79.93</v>
      </c>
      <c r="D5306" s="33" t="n">
        <f aca="false">WEEKDAY(A5306,2)</f>
        <v>4</v>
      </c>
      <c r="E5306" s="33" t="n">
        <f aca="false">HOUR(A5306)+MINUTE(A5306)/60</f>
        <v>0</v>
      </c>
      <c r="F5306" s="33" t="n">
        <f aca="false">IF(OR(D5306&gt;5,E5306&lt;8,E5306&gt;=18,COUNTIF($K$2:$K$10,INT(A5306))&gt;0),1,0)</f>
        <v>1</v>
      </c>
      <c r="G5306" s="34" t="n">
        <f aca="false">B5306/1</f>
        <v>79.93</v>
      </c>
      <c r="H5306" s="34" t="n">
        <f aca="false">IF(F5306=1,G5306,"")</f>
        <v>79.93</v>
      </c>
    </row>
    <row r="5307" customFormat="false" ht="15" hidden="false" customHeight="false" outlineLevel="0" collapsed="false">
      <c r="A5307" s="31" t="n">
        <v>42957.0416666667</v>
      </c>
      <c r="B5307" s="32" t="n">
        <v>82.4</v>
      </c>
      <c r="D5307" s="33" t="n">
        <f aca="false">WEEKDAY(A5307,2)</f>
        <v>4</v>
      </c>
      <c r="E5307" s="33" t="n">
        <f aca="false">HOUR(A5307)+MINUTE(A5307)/60</f>
        <v>1</v>
      </c>
      <c r="F5307" s="33" t="n">
        <f aca="false">IF(OR(D5307&gt;5,E5307&lt;8,E5307&gt;=18,COUNTIF($K$2:$K$10,INT(A5307))&gt;0),1,0)</f>
        <v>1</v>
      </c>
      <c r="G5307" s="34" t="n">
        <f aca="false">B5307/1</f>
        <v>82.4</v>
      </c>
      <c r="H5307" s="34" t="n">
        <f aca="false">IF(F5307=1,G5307,"")</f>
        <v>82.4</v>
      </c>
    </row>
    <row r="5308" customFormat="false" ht="15" hidden="false" customHeight="false" outlineLevel="0" collapsed="false">
      <c r="A5308" s="31" t="n">
        <v>42957.0833333333</v>
      </c>
      <c r="B5308" s="32" t="n">
        <v>82.02</v>
      </c>
      <c r="D5308" s="33" t="n">
        <f aca="false">WEEKDAY(A5308,2)</f>
        <v>4</v>
      </c>
      <c r="E5308" s="33" t="n">
        <f aca="false">HOUR(A5308)+MINUTE(A5308)/60</f>
        <v>2</v>
      </c>
      <c r="F5308" s="33" t="n">
        <f aca="false">IF(OR(D5308&gt;5,E5308&lt;8,E5308&gt;=18,COUNTIF($K$2:$K$10,INT(A5308))&gt;0),1,0)</f>
        <v>1</v>
      </c>
      <c r="G5308" s="34" t="n">
        <f aca="false">B5308/1</f>
        <v>82.02</v>
      </c>
      <c r="H5308" s="34" t="n">
        <f aca="false">IF(F5308=1,G5308,"")</f>
        <v>82.02</v>
      </c>
    </row>
    <row r="5309" customFormat="false" ht="15" hidden="false" customHeight="false" outlineLevel="0" collapsed="false">
      <c r="A5309" s="31" t="n">
        <v>42957.125</v>
      </c>
      <c r="B5309" s="32" t="n">
        <v>80.773</v>
      </c>
      <c r="D5309" s="33" t="n">
        <f aca="false">WEEKDAY(A5309,2)</f>
        <v>4</v>
      </c>
      <c r="E5309" s="33" t="n">
        <f aca="false">HOUR(A5309)+MINUTE(A5309)/60</f>
        <v>3</v>
      </c>
      <c r="F5309" s="33" t="n">
        <f aca="false">IF(OR(D5309&gt;5,E5309&lt;8,E5309&gt;=18,COUNTIF($K$2:$K$10,INT(A5309))&gt;0),1,0)</f>
        <v>1</v>
      </c>
      <c r="G5309" s="34" t="n">
        <f aca="false">B5309/1</f>
        <v>80.773</v>
      </c>
      <c r="H5309" s="34" t="n">
        <f aca="false">IF(F5309=1,G5309,"")</f>
        <v>80.773</v>
      </c>
    </row>
    <row r="5310" customFormat="false" ht="15" hidden="false" customHeight="false" outlineLevel="0" collapsed="false">
      <c r="A5310" s="31" t="n">
        <v>42957.1666666667</v>
      </c>
      <c r="B5310" s="32" t="n">
        <v>80.355</v>
      </c>
      <c r="D5310" s="33" t="n">
        <f aca="false">WEEKDAY(A5310,2)</f>
        <v>4</v>
      </c>
      <c r="E5310" s="33" t="n">
        <f aca="false">HOUR(A5310)+MINUTE(A5310)/60</f>
        <v>4</v>
      </c>
      <c r="F5310" s="33" t="n">
        <f aca="false">IF(OR(D5310&gt;5,E5310&lt;8,E5310&gt;=18,COUNTIF($K$2:$K$10,INT(A5310))&gt;0),1,0)</f>
        <v>1</v>
      </c>
      <c r="G5310" s="34" t="n">
        <f aca="false">B5310/1</f>
        <v>80.355</v>
      </c>
      <c r="H5310" s="34" t="n">
        <f aca="false">IF(F5310=1,G5310,"")</f>
        <v>80.355</v>
      </c>
    </row>
    <row r="5311" customFormat="false" ht="15" hidden="false" customHeight="false" outlineLevel="0" collapsed="false">
      <c r="A5311" s="31" t="n">
        <v>42957.2083333333</v>
      </c>
      <c r="B5311" s="32" t="n">
        <v>82.087</v>
      </c>
      <c r="D5311" s="33" t="n">
        <f aca="false">WEEKDAY(A5311,2)</f>
        <v>4</v>
      </c>
      <c r="E5311" s="33" t="n">
        <f aca="false">HOUR(A5311)+MINUTE(A5311)/60</f>
        <v>5</v>
      </c>
      <c r="F5311" s="33" t="n">
        <f aca="false">IF(OR(D5311&gt;5,E5311&lt;8,E5311&gt;=18,COUNTIF($K$2:$K$10,INT(A5311))&gt;0),1,0)</f>
        <v>1</v>
      </c>
      <c r="G5311" s="34" t="n">
        <f aca="false">B5311/1</f>
        <v>82.087</v>
      </c>
      <c r="H5311" s="34" t="n">
        <f aca="false">IF(F5311=1,G5311,"")</f>
        <v>82.087</v>
      </c>
    </row>
    <row r="5312" customFormat="false" ht="15" hidden="false" customHeight="false" outlineLevel="0" collapsed="false">
      <c r="A5312" s="31" t="n">
        <v>42957.25</v>
      </c>
      <c r="B5312" s="32" t="n">
        <v>82.618</v>
      </c>
      <c r="D5312" s="33" t="n">
        <f aca="false">WEEKDAY(A5312,2)</f>
        <v>4</v>
      </c>
      <c r="E5312" s="33" t="n">
        <f aca="false">HOUR(A5312)+MINUTE(A5312)/60</f>
        <v>6</v>
      </c>
      <c r="F5312" s="33" t="n">
        <f aca="false">IF(OR(D5312&gt;5,E5312&lt;8,E5312&gt;=18,COUNTIF($K$2:$K$10,INT(A5312))&gt;0),1,0)</f>
        <v>1</v>
      </c>
      <c r="G5312" s="34" t="n">
        <f aca="false">B5312/1</f>
        <v>82.618</v>
      </c>
      <c r="H5312" s="34" t="n">
        <f aca="false">IF(F5312=1,G5312,"")</f>
        <v>82.618</v>
      </c>
    </row>
    <row r="5313" customFormat="false" ht="15" hidden="false" customHeight="false" outlineLevel="0" collapsed="false">
      <c r="A5313" s="31" t="n">
        <v>42957.2916666667</v>
      </c>
      <c r="B5313" s="32" t="n">
        <v>82.864</v>
      </c>
      <c r="D5313" s="33" t="n">
        <f aca="false">WEEKDAY(A5313,2)</f>
        <v>4</v>
      </c>
      <c r="E5313" s="33" t="n">
        <f aca="false">HOUR(A5313)+MINUTE(A5313)/60</f>
        <v>7</v>
      </c>
      <c r="F5313" s="33" t="n">
        <f aca="false">IF(OR(D5313&gt;5,E5313&lt;8,E5313&gt;=18,COUNTIF($K$2:$K$10,INT(A5313))&gt;0),1,0)</f>
        <v>1</v>
      </c>
      <c r="G5313" s="34" t="n">
        <f aca="false">B5313/1</f>
        <v>82.864</v>
      </c>
      <c r="H5313" s="34" t="n">
        <f aca="false">IF(F5313=1,G5313,"")</f>
        <v>82.864</v>
      </c>
    </row>
    <row r="5314" customFormat="false" ht="15" hidden="false" customHeight="false" outlineLevel="0" collapsed="false">
      <c r="A5314" s="31" t="n">
        <v>42957.3333333333</v>
      </c>
      <c r="B5314" s="32" t="n">
        <v>184.983</v>
      </c>
      <c r="D5314" s="33" t="n">
        <f aca="false">WEEKDAY(A5314,2)</f>
        <v>4</v>
      </c>
      <c r="E5314" s="33" t="n">
        <f aca="false">HOUR(A5314)+MINUTE(A5314)/60</f>
        <v>8</v>
      </c>
      <c r="F5314" s="33" t="n">
        <f aca="false">IF(OR(D5314&gt;5,E5314&lt;8,E5314&gt;=18,COUNTIF($K$2:$K$10,INT(A5314))&gt;0),1,0)</f>
        <v>0</v>
      </c>
      <c r="G5314" s="34" t="n">
        <f aca="false">B5314/1</f>
        <v>184.983</v>
      </c>
      <c r="H5314" s="34" t="str">
        <f aca="false">IF(F5314=1,G5314,"")</f>
        <v/>
      </c>
    </row>
    <row r="5315" customFormat="false" ht="15" hidden="false" customHeight="false" outlineLevel="0" collapsed="false">
      <c r="A5315" s="31" t="n">
        <v>42957.375</v>
      </c>
      <c r="B5315" s="32" t="n">
        <v>211.7</v>
      </c>
      <c r="D5315" s="33" t="n">
        <f aca="false">WEEKDAY(A5315,2)</f>
        <v>4</v>
      </c>
      <c r="E5315" s="33" t="n">
        <f aca="false">HOUR(A5315)+MINUTE(A5315)/60</f>
        <v>9</v>
      </c>
      <c r="F5315" s="33" t="n">
        <f aca="false">IF(OR(D5315&gt;5,E5315&lt;8,E5315&gt;=18,COUNTIF($K$2:$K$10,INT(A5315))&gt;0),1,0)</f>
        <v>0</v>
      </c>
      <c r="G5315" s="34" t="n">
        <f aca="false">B5315/1</f>
        <v>211.7</v>
      </c>
      <c r="H5315" s="34" t="str">
        <f aca="false">IF(F5315=1,G5315,"")</f>
        <v/>
      </c>
    </row>
    <row r="5316" customFormat="false" ht="15" hidden="false" customHeight="false" outlineLevel="0" collapsed="false">
      <c r="A5316" s="31" t="n">
        <v>42957.4166666667</v>
      </c>
      <c r="B5316" s="32" t="n">
        <v>221.229</v>
      </c>
      <c r="D5316" s="33" t="n">
        <f aca="false">WEEKDAY(A5316,2)</f>
        <v>4</v>
      </c>
      <c r="E5316" s="33" t="n">
        <f aca="false">HOUR(A5316)+MINUTE(A5316)/60</f>
        <v>10</v>
      </c>
      <c r="F5316" s="33" t="n">
        <f aca="false">IF(OR(D5316&gt;5,E5316&lt;8,E5316&gt;=18,COUNTIF($K$2:$K$10,INT(A5316))&gt;0),1,0)</f>
        <v>0</v>
      </c>
      <c r="G5316" s="34" t="n">
        <f aca="false">B5316/1</f>
        <v>221.229</v>
      </c>
      <c r="H5316" s="34" t="str">
        <f aca="false">IF(F5316=1,G5316,"")</f>
        <v/>
      </c>
    </row>
    <row r="5317" customFormat="false" ht="15" hidden="false" customHeight="false" outlineLevel="0" collapsed="false">
      <c r="A5317" s="31" t="n">
        <v>42957.4583333333</v>
      </c>
      <c r="B5317" s="32" t="n">
        <v>227.451</v>
      </c>
      <c r="D5317" s="33" t="n">
        <f aca="false">WEEKDAY(A5317,2)</f>
        <v>4</v>
      </c>
      <c r="E5317" s="33" t="n">
        <f aca="false">HOUR(A5317)+MINUTE(A5317)/60</f>
        <v>11</v>
      </c>
      <c r="F5317" s="33" t="n">
        <f aca="false">IF(OR(D5317&gt;5,E5317&lt;8,E5317&gt;=18,COUNTIF($K$2:$K$10,INT(A5317))&gt;0),1,0)</f>
        <v>0</v>
      </c>
      <c r="G5317" s="34" t="n">
        <f aca="false">B5317/1</f>
        <v>227.451</v>
      </c>
      <c r="H5317" s="34" t="str">
        <f aca="false">IF(F5317=1,G5317,"")</f>
        <v/>
      </c>
    </row>
    <row r="5318" customFormat="false" ht="15" hidden="false" customHeight="false" outlineLevel="0" collapsed="false">
      <c r="A5318" s="31" t="n">
        <v>42957.5</v>
      </c>
      <c r="B5318" s="32" t="n">
        <v>232.403</v>
      </c>
      <c r="D5318" s="33" t="n">
        <f aca="false">WEEKDAY(A5318,2)</f>
        <v>4</v>
      </c>
      <c r="E5318" s="33" t="n">
        <f aca="false">HOUR(A5318)+MINUTE(A5318)/60</f>
        <v>12</v>
      </c>
      <c r="F5318" s="33" t="n">
        <f aca="false">IF(OR(D5318&gt;5,E5318&lt;8,E5318&gt;=18,COUNTIF($K$2:$K$10,INT(A5318))&gt;0),1,0)</f>
        <v>0</v>
      </c>
      <c r="G5318" s="34" t="n">
        <f aca="false">B5318/1</f>
        <v>232.403</v>
      </c>
      <c r="H5318" s="34" t="str">
        <f aca="false">IF(F5318=1,G5318,"")</f>
        <v/>
      </c>
    </row>
    <row r="5319" customFormat="false" ht="15" hidden="false" customHeight="false" outlineLevel="0" collapsed="false">
      <c r="A5319" s="31" t="n">
        <v>42957.5416666667</v>
      </c>
      <c r="B5319" s="32" t="n">
        <v>228.583</v>
      </c>
      <c r="D5319" s="33" t="n">
        <f aca="false">WEEKDAY(A5319,2)</f>
        <v>4</v>
      </c>
      <c r="E5319" s="33" t="n">
        <f aca="false">HOUR(A5319)+MINUTE(A5319)/60</f>
        <v>13</v>
      </c>
      <c r="F5319" s="33" t="n">
        <f aca="false">IF(OR(D5319&gt;5,E5319&lt;8,E5319&gt;=18,COUNTIF($K$2:$K$10,INT(A5319))&gt;0),1,0)</f>
        <v>0</v>
      </c>
      <c r="G5319" s="34" t="n">
        <f aca="false">B5319/1</f>
        <v>228.583</v>
      </c>
      <c r="H5319" s="34" t="str">
        <f aca="false">IF(F5319=1,G5319,"")</f>
        <v/>
      </c>
    </row>
    <row r="5320" customFormat="false" ht="15" hidden="false" customHeight="false" outlineLevel="0" collapsed="false">
      <c r="A5320" s="31" t="n">
        <v>42957.5833333333</v>
      </c>
      <c r="B5320" s="32" t="n">
        <v>229.985</v>
      </c>
      <c r="D5320" s="33" t="n">
        <f aca="false">WEEKDAY(A5320,2)</f>
        <v>4</v>
      </c>
      <c r="E5320" s="33" t="n">
        <f aca="false">HOUR(A5320)+MINUTE(A5320)/60</f>
        <v>14</v>
      </c>
      <c r="F5320" s="33" t="n">
        <f aca="false">IF(OR(D5320&gt;5,E5320&lt;8,E5320&gt;=18,COUNTIF($K$2:$K$10,INT(A5320))&gt;0),1,0)</f>
        <v>0</v>
      </c>
      <c r="G5320" s="34" t="n">
        <f aca="false">B5320/1</f>
        <v>229.985</v>
      </c>
      <c r="H5320" s="34" t="str">
        <f aca="false">IF(F5320=1,G5320,"")</f>
        <v/>
      </c>
    </row>
    <row r="5321" customFormat="false" ht="15" hidden="false" customHeight="false" outlineLevel="0" collapsed="false">
      <c r="A5321" s="31" t="n">
        <v>42957.625</v>
      </c>
      <c r="B5321" s="32" t="n">
        <v>224.803</v>
      </c>
      <c r="D5321" s="33" t="n">
        <f aca="false">WEEKDAY(A5321,2)</f>
        <v>4</v>
      </c>
      <c r="E5321" s="33" t="n">
        <f aca="false">HOUR(A5321)+MINUTE(A5321)/60</f>
        <v>15</v>
      </c>
      <c r="F5321" s="33" t="n">
        <f aca="false">IF(OR(D5321&gt;5,E5321&lt;8,E5321&gt;=18,COUNTIF($K$2:$K$10,INT(A5321))&gt;0),1,0)</f>
        <v>0</v>
      </c>
      <c r="G5321" s="34" t="n">
        <f aca="false">B5321/1</f>
        <v>224.803</v>
      </c>
      <c r="H5321" s="34" t="str">
        <f aca="false">IF(F5321=1,G5321,"")</f>
        <v/>
      </c>
    </row>
    <row r="5322" customFormat="false" ht="15" hidden="false" customHeight="false" outlineLevel="0" collapsed="false">
      <c r="A5322" s="31" t="n">
        <v>42957.6666666667</v>
      </c>
      <c r="B5322" s="32" t="n">
        <v>223.682</v>
      </c>
      <c r="D5322" s="33" t="n">
        <f aca="false">WEEKDAY(A5322,2)</f>
        <v>4</v>
      </c>
      <c r="E5322" s="33" t="n">
        <f aca="false">HOUR(A5322)+MINUTE(A5322)/60</f>
        <v>16</v>
      </c>
      <c r="F5322" s="33" t="n">
        <f aca="false">IF(OR(D5322&gt;5,E5322&lt;8,E5322&gt;=18,COUNTIF($K$2:$K$10,INT(A5322))&gt;0),1,0)</f>
        <v>0</v>
      </c>
      <c r="G5322" s="34" t="n">
        <f aca="false">B5322/1</f>
        <v>223.682</v>
      </c>
      <c r="H5322" s="34" t="str">
        <f aca="false">IF(F5322=1,G5322,"")</f>
        <v/>
      </c>
    </row>
    <row r="5323" customFormat="false" ht="15" hidden="false" customHeight="false" outlineLevel="0" collapsed="false">
      <c r="A5323" s="31" t="n">
        <v>42957.7083333333</v>
      </c>
      <c r="B5323" s="32" t="n">
        <v>214.613</v>
      </c>
      <c r="D5323" s="33" t="n">
        <f aca="false">WEEKDAY(A5323,2)</f>
        <v>4</v>
      </c>
      <c r="E5323" s="33" t="n">
        <f aca="false">HOUR(A5323)+MINUTE(A5323)/60</f>
        <v>17</v>
      </c>
      <c r="F5323" s="33" t="n">
        <f aca="false">IF(OR(D5323&gt;5,E5323&lt;8,E5323&gt;=18,COUNTIF($K$2:$K$10,INT(A5323))&gt;0),1,0)</f>
        <v>0</v>
      </c>
      <c r="G5323" s="34" t="n">
        <f aca="false">B5323/1</f>
        <v>214.613</v>
      </c>
      <c r="H5323" s="34" t="str">
        <f aca="false">IF(F5323=1,G5323,"")</f>
        <v/>
      </c>
    </row>
    <row r="5324" customFormat="false" ht="15" hidden="false" customHeight="false" outlineLevel="0" collapsed="false">
      <c r="A5324" s="31" t="n">
        <v>42957.75</v>
      </c>
      <c r="B5324" s="32" t="n">
        <v>196.414</v>
      </c>
      <c r="D5324" s="33" t="n">
        <f aca="false">WEEKDAY(A5324,2)</f>
        <v>4</v>
      </c>
      <c r="E5324" s="33" t="n">
        <f aca="false">HOUR(A5324)+MINUTE(A5324)/60</f>
        <v>18</v>
      </c>
      <c r="F5324" s="33" t="n">
        <f aca="false">IF(OR(D5324&gt;5,E5324&lt;8,E5324&gt;=18,COUNTIF($K$2:$K$10,INT(A5324))&gt;0),1,0)</f>
        <v>1</v>
      </c>
      <c r="G5324" s="34" t="n">
        <f aca="false">B5324/1</f>
        <v>196.414</v>
      </c>
      <c r="H5324" s="34" t="n">
        <f aca="false">IF(F5324=1,G5324,"")</f>
        <v>196.414</v>
      </c>
    </row>
    <row r="5325" customFormat="false" ht="15" hidden="false" customHeight="false" outlineLevel="0" collapsed="false">
      <c r="A5325" s="31" t="n">
        <v>42957.7916666667</v>
      </c>
      <c r="B5325" s="32" t="n">
        <v>191.037</v>
      </c>
      <c r="D5325" s="33" t="n">
        <f aca="false">WEEKDAY(A5325,2)</f>
        <v>4</v>
      </c>
      <c r="E5325" s="33" t="n">
        <f aca="false">HOUR(A5325)+MINUTE(A5325)/60</f>
        <v>19</v>
      </c>
      <c r="F5325" s="33" t="n">
        <f aca="false">IF(OR(D5325&gt;5,E5325&lt;8,E5325&gt;=18,COUNTIF($K$2:$K$10,INT(A5325))&gt;0),1,0)</f>
        <v>1</v>
      </c>
      <c r="G5325" s="34" t="n">
        <f aca="false">B5325/1</f>
        <v>191.037</v>
      </c>
      <c r="H5325" s="34" t="n">
        <f aca="false">IF(F5325=1,G5325,"")</f>
        <v>191.037</v>
      </c>
    </row>
    <row r="5326" customFormat="false" ht="15" hidden="false" customHeight="false" outlineLevel="0" collapsed="false">
      <c r="A5326" s="31" t="n">
        <v>42957.8333333333</v>
      </c>
      <c r="B5326" s="32" t="n">
        <v>187.988</v>
      </c>
      <c r="D5326" s="33" t="n">
        <f aca="false">WEEKDAY(A5326,2)</f>
        <v>4</v>
      </c>
      <c r="E5326" s="33" t="n">
        <f aca="false">HOUR(A5326)+MINUTE(A5326)/60</f>
        <v>20</v>
      </c>
      <c r="F5326" s="33" t="n">
        <f aca="false">IF(OR(D5326&gt;5,E5326&lt;8,E5326&gt;=18,COUNTIF($K$2:$K$10,INT(A5326))&gt;0),1,0)</f>
        <v>1</v>
      </c>
      <c r="G5326" s="34" t="n">
        <f aca="false">B5326/1</f>
        <v>187.988</v>
      </c>
      <c r="H5326" s="34" t="n">
        <f aca="false">IF(F5326=1,G5326,"")</f>
        <v>187.988</v>
      </c>
    </row>
    <row r="5327" customFormat="false" ht="15" hidden="false" customHeight="false" outlineLevel="0" collapsed="false">
      <c r="A5327" s="31" t="n">
        <v>42957.875</v>
      </c>
      <c r="B5327" s="32" t="n">
        <v>186.286</v>
      </c>
      <c r="D5327" s="33" t="n">
        <f aca="false">WEEKDAY(A5327,2)</f>
        <v>4</v>
      </c>
      <c r="E5327" s="33" t="n">
        <f aca="false">HOUR(A5327)+MINUTE(A5327)/60</f>
        <v>21</v>
      </c>
      <c r="F5327" s="33" t="n">
        <f aca="false">IF(OR(D5327&gt;5,E5327&lt;8,E5327&gt;=18,COUNTIF($K$2:$K$10,INT(A5327))&gt;0),1,0)</f>
        <v>1</v>
      </c>
      <c r="G5327" s="34" t="n">
        <f aca="false">B5327/1</f>
        <v>186.286</v>
      </c>
      <c r="H5327" s="34" t="n">
        <f aca="false">IF(F5327=1,G5327,"")</f>
        <v>186.286</v>
      </c>
    </row>
    <row r="5328" customFormat="false" ht="15" hidden="false" customHeight="false" outlineLevel="0" collapsed="false">
      <c r="A5328" s="31" t="n">
        <v>42957.9166666667</v>
      </c>
      <c r="B5328" s="32" t="n">
        <v>140.558</v>
      </c>
      <c r="D5328" s="33" t="n">
        <f aca="false">WEEKDAY(A5328,2)</f>
        <v>4</v>
      </c>
      <c r="E5328" s="33" t="n">
        <f aca="false">HOUR(A5328)+MINUTE(A5328)/60</f>
        <v>22</v>
      </c>
      <c r="F5328" s="33" t="n">
        <f aca="false">IF(OR(D5328&gt;5,E5328&lt;8,E5328&gt;=18,COUNTIF($K$2:$K$10,INT(A5328))&gt;0),1,0)</f>
        <v>1</v>
      </c>
      <c r="G5328" s="34" t="n">
        <f aca="false">B5328/1</f>
        <v>140.558</v>
      </c>
      <c r="H5328" s="34" t="n">
        <f aca="false">IF(F5328=1,G5328,"")</f>
        <v>140.558</v>
      </c>
    </row>
    <row r="5329" customFormat="false" ht="15" hidden="false" customHeight="false" outlineLevel="0" collapsed="false">
      <c r="A5329" s="31" t="n">
        <v>42957.9583333333</v>
      </c>
      <c r="B5329" s="32" t="n">
        <v>83.102</v>
      </c>
      <c r="D5329" s="33" t="n">
        <f aca="false">WEEKDAY(A5329,2)</f>
        <v>4</v>
      </c>
      <c r="E5329" s="33" t="n">
        <f aca="false">HOUR(A5329)+MINUTE(A5329)/60</f>
        <v>23</v>
      </c>
      <c r="F5329" s="33" t="n">
        <f aca="false">IF(OR(D5329&gt;5,E5329&lt;8,E5329&gt;=18,COUNTIF($K$2:$K$10,INT(A5329))&gt;0),1,0)</f>
        <v>1</v>
      </c>
      <c r="G5329" s="34" t="n">
        <f aca="false">B5329/1</f>
        <v>83.102</v>
      </c>
      <c r="H5329" s="34" t="n">
        <f aca="false">IF(F5329=1,G5329,"")</f>
        <v>83.102</v>
      </c>
    </row>
    <row r="5330" customFormat="false" ht="15" hidden="false" customHeight="false" outlineLevel="0" collapsed="false">
      <c r="A5330" s="31" t="n">
        <v>42958</v>
      </c>
      <c r="B5330" s="32" t="n">
        <v>84.221</v>
      </c>
      <c r="D5330" s="33" t="n">
        <f aca="false">WEEKDAY(A5330,2)</f>
        <v>5</v>
      </c>
      <c r="E5330" s="33" t="n">
        <f aca="false">HOUR(A5330)+MINUTE(A5330)/60</f>
        <v>0</v>
      </c>
      <c r="F5330" s="33" t="n">
        <f aca="false">IF(OR(D5330&gt;5,E5330&lt;8,E5330&gt;=18,COUNTIF($K$2:$K$10,INT(A5330))&gt;0),1,0)</f>
        <v>1</v>
      </c>
      <c r="G5330" s="34" t="n">
        <f aca="false">B5330/1</f>
        <v>84.221</v>
      </c>
      <c r="H5330" s="34" t="n">
        <f aca="false">IF(F5330=1,G5330,"")</f>
        <v>84.221</v>
      </c>
    </row>
    <row r="5331" customFormat="false" ht="15" hidden="false" customHeight="false" outlineLevel="0" collapsed="false">
      <c r="A5331" s="31" t="n">
        <v>42958.0416666667</v>
      </c>
      <c r="B5331" s="32" t="n">
        <v>81.643</v>
      </c>
      <c r="D5331" s="33" t="n">
        <f aca="false">WEEKDAY(A5331,2)</f>
        <v>5</v>
      </c>
      <c r="E5331" s="33" t="n">
        <f aca="false">HOUR(A5331)+MINUTE(A5331)/60</f>
        <v>1</v>
      </c>
      <c r="F5331" s="33" t="n">
        <f aca="false">IF(OR(D5331&gt;5,E5331&lt;8,E5331&gt;=18,COUNTIF($K$2:$K$10,INT(A5331))&gt;0),1,0)</f>
        <v>1</v>
      </c>
      <c r="G5331" s="34" t="n">
        <f aca="false">B5331/1</f>
        <v>81.643</v>
      </c>
      <c r="H5331" s="34" t="n">
        <f aca="false">IF(F5331=1,G5331,"")</f>
        <v>81.643</v>
      </c>
    </row>
    <row r="5332" customFormat="false" ht="15" hidden="false" customHeight="false" outlineLevel="0" collapsed="false">
      <c r="A5332" s="31" t="n">
        <v>42958.0833333333</v>
      </c>
      <c r="B5332" s="32" t="n">
        <v>79.414</v>
      </c>
      <c r="D5332" s="33" t="n">
        <f aca="false">WEEKDAY(A5332,2)</f>
        <v>5</v>
      </c>
      <c r="E5332" s="33" t="n">
        <f aca="false">HOUR(A5332)+MINUTE(A5332)/60</f>
        <v>2</v>
      </c>
      <c r="F5332" s="33" t="n">
        <f aca="false">IF(OR(D5332&gt;5,E5332&lt;8,E5332&gt;=18,COUNTIF($K$2:$K$10,INT(A5332))&gt;0),1,0)</f>
        <v>1</v>
      </c>
      <c r="G5332" s="34" t="n">
        <f aca="false">B5332/1</f>
        <v>79.414</v>
      </c>
      <c r="H5332" s="34" t="n">
        <f aca="false">IF(F5332=1,G5332,"")</f>
        <v>79.414</v>
      </c>
    </row>
    <row r="5333" customFormat="false" ht="15" hidden="false" customHeight="false" outlineLevel="0" collapsed="false">
      <c r="A5333" s="31" t="n">
        <v>42958.125</v>
      </c>
      <c r="B5333" s="32" t="n">
        <v>79.747</v>
      </c>
      <c r="D5333" s="33" t="n">
        <f aca="false">WEEKDAY(A5333,2)</f>
        <v>5</v>
      </c>
      <c r="E5333" s="33" t="n">
        <f aca="false">HOUR(A5333)+MINUTE(A5333)/60</f>
        <v>3</v>
      </c>
      <c r="F5333" s="33" t="n">
        <f aca="false">IF(OR(D5333&gt;5,E5333&lt;8,E5333&gt;=18,COUNTIF($K$2:$K$10,INT(A5333))&gt;0),1,0)</f>
        <v>1</v>
      </c>
      <c r="G5333" s="34" t="n">
        <f aca="false">B5333/1</f>
        <v>79.747</v>
      </c>
      <c r="H5333" s="34" t="n">
        <f aca="false">IF(F5333=1,G5333,"")</f>
        <v>79.747</v>
      </c>
    </row>
    <row r="5334" customFormat="false" ht="15" hidden="false" customHeight="false" outlineLevel="0" collapsed="false">
      <c r="A5334" s="31" t="n">
        <v>42958.1666666667</v>
      </c>
      <c r="B5334" s="32" t="n">
        <v>79.633</v>
      </c>
      <c r="D5334" s="33" t="n">
        <f aca="false">WEEKDAY(A5334,2)</f>
        <v>5</v>
      </c>
      <c r="E5334" s="33" t="n">
        <f aca="false">HOUR(A5334)+MINUTE(A5334)/60</f>
        <v>4</v>
      </c>
      <c r="F5334" s="33" t="n">
        <f aca="false">IF(OR(D5334&gt;5,E5334&lt;8,E5334&gt;=18,COUNTIF($K$2:$K$10,INT(A5334))&gt;0),1,0)</f>
        <v>1</v>
      </c>
      <c r="G5334" s="34" t="n">
        <f aca="false">B5334/1</f>
        <v>79.633</v>
      </c>
      <c r="H5334" s="34" t="n">
        <f aca="false">IF(F5334=1,G5334,"")</f>
        <v>79.633</v>
      </c>
    </row>
    <row r="5335" customFormat="false" ht="15" hidden="false" customHeight="false" outlineLevel="0" collapsed="false">
      <c r="A5335" s="31" t="n">
        <v>42958.2083333333</v>
      </c>
      <c r="B5335" s="32" t="n">
        <v>80.554</v>
      </c>
      <c r="D5335" s="33" t="n">
        <f aca="false">WEEKDAY(A5335,2)</f>
        <v>5</v>
      </c>
      <c r="E5335" s="33" t="n">
        <f aca="false">HOUR(A5335)+MINUTE(A5335)/60</f>
        <v>5</v>
      </c>
      <c r="F5335" s="33" t="n">
        <f aca="false">IF(OR(D5335&gt;5,E5335&lt;8,E5335&gt;=18,COUNTIF($K$2:$K$10,INT(A5335))&gt;0),1,0)</f>
        <v>1</v>
      </c>
      <c r="G5335" s="34" t="n">
        <f aca="false">B5335/1</f>
        <v>80.554</v>
      </c>
      <c r="H5335" s="34" t="n">
        <f aca="false">IF(F5335=1,G5335,"")</f>
        <v>80.554</v>
      </c>
    </row>
    <row r="5336" customFormat="false" ht="15" hidden="false" customHeight="false" outlineLevel="0" collapsed="false">
      <c r="A5336" s="31" t="n">
        <v>42958.25</v>
      </c>
      <c r="B5336" s="32" t="n">
        <v>73.043</v>
      </c>
      <c r="D5336" s="33" t="n">
        <f aca="false">WEEKDAY(A5336,2)</f>
        <v>5</v>
      </c>
      <c r="E5336" s="33" t="n">
        <f aca="false">HOUR(A5336)+MINUTE(A5336)/60</f>
        <v>6</v>
      </c>
      <c r="F5336" s="33" t="n">
        <f aca="false">IF(OR(D5336&gt;5,E5336&lt;8,E5336&gt;=18,COUNTIF($K$2:$K$10,INT(A5336))&gt;0),1,0)</f>
        <v>1</v>
      </c>
      <c r="G5336" s="34" t="n">
        <f aca="false">B5336/1</f>
        <v>73.043</v>
      </c>
      <c r="H5336" s="34" t="n">
        <f aca="false">IF(F5336=1,G5336,"")</f>
        <v>73.043</v>
      </c>
    </row>
    <row r="5337" customFormat="false" ht="15" hidden="false" customHeight="false" outlineLevel="0" collapsed="false">
      <c r="A5337" s="31" t="n">
        <v>42958.2916666667</v>
      </c>
      <c r="B5337" s="32" t="n">
        <v>75.265</v>
      </c>
      <c r="D5337" s="33" t="n">
        <f aca="false">WEEKDAY(A5337,2)</f>
        <v>5</v>
      </c>
      <c r="E5337" s="33" t="n">
        <f aca="false">HOUR(A5337)+MINUTE(A5337)/60</f>
        <v>7</v>
      </c>
      <c r="F5337" s="33" t="n">
        <f aca="false">IF(OR(D5337&gt;5,E5337&lt;8,E5337&gt;=18,COUNTIF($K$2:$K$10,INT(A5337))&gt;0),1,0)</f>
        <v>1</v>
      </c>
      <c r="G5337" s="34" t="n">
        <f aca="false">B5337/1</f>
        <v>75.265</v>
      </c>
      <c r="H5337" s="34" t="n">
        <f aca="false">IF(F5337=1,G5337,"")</f>
        <v>75.265</v>
      </c>
    </row>
    <row r="5338" customFormat="false" ht="15" hidden="false" customHeight="false" outlineLevel="0" collapsed="false">
      <c r="A5338" s="31" t="n">
        <v>42958.3333333333</v>
      </c>
      <c r="B5338" s="32" t="n">
        <v>178.345</v>
      </c>
      <c r="D5338" s="33" t="n">
        <f aca="false">WEEKDAY(A5338,2)</f>
        <v>5</v>
      </c>
      <c r="E5338" s="33" t="n">
        <f aca="false">HOUR(A5338)+MINUTE(A5338)/60</f>
        <v>8</v>
      </c>
      <c r="F5338" s="33" t="n">
        <f aca="false">IF(OR(D5338&gt;5,E5338&lt;8,E5338&gt;=18,COUNTIF($K$2:$K$10,INT(A5338))&gt;0),1,0)</f>
        <v>0</v>
      </c>
      <c r="G5338" s="34" t="n">
        <f aca="false">B5338/1</f>
        <v>178.345</v>
      </c>
      <c r="H5338" s="34" t="str">
        <f aca="false">IF(F5338=1,G5338,"")</f>
        <v/>
      </c>
    </row>
    <row r="5339" customFormat="false" ht="15" hidden="false" customHeight="false" outlineLevel="0" collapsed="false">
      <c r="A5339" s="31" t="n">
        <v>42958.375</v>
      </c>
      <c r="B5339" s="32" t="n">
        <v>211.241</v>
      </c>
      <c r="D5339" s="33" t="n">
        <f aca="false">WEEKDAY(A5339,2)</f>
        <v>5</v>
      </c>
      <c r="E5339" s="33" t="n">
        <f aca="false">HOUR(A5339)+MINUTE(A5339)/60</f>
        <v>9</v>
      </c>
      <c r="F5339" s="33" t="n">
        <f aca="false">IF(OR(D5339&gt;5,E5339&lt;8,E5339&gt;=18,COUNTIF($K$2:$K$10,INT(A5339))&gt;0),1,0)</f>
        <v>0</v>
      </c>
      <c r="G5339" s="34" t="n">
        <f aca="false">B5339/1</f>
        <v>211.241</v>
      </c>
      <c r="H5339" s="34" t="str">
        <f aca="false">IF(F5339=1,G5339,"")</f>
        <v/>
      </c>
    </row>
    <row r="5340" customFormat="false" ht="15" hidden="false" customHeight="false" outlineLevel="0" collapsed="false">
      <c r="A5340" s="31" t="n">
        <v>42958.4166666667</v>
      </c>
      <c r="B5340" s="32" t="n">
        <v>223.446</v>
      </c>
      <c r="D5340" s="33" t="n">
        <f aca="false">WEEKDAY(A5340,2)</f>
        <v>5</v>
      </c>
      <c r="E5340" s="33" t="n">
        <f aca="false">HOUR(A5340)+MINUTE(A5340)/60</f>
        <v>10</v>
      </c>
      <c r="F5340" s="33" t="n">
        <f aca="false">IF(OR(D5340&gt;5,E5340&lt;8,E5340&gt;=18,COUNTIF($K$2:$K$10,INT(A5340))&gt;0),1,0)</f>
        <v>0</v>
      </c>
      <c r="G5340" s="34" t="n">
        <f aca="false">B5340/1</f>
        <v>223.446</v>
      </c>
      <c r="H5340" s="34" t="str">
        <f aca="false">IF(F5340=1,G5340,"")</f>
        <v/>
      </c>
    </row>
    <row r="5341" customFormat="false" ht="15" hidden="false" customHeight="false" outlineLevel="0" collapsed="false">
      <c r="A5341" s="31" t="n">
        <v>42958.4583333333</v>
      </c>
      <c r="B5341" s="32" t="n">
        <v>225.406</v>
      </c>
      <c r="D5341" s="33" t="n">
        <f aca="false">WEEKDAY(A5341,2)</f>
        <v>5</v>
      </c>
      <c r="E5341" s="33" t="n">
        <f aca="false">HOUR(A5341)+MINUTE(A5341)/60</f>
        <v>11</v>
      </c>
      <c r="F5341" s="33" t="n">
        <f aca="false">IF(OR(D5341&gt;5,E5341&lt;8,E5341&gt;=18,COUNTIF($K$2:$K$10,INT(A5341))&gt;0),1,0)</f>
        <v>0</v>
      </c>
      <c r="G5341" s="34" t="n">
        <f aca="false">B5341/1</f>
        <v>225.406</v>
      </c>
      <c r="H5341" s="34" t="str">
        <f aca="false">IF(F5341=1,G5341,"")</f>
        <v/>
      </c>
    </row>
    <row r="5342" customFormat="false" ht="15" hidden="false" customHeight="false" outlineLevel="0" collapsed="false">
      <c r="A5342" s="31" t="n">
        <v>42958.5</v>
      </c>
      <c r="B5342" s="32" t="n">
        <v>229.316</v>
      </c>
      <c r="D5342" s="33" t="n">
        <f aca="false">WEEKDAY(A5342,2)</f>
        <v>5</v>
      </c>
      <c r="E5342" s="33" t="n">
        <f aca="false">HOUR(A5342)+MINUTE(A5342)/60</f>
        <v>12</v>
      </c>
      <c r="F5342" s="33" t="n">
        <f aca="false">IF(OR(D5342&gt;5,E5342&lt;8,E5342&gt;=18,COUNTIF($K$2:$K$10,INT(A5342))&gt;0),1,0)</f>
        <v>0</v>
      </c>
      <c r="G5342" s="34" t="n">
        <f aca="false">B5342/1</f>
        <v>229.316</v>
      </c>
      <c r="H5342" s="34" t="str">
        <f aca="false">IF(F5342=1,G5342,"")</f>
        <v/>
      </c>
    </row>
    <row r="5343" customFormat="false" ht="15" hidden="false" customHeight="false" outlineLevel="0" collapsed="false">
      <c r="A5343" s="31" t="n">
        <v>42958.5416666667</v>
      </c>
      <c r="B5343" s="32" t="n">
        <v>229.375</v>
      </c>
      <c r="D5343" s="33" t="n">
        <f aca="false">WEEKDAY(A5343,2)</f>
        <v>5</v>
      </c>
      <c r="E5343" s="33" t="n">
        <f aca="false">HOUR(A5343)+MINUTE(A5343)/60</f>
        <v>13</v>
      </c>
      <c r="F5343" s="33" t="n">
        <f aca="false">IF(OR(D5343&gt;5,E5343&lt;8,E5343&gt;=18,COUNTIF($K$2:$K$10,INT(A5343))&gt;0),1,0)</f>
        <v>0</v>
      </c>
      <c r="G5343" s="34" t="n">
        <f aca="false">B5343/1</f>
        <v>229.375</v>
      </c>
      <c r="H5343" s="34" t="str">
        <f aca="false">IF(F5343=1,G5343,"")</f>
        <v/>
      </c>
    </row>
    <row r="5344" customFormat="false" ht="15" hidden="false" customHeight="false" outlineLevel="0" collapsed="false">
      <c r="A5344" s="31" t="n">
        <v>42958.5833333333</v>
      </c>
      <c r="B5344" s="32" t="n">
        <v>228.783</v>
      </c>
      <c r="D5344" s="33" t="n">
        <f aca="false">WEEKDAY(A5344,2)</f>
        <v>5</v>
      </c>
      <c r="E5344" s="33" t="n">
        <f aca="false">HOUR(A5344)+MINUTE(A5344)/60</f>
        <v>14</v>
      </c>
      <c r="F5344" s="33" t="n">
        <f aca="false">IF(OR(D5344&gt;5,E5344&lt;8,E5344&gt;=18,COUNTIF($K$2:$K$10,INT(A5344))&gt;0),1,0)</f>
        <v>0</v>
      </c>
      <c r="G5344" s="34" t="n">
        <f aca="false">B5344/1</f>
        <v>228.783</v>
      </c>
      <c r="H5344" s="34" t="str">
        <f aca="false">IF(F5344=1,G5344,"")</f>
        <v/>
      </c>
    </row>
    <row r="5345" customFormat="false" ht="15" hidden="false" customHeight="false" outlineLevel="0" collapsed="false">
      <c r="A5345" s="31" t="n">
        <v>42958.625</v>
      </c>
      <c r="B5345" s="32" t="n">
        <v>226.122</v>
      </c>
      <c r="D5345" s="33" t="n">
        <f aca="false">WEEKDAY(A5345,2)</f>
        <v>5</v>
      </c>
      <c r="E5345" s="33" t="n">
        <f aca="false">HOUR(A5345)+MINUTE(A5345)/60</f>
        <v>15</v>
      </c>
      <c r="F5345" s="33" t="n">
        <f aca="false">IF(OR(D5345&gt;5,E5345&lt;8,E5345&gt;=18,COUNTIF($K$2:$K$10,INT(A5345))&gt;0),1,0)</f>
        <v>0</v>
      </c>
      <c r="G5345" s="34" t="n">
        <f aca="false">B5345/1</f>
        <v>226.122</v>
      </c>
      <c r="H5345" s="34" t="str">
        <f aca="false">IF(F5345=1,G5345,"")</f>
        <v/>
      </c>
    </row>
    <row r="5346" customFormat="false" ht="15" hidden="false" customHeight="false" outlineLevel="0" collapsed="false">
      <c r="A5346" s="31" t="n">
        <v>42958.6666666667</v>
      </c>
      <c r="B5346" s="32" t="n">
        <v>218.413</v>
      </c>
      <c r="D5346" s="33" t="n">
        <f aca="false">WEEKDAY(A5346,2)</f>
        <v>5</v>
      </c>
      <c r="E5346" s="33" t="n">
        <f aca="false">HOUR(A5346)+MINUTE(A5346)/60</f>
        <v>16</v>
      </c>
      <c r="F5346" s="33" t="n">
        <f aca="false">IF(OR(D5346&gt;5,E5346&lt;8,E5346&gt;=18,COUNTIF($K$2:$K$10,INT(A5346))&gt;0),1,0)</f>
        <v>0</v>
      </c>
      <c r="G5346" s="34" t="n">
        <f aca="false">B5346/1</f>
        <v>218.413</v>
      </c>
      <c r="H5346" s="34" t="str">
        <f aca="false">IF(F5346=1,G5346,"")</f>
        <v/>
      </c>
    </row>
    <row r="5347" customFormat="false" ht="15" hidden="false" customHeight="false" outlineLevel="0" collapsed="false">
      <c r="A5347" s="31" t="n">
        <v>42958.7083333333</v>
      </c>
      <c r="B5347" s="32" t="n">
        <v>203.245</v>
      </c>
      <c r="D5347" s="33" t="n">
        <f aca="false">WEEKDAY(A5347,2)</f>
        <v>5</v>
      </c>
      <c r="E5347" s="33" t="n">
        <f aca="false">HOUR(A5347)+MINUTE(A5347)/60</f>
        <v>17</v>
      </c>
      <c r="F5347" s="33" t="n">
        <f aca="false">IF(OR(D5347&gt;5,E5347&lt;8,E5347&gt;=18,COUNTIF($K$2:$K$10,INT(A5347))&gt;0),1,0)</f>
        <v>0</v>
      </c>
      <c r="G5347" s="34" t="n">
        <f aca="false">B5347/1</f>
        <v>203.245</v>
      </c>
      <c r="H5347" s="34" t="str">
        <f aca="false">IF(F5347=1,G5347,"")</f>
        <v/>
      </c>
    </row>
    <row r="5348" customFormat="false" ht="15" hidden="false" customHeight="false" outlineLevel="0" collapsed="false">
      <c r="A5348" s="31" t="n">
        <v>42958.75</v>
      </c>
      <c r="B5348" s="32" t="n">
        <v>187.602</v>
      </c>
      <c r="D5348" s="33" t="n">
        <f aca="false">WEEKDAY(A5348,2)</f>
        <v>5</v>
      </c>
      <c r="E5348" s="33" t="n">
        <f aca="false">HOUR(A5348)+MINUTE(A5348)/60</f>
        <v>18</v>
      </c>
      <c r="F5348" s="33" t="n">
        <f aca="false">IF(OR(D5348&gt;5,E5348&lt;8,E5348&gt;=18,COUNTIF($K$2:$K$10,INT(A5348))&gt;0),1,0)</f>
        <v>1</v>
      </c>
      <c r="G5348" s="34" t="n">
        <f aca="false">B5348/1</f>
        <v>187.602</v>
      </c>
      <c r="H5348" s="34" t="n">
        <f aca="false">IF(F5348=1,G5348,"")</f>
        <v>187.602</v>
      </c>
    </row>
    <row r="5349" customFormat="false" ht="15" hidden="false" customHeight="false" outlineLevel="0" collapsed="false">
      <c r="A5349" s="31" t="n">
        <v>42958.7916666667</v>
      </c>
      <c r="B5349" s="32" t="n">
        <v>169.389</v>
      </c>
      <c r="D5349" s="33" t="n">
        <f aca="false">WEEKDAY(A5349,2)</f>
        <v>5</v>
      </c>
      <c r="E5349" s="33" t="n">
        <f aca="false">HOUR(A5349)+MINUTE(A5349)/60</f>
        <v>19</v>
      </c>
      <c r="F5349" s="33" t="n">
        <f aca="false">IF(OR(D5349&gt;5,E5349&lt;8,E5349&gt;=18,COUNTIF($K$2:$K$10,INT(A5349))&gt;0),1,0)</f>
        <v>1</v>
      </c>
      <c r="G5349" s="34" t="n">
        <f aca="false">B5349/1</f>
        <v>169.389</v>
      </c>
      <c r="H5349" s="34" t="n">
        <f aca="false">IF(F5349=1,G5349,"")</f>
        <v>169.389</v>
      </c>
    </row>
    <row r="5350" customFormat="false" ht="15" hidden="false" customHeight="false" outlineLevel="0" collapsed="false">
      <c r="A5350" s="31" t="n">
        <v>42958.8333333333</v>
      </c>
      <c r="B5350" s="32" t="n">
        <v>160.338</v>
      </c>
      <c r="D5350" s="33" t="n">
        <f aca="false">WEEKDAY(A5350,2)</f>
        <v>5</v>
      </c>
      <c r="E5350" s="33" t="n">
        <f aca="false">HOUR(A5350)+MINUTE(A5350)/60</f>
        <v>20</v>
      </c>
      <c r="F5350" s="33" t="n">
        <f aca="false">IF(OR(D5350&gt;5,E5350&lt;8,E5350&gt;=18,COUNTIF($K$2:$K$10,INT(A5350))&gt;0),1,0)</f>
        <v>1</v>
      </c>
      <c r="G5350" s="34" t="n">
        <f aca="false">B5350/1</f>
        <v>160.338</v>
      </c>
      <c r="H5350" s="34" t="n">
        <f aca="false">IF(F5350=1,G5350,"")</f>
        <v>160.338</v>
      </c>
    </row>
    <row r="5351" customFormat="false" ht="15" hidden="false" customHeight="false" outlineLevel="0" collapsed="false">
      <c r="A5351" s="31" t="n">
        <v>42958.875</v>
      </c>
      <c r="B5351" s="32" t="n">
        <v>160.808</v>
      </c>
      <c r="D5351" s="33" t="n">
        <f aca="false">WEEKDAY(A5351,2)</f>
        <v>5</v>
      </c>
      <c r="E5351" s="33" t="n">
        <f aca="false">HOUR(A5351)+MINUTE(A5351)/60</f>
        <v>21</v>
      </c>
      <c r="F5351" s="33" t="n">
        <f aca="false">IF(OR(D5351&gt;5,E5351&lt;8,E5351&gt;=18,COUNTIF($K$2:$K$10,INT(A5351))&gt;0),1,0)</f>
        <v>1</v>
      </c>
      <c r="G5351" s="34" t="n">
        <f aca="false">B5351/1</f>
        <v>160.808</v>
      </c>
      <c r="H5351" s="34" t="n">
        <f aca="false">IF(F5351=1,G5351,"")</f>
        <v>160.808</v>
      </c>
    </row>
    <row r="5352" customFormat="false" ht="15" hidden="false" customHeight="false" outlineLevel="0" collapsed="false">
      <c r="A5352" s="31" t="n">
        <v>42958.9166666667</v>
      </c>
      <c r="B5352" s="32" t="n">
        <v>106.61</v>
      </c>
      <c r="D5352" s="33" t="n">
        <f aca="false">WEEKDAY(A5352,2)</f>
        <v>5</v>
      </c>
      <c r="E5352" s="33" t="n">
        <f aca="false">HOUR(A5352)+MINUTE(A5352)/60</f>
        <v>22</v>
      </c>
      <c r="F5352" s="33" t="n">
        <f aca="false">IF(OR(D5352&gt;5,E5352&lt;8,E5352&gt;=18,COUNTIF($K$2:$K$10,INT(A5352))&gt;0),1,0)</f>
        <v>1</v>
      </c>
      <c r="G5352" s="34" t="n">
        <f aca="false">B5352/1</f>
        <v>106.61</v>
      </c>
      <c r="H5352" s="34" t="n">
        <f aca="false">IF(F5352=1,G5352,"")</f>
        <v>106.61</v>
      </c>
    </row>
    <row r="5353" customFormat="false" ht="15" hidden="false" customHeight="false" outlineLevel="0" collapsed="false">
      <c r="A5353" s="31" t="n">
        <v>42958.9583333333</v>
      </c>
      <c r="B5353" s="32" t="n">
        <v>48.681</v>
      </c>
      <c r="D5353" s="33" t="n">
        <f aca="false">WEEKDAY(A5353,2)</f>
        <v>5</v>
      </c>
      <c r="E5353" s="33" t="n">
        <f aca="false">HOUR(A5353)+MINUTE(A5353)/60</f>
        <v>23</v>
      </c>
      <c r="F5353" s="33" t="n">
        <f aca="false">IF(OR(D5353&gt;5,E5353&lt;8,E5353&gt;=18,COUNTIF($K$2:$K$10,INT(A5353))&gt;0),1,0)</f>
        <v>1</v>
      </c>
      <c r="G5353" s="34" t="n">
        <f aca="false">B5353/1</f>
        <v>48.681</v>
      </c>
      <c r="H5353" s="34" t="n">
        <f aca="false">IF(F5353=1,G5353,"")</f>
        <v>48.681</v>
      </c>
    </row>
    <row r="5354" customFormat="false" ht="15" hidden="false" customHeight="false" outlineLevel="0" collapsed="false">
      <c r="A5354" s="31" t="n">
        <v>42959</v>
      </c>
      <c r="B5354" s="32" t="n">
        <v>46.807</v>
      </c>
      <c r="D5354" s="33" t="n">
        <f aca="false">WEEKDAY(A5354,2)</f>
        <v>6</v>
      </c>
      <c r="E5354" s="33" t="n">
        <f aca="false">HOUR(A5354)+MINUTE(A5354)/60</f>
        <v>0</v>
      </c>
      <c r="F5354" s="33" t="n">
        <f aca="false">IF(OR(D5354&gt;5,E5354&lt;8,E5354&gt;=18,COUNTIF($K$2:$K$10,INT(A5354))&gt;0),1,0)</f>
        <v>1</v>
      </c>
      <c r="G5354" s="34" t="n">
        <f aca="false">B5354/1</f>
        <v>46.807</v>
      </c>
      <c r="H5354" s="34" t="n">
        <f aca="false">IF(F5354=1,G5354,"")</f>
        <v>46.807</v>
      </c>
    </row>
    <row r="5355" customFormat="false" ht="15" hidden="false" customHeight="false" outlineLevel="0" collapsed="false">
      <c r="A5355" s="31" t="n">
        <v>42959.0416666667</v>
      </c>
      <c r="B5355" s="32" t="n">
        <v>44.404</v>
      </c>
      <c r="D5355" s="33" t="n">
        <f aca="false">WEEKDAY(A5355,2)</f>
        <v>6</v>
      </c>
      <c r="E5355" s="33" t="n">
        <f aca="false">HOUR(A5355)+MINUTE(A5355)/60</f>
        <v>1</v>
      </c>
      <c r="F5355" s="33" t="n">
        <f aca="false">IF(OR(D5355&gt;5,E5355&lt;8,E5355&gt;=18,COUNTIF($K$2:$K$10,INT(A5355))&gt;0),1,0)</f>
        <v>1</v>
      </c>
      <c r="G5355" s="34" t="n">
        <f aca="false">B5355/1</f>
        <v>44.404</v>
      </c>
      <c r="H5355" s="34" t="n">
        <f aca="false">IF(F5355=1,G5355,"")</f>
        <v>44.404</v>
      </c>
    </row>
    <row r="5356" customFormat="false" ht="15" hidden="false" customHeight="false" outlineLevel="0" collapsed="false">
      <c r="A5356" s="31" t="n">
        <v>42959.0833333333</v>
      </c>
      <c r="B5356" s="32" t="n">
        <v>44.644</v>
      </c>
      <c r="D5356" s="33" t="n">
        <f aca="false">WEEKDAY(A5356,2)</f>
        <v>6</v>
      </c>
      <c r="E5356" s="33" t="n">
        <f aca="false">HOUR(A5356)+MINUTE(A5356)/60</f>
        <v>2</v>
      </c>
      <c r="F5356" s="33" t="n">
        <f aca="false">IF(OR(D5356&gt;5,E5356&lt;8,E5356&gt;=18,COUNTIF($K$2:$K$10,INT(A5356))&gt;0),1,0)</f>
        <v>1</v>
      </c>
      <c r="G5356" s="34" t="n">
        <f aca="false">B5356/1</f>
        <v>44.644</v>
      </c>
      <c r="H5356" s="34" t="n">
        <f aca="false">IF(F5356=1,G5356,"")</f>
        <v>44.644</v>
      </c>
    </row>
    <row r="5357" customFormat="false" ht="15" hidden="false" customHeight="false" outlineLevel="0" collapsed="false">
      <c r="A5357" s="31" t="n">
        <v>42959.125</v>
      </c>
      <c r="B5357" s="32" t="n">
        <v>45.792</v>
      </c>
      <c r="D5357" s="33" t="n">
        <f aca="false">WEEKDAY(A5357,2)</f>
        <v>6</v>
      </c>
      <c r="E5357" s="33" t="n">
        <f aca="false">HOUR(A5357)+MINUTE(A5357)/60</f>
        <v>3</v>
      </c>
      <c r="F5357" s="33" t="n">
        <f aca="false">IF(OR(D5357&gt;5,E5357&lt;8,E5357&gt;=18,COUNTIF($K$2:$K$10,INT(A5357))&gt;0),1,0)</f>
        <v>1</v>
      </c>
      <c r="G5357" s="34" t="n">
        <f aca="false">B5357/1</f>
        <v>45.792</v>
      </c>
      <c r="H5357" s="34" t="n">
        <f aca="false">IF(F5357=1,G5357,"")</f>
        <v>45.792</v>
      </c>
    </row>
    <row r="5358" customFormat="false" ht="15" hidden="false" customHeight="false" outlineLevel="0" collapsed="false">
      <c r="A5358" s="31" t="n">
        <v>42959.1666666667</v>
      </c>
      <c r="B5358" s="32" t="n">
        <v>44.185</v>
      </c>
      <c r="D5358" s="33" t="n">
        <f aca="false">WEEKDAY(A5358,2)</f>
        <v>6</v>
      </c>
      <c r="E5358" s="33" t="n">
        <f aca="false">HOUR(A5358)+MINUTE(A5358)/60</f>
        <v>4</v>
      </c>
      <c r="F5358" s="33" t="n">
        <f aca="false">IF(OR(D5358&gt;5,E5358&lt;8,E5358&gt;=18,COUNTIF($K$2:$K$10,INT(A5358))&gt;0),1,0)</f>
        <v>1</v>
      </c>
      <c r="G5358" s="34" t="n">
        <f aca="false">B5358/1</f>
        <v>44.185</v>
      </c>
      <c r="H5358" s="34" t="n">
        <f aca="false">IF(F5358=1,G5358,"")</f>
        <v>44.185</v>
      </c>
    </row>
    <row r="5359" customFormat="false" ht="15" hidden="false" customHeight="false" outlineLevel="0" collapsed="false">
      <c r="A5359" s="31" t="n">
        <v>42959.2083333333</v>
      </c>
      <c r="B5359" s="32" t="n">
        <v>44.438</v>
      </c>
      <c r="D5359" s="33" t="n">
        <f aca="false">WEEKDAY(A5359,2)</f>
        <v>6</v>
      </c>
      <c r="E5359" s="33" t="n">
        <f aca="false">HOUR(A5359)+MINUTE(A5359)/60</f>
        <v>5</v>
      </c>
      <c r="F5359" s="33" t="n">
        <f aca="false">IF(OR(D5359&gt;5,E5359&lt;8,E5359&gt;=18,COUNTIF($K$2:$K$10,INT(A5359))&gt;0),1,0)</f>
        <v>1</v>
      </c>
      <c r="G5359" s="34" t="n">
        <f aca="false">B5359/1</f>
        <v>44.438</v>
      </c>
      <c r="H5359" s="34" t="n">
        <f aca="false">IF(F5359=1,G5359,"")</f>
        <v>44.438</v>
      </c>
    </row>
    <row r="5360" customFormat="false" ht="15" hidden="false" customHeight="false" outlineLevel="0" collapsed="false">
      <c r="A5360" s="31" t="n">
        <v>42959.25</v>
      </c>
      <c r="B5360" s="32" t="n">
        <v>44.402</v>
      </c>
      <c r="D5360" s="33" t="n">
        <f aca="false">WEEKDAY(A5360,2)</f>
        <v>6</v>
      </c>
      <c r="E5360" s="33" t="n">
        <f aca="false">HOUR(A5360)+MINUTE(A5360)/60</f>
        <v>6</v>
      </c>
      <c r="F5360" s="33" t="n">
        <f aca="false">IF(OR(D5360&gt;5,E5360&lt;8,E5360&gt;=18,COUNTIF($K$2:$K$10,INT(A5360))&gt;0),1,0)</f>
        <v>1</v>
      </c>
      <c r="G5360" s="34" t="n">
        <f aca="false">B5360/1</f>
        <v>44.402</v>
      </c>
      <c r="H5360" s="34" t="n">
        <f aca="false">IF(F5360=1,G5360,"")</f>
        <v>44.402</v>
      </c>
    </row>
    <row r="5361" customFormat="false" ht="15" hidden="false" customHeight="false" outlineLevel="0" collapsed="false">
      <c r="A5361" s="31" t="n">
        <v>42959.2916666667</v>
      </c>
      <c r="B5361" s="32" t="n">
        <v>43.007</v>
      </c>
      <c r="D5361" s="33" t="n">
        <f aca="false">WEEKDAY(A5361,2)</f>
        <v>6</v>
      </c>
      <c r="E5361" s="33" t="n">
        <f aca="false">HOUR(A5361)+MINUTE(A5361)/60</f>
        <v>7</v>
      </c>
      <c r="F5361" s="33" t="n">
        <f aca="false">IF(OR(D5361&gt;5,E5361&lt;8,E5361&gt;=18,COUNTIF($K$2:$K$10,INT(A5361))&gt;0),1,0)</f>
        <v>1</v>
      </c>
      <c r="G5361" s="34" t="n">
        <f aca="false">B5361/1</f>
        <v>43.007</v>
      </c>
      <c r="H5361" s="34" t="n">
        <f aca="false">IF(F5361=1,G5361,"")</f>
        <v>43.007</v>
      </c>
    </row>
    <row r="5362" customFormat="false" ht="15" hidden="false" customHeight="false" outlineLevel="0" collapsed="false">
      <c r="A5362" s="31" t="n">
        <v>42959.3333333333</v>
      </c>
      <c r="B5362" s="32" t="n">
        <v>107.502</v>
      </c>
      <c r="D5362" s="33" t="n">
        <f aca="false">WEEKDAY(A5362,2)</f>
        <v>6</v>
      </c>
      <c r="E5362" s="33" t="n">
        <f aca="false">HOUR(A5362)+MINUTE(A5362)/60</f>
        <v>8</v>
      </c>
      <c r="F5362" s="33" t="n">
        <f aca="false">IF(OR(D5362&gt;5,E5362&lt;8,E5362&gt;=18,COUNTIF($K$2:$K$10,INT(A5362))&gt;0),1,0)</f>
        <v>1</v>
      </c>
      <c r="G5362" s="34" t="n">
        <f aca="false">B5362/1</f>
        <v>107.502</v>
      </c>
      <c r="H5362" s="34" t="n">
        <f aca="false">IF(F5362=1,G5362,"")</f>
        <v>107.502</v>
      </c>
    </row>
    <row r="5363" customFormat="false" ht="15" hidden="false" customHeight="false" outlineLevel="0" collapsed="false">
      <c r="A5363" s="31" t="n">
        <v>42959.375</v>
      </c>
      <c r="B5363" s="32" t="n">
        <v>154.139</v>
      </c>
      <c r="D5363" s="33" t="n">
        <f aca="false">WEEKDAY(A5363,2)</f>
        <v>6</v>
      </c>
      <c r="E5363" s="33" t="n">
        <f aca="false">HOUR(A5363)+MINUTE(A5363)/60</f>
        <v>9</v>
      </c>
      <c r="F5363" s="33" t="n">
        <f aca="false">IF(OR(D5363&gt;5,E5363&lt;8,E5363&gt;=18,COUNTIF($K$2:$K$10,INT(A5363))&gt;0),1,0)</f>
        <v>1</v>
      </c>
      <c r="G5363" s="34" t="n">
        <f aca="false">B5363/1</f>
        <v>154.139</v>
      </c>
      <c r="H5363" s="34" t="n">
        <f aca="false">IF(F5363=1,G5363,"")</f>
        <v>154.139</v>
      </c>
    </row>
    <row r="5364" customFormat="false" ht="15" hidden="false" customHeight="false" outlineLevel="0" collapsed="false">
      <c r="A5364" s="31" t="n">
        <v>42959.4166666667</v>
      </c>
      <c r="B5364" s="32" t="n">
        <v>155.723</v>
      </c>
      <c r="D5364" s="33" t="n">
        <f aca="false">WEEKDAY(A5364,2)</f>
        <v>6</v>
      </c>
      <c r="E5364" s="33" t="n">
        <f aca="false">HOUR(A5364)+MINUTE(A5364)/60</f>
        <v>10</v>
      </c>
      <c r="F5364" s="33" t="n">
        <f aca="false">IF(OR(D5364&gt;5,E5364&lt;8,E5364&gt;=18,COUNTIF($K$2:$K$10,INT(A5364))&gt;0),1,0)</f>
        <v>1</v>
      </c>
      <c r="G5364" s="34" t="n">
        <f aca="false">B5364/1</f>
        <v>155.723</v>
      </c>
      <c r="H5364" s="34" t="n">
        <f aca="false">IF(F5364=1,G5364,"")</f>
        <v>155.723</v>
      </c>
    </row>
    <row r="5365" customFormat="false" ht="15" hidden="false" customHeight="false" outlineLevel="0" collapsed="false">
      <c r="A5365" s="31" t="n">
        <v>42959.4583333333</v>
      </c>
      <c r="B5365" s="32" t="n">
        <v>155.409</v>
      </c>
      <c r="D5365" s="33" t="n">
        <f aca="false">WEEKDAY(A5365,2)</f>
        <v>6</v>
      </c>
      <c r="E5365" s="33" t="n">
        <f aca="false">HOUR(A5365)+MINUTE(A5365)/60</f>
        <v>11</v>
      </c>
      <c r="F5365" s="33" t="n">
        <f aca="false">IF(OR(D5365&gt;5,E5365&lt;8,E5365&gt;=18,COUNTIF($K$2:$K$10,INT(A5365))&gt;0),1,0)</f>
        <v>1</v>
      </c>
      <c r="G5365" s="34" t="n">
        <f aca="false">B5365/1</f>
        <v>155.409</v>
      </c>
      <c r="H5365" s="34" t="n">
        <f aca="false">IF(F5365=1,G5365,"")</f>
        <v>155.409</v>
      </c>
    </row>
    <row r="5366" customFormat="false" ht="15" hidden="false" customHeight="false" outlineLevel="0" collapsed="false">
      <c r="A5366" s="31" t="n">
        <v>42959.5</v>
      </c>
      <c r="B5366" s="32" t="n">
        <v>155.947</v>
      </c>
      <c r="D5366" s="33" t="n">
        <f aca="false">WEEKDAY(A5366,2)</f>
        <v>6</v>
      </c>
      <c r="E5366" s="33" t="n">
        <f aca="false">HOUR(A5366)+MINUTE(A5366)/60</f>
        <v>12</v>
      </c>
      <c r="F5366" s="33" t="n">
        <f aca="false">IF(OR(D5366&gt;5,E5366&lt;8,E5366&gt;=18,COUNTIF($K$2:$K$10,INT(A5366))&gt;0),1,0)</f>
        <v>1</v>
      </c>
      <c r="G5366" s="34" t="n">
        <f aca="false">B5366/1</f>
        <v>155.947</v>
      </c>
      <c r="H5366" s="34" t="n">
        <f aca="false">IF(F5366=1,G5366,"")</f>
        <v>155.947</v>
      </c>
    </row>
    <row r="5367" customFormat="false" ht="15" hidden="false" customHeight="false" outlineLevel="0" collapsed="false">
      <c r="A5367" s="31" t="n">
        <v>42959.5416666667</v>
      </c>
      <c r="B5367" s="32" t="n">
        <v>158.2</v>
      </c>
      <c r="D5367" s="33" t="n">
        <f aca="false">WEEKDAY(A5367,2)</f>
        <v>6</v>
      </c>
      <c r="E5367" s="33" t="n">
        <f aca="false">HOUR(A5367)+MINUTE(A5367)/60</f>
        <v>13</v>
      </c>
      <c r="F5367" s="33" t="n">
        <f aca="false">IF(OR(D5367&gt;5,E5367&lt;8,E5367&gt;=18,COUNTIF($K$2:$K$10,INT(A5367))&gt;0),1,0)</f>
        <v>1</v>
      </c>
      <c r="G5367" s="34" t="n">
        <f aca="false">B5367/1</f>
        <v>158.2</v>
      </c>
      <c r="H5367" s="34" t="n">
        <f aca="false">IF(F5367=1,G5367,"")</f>
        <v>158.2</v>
      </c>
    </row>
    <row r="5368" customFormat="false" ht="15" hidden="false" customHeight="false" outlineLevel="0" collapsed="false">
      <c r="A5368" s="31" t="n">
        <v>42959.5833333333</v>
      </c>
      <c r="B5368" s="32" t="n">
        <v>159.497</v>
      </c>
      <c r="D5368" s="33" t="n">
        <f aca="false">WEEKDAY(A5368,2)</f>
        <v>6</v>
      </c>
      <c r="E5368" s="33" t="n">
        <f aca="false">HOUR(A5368)+MINUTE(A5368)/60</f>
        <v>14</v>
      </c>
      <c r="F5368" s="33" t="n">
        <f aca="false">IF(OR(D5368&gt;5,E5368&lt;8,E5368&gt;=18,COUNTIF($K$2:$K$10,INT(A5368))&gt;0),1,0)</f>
        <v>1</v>
      </c>
      <c r="G5368" s="34" t="n">
        <f aca="false">B5368/1</f>
        <v>159.497</v>
      </c>
      <c r="H5368" s="34" t="n">
        <f aca="false">IF(F5368=1,G5368,"")</f>
        <v>159.497</v>
      </c>
    </row>
    <row r="5369" customFormat="false" ht="15" hidden="false" customHeight="false" outlineLevel="0" collapsed="false">
      <c r="A5369" s="31" t="n">
        <v>42959.625</v>
      </c>
      <c r="B5369" s="32" t="n">
        <v>162.417</v>
      </c>
      <c r="D5369" s="33" t="n">
        <f aca="false">WEEKDAY(A5369,2)</f>
        <v>6</v>
      </c>
      <c r="E5369" s="33" t="n">
        <f aca="false">HOUR(A5369)+MINUTE(A5369)/60</f>
        <v>15</v>
      </c>
      <c r="F5369" s="33" t="n">
        <f aca="false">IF(OR(D5369&gt;5,E5369&lt;8,E5369&gt;=18,COUNTIF($K$2:$K$10,INT(A5369))&gt;0),1,0)</f>
        <v>1</v>
      </c>
      <c r="G5369" s="34" t="n">
        <f aca="false">B5369/1</f>
        <v>162.417</v>
      </c>
      <c r="H5369" s="34" t="n">
        <f aca="false">IF(F5369=1,G5369,"")</f>
        <v>162.417</v>
      </c>
    </row>
    <row r="5370" customFormat="false" ht="15" hidden="false" customHeight="false" outlineLevel="0" collapsed="false">
      <c r="A5370" s="31" t="n">
        <v>42959.6666666667</v>
      </c>
      <c r="B5370" s="32" t="n">
        <v>157.499</v>
      </c>
      <c r="D5370" s="33" t="n">
        <f aca="false">WEEKDAY(A5370,2)</f>
        <v>6</v>
      </c>
      <c r="E5370" s="33" t="n">
        <f aca="false">HOUR(A5370)+MINUTE(A5370)/60</f>
        <v>16</v>
      </c>
      <c r="F5370" s="33" t="n">
        <f aca="false">IF(OR(D5370&gt;5,E5370&lt;8,E5370&gt;=18,COUNTIF($K$2:$K$10,INT(A5370))&gt;0),1,0)</f>
        <v>1</v>
      </c>
      <c r="G5370" s="34" t="n">
        <f aca="false">B5370/1</f>
        <v>157.499</v>
      </c>
      <c r="H5370" s="34" t="n">
        <f aca="false">IF(F5370=1,G5370,"")</f>
        <v>157.499</v>
      </c>
    </row>
    <row r="5371" customFormat="false" ht="15" hidden="false" customHeight="false" outlineLevel="0" collapsed="false">
      <c r="A5371" s="31" t="n">
        <v>42959.7083333333</v>
      </c>
      <c r="B5371" s="32" t="n">
        <v>152.102</v>
      </c>
      <c r="D5371" s="33" t="n">
        <f aca="false">WEEKDAY(A5371,2)</f>
        <v>6</v>
      </c>
      <c r="E5371" s="33" t="n">
        <f aca="false">HOUR(A5371)+MINUTE(A5371)/60</f>
        <v>17</v>
      </c>
      <c r="F5371" s="33" t="n">
        <f aca="false">IF(OR(D5371&gt;5,E5371&lt;8,E5371&gt;=18,COUNTIF($K$2:$K$10,INT(A5371))&gt;0),1,0)</f>
        <v>1</v>
      </c>
      <c r="G5371" s="34" t="n">
        <f aca="false">B5371/1</f>
        <v>152.102</v>
      </c>
      <c r="H5371" s="34" t="n">
        <f aca="false">IF(F5371=1,G5371,"")</f>
        <v>152.102</v>
      </c>
    </row>
    <row r="5372" customFormat="false" ht="15" hidden="false" customHeight="false" outlineLevel="0" collapsed="false">
      <c r="A5372" s="31" t="n">
        <v>42959.75</v>
      </c>
      <c r="B5372" s="32" t="n">
        <v>62.371</v>
      </c>
      <c r="D5372" s="33" t="n">
        <f aca="false">WEEKDAY(A5372,2)</f>
        <v>6</v>
      </c>
      <c r="E5372" s="33" t="n">
        <f aca="false">HOUR(A5372)+MINUTE(A5372)/60</f>
        <v>18</v>
      </c>
      <c r="F5372" s="33" t="n">
        <f aca="false">IF(OR(D5372&gt;5,E5372&lt;8,E5372&gt;=18,COUNTIF($K$2:$K$10,INT(A5372))&gt;0),1,0)</f>
        <v>1</v>
      </c>
      <c r="G5372" s="34" t="n">
        <f aca="false">B5372/1</f>
        <v>62.371</v>
      </c>
      <c r="H5372" s="34" t="n">
        <f aca="false">IF(F5372=1,G5372,"")</f>
        <v>62.371</v>
      </c>
    </row>
    <row r="5373" customFormat="false" ht="15" hidden="false" customHeight="false" outlineLevel="0" collapsed="false">
      <c r="A5373" s="31" t="n">
        <v>42959.7916666667</v>
      </c>
      <c r="B5373" s="32" t="n">
        <v>43.803</v>
      </c>
      <c r="D5373" s="33" t="n">
        <f aca="false">WEEKDAY(A5373,2)</f>
        <v>6</v>
      </c>
      <c r="E5373" s="33" t="n">
        <f aca="false">HOUR(A5373)+MINUTE(A5373)/60</f>
        <v>19</v>
      </c>
      <c r="F5373" s="33" t="n">
        <f aca="false">IF(OR(D5373&gt;5,E5373&lt;8,E5373&gt;=18,COUNTIF($K$2:$K$10,INT(A5373))&gt;0),1,0)</f>
        <v>1</v>
      </c>
      <c r="G5373" s="34" t="n">
        <f aca="false">B5373/1</f>
        <v>43.803</v>
      </c>
      <c r="H5373" s="34" t="n">
        <f aca="false">IF(F5373=1,G5373,"")</f>
        <v>43.803</v>
      </c>
    </row>
    <row r="5374" customFormat="false" ht="15" hidden="false" customHeight="false" outlineLevel="0" collapsed="false">
      <c r="A5374" s="31" t="n">
        <v>42959.8333333333</v>
      </c>
      <c r="B5374" s="32" t="n">
        <v>43.072</v>
      </c>
      <c r="D5374" s="33" t="n">
        <f aca="false">WEEKDAY(A5374,2)</f>
        <v>6</v>
      </c>
      <c r="E5374" s="33" t="n">
        <f aca="false">HOUR(A5374)+MINUTE(A5374)/60</f>
        <v>20</v>
      </c>
      <c r="F5374" s="33" t="n">
        <f aca="false">IF(OR(D5374&gt;5,E5374&lt;8,E5374&gt;=18,COUNTIF($K$2:$K$10,INT(A5374))&gt;0),1,0)</f>
        <v>1</v>
      </c>
      <c r="G5374" s="34" t="n">
        <f aca="false">B5374/1</f>
        <v>43.072</v>
      </c>
      <c r="H5374" s="34" t="n">
        <f aca="false">IF(F5374=1,G5374,"")</f>
        <v>43.072</v>
      </c>
    </row>
    <row r="5375" customFormat="false" ht="15" hidden="false" customHeight="false" outlineLevel="0" collapsed="false">
      <c r="A5375" s="31" t="n">
        <v>42959.875</v>
      </c>
      <c r="B5375" s="32" t="n">
        <v>44.153</v>
      </c>
      <c r="D5375" s="33" t="n">
        <f aca="false">WEEKDAY(A5375,2)</f>
        <v>6</v>
      </c>
      <c r="E5375" s="33" t="n">
        <f aca="false">HOUR(A5375)+MINUTE(A5375)/60</f>
        <v>21</v>
      </c>
      <c r="F5375" s="33" t="n">
        <f aca="false">IF(OR(D5375&gt;5,E5375&lt;8,E5375&gt;=18,COUNTIF($K$2:$K$10,INT(A5375))&gt;0),1,0)</f>
        <v>1</v>
      </c>
      <c r="G5375" s="34" t="n">
        <f aca="false">B5375/1</f>
        <v>44.153</v>
      </c>
      <c r="H5375" s="34" t="n">
        <f aca="false">IF(F5375=1,G5375,"")</f>
        <v>44.153</v>
      </c>
    </row>
    <row r="5376" customFormat="false" ht="15" hidden="false" customHeight="false" outlineLevel="0" collapsed="false">
      <c r="A5376" s="31" t="n">
        <v>42959.9166666667</v>
      </c>
      <c r="B5376" s="32" t="n">
        <v>45.177</v>
      </c>
      <c r="D5376" s="33" t="n">
        <f aca="false">WEEKDAY(A5376,2)</f>
        <v>6</v>
      </c>
      <c r="E5376" s="33" t="n">
        <f aca="false">HOUR(A5376)+MINUTE(A5376)/60</f>
        <v>22</v>
      </c>
      <c r="F5376" s="33" t="n">
        <f aca="false">IF(OR(D5376&gt;5,E5376&lt;8,E5376&gt;=18,COUNTIF($K$2:$K$10,INT(A5376))&gt;0),1,0)</f>
        <v>1</v>
      </c>
      <c r="G5376" s="34" t="n">
        <f aca="false">B5376/1</f>
        <v>45.177</v>
      </c>
      <c r="H5376" s="34" t="n">
        <f aca="false">IF(F5376=1,G5376,"")</f>
        <v>45.177</v>
      </c>
    </row>
    <row r="5377" customFormat="false" ht="15" hidden="false" customHeight="false" outlineLevel="0" collapsed="false">
      <c r="A5377" s="31" t="n">
        <v>42959.9583333333</v>
      </c>
      <c r="B5377" s="32" t="n">
        <v>45.035</v>
      </c>
      <c r="D5377" s="33" t="n">
        <f aca="false">WEEKDAY(A5377,2)</f>
        <v>6</v>
      </c>
      <c r="E5377" s="33" t="n">
        <f aca="false">HOUR(A5377)+MINUTE(A5377)/60</f>
        <v>23</v>
      </c>
      <c r="F5377" s="33" t="n">
        <f aca="false">IF(OR(D5377&gt;5,E5377&lt;8,E5377&gt;=18,COUNTIF($K$2:$K$10,INT(A5377))&gt;0),1,0)</f>
        <v>1</v>
      </c>
      <c r="G5377" s="34" t="n">
        <f aca="false">B5377/1</f>
        <v>45.035</v>
      </c>
      <c r="H5377" s="34" t="n">
        <f aca="false">IF(F5377=1,G5377,"")</f>
        <v>45.035</v>
      </c>
    </row>
    <row r="5378" customFormat="false" ht="15" hidden="false" customHeight="false" outlineLevel="0" collapsed="false">
      <c r="A5378" s="31" t="n">
        <v>42960</v>
      </c>
      <c r="B5378" s="32" t="n">
        <v>45.989</v>
      </c>
      <c r="D5378" s="33" t="n">
        <f aca="false">WEEKDAY(A5378,2)</f>
        <v>7</v>
      </c>
      <c r="E5378" s="33" t="n">
        <f aca="false">HOUR(A5378)+MINUTE(A5378)/60</f>
        <v>0</v>
      </c>
      <c r="F5378" s="33" t="n">
        <f aca="false">IF(OR(D5378&gt;5,E5378&lt;8,E5378&gt;=18,COUNTIF($K$2:$K$10,INT(A5378))&gt;0),1,0)</f>
        <v>1</v>
      </c>
      <c r="G5378" s="34" t="n">
        <f aca="false">B5378/1</f>
        <v>45.989</v>
      </c>
      <c r="H5378" s="34" t="n">
        <f aca="false">IF(F5378=1,G5378,"")</f>
        <v>45.989</v>
      </c>
    </row>
    <row r="5379" customFormat="false" ht="15" hidden="false" customHeight="false" outlineLevel="0" collapsed="false">
      <c r="A5379" s="31" t="n">
        <v>42960.0416666667</v>
      </c>
      <c r="B5379" s="32" t="n">
        <v>45.17</v>
      </c>
      <c r="D5379" s="33" t="n">
        <f aca="false">WEEKDAY(A5379,2)</f>
        <v>7</v>
      </c>
      <c r="E5379" s="33" t="n">
        <f aca="false">HOUR(A5379)+MINUTE(A5379)/60</f>
        <v>1</v>
      </c>
      <c r="F5379" s="33" t="n">
        <f aca="false">IF(OR(D5379&gt;5,E5379&lt;8,E5379&gt;=18,COUNTIF($K$2:$K$10,INT(A5379))&gt;0),1,0)</f>
        <v>1</v>
      </c>
      <c r="G5379" s="34" t="n">
        <f aca="false">B5379/1</f>
        <v>45.17</v>
      </c>
      <c r="H5379" s="34" t="n">
        <f aca="false">IF(F5379=1,G5379,"")</f>
        <v>45.17</v>
      </c>
    </row>
    <row r="5380" customFormat="false" ht="15" hidden="false" customHeight="false" outlineLevel="0" collapsed="false">
      <c r="A5380" s="31" t="n">
        <v>42960.0833333333</v>
      </c>
      <c r="B5380" s="32" t="n">
        <v>45.626</v>
      </c>
      <c r="D5380" s="33" t="n">
        <f aca="false">WEEKDAY(A5380,2)</f>
        <v>7</v>
      </c>
      <c r="E5380" s="33" t="n">
        <f aca="false">HOUR(A5380)+MINUTE(A5380)/60</f>
        <v>2</v>
      </c>
      <c r="F5380" s="33" t="n">
        <f aca="false">IF(OR(D5380&gt;5,E5380&lt;8,E5380&gt;=18,COUNTIF($K$2:$K$10,INT(A5380))&gt;0),1,0)</f>
        <v>1</v>
      </c>
      <c r="G5380" s="34" t="n">
        <f aca="false">B5380/1</f>
        <v>45.626</v>
      </c>
      <c r="H5380" s="34" t="n">
        <f aca="false">IF(F5380=1,G5380,"")</f>
        <v>45.626</v>
      </c>
    </row>
    <row r="5381" customFormat="false" ht="15" hidden="false" customHeight="false" outlineLevel="0" collapsed="false">
      <c r="A5381" s="31" t="n">
        <v>42960.125</v>
      </c>
      <c r="B5381" s="32" t="n">
        <v>46.267</v>
      </c>
      <c r="D5381" s="33" t="n">
        <f aca="false">WEEKDAY(A5381,2)</f>
        <v>7</v>
      </c>
      <c r="E5381" s="33" t="n">
        <f aca="false">HOUR(A5381)+MINUTE(A5381)/60</f>
        <v>3</v>
      </c>
      <c r="F5381" s="33" t="n">
        <f aca="false">IF(OR(D5381&gt;5,E5381&lt;8,E5381&gt;=18,COUNTIF($K$2:$K$10,INT(A5381))&gt;0),1,0)</f>
        <v>1</v>
      </c>
      <c r="G5381" s="34" t="n">
        <f aca="false">B5381/1</f>
        <v>46.267</v>
      </c>
      <c r="H5381" s="34" t="n">
        <f aca="false">IF(F5381=1,G5381,"")</f>
        <v>46.267</v>
      </c>
    </row>
    <row r="5382" customFormat="false" ht="15" hidden="false" customHeight="false" outlineLevel="0" collapsed="false">
      <c r="A5382" s="31" t="n">
        <v>42960.1666666667</v>
      </c>
      <c r="B5382" s="32" t="n">
        <v>45.367</v>
      </c>
      <c r="D5382" s="33" t="n">
        <f aca="false">WEEKDAY(A5382,2)</f>
        <v>7</v>
      </c>
      <c r="E5382" s="33" t="n">
        <f aca="false">HOUR(A5382)+MINUTE(A5382)/60</f>
        <v>4</v>
      </c>
      <c r="F5382" s="33" t="n">
        <f aca="false">IF(OR(D5382&gt;5,E5382&lt;8,E5382&gt;=18,COUNTIF($K$2:$K$10,INT(A5382))&gt;0),1,0)</f>
        <v>1</v>
      </c>
      <c r="G5382" s="34" t="n">
        <f aca="false">B5382/1</f>
        <v>45.367</v>
      </c>
      <c r="H5382" s="34" t="n">
        <f aca="false">IF(F5382=1,G5382,"")</f>
        <v>45.367</v>
      </c>
    </row>
    <row r="5383" customFormat="false" ht="15" hidden="false" customHeight="false" outlineLevel="0" collapsed="false">
      <c r="A5383" s="31" t="n">
        <v>42960.2083333333</v>
      </c>
      <c r="B5383" s="32" t="n">
        <v>45.566</v>
      </c>
      <c r="D5383" s="33" t="n">
        <f aca="false">WEEKDAY(A5383,2)</f>
        <v>7</v>
      </c>
      <c r="E5383" s="33" t="n">
        <f aca="false">HOUR(A5383)+MINUTE(A5383)/60</f>
        <v>5</v>
      </c>
      <c r="F5383" s="33" t="n">
        <f aca="false">IF(OR(D5383&gt;5,E5383&lt;8,E5383&gt;=18,COUNTIF($K$2:$K$10,INT(A5383))&gt;0),1,0)</f>
        <v>1</v>
      </c>
      <c r="G5383" s="34" t="n">
        <f aca="false">B5383/1</f>
        <v>45.566</v>
      </c>
      <c r="H5383" s="34" t="n">
        <f aca="false">IF(F5383=1,G5383,"")</f>
        <v>45.566</v>
      </c>
    </row>
    <row r="5384" customFormat="false" ht="15" hidden="false" customHeight="false" outlineLevel="0" collapsed="false">
      <c r="A5384" s="31" t="n">
        <v>42960.25</v>
      </c>
      <c r="B5384" s="32" t="n">
        <v>45.283</v>
      </c>
      <c r="D5384" s="33" t="n">
        <f aca="false">WEEKDAY(A5384,2)</f>
        <v>7</v>
      </c>
      <c r="E5384" s="33" t="n">
        <f aca="false">HOUR(A5384)+MINUTE(A5384)/60</f>
        <v>6</v>
      </c>
      <c r="F5384" s="33" t="n">
        <f aca="false">IF(OR(D5384&gt;5,E5384&lt;8,E5384&gt;=18,COUNTIF($K$2:$K$10,INT(A5384))&gt;0),1,0)</f>
        <v>1</v>
      </c>
      <c r="G5384" s="34" t="n">
        <f aca="false">B5384/1</f>
        <v>45.283</v>
      </c>
      <c r="H5384" s="34" t="n">
        <f aca="false">IF(F5384=1,G5384,"")</f>
        <v>45.283</v>
      </c>
    </row>
    <row r="5385" customFormat="false" ht="15" hidden="false" customHeight="false" outlineLevel="0" collapsed="false">
      <c r="A5385" s="31" t="n">
        <v>42960.2916666667</v>
      </c>
      <c r="B5385" s="32" t="n">
        <v>45.729</v>
      </c>
      <c r="D5385" s="33" t="n">
        <f aca="false">WEEKDAY(A5385,2)</f>
        <v>7</v>
      </c>
      <c r="E5385" s="33" t="n">
        <f aca="false">HOUR(A5385)+MINUTE(A5385)/60</f>
        <v>7</v>
      </c>
      <c r="F5385" s="33" t="n">
        <f aca="false">IF(OR(D5385&gt;5,E5385&lt;8,E5385&gt;=18,COUNTIF($K$2:$K$10,INT(A5385))&gt;0),1,0)</f>
        <v>1</v>
      </c>
      <c r="G5385" s="34" t="n">
        <f aca="false">B5385/1</f>
        <v>45.729</v>
      </c>
      <c r="H5385" s="34" t="n">
        <f aca="false">IF(F5385=1,G5385,"")</f>
        <v>45.729</v>
      </c>
    </row>
    <row r="5386" customFormat="false" ht="15" hidden="false" customHeight="false" outlineLevel="0" collapsed="false">
      <c r="A5386" s="31" t="n">
        <v>42960.3333333333</v>
      </c>
      <c r="B5386" s="32" t="n">
        <v>43.296</v>
      </c>
      <c r="D5386" s="33" t="n">
        <f aca="false">WEEKDAY(A5386,2)</f>
        <v>7</v>
      </c>
      <c r="E5386" s="33" t="n">
        <f aca="false">HOUR(A5386)+MINUTE(A5386)/60</f>
        <v>8</v>
      </c>
      <c r="F5386" s="33" t="n">
        <f aca="false">IF(OR(D5386&gt;5,E5386&lt;8,E5386&gt;=18,COUNTIF($K$2:$K$10,INT(A5386))&gt;0),1,0)</f>
        <v>1</v>
      </c>
      <c r="G5386" s="34" t="n">
        <f aca="false">B5386/1</f>
        <v>43.296</v>
      </c>
      <c r="H5386" s="34" t="n">
        <f aca="false">IF(F5386=1,G5386,"")</f>
        <v>43.296</v>
      </c>
    </row>
    <row r="5387" customFormat="false" ht="15" hidden="false" customHeight="false" outlineLevel="0" collapsed="false">
      <c r="A5387" s="31" t="n">
        <v>42960.375</v>
      </c>
      <c r="B5387" s="32" t="n">
        <v>43.718</v>
      </c>
      <c r="D5387" s="33" t="n">
        <f aca="false">WEEKDAY(A5387,2)</f>
        <v>7</v>
      </c>
      <c r="E5387" s="33" t="n">
        <f aca="false">HOUR(A5387)+MINUTE(A5387)/60</f>
        <v>9</v>
      </c>
      <c r="F5387" s="33" t="n">
        <f aca="false">IF(OR(D5387&gt;5,E5387&lt;8,E5387&gt;=18,COUNTIF($K$2:$K$10,INT(A5387))&gt;0),1,0)</f>
        <v>1</v>
      </c>
      <c r="G5387" s="34" t="n">
        <f aca="false">B5387/1</f>
        <v>43.718</v>
      </c>
      <c r="H5387" s="34" t="n">
        <f aca="false">IF(F5387=1,G5387,"")</f>
        <v>43.718</v>
      </c>
    </row>
    <row r="5388" customFormat="false" ht="15" hidden="false" customHeight="false" outlineLevel="0" collapsed="false">
      <c r="A5388" s="31" t="n">
        <v>42960.4166666667</v>
      </c>
      <c r="B5388" s="32" t="n">
        <v>43.123</v>
      </c>
      <c r="D5388" s="33" t="n">
        <f aca="false">WEEKDAY(A5388,2)</f>
        <v>7</v>
      </c>
      <c r="E5388" s="33" t="n">
        <f aca="false">HOUR(A5388)+MINUTE(A5388)/60</f>
        <v>10</v>
      </c>
      <c r="F5388" s="33" t="n">
        <f aca="false">IF(OR(D5388&gt;5,E5388&lt;8,E5388&gt;=18,COUNTIF($K$2:$K$10,INT(A5388))&gt;0),1,0)</f>
        <v>1</v>
      </c>
      <c r="G5388" s="34" t="n">
        <f aca="false">B5388/1</f>
        <v>43.123</v>
      </c>
      <c r="H5388" s="34" t="n">
        <f aca="false">IF(F5388=1,G5388,"")</f>
        <v>43.123</v>
      </c>
    </row>
    <row r="5389" customFormat="false" ht="15" hidden="false" customHeight="false" outlineLevel="0" collapsed="false">
      <c r="A5389" s="31" t="n">
        <v>42960.4583333333</v>
      </c>
      <c r="B5389" s="32" t="n">
        <v>43.333</v>
      </c>
      <c r="D5389" s="33" t="n">
        <f aca="false">WEEKDAY(A5389,2)</f>
        <v>7</v>
      </c>
      <c r="E5389" s="33" t="n">
        <f aca="false">HOUR(A5389)+MINUTE(A5389)/60</f>
        <v>11</v>
      </c>
      <c r="F5389" s="33" t="n">
        <f aca="false">IF(OR(D5389&gt;5,E5389&lt;8,E5389&gt;=18,COUNTIF($K$2:$K$10,INT(A5389))&gt;0),1,0)</f>
        <v>1</v>
      </c>
      <c r="G5389" s="34" t="n">
        <f aca="false">B5389/1</f>
        <v>43.333</v>
      </c>
      <c r="H5389" s="34" t="n">
        <f aca="false">IF(F5389=1,G5389,"")</f>
        <v>43.333</v>
      </c>
    </row>
    <row r="5390" customFormat="false" ht="15" hidden="false" customHeight="false" outlineLevel="0" collapsed="false">
      <c r="A5390" s="31" t="n">
        <v>42960.5</v>
      </c>
      <c r="B5390" s="32" t="n">
        <v>44.682</v>
      </c>
      <c r="D5390" s="33" t="n">
        <f aca="false">WEEKDAY(A5390,2)</f>
        <v>7</v>
      </c>
      <c r="E5390" s="33" t="n">
        <f aca="false">HOUR(A5390)+MINUTE(A5390)/60</f>
        <v>12</v>
      </c>
      <c r="F5390" s="33" t="n">
        <f aca="false">IF(OR(D5390&gt;5,E5390&lt;8,E5390&gt;=18,COUNTIF($K$2:$K$10,INT(A5390))&gt;0),1,0)</f>
        <v>1</v>
      </c>
      <c r="G5390" s="34" t="n">
        <f aca="false">B5390/1</f>
        <v>44.682</v>
      </c>
      <c r="H5390" s="34" t="n">
        <f aca="false">IF(F5390=1,G5390,"")</f>
        <v>44.682</v>
      </c>
    </row>
    <row r="5391" customFormat="false" ht="15" hidden="false" customHeight="false" outlineLevel="0" collapsed="false">
      <c r="A5391" s="31" t="n">
        <v>42960.5416666667</v>
      </c>
      <c r="B5391" s="32" t="n">
        <v>99.095</v>
      </c>
      <c r="D5391" s="33" t="n">
        <f aca="false">WEEKDAY(A5391,2)</f>
        <v>7</v>
      </c>
      <c r="E5391" s="33" t="n">
        <f aca="false">HOUR(A5391)+MINUTE(A5391)/60</f>
        <v>13</v>
      </c>
      <c r="F5391" s="33" t="n">
        <f aca="false">IF(OR(D5391&gt;5,E5391&lt;8,E5391&gt;=18,COUNTIF($K$2:$K$10,INT(A5391))&gt;0),1,0)</f>
        <v>1</v>
      </c>
      <c r="G5391" s="34" t="n">
        <f aca="false">B5391/1</f>
        <v>99.095</v>
      </c>
      <c r="H5391" s="34" t="n">
        <f aca="false">IF(F5391=1,G5391,"")</f>
        <v>99.095</v>
      </c>
    </row>
    <row r="5392" customFormat="false" ht="15" hidden="false" customHeight="false" outlineLevel="0" collapsed="false">
      <c r="A5392" s="31" t="n">
        <v>42960.5833333333</v>
      </c>
      <c r="B5392" s="32" t="n">
        <v>125.644</v>
      </c>
      <c r="D5392" s="33" t="n">
        <f aca="false">WEEKDAY(A5392,2)</f>
        <v>7</v>
      </c>
      <c r="E5392" s="33" t="n">
        <f aca="false">HOUR(A5392)+MINUTE(A5392)/60</f>
        <v>14</v>
      </c>
      <c r="F5392" s="33" t="n">
        <f aca="false">IF(OR(D5392&gt;5,E5392&lt;8,E5392&gt;=18,COUNTIF($K$2:$K$10,INT(A5392))&gt;0),1,0)</f>
        <v>1</v>
      </c>
      <c r="G5392" s="34" t="n">
        <f aca="false">B5392/1</f>
        <v>125.644</v>
      </c>
      <c r="H5392" s="34" t="n">
        <f aca="false">IF(F5392=1,G5392,"")</f>
        <v>125.644</v>
      </c>
    </row>
    <row r="5393" customFormat="false" ht="15" hidden="false" customHeight="false" outlineLevel="0" collapsed="false">
      <c r="A5393" s="31" t="n">
        <v>42960.625</v>
      </c>
      <c r="B5393" s="32" t="n">
        <v>124.196</v>
      </c>
      <c r="D5393" s="33" t="n">
        <f aca="false">WEEKDAY(A5393,2)</f>
        <v>7</v>
      </c>
      <c r="E5393" s="33" t="n">
        <f aca="false">HOUR(A5393)+MINUTE(A5393)/60</f>
        <v>15</v>
      </c>
      <c r="F5393" s="33" t="n">
        <f aca="false">IF(OR(D5393&gt;5,E5393&lt;8,E5393&gt;=18,COUNTIF($K$2:$K$10,INT(A5393))&gt;0),1,0)</f>
        <v>1</v>
      </c>
      <c r="G5393" s="34" t="n">
        <f aca="false">B5393/1</f>
        <v>124.196</v>
      </c>
      <c r="H5393" s="34" t="n">
        <f aca="false">IF(F5393=1,G5393,"")</f>
        <v>124.196</v>
      </c>
    </row>
    <row r="5394" customFormat="false" ht="15" hidden="false" customHeight="false" outlineLevel="0" collapsed="false">
      <c r="A5394" s="31" t="n">
        <v>42960.6666666667</v>
      </c>
      <c r="B5394" s="32" t="n">
        <v>131.272</v>
      </c>
      <c r="D5394" s="33" t="n">
        <f aca="false">WEEKDAY(A5394,2)</f>
        <v>7</v>
      </c>
      <c r="E5394" s="33" t="n">
        <f aca="false">HOUR(A5394)+MINUTE(A5394)/60</f>
        <v>16</v>
      </c>
      <c r="F5394" s="33" t="n">
        <f aca="false">IF(OR(D5394&gt;5,E5394&lt;8,E5394&gt;=18,COUNTIF($K$2:$K$10,INT(A5394))&gt;0),1,0)</f>
        <v>1</v>
      </c>
      <c r="G5394" s="34" t="n">
        <f aca="false">B5394/1</f>
        <v>131.272</v>
      </c>
      <c r="H5394" s="34" t="n">
        <f aca="false">IF(F5394=1,G5394,"")</f>
        <v>131.272</v>
      </c>
    </row>
    <row r="5395" customFormat="false" ht="15" hidden="false" customHeight="false" outlineLevel="0" collapsed="false">
      <c r="A5395" s="31" t="n">
        <v>42960.7083333333</v>
      </c>
      <c r="B5395" s="32" t="n">
        <v>145.122</v>
      </c>
      <c r="D5395" s="33" t="n">
        <f aca="false">WEEKDAY(A5395,2)</f>
        <v>7</v>
      </c>
      <c r="E5395" s="33" t="n">
        <f aca="false">HOUR(A5395)+MINUTE(A5395)/60</f>
        <v>17</v>
      </c>
      <c r="F5395" s="33" t="n">
        <f aca="false">IF(OR(D5395&gt;5,E5395&lt;8,E5395&gt;=18,COUNTIF($K$2:$K$10,INT(A5395))&gt;0),1,0)</f>
        <v>1</v>
      </c>
      <c r="G5395" s="34" t="n">
        <f aca="false">B5395/1</f>
        <v>145.122</v>
      </c>
      <c r="H5395" s="34" t="n">
        <f aca="false">IF(F5395=1,G5395,"")</f>
        <v>145.122</v>
      </c>
    </row>
    <row r="5396" customFormat="false" ht="15" hidden="false" customHeight="false" outlineLevel="0" collapsed="false">
      <c r="A5396" s="31" t="n">
        <v>42960.75</v>
      </c>
      <c r="B5396" s="32" t="n">
        <v>72.07</v>
      </c>
      <c r="D5396" s="33" t="n">
        <f aca="false">WEEKDAY(A5396,2)</f>
        <v>7</v>
      </c>
      <c r="E5396" s="33" t="n">
        <f aca="false">HOUR(A5396)+MINUTE(A5396)/60</f>
        <v>18</v>
      </c>
      <c r="F5396" s="33" t="n">
        <f aca="false">IF(OR(D5396&gt;5,E5396&lt;8,E5396&gt;=18,COUNTIF($K$2:$K$10,INT(A5396))&gt;0),1,0)</f>
        <v>1</v>
      </c>
      <c r="G5396" s="34" t="n">
        <f aca="false">B5396/1</f>
        <v>72.07</v>
      </c>
      <c r="H5396" s="34" t="n">
        <f aca="false">IF(F5396=1,G5396,"")</f>
        <v>72.07</v>
      </c>
    </row>
    <row r="5397" customFormat="false" ht="15" hidden="false" customHeight="false" outlineLevel="0" collapsed="false">
      <c r="A5397" s="31" t="n">
        <v>42960.7916666667</v>
      </c>
      <c r="B5397" s="32" t="n">
        <v>64.26</v>
      </c>
      <c r="D5397" s="33" t="n">
        <f aca="false">WEEKDAY(A5397,2)</f>
        <v>7</v>
      </c>
      <c r="E5397" s="33" t="n">
        <f aca="false">HOUR(A5397)+MINUTE(A5397)/60</f>
        <v>19</v>
      </c>
      <c r="F5397" s="33" t="n">
        <f aca="false">IF(OR(D5397&gt;5,E5397&lt;8,E5397&gt;=18,COUNTIF($K$2:$K$10,INT(A5397))&gt;0),1,0)</f>
        <v>1</v>
      </c>
      <c r="G5397" s="34" t="n">
        <f aca="false">B5397/1</f>
        <v>64.26</v>
      </c>
      <c r="H5397" s="34" t="n">
        <f aca="false">IF(F5397=1,G5397,"")</f>
        <v>64.26</v>
      </c>
    </row>
    <row r="5398" customFormat="false" ht="15" hidden="false" customHeight="false" outlineLevel="0" collapsed="false">
      <c r="A5398" s="31" t="n">
        <v>42960.8333333333</v>
      </c>
      <c r="B5398" s="32" t="n">
        <v>63.816</v>
      </c>
      <c r="D5398" s="33" t="n">
        <f aca="false">WEEKDAY(A5398,2)</f>
        <v>7</v>
      </c>
      <c r="E5398" s="33" t="n">
        <f aca="false">HOUR(A5398)+MINUTE(A5398)/60</f>
        <v>20</v>
      </c>
      <c r="F5398" s="33" t="n">
        <f aca="false">IF(OR(D5398&gt;5,E5398&lt;8,E5398&gt;=18,COUNTIF($K$2:$K$10,INT(A5398))&gt;0),1,0)</f>
        <v>1</v>
      </c>
      <c r="G5398" s="34" t="n">
        <f aca="false">B5398/1</f>
        <v>63.816</v>
      </c>
      <c r="H5398" s="34" t="n">
        <f aca="false">IF(F5398=1,G5398,"")</f>
        <v>63.816</v>
      </c>
    </row>
    <row r="5399" customFormat="false" ht="15" hidden="false" customHeight="false" outlineLevel="0" collapsed="false">
      <c r="A5399" s="31" t="n">
        <v>42960.875</v>
      </c>
      <c r="B5399" s="32" t="n">
        <v>67.688</v>
      </c>
      <c r="D5399" s="33" t="n">
        <f aca="false">WEEKDAY(A5399,2)</f>
        <v>7</v>
      </c>
      <c r="E5399" s="33" t="n">
        <f aca="false">HOUR(A5399)+MINUTE(A5399)/60</f>
        <v>21</v>
      </c>
      <c r="F5399" s="33" t="n">
        <f aca="false">IF(OR(D5399&gt;5,E5399&lt;8,E5399&gt;=18,COUNTIF($K$2:$K$10,INT(A5399))&gt;0),1,0)</f>
        <v>1</v>
      </c>
      <c r="G5399" s="34" t="n">
        <f aca="false">B5399/1</f>
        <v>67.688</v>
      </c>
      <c r="H5399" s="34" t="n">
        <f aca="false">IF(F5399=1,G5399,"")</f>
        <v>67.688</v>
      </c>
    </row>
    <row r="5400" customFormat="false" ht="15" hidden="false" customHeight="false" outlineLevel="0" collapsed="false">
      <c r="A5400" s="31" t="n">
        <v>42960.9166666667</v>
      </c>
      <c r="B5400" s="32" t="n">
        <v>67.55</v>
      </c>
      <c r="D5400" s="33" t="n">
        <f aca="false">WEEKDAY(A5400,2)</f>
        <v>7</v>
      </c>
      <c r="E5400" s="33" t="n">
        <f aca="false">HOUR(A5400)+MINUTE(A5400)/60</f>
        <v>22</v>
      </c>
      <c r="F5400" s="33" t="n">
        <f aca="false">IF(OR(D5400&gt;5,E5400&lt;8,E5400&gt;=18,COUNTIF($K$2:$K$10,INT(A5400))&gt;0),1,0)</f>
        <v>1</v>
      </c>
      <c r="G5400" s="34" t="n">
        <f aca="false">B5400/1</f>
        <v>67.55</v>
      </c>
      <c r="H5400" s="34" t="n">
        <f aca="false">IF(F5400=1,G5400,"")</f>
        <v>67.55</v>
      </c>
    </row>
    <row r="5401" customFormat="false" ht="15" hidden="false" customHeight="false" outlineLevel="0" collapsed="false">
      <c r="A5401" s="31" t="n">
        <v>42960.9583333333</v>
      </c>
      <c r="B5401" s="32" t="n">
        <v>68.789</v>
      </c>
      <c r="D5401" s="33" t="n">
        <f aca="false">WEEKDAY(A5401,2)</f>
        <v>7</v>
      </c>
      <c r="E5401" s="33" t="n">
        <f aca="false">HOUR(A5401)+MINUTE(A5401)/60</f>
        <v>23</v>
      </c>
      <c r="F5401" s="33" t="n">
        <f aca="false">IF(OR(D5401&gt;5,E5401&lt;8,E5401&gt;=18,COUNTIF($K$2:$K$10,INT(A5401))&gt;0),1,0)</f>
        <v>1</v>
      </c>
      <c r="G5401" s="34" t="n">
        <f aca="false">B5401/1</f>
        <v>68.789</v>
      </c>
      <c r="H5401" s="34" t="n">
        <f aca="false">IF(F5401=1,G5401,"")</f>
        <v>68.789</v>
      </c>
    </row>
    <row r="5402" customFormat="false" ht="15" hidden="false" customHeight="false" outlineLevel="0" collapsed="false">
      <c r="A5402" s="31" t="n">
        <v>42961</v>
      </c>
      <c r="B5402" s="32" t="n">
        <v>69.073</v>
      </c>
      <c r="D5402" s="33" t="n">
        <f aca="false">WEEKDAY(A5402,2)</f>
        <v>1</v>
      </c>
      <c r="E5402" s="33" t="n">
        <f aca="false">HOUR(A5402)+MINUTE(A5402)/60</f>
        <v>0</v>
      </c>
      <c r="F5402" s="33" t="n">
        <f aca="false">IF(OR(D5402&gt;5,E5402&lt;8,E5402&gt;=18,COUNTIF($K$2:$K$10,INT(A5402))&gt;0),1,0)</f>
        <v>1</v>
      </c>
      <c r="G5402" s="34" t="n">
        <f aca="false">B5402/1</f>
        <v>69.073</v>
      </c>
      <c r="H5402" s="34" t="n">
        <f aca="false">IF(F5402=1,G5402,"")</f>
        <v>69.073</v>
      </c>
    </row>
    <row r="5403" customFormat="false" ht="15" hidden="false" customHeight="false" outlineLevel="0" collapsed="false">
      <c r="A5403" s="31" t="n">
        <v>42961.0416666667</v>
      </c>
      <c r="B5403" s="32" t="n">
        <v>68.57</v>
      </c>
      <c r="D5403" s="33" t="n">
        <f aca="false">WEEKDAY(A5403,2)</f>
        <v>1</v>
      </c>
      <c r="E5403" s="33" t="n">
        <f aca="false">HOUR(A5403)+MINUTE(A5403)/60</f>
        <v>1</v>
      </c>
      <c r="F5403" s="33" t="n">
        <f aca="false">IF(OR(D5403&gt;5,E5403&lt;8,E5403&gt;=18,COUNTIF($K$2:$K$10,INT(A5403))&gt;0),1,0)</f>
        <v>1</v>
      </c>
      <c r="G5403" s="34" t="n">
        <f aca="false">B5403/1</f>
        <v>68.57</v>
      </c>
      <c r="H5403" s="34" t="n">
        <f aca="false">IF(F5403=1,G5403,"")</f>
        <v>68.57</v>
      </c>
    </row>
    <row r="5404" customFormat="false" ht="15" hidden="false" customHeight="false" outlineLevel="0" collapsed="false">
      <c r="A5404" s="31" t="n">
        <v>42961.0833333333</v>
      </c>
      <c r="B5404" s="32" t="n">
        <v>69.619</v>
      </c>
      <c r="D5404" s="33" t="n">
        <f aca="false">WEEKDAY(A5404,2)</f>
        <v>1</v>
      </c>
      <c r="E5404" s="33" t="n">
        <f aca="false">HOUR(A5404)+MINUTE(A5404)/60</f>
        <v>2</v>
      </c>
      <c r="F5404" s="33" t="n">
        <f aca="false">IF(OR(D5404&gt;5,E5404&lt;8,E5404&gt;=18,COUNTIF($K$2:$K$10,INT(A5404))&gt;0),1,0)</f>
        <v>1</v>
      </c>
      <c r="G5404" s="34" t="n">
        <f aca="false">B5404/1</f>
        <v>69.619</v>
      </c>
      <c r="H5404" s="34" t="n">
        <f aca="false">IF(F5404=1,G5404,"")</f>
        <v>69.619</v>
      </c>
    </row>
    <row r="5405" customFormat="false" ht="15" hidden="false" customHeight="false" outlineLevel="0" collapsed="false">
      <c r="A5405" s="31" t="n">
        <v>42961.125</v>
      </c>
      <c r="B5405" s="32" t="n">
        <v>69.364</v>
      </c>
      <c r="D5405" s="33" t="n">
        <f aca="false">WEEKDAY(A5405,2)</f>
        <v>1</v>
      </c>
      <c r="E5405" s="33" t="n">
        <f aca="false">HOUR(A5405)+MINUTE(A5405)/60</f>
        <v>3</v>
      </c>
      <c r="F5405" s="33" t="n">
        <f aca="false">IF(OR(D5405&gt;5,E5405&lt;8,E5405&gt;=18,COUNTIF($K$2:$K$10,INT(A5405))&gt;0),1,0)</f>
        <v>1</v>
      </c>
      <c r="G5405" s="34" t="n">
        <f aca="false">B5405/1</f>
        <v>69.364</v>
      </c>
      <c r="H5405" s="34" t="n">
        <f aca="false">IF(F5405=1,G5405,"")</f>
        <v>69.364</v>
      </c>
    </row>
    <row r="5406" customFormat="false" ht="15" hidden="false" customHeight="false" outlineLevel="0" collapsed="false">
      <c r="A5406" s="31" t="n">
        <v>42961.1666666667</v>
      </c>
      <c r="B5406" s="32" t="n">
        <v>69.969</v>
      </c>
      <c r="D5406" s="33" t="n">
        <f aca="false">WEEKDAY(A5406,2)</f>
        <v>1</v>
      </c>
      <c r="E5406" s="33" t="n">
        <f aca="false">HOUR(A5406)+MINUTE(A5406)/60</f>
        <v>4</v>
      </c>
      <c r="F5406" s="33" t="n">
        <f aca="false">IF(OR(D5406&gt;5,E5406&lt;8,E5406&gt;=18,COUNTIF($K$2:$K$10,INT(A5406))&gt;0),1,0)</f>
        <v>1</v>
      </c>
      <c r="G5406" s="34" t="n">
        <f aca="false">B5406/1</f>
        <v>69.969</v>
      </c>
      <c r="H5406" s="34" t="n">
        <f aca="false">IF(F5406=1,G5406,"")</f>
        <v>69.969</v>
      </c>
    </row>
    <row r="5407" customFormat="false" ht="15" hidden="false" customHeight="false" outlineLevel="0" collapsed="false">
      <c r="A5407" s="31" t="n">
        <v>42961.2083333333</v>
      </c>
      <c r="B5407" s="32" t="n">
        <v>69.675</v>
      </c>
      <c r="D5407" s="33" t="n">
        <f aca="false">WEEKDAY(A5407,2)</f>
        <v>1</v>
      </c>
      <c r="E5407" s="33" t="n">
        <f aca="false">HOUR(A5407)+MINUTE(A5407)/60</f>
        <v>5</v>
      </c>
      <c r="F5407" s="33" t="n">
        <f aca="false">IF(OR(D5407&gt;5,E5407&lt;8,E5407&gt;=18,COUNTIF($K$2:$K$10,INT(A5407))&gt;0),1,0)</f>
        <v>1</v>
      </c>
      <c r="G5407" s="34" t="n">
        <f aca="false">B5407/1</f>
        <v>69.675</v>
      </c>
      <c r="H5407" s="34" t="n">
        <f aca="false">IF(F5407=1,G5407,"")</f>
        <v>69.675</v>
      </c>
    </row>
    <row r="5408" customFormat="false" ht="15" hidden="false" customHeight="false" outlineLevel="0" collapsed="false">
      <c r="A5408" s="31" t="n">
        <v>42961.25</v>
      </c>
      <c r="B5408" s="32" t="n">
        <v>70.727</v>
      </c>
      <c r="D5408" s="33" t="n">
        <f aca="false">WEEKDAY(A5408,2)</f>
        <v>1</v>
      </c>
      <c r="E5408" s="33" t="n">
        <f aca="false">HOUR(A5408)+MINUTE(A5408)/60</f>
        <v>6</v>
      </c>
      <c r="F5408" s="33" t="n">
        <f aca="false">IF(OR(D5408&gt;5,E5408&lt;8,E5408&gt;=18,COUNTIF($K$2:$K$10,INT(A5408))&gt;0),1,0)</f>
        <v>1</v>
      </c>
      <c r="G5408" s="34" t="n">
        <f aca="false">B5408/1</f>
        <v>70.727</v>
      </c>
      <c r="H5408" s="34" t="n">
        <f aca="false">IF(F5408=1,G5408,"")</f>
        <v>70.727</v>
      </c>
    </row>
    <row r="5409" customFormat="false" ht="15" hidden="false" customHeight="false" outlineLevel="0" collapsed="false">
      <c r="A5409" s="31" t="n">
        <v>42961.2916666667</v>
      </c>
      <c r="B5409" s="32" t="n">
        <v>98.573</v>
      </c>
      <c r="D5409" s="33" t="n">
        <f aca="false">WEEKDAY(A5409,2)</f>
        <v>1</v>
      </c>
      <c r="E5409" s="33" t="n">
        <f aca="false">HOUR(A5409)+MINUTE(A5409)/60</f>
        <v>7</v>
      </c>
      <c r="F5409" s="33" t="n">
        <f aca="false">IF(OR(D5409&gt;5,E5409&lt;8,E5409&gt;=18,COUNTIF($K$2:$K$10,INT(A5409))&gt;0),1,0)</f>
        <v>1</v>
      </c>
      <c r="G5409" s="34" t="n">
        <f aca="false">B5409/1</f>
        <v>98.573</v>
      </c>
      <c r="H5409" s="34" t="n">
        <f aca="false">IF(F5409=1,G5409,"")</f>
        <v>98.573</v>
      </c>
    </row>
    <row r="5410" customFormat="false" ht="15" hidden="false" customHeight="false" outlineLevel="0" collapsed="false">
      <c r="A5410" s="31" t="n">
        <v>42961.3333333333</v>
      </c>
      <c r="B5410" s="32" t="n">
        <v>185.265</v>
      </c>
      <c r="D5410" s="33" t="n">
        <f aca="false">WEEKDAY(A5410,2)</f>
        <v>1</v>
      </c>
      <c r="E5410" s="33" t="n">
        <f aca="false">HOUR(A5410)+MINUTE(A5410)/60</f>
        <v>8</v>
      </c>
      <c r="F5410" s="33" t="n">
        <f aca="false">IF(OR(D5410&gt;5,E5410&lt;8,E5410&gt;=18,COUNTIF($K$2:$K$10,INT(A5410))&gt;0),1,0)</f>
        <v>0</v>
      </c>
      <c r="G5410" s="34" t="n">
        <f aca="false">B5410/1</f>
        <v>185.265</v>
      </c>
      <c r="H5410" s="34" t="str">
        <f aca="false">IF(F5410=1,G5410,"")</f>
        <v/>
      </c>
    </row>
    <row r="5411" customFormat="false" ht="15" hidden="false" customHeight="false" outlineLevel="0" collapsed="false">
      <c r="A5411" s="31" t="n">
        <v>42961.375</v>
      </c>
      <c r="B5411" s="32" t="n">
        <v>214.646</v>
      </c>
      <c r="D5411" s="33" t="n">
        <f aca="false">WEEKDAY(A5411,2)</f>
        <v>1</v>
      </c>
      <c r="E5411" s="33" t="n">
        <f aca="false">HOUR(A5411)+MINUTE(A5411)/60</f>
        <v>9</v>
      </c>
      <c r="F5411" s="33" t="n">
        <f aca="false">IF(OR(D5411&gt;5,E5411&lt;8,E5411&gt;=18,COUNTIF($K$2:$K$10,INT(A5411))&gt;0),1,0)</f>
        <v>0</v>
      </c>
      <c r="G5411" s="34" t="n">
        <f aca="false">B5411/1</f>
        <v>214.646</v>
      </c>
      <c r="H5411" s="34" t="str">
        <f aca="false">IF(F5411=1,G5411,"")</f>
        <v/>
      </c>
    </row>
    <row r="5412" customFormat="false" ht="15" hidden="false" customHeight="false" outlineLevel="0" collapsed="false">
      <c r="A5412" s="31" t="n">
        <v>42961.4166666667</v>
      </c>
      <c r="B5412" s="32" t="n">
        <v>226.561</v>
      </c>
      <c r="D5412" s="33" t="n">
        <f aca="false">WEEKDAY(A5412,2)</f>
        <v>1</v>
      </c>
      <c r="E5412" s="33" t="n">
        <f aca="false">HOUR(A5412)+MINUTE(A5412)/60</f>
        <v>10</v>
      </c>
      <c r="F5412" s="33" t="n">
        <f aca="false">IF(OR(D5412&gt;5,E5412&lt;8,E5412&gt;=18,COUNTIF($K$2:$K$10,INT(A5412))&gt;0),1,0)</f>
        <v>0</v>
      </c>
      <c r="G5412" s="34" t="n">
        <f aca="false">B5412/1</f>
        <v>226.561</v>
      </c>
      <c r="H5412" s="34" t="str">
        <f aca="false">IF(F5412=1,G5412,"")</f>
        <v/>
      </c>
    </row>
    <row r="5413" customFormat="false" ht="15" hidden="false" customHeight="false" outlineLevel="0" collapsed="false">
      <c r="A5413" s="31" t="n">
        <v>42961.4583333333</v>
      </c>
      <c r="B5413" s="32" t="n">
        <v>233.617</v>
      </c>
      <c r="D5413" s="33" t="n">
        <f aca="false">WEEKDAY(A5413,2)</f>
        <v>1</v>
      </c>
      <c r="E5413" s="33" t="n">
        <f aca="false">HOUR(A5413)+MINUTE(A5413)/60</f>
        <v>11</v>
      </c>
      <c r="F5413" s="33" t="n">
        <f aca="false">IF(OR(D5413&gt;5,E5413&lt;8,E5413&gt;=18,COUNTIF($K$2:$K$10,INT(A5413))&gt;0),1,0)</f>
        <v>0</v>
      </c>
      <c r="G5413" s="34" t="n">
        <f aca="false">B5413/1</f>
        <v>233.617</v>
      </c>
      <c r="H5413" s="34" t="str">
        <f aca="false">IF(F5413=1,G5413,"")</f>
        <v/>
      </c>
    </row>
    <row r="5414" customFormat="false" ht="15" hidden="false" customHeight="false" outlineLevel="0" collapsed="false">
      <c r="A5414" s="31" t="n">
        <v>42961.5</v>
      </c>
      <c r="B5414" s="32" t="n">
        <v>235.869</v>
      </c>
      <c r="D5414" s="33" t="n">
        <f aca="false">WEEKDAY(A5414,2)</f>
        <v>1</v>
      </c>
      <c r="E5414" s="33" t="n">
        <f aca="false">HOUR(A5414)+MINUTE(A5414)/60</f>
        <v>12</v>
      </c>
      <c r="F5414" s="33" t="n">
        <f aca="false">IF(OR(D5414&gt;5,E5414&lt;8,E5414&gt;=18,COUNTIF($K$2:$K$10,INT(A5414))&gt;0),1,0)</f>
        <v>0</v>
      </c>
      <c r="G5414" s="34" t="n">
        <f aca="false">B5414/1</f>
        <v>235.869</v>
      </c>
      <c r="H5414" s="34" t="str">
        <f aca="false">IF(F5414=1,G5414,"")</f>
        <v/>
      </c>
    </row>
    <row r="5415" customFormat="false" ht="15" hidden="false" customHeight="false" outlineLevel="0" collapsed="false">
      <c r="A5415" s="31" t="n">
        <v>42961.5416666667</v>
      </c>
      <c r="B5415" s="32" t="n">
        <v>231.092</v>
      </c>
      <c r="D5415" s="33" t="n">
        <f aca="false">WEEKDAY(A5415,2)</f>
        <v>1</v>
      </c>
      <c r="E5415" s="33" t="n">
        <f aca="false">HOUR(A5415)+MINUTE(A5415)/60</f>
        <v>13</v>
      </c>
      <c r="F5415" s="33" t="n">
        <f aca="false">IF(OR(D5415&gt;5,E5415&lt;8,E5415&gt;=18,COUNTIF($K$2:$K$10,INT(A5415))&gt;0),1,0)</f>
        <v>0</v>
      </c>
      <c r="G5415" s="34" t="n">
        <f aca="false">B5415/1</f>
        <v>231.092</v>
      </c>
      <c r="H5415" s="34" t="str">
        <f aca="false">IF(F5415=1,G5415,"")</f>
        <v/>
      </c>
    </row>
    <row r="5416" customFormat="false" ht="15" hidden="false" customHeight="false" outlineLevel="0" collapsed="false">
      <c r="A5416" s="31" t="n">
        <v>42961.5833333333</v>
      </c>
      <c r="B5416" s="32" t="n">
        <v>233.992</v>
      </c>
      <c r="D5416" s="33" t="n">
        <f aca="false">WEEKDAY(A5416,2)</f>
        <v>1</v>
      </c>
      <c r="E5416" s="33" t="n">
        <f aca="false">HOUR(A5416)+MINUTE(A5416)/60</f>
        <v>14</v>
      </c>
      <c r="F5416" s="33" t="n">
        <f aca="false">IF(OR(D5416&gt;5,E5416&lt;8,E5416&gt;=18,COUNTIF($K$2:$K$10,INT(A5416))&gt;0),1,0)</f>
        <v>0</v>
      </c>
      <c r="G5416" s="34" t="n">
        <f aca="false">B5416/1</f>
        <v>233.992</v>
      </c>
      <c r="H5416" s="34" t="str">
        <f aca="false">IF(F5416=1,G5416,"")</f>
        <v/>
      </c>
    </row>
    <row r="5417" customFormat="false" ht="15" hidden="false" customHeight="false" outlineLevel="0" collapsed="false">
      <c r="A5417" s="31" t="n">
        <v>42961.625</v>
      </c>
      <c r="B5417" s="32" t="n">
        <v>235.447</v>
      </c>
      <c r="D5417" s="33" t="n">
        <f aca="false">WEEKDAY(A5417,2)</f>
        <v>1</v>
      </c>
      <c r="E5417" s="33" t="n">
        <f aca="false">HOUR(A5417)+MINUTE(A5417)/60</f>
        <v>15</v>
      </c>
      <c r="F5417" s="33" t="n">
        <f aca="false">IF(OR(D5417&gt;5,E5417&lt;8,E5417&gt;=18,COUNTIF($K$2:$K$10,INT(A5417))&gt;0),1,0)</f>
        <v>0</v>
      </c>
      <c r="G5417" s="34" t="n">
        <f aca="false">B5417/1</f>
        <v>235.447</v>
      </c>
      <c r="H5417" s="34" t="str">
        <f aca="false">IF(F5417=1,G5417,"")</f>
        <v/>
      </c>
    </row>
    <row r="5418" customFormat="false" ht="15" hidden="false" customHeight="false" outlineLevel="0" collapsed="false">
      <c r="A5418" s="31" t="n">
        <v>42961.6666666667</v>
      </c>
      <c r="B5418" s="32" t="n">
        <v>232.126</v>
      </c>
      <c r="D5418" s="33" t="n">
        <f aca="false">WEEKDAY(A5418,2)</f>
        <v>1</v>
      </c>
      <c r="E5418" s="33" t="n">
        <f aca="false">HOUR(A5418)+MINUTE(A5418)/60</f>
        <v>16</v>
      </c>
      <c r="F5418" s="33" t="n">
        <f aca="false">IF(OR(D5418&gt;5,E5418&lt;8,E5418&gt;=18,COUNTIF($K$2:$K$10,INT(A5418))&gt;0),1,0)</f>
        <v>0</v>
      </c>
      <c r="G5418" s="34" t="n">
        <f aca="false">B5418/1</f>
        <v>232.126</v>
      </c>
      <c r="H5418" s="34" t="str">
        <f aca="false">IF(F5418=1,G5418,"")</f>
        <v/>
      </c>
    </row>
    <row r="5419" customFormat="false" ht="15" hidden="false" customHeight="false" outlineLevel="0" collapsed="false">
      <c r="A5419" s="31" t="n">
        <v>42961.7083333333</v>
      </c>
      <c r="B5419" s="32" t="n">
        <v>216.296</v>
      </c>
      <c r="D5419" s="33" t="n">
        <f aca="false">WEEKDAY(A5419,2)</f>
        <v>1</v>
      </c>
      <c r="E5419" s="33" t="n">
        <f aca="false">HOUR(A5419)+MINUTE(A5419)/60</f>
        <v>17</v>
      </c>
      <c r="F5419" s="33" t="n">
        <f aca="false">IF(OR(D5419&gt;5,E5419&lt;8,E5419&gt;=18,COUNTIF($K$2:$K$10,INT(A5419))&gt;0),1,0)</f>
        <v>0</v>
      </c>
      <c r="G5419" s="34" t="n">
        <f aca="false">B5419/1</f>
        <v>216.296</v>
      </c>
      <c r="H5419" s="34" t="str">
        <f aca="false">IF(F5419=1,G5419,"")</f>
        <v/>
      </c>
    </row>
    <row r="5420" customFormat="false" ht="15" hidden="false" customHeight="false" outlineLevel="0" collapsed="false">
      <c r="A5420" s="31" t="n">
        <v>42961.75</v>
      </c>
      <c r="B5420" s="32" t="n">
        <v>201.828</v>
      </c>
      <c r="D5420" s="33" t="n">
        <f aca="false">WEEKDAY(A5420,2)</f>
        <v>1</v>
      </c>
      <c r="E5420" s="33" t="n">
        <f aca="false">HOUR(A5420)+MINUTE(A5420)/60</f>
        <v>18</v>
      </c>
      <c r="F5420" s="33" t="n">
        <f aca="false">IF(OR(D5420&gt;5,E5420&lt;8,E5420&gt;=18,COUNTIF($K$2:$K$10,INT(A5420))&gt;0),1,0)</f>
        <v>1</v>
      </c>
      <c r="G5420" s="34" t="n">
        <f aca="false">B5420/1</f>
        <v>201.828</v>
      </c>
      <c r="H5420" s="34" t="n">
        <f aca="false">IF(F5420=1,G5420,"")</f>
        <v>201.828</v>
      </c>
    </row>
    <row r="5421" customFormat="false" ht="15" hidden="false" customHeight="false" outlineLevel="0" collapsed="false">
      <c r="A5421" s="31" t="n">
        <v>42961.7916666667</v>
      </c>
      <c r="B5421" s="32" t="n">
        <v>193.322</v>
      </c>
      <c r="D5421" s="33" t="n">
        <f aca="false">WEEKDAY(A5421,2)</f>
        <v>1</v>
      </c>
      <c r="E5421" s="33" t="n">
        <f aca="false">HOUR(A5421)+MINUTE(A5421)/60</f>
        <v>19</v>
      </c>
      <c r="F5421" s="33" t="n">
        <f aca="false">IF(OR(D5421&gt;5,E5421&lt;8,E5421&gt;=18,COUNTIF($K$2:$K$10,INT(A5421))&gt;0),1,0)</f>
        <v>1</v>
      </c>
      <c r="G5421" s="34" t="n">
        <f aca="false">B5421/1</f>
        <v>193.322</v>
      </c>
      <c r="H5421" s="34" t="n">
        <f aca="false">IF(F5421=1,G5421,"")</f>
        <v>193.322</v>
      </c>
    </row>
    <row r="5422" customFormat="false" ht="15" hidden="false" customHeight="false" outlineLevel="0" collapsed="false">
      <c r="A5422" s="31" t="n">
        <v>42961.8333333333</v>
      </c>
      <c r="B5422" s="32" t="n">
        <v>193.174</v>
      </c>
      <c r="D5422" s="33" t="n">
        <f aca="false">WEEKDAY(A5422,2)</f>
        <v>1</v>
      </c>
      <c r="E5422" s="33" t="n">
        <f aca="false">HOUR(A5422)+MINUTE(A5422)/60</f>
        <v>20</v>
      </c>
      <c r="F5422" s="33" t="n">
        <f aca="false">IF(OR(D5422&gt;5,E5422&lt;8,E5422&gt;=18,COUNTIF($K$2:$K$10,INT(A5422))&gt;0),1,0)</f>
        <v>1</v>
      </c>
      <c r="G5422" s="34" t="n">
        <f aca="false">B5422/1</f>
        <v>193.174</v>
      </c>
      <c r="H5422" s="34" t="n">
        <f aca="false">IF(F5422=1,G5422,"")</f>
        <v>193.174</v>
      </c>
    </row>
    <row r="5423" customFormat="false" ht="15" hidden="false" customHeight="false" outlineLevel="0" collapsed="false">
      <c r="A5423" s="31" t="n">
        <v>42961.875</v>
      </c>
      <c r="B5423" s="32" t="n">
        <v>195.132</v>
      </c>
      <c r="D5423" s="33" t="n">
        <f aca="false">WEEKDAY(A5423,2)</f>
        <v>1</v>
      </c>
      <c r="E5423" s="33" t="n">
        <f aca="false">HOUR(A5423)+MINUTE(A5423)/60</f>
        <v>21</v>
      </c>
      <c r="F5423" s="33" t="n">
        <f aca="false">IF(OR(D5423&gt;5,E5423&lt;8,E5423&gt;=18,COUNTIF($K$2:$K$10,INT(A5423))&gt;0),1,0)</f>
        <v>1</v>
      </c>
      <c r="G5423" s="34" t="n">
        <f aca="false">B5423/1</f>
        <v>195.132</v>
      </c>
      <c r="H5423" s="34" t="n">
        <f aca="false">IF(F5423=1,G5423,"")</f>
        <v>195.132</v>
      </c>
    </row>
    <row r="5424" customFormat="false" ht="15" hidden="false" customHeight="false" outlineLevel="0" collapsed="false">
      <c r="A5424" s="31" t="n">
        <v>42961.9166666667</v>
      </c>
      <c r="B5424" s="32" t="n">
        <v>145.396</v>
      </c>
      <c r="D5424" s="33" t="n">
        <f aca="false">WEEKDAY(A5424,2)</f>
        <v>1</v>
      </c>
      <c r="E5424" s="33" t="n">
        <f aca="false">HOUR(A5424)+MINUTE(A5424)/60</f>
        <v>22</v>
      </c>
      <c r="F5424" s="33" t="n">
        <f aca="false">IF(OR(D5424&gt;5,E5424&lt;8,E5424&gt;=18,COUNTIF($K$2:$K$10,INT(A5424))&gt;0),1,0)</f>
        <v>1</v>
      </c>
      <c r="G5424" s="34" t="n">
        <f aca="false">B5424/1</f>
        <v>145.396</v>
      </c>
      <c r="H5424" s="34" t="n">
        <f aca="false">IF(F5424=1,G5424,"")</f>
        <v>145.396</v>
      </c>
    </row>
    <row r="5425" customFormat="false" ht="15" hidden="false" customHeight="false" outlineLevel="0" collapsed="false">
      <c r="A5425" s="31" t="n">
        <v>42961.9583333333</v>
      </c>
      <c r="B5425" s="32" t="n">
        <v>83.185</v>
      </c>
      <c r="D5425" s="33" t="n">
        <f aca="false">WEEKDAY(A5425,2)</f>
        <v>1</v>
      </c>
      <c r="E5425" s="33" t="n">
        <f aca="false">HOUR(A5425)+MINUTE(A5425)/60</f>
        <v>23</v>
      </c>
      <c r="F5425" s="33" t="n">
        <f aca="false">IF(OR(D5425&gt;5,E5425&lt;8,E5425&gt;=18,COUNTIF($K$2:$K$10,INT(A5425))&gt;0),1,0)</f>
        <v>1</v>
      </c>
      <c r="G5425" s="34" t="n">
        <f aca="false">B5425/1</f>
        <v>83.185</v>
      </c>
      <c r="H5425" s="34" t="n">
        <f aca="false">IF(F5425=1,G5425,"")</f>
        <v>83.185</v>
      </c>
    </row>
    <row r="5426" customFormat="false" ht="15" hidden="false" customHeight="false" outlineLevel="0" collapsed="false">
      <c r="A5426" s="31" t="n">
        <v>42962</v>
      </c>
      <c r="B5426" s="32" t="n">
        <v>81.68</v>
      </c>
      <c r="D5426" s="33" t="n">
        <f aca="false">WEEKDAY(A5426,2)</f>
        <v>2</v>
      </c>
      <c r="E5426" s="33" t="n">
        <f aca="false">HOUR(A5426)+MINUTE(A5426)/60</f>
        <v>0</v>
      </c>
      <c r="F5426" s="33" t="n">
        <f aca="false">IF(OR(D5426&gt;5,E5426&lt;8,E5426&gt;=18,COUNTIF($K$2:$K$10,INT(A5426))&gt;0),1,0)</f>
        <v>1</v>
      </c>
      <c r="G5426" s="34" t="n">
        <f aca="false">B5426/1</f>
        <v>81.68</v>
      </c>
      <c r="H5426" s="34" t="n">
        <f aca="false">IF(F5426=1,G5426,"")</f>
        <v>81.68</v>
      </c>
    </row>
    <row r="5427" customFormat="false" ht="15" hidden="false" customHeight="false" outlineLevel="0" collapsed="false">
      <c r="A5427" s="31" t="n">
        <v>42962.0416666667</v>
      </c>
      <c r="B5427" s="32" t="n">
        <v>78.097</v>
      </c>
      <c r="D5427" s="33" t="n">
        <f aca="false">WEEKDAY(A5427,2)</f>
        <v>2</v>
      </c>
      <c r="E5427" s="33" t="n">
        <f aca="false">HOUR(A5427)+MINUTE(A5427)/60</f>
        <v>1</v>
      </c>
      <c r="F5427" s="33" t="n">
        <f aca="false">IF(OR(D5427&gt;5,E5427&lt;8,E5427&gt;=18,COUNTIF($K$2:$K$10,INT(A5427))&gt;0),1,0)</f>
        <v>1</v>
      </c>
      <c r="G5427" s="34" t="n">
        <f aca="false">B5427/1</f>
        <v>78.097</v>
      </c>
      <c r="H5427" s="34" t="n">
        <f aca="false">IF(F5427=1,G5427,"")</f>
        <v>78.097</v>
      </c>
    </row>
    <row r="5428" customFormat="false" ht="15" hidden="false" customHeight="false" outlineLevel="0" collapsed="false">
      <c r="A5428" s="31" t="n">
        <v>42962.0833333333</v>
      </c>
      <c r="B5428" s="32" t="n">
        <v>77.696</v>
      </c>
      <c r="D5428" s="33" t="n">
        <f aca="false">WEEKDAY(A5428,2)</f>
        <v>2</v>
      </c>
      <c r="E5428" s="33" t="n">
        <f aca="false">HOUR(A5428)+MINUTE(A5428)/60</f>
        <v>2</v>
      </c>
      <c r="F5428" s="33" t="n">
        <f aca="false">IF(OR(D5428&gt;5,E5428&lt;8,E5428&gt;=18,COUNTIF($K$2:$K$10,INT(A5428))&gt;0),1,0)</f>
        <v>1</v>
      </c>
      <c r="G5428" s="34" t="n">
        <f aca="false">B5428/1</f>
        <v>77.696</v>
      </c>
      <c r="H5428" s="34" t="n">
        <f aca="false">IF(F5428=1,G5428,"")</f>
        <v>77.696</v>
      </c>
    </row>
    <row r="5429" customFormat="false" ht="15" hidden="false" customHeight="false" outlineLevel="0" collapsed="false">
      <c r="A5429" s="31" t="n">
        <v>42962.125</v>
      </c>
      <c r="B5429" s="32" t="n">
        <v>76.556</v>
      </c>
      <c r="D5429" s="33" t="n">
        <f aca="false">WEEKDAY(A5429,2)</f>
        <v>2</v>
      </c>
      <c r="E5429" s="33" t="n">
        <f aca="false">HOUR(A5429)+MINUTE(A5429)/60</f>
        <v>3</v>
      </c>
      <c r="F5429" s="33" t="n">
        <f aca="false">IF(OR(D5429&gt;5,E5429&lt;8,E5429&gt;=18,COUNTIF($K$2:$K$10,INT(A5429))&gt;0),1,0)</f>
        <v>1</v>
      </c>
      <c r="G5429" s="34" t="n">
        <f aca="false">B5429/1</f>
        <v>76.556</v>
      </c>
      <c r="H5429" s="34" t="n">
        <f aca="false">IF(F5429=1,G5429,"")</f>
        <v>76.556</v>
      </c>
    </row>
    <row r="5430" customFormat="false" ht="15" hidden="false" customHeight="false" outlineLevel="0" collapsed="false">
      <c r="A5430" s="31" t="n">
        <v>42962.1666666667</v>
      </c>
      <c r="B5430" s="32" t="n">
        <v>76.626</v>
      </c>
      <c r="D5430" s="33" t="n">
        <f aca="false">WEEKDAY(A5430,2)</f>
        <v>2</v>
      </c>
      <c r="E5430" s="33" t="n">
        <f aca="false">HOUR(A5430)+MINUTE(A5430)/60</f>
        <v>4</v>
      </c>
      <c r="F5430" s="33" t="n">
        <f aca="false">IF(OR(D5430&gt;5,E5430&lt;8,E5430&gt;=18,COUNTIF($K$2:$K$10,INT(A5430))&gt;0),1,0)</f>
        <v>1</v>
      </c>
      <c r="G5430" s="34" t="n">
        <f aca="false">B5430/1</f>
        <v>76.626</v>
      </c>
      <c r="H5430" s="34" t="n">
        <f aca="false">IF(F5430=1,G5430,"")</f>
        <v>76.626</v>
      </c>
    </row>
    <row r="5431" customFormat="false" ht="15" hidden="false" customHeight="false" outlineLevel="0" collapsed="false">
      <c r="A5431" s="31" t="n">
        <v>42962.2083333333</v>
      </c>
      <c r="B5431" s="32" t="n">
        <v>76.315</v>
      </c>
      <c r="D5431" s="33" t="n">
        <f aca="false">WEEKDAY(A5431,2)</f>
        <v>2</v>
      </c>
      <c r="E5431" s="33" t="n">
        <f aca="false">HOUR(A5431)+MINUTE(A5431)/60</f>
        <v>5</v>
      </c>
      <c r="F5431" s="33" t="n">
        <f aca="false">IF(OR(D5431&gt;5,E5431&lt;8,E5431&gt;=18,COUNTIF($K$2:$K$10,INT(A5431))&gt;0),1,0)</f>
        <v>1</v>
      </c>
      <c r="G5431" s="34" t="n">
        <f aca="false">B5431/1</f>
        <v>76.315</v>
      </c>
      <c r="H5431" s="34" t="n">
        <f aca="false">IF(F5431=1,G5431,"")</f>
        <v>76.315</v>
      </c>
    </row>
    <row r="5432" customFormat="false" ht="15" hidden="false" customHeight="false" outlineLevel="0" collapsed="false">
      <c r="A5432" s="31" t="n">
        <v>42962.25</v>
      </c>
      <c r="B5432" s="32" t="n">
        <v>77.072</v>
      </c>
      <c r="D5432" s="33" t="n">
        <f aca="false">WEEKDAY(A5432,2)</f>
        <v>2</v>
      </c>
      <c r="E5432" s="33" t="n">
        <f aca="false">HOUR(A5432)+MINUTE(A5432)/60</f>
        <v>6</v>
      </c>
      <c r="F5432" s="33" t="n">
        <f aca="false">IF(OR(D5432&gt;5,E5432&lt;8,E5432&gt;=18,COUNTIF($K$2:$K$10,INT(A5432))&gt;0),1,0)</f>
        <v>1</v>
      </c>
      <c r="G5432" s="34" t="n">
        <f aca="false">B5432/1</f>
        <v>77.072</v>
      </c>
      <c r="H5432" s="34" t="n">
        <f aca="false">IF(F5432=1,G5432,"")</f>
        <v>77.072</v>
      </c>
    </row>
    <row r="5433" customFormat="false" ht="15" hidden="false" customHeight="false" outlineLevel="0" collapsed="false">
      <c r="A5433" s="31" t="n">
        <v>42962.2916666667</v>
      </c>
      <c r="B5433" s="32" t="n">
        <v>81.99</v>
      </c>
      <c r="D5433" s="33" t="n">
        <f aca="false">WEEKDAY(A5433,2)</f>
        <v>2</v>
      </c>
      <c r="E5433" s="33" t="n">
        <f aca="false">HOUR(A5433)+MINUTE(A5433)/60</f>
        <v>7</v>
      </c>
      <c r="F5433" s="33" t="n">
        <f aca="false">IF(OR(D5433&gt;5,E5433&lt;8,E5433&gt;=18,COUNTIF($K$2:$K$10,INT(A5433))&gt;0),1,0)</f>
        <v>1</v>
      </c>
      <c r="G5433" s="34" t="n">
        <f aca="false">B5433/1</f>
        <v>81.99</v>
      </c>
      <c r="H5433" s="34" t="n">
        <f aca="false">IF(F5433=1,G5433,"")</f>
        <v>81.99</v>
      </c>
    </row>
    <row r="5434" customFormat="false" ht="15" hidden="false" customHeight="false" outlineLevel="0" collapsed="false">
      <c r="A5434" s="31" t="n">
        <v>42962.3333333333</v>
      </c>
      <c r="B5434" s="32" t="n">
        <v>186.728</v>
      </c>
      <c r="D5434" s="33" t="n">
        <f aca="false">WEEKDAY(A5434,2)</f>
        <v>2</v>
      </c>
      <c r="E5434" s="33" t="n">
        <f aca="false">HOUR(A5434)+MINUTE(A5434)/60</f>
        <v>8</v>
      </c>
      <c r="F5434" s="33" t="n">
        <f aca="false">IF(OR(D5434&gt;5,E5434&lt;8,E5434&gt;=18,COUNTIF($K$2:$K$10,INT(A5434))&gt;0),1,0)</f>
        <v>0</v>
      </c>
      <c r="G5434" s="34" t="n">
        <f aca="false">B5434/1</f>
        <v>186.728</v>
      </c>
      <c r="H5434" s="34" t="str">
        <f aca="false">IF(F5434=1,G5434,"")</f>
        <v/>
      </c>
    </row>
    <row r="5435" customFormat="false" ht="15" hidden="false" customHeight="false" outlineLevel="0" collapsed="false">
      <c r="A5435" s="31" t="n">
        <v>42962.375</v>
      </c>
      <c r="B5435" s="32" t="n">
        <v>220.287</v>
      </c>
      <c r="D5435" s="33" t="n">
        <f aca="false">WEEKDAY(A5435,2)</f>
        <v>2</v>
      </c>
      <c r="E5435" s="33" t="n">
        <f aca="false">HOUR(A5435)+MINUTE(A5435)/60</f>
        <v>9</v>
      </c>
      <c r="F5435" s="33" t="n">
        <f aca="false">IF(OR(D5435&gt;5,E5435&lt;8,E5435&gt;=18,COUNTIF($K$2:$K$10,INT(A5435))&gt;0),1,0)</f>
        <v>0</v>
      </c>
      <c r="G5435" s="34" t="n">
        <f aca="false">B5435/1</f>
        <v>220.287</v>
      </c>
      <c r="H5435" s="34" t="str">
        <f aca="false">IF(F5435=1,G5435,"")</f>
        <v/>
      </c>
    </row>
    <row r="5436" customFormat="false" ht="15" hidden="false" customHeight="false" outlineLevel="0" collapsed="false">
      <c r="A5436" s="31" t="n">
        <v>42962.4166666667</v>
      </c>
      <c r="B5436" s="32" t="n">
        <v>233.011</v>
      </c>
      <c r="D5436" s="33" t="n">
        <f aca="false">WEEKDAY(A5436,2)</f>
        <v>2</v>
      </c>
      <c r="E5436" s="33" t="n">
        <f aca="false">HOUR(A5436)+MINUTE(A5436)/60</f>
        <v>10</v>
      </c>
      <c r="F5436" s="33" t="n">
        <f aca="false">IF(OR(D5436&gt;5,E5436&lt;8,E5436&gt;=18,COUNTIF($K$2:$K$10,INT(A5436))&gt;0),1,0)</f>
        <v>0</v>
      </c>
      <c r="G5436" s="34" t="n">
        <f aca="false">B5436/1</f>
        <v>233.011</v>
      </c>
      <c r="H5436" s="34" t="str">
        <f aca="false">IF(F5436=1,G5436,"")</f>
        <v/>
      </c>
    </row>
    <row r="5437" customFormat="false" ht="15" hidden="false" customHeight="false" outlineLevel="0" collapsed="false">
      <c r="A5437" s="31" t="n">
        <v>42962.4583333333</v>
      </c>
      <c r="B5437" s="32" t="n">
        <v>237.321</v>
      </c>
      <c r="D5437" s="33" t="n">
        <f aca="false">WEEKDAY(A5437,2)</f>
        <v>2</v>
      </c>
      <c r="E5437" s="33" t="n">
        <f aca="false">HOUR(A5437)+MINUTE(A5437)/60</f>
        <v>11</v>
      </c>
      <c r="F5437" s="33" t="n">
        <f aca="false">IF(OR(D5437&gt;5,E5437&lt;8,E5437&gt;=18,COUNTIF($K$2:$K$10,INT(A5437))&gt;0),1,0)</f>
        <v>0</v>
      </c>
      <c r="G5437" s="34" t="n">
        <f aca="false">B5437/1</f>
        <v>237.321</v>
      </c>
      <c r="H5437" s="34" t="str">
        <f aca="false">IF(F5437=1,G5437,"")</f>
        <v/>
      </c>
    </row>
    <row r="5438" customFormat="false" ht="15" hidden="false" customHeight="false" outlineLevel="0" collapsed="false">
      <c r="A5438" s="31" t="n">
        <v>42962.5</v>
      </c>
      <c r="B5438" s="32" t="n">
        <v>234.457</v>
      </c>
      <c r="D5438" s="33" t="n">
        <f aca="false">WEEKDAY(A5438,2)</f>
        <v>2</v>
      </c>
      <c r="E5438" s="33" t="n">
        <f aca="false">HOUR(A5438)+MINUTE(A5438)/60</f>
        <v>12</v>
      </c>
      <c r="F5438" s="33" t="n">
        <f aca="false">IF(OR(D5438&gt;5,E5438&lt;8,E5438&gt;=18,COUNTIF($K$2:$K$10,INT(A5438))&gt;0),1,0)</f>
        <v>0</v>
      </c>
      <c r="G5438" s="34" t="n">
        <f aca="false">B5438/1</f>
        <v>234.457</v>
      </c>
      <c r="H5438" s="34" t="str">
        <f aca="false">IF(F5438=1,G5438,"")</f>
        <v/>
      </c>
    </row>
    <row r="5439" customFormat="false" ht="15" hidden="false" customHeight="false" outlineLevel="0" collapsed="false">
      <c r="A5439" s="31" t="n">
        <v>42962.5416666667</v>
      </c>
      <c r="B5439" s="32" t="n">
        <v>233.486</v>
      </c>
      <c r="D5439" s="33" t="n">
        <f aca="false">WEEKDAY(A5439,2)</f>
        <v>2</v>
      </c>
      <c r="E5439" s="33" t="n">
        <f aca="false">HOUR(A5439)+MINUTE(A5439)/60</f>
        <v>13</v>
      </c>
      <c r="F5439" s="33" t="n">
        <f aca="false">IF(OR(D5439&gt;5,E5439&lt;8,E5439&gt;=18,COUNTIF($K$2:$K$10,INT(A5439))&gt;0),1,0)</f>
        <v>0</v>
      </c>
      <c r="G5439" s="34" t="n">
        <f aca="false">B5439/1</f>
        <v>233.486</v>
      </c>
      <c r="H5439" s="34" t="str">
        <f aca="false">IF(F5439=1,G5439,"")</f>
        <v/>
      </c>
    </row>
    <row r="5440" customFormat="false" ht="15" hidden="false" customHeight="false" outlineLevel="0" collapsed="false">
      <c r="A5440" s="31" t="n">
        <v>42962.5833333333</v>
      </c>
      <c r="B5440" s="32" t="n">
        <v>231.252</v>
      </c>
      <c r="D5440" s="33" t="n">
        <f aca="false">WEEKDAY(A5440,2)</f>
        <v>2</v>
      </c>
      <c r="E5440" s="33" t="n">
        <f aca="false">HOUR(A5440)+MINUTE(A5440)/60</f>
        <v>14</v>
      </c>
      <c r="F5440" s="33" t="n">
        <f aca="false">IF(OR(D5440&gt;5,E5440&lt;8,E5440&gt;=18,COUNTIF($K$2:$K$10,INT(A5440))&gt;0),1,0)</f>
        <v>0</v>
      </c>
      <c r="G5440" s="34" t="n">
        <f aca="false">B5440/1</f>
        <v>231.252</v>
      </c>
      <c r="H5440" s="34" t="str">
        <f aca="false">IF(F5440=1,G5440,"")</f>
        <v/>
      </c>
    </row>
    <row r="5441" customFormat="false" ht="15" hidden="false" customHeight="false" outlineLevel="0" collapsed="false">
      <c r="A5441" s="31" t="n">
        <v>42962.625</v>
      </c>
      <c r="B5441" s="32" t="n">
        <v>230.709</v>
      </c>
      <c r="D5441" s="33" t="n">
        <f aca="false">WEEKDAY(A5441,2)</f>
        <v>2</v>
      </c>
      <c r="E5441" s="33" t="n">
        <f aca="false">HOUR(A5441)+MINUTE(A5441)/60</f>
        <v>15</v>
      </c>
      <c r="F5441" s="33" t="n">
        <f aca="false">IF(OR(D5441&gt;5,E5441&lt;8,E5441&gt;=18,COUNTIF($K$2:$K$10,INT(A5441))&gt;0),1,0)</f>
        <v>0</v>
      </c>
      <c r="G5441" s="34" t="n">
        <f aca="false">B5441/1</f>
        <v>230.709</v>
      </c>
      <c r="H5441" s="34" t="str">
        <f aca="false">IF(F5441=1,G5441,"")</f>
        <v/>
      </c>
    </row>
    <row r="5442" customFormat="false" ht="15" hidden="false" customHeight="false" outlineLevel="0" collapsed="false">
      <c r="A5442" s="31" t="n">
        <v>42962.6666666667</v>
      </c>
      <c r="B5442" s="32" t="n">
        <v>224.162</v>
      </c>
      <c r="D5442" s="33" t="n">
        <f aca="false">WEEKDAY(A5442,2)</f>
        <v>2</v>
      </c>
      <c r="E5442" s="33" t="n">
        <f aca="false">HOUR(A5442)+MINUTE(A5442)/60</f>
        <v>16</v>
      </c>
      <c r="F5442" s="33" t="n">
        <f aca="false">IF(OR(D5442&gt;5,E5442&lt;8,E5442&gt;=18,COUNTIF($K$2:$K$10,INT(A5442))&gt;0),1,0)</f>
        <v>0</v>
      </c>
      <c r="G5442" s="34" t="n">
        <f aca="false">B5442/1</f>
        <v>224.162</v>
      </c>
      <c r="H5442" s="34" t="str">
        <f aca="false">IF(F5442=1,G5442,"")</f>
        <v/>
      </c>
    </row>
    <row r="5443" customFormat="false" ht="15" hidden="false" customHeight="false" outlineLevel="0" collapsed="false">
      <c r="A5443" s="31" t="n">
        <v>42962.7083333333</v>
      </c>
      <c r="B5443" s="32" t="n">
        <v>215.253</v>
      </c>
      <c r="D5443" s="33" t="n">
        <f aca="false">WEEKDAY(A5443,2)</f>
        <v>2</v>
      </c>
      <c r="E5443" s="33" t="n">
        <f aca="false">HOUR(A5443)+MINUTE(A5443)/60</f>
        <v>17</v>
      </c>
      <c r="F5443" s="33" t="n">
        <f aca="false">IF(OR(D5443&gt;5,E5443&lt;8,E5443&gt;=18,COUNTIF($K$2:$K$10,INT(A5443))&gt;0),1,0)</f>
        <v>0</v>
      </c>
      <c r="G5443" s="34" t="n">
        <f aca="false">B5443/1</f>
        <v>215.253</v>
      </c>
      <c r="H5443" s="34" t="str">
        <f aca="false">IF(F5443=1,G5443,"")</f>
        <v/>
      </c>
    </row>
    <row r="5444" customFormat="false" ht="15" hidden="false" customHeight="false" outlineLevel="0" collapsed="false">
      <c r="A5444" s="31" t="n">
        <v>42962.75</v>
      </c>
      <c r="B5444" s="32" t="n">
        <v>199.11</v>
      </c>
      <c r="D5444" s="33" t="n">
        <f aca="false">WEEKDAY(A5444,2)</f>
        <v>2</v>
      </c>
      <c r="E5444" s="33" t="n">
        <f aca="false">HOUR(A5444)+MINUTE(A5444)/60</f>
        <v>18</v>
      </c>
      <c r="F5444" s="33" t="n">
        <f aca="false">IF(OR(D5444&gt;5,E5444&lt;8,E5444&gt;=18,COUNTIF($K$2:$K$10,INT(A5444))&gt;0),1,0)</f>
        <v>1</v>
      </c>
      <c r="G5444" s="34" t="n">
        <f aca="false">B5444/1</f>
        <v>199.11</v>
      </c>
      <c r="H5444" s="34" t="n">
        <f aca="false">IF(F5444=1,G5444,"")</f>
        <v>199.11</v>
      </c>
    </row>
    <row r="5445" customFormat="false" ht="15" hidden="false" customHeight="false" outlineLevel="0" collapsed="false">
      <c r="A5445" s="31" t="n">
        <v>42962.7916666667</v>
      </c>
      <c r="B5445" s="32" t="n">
        <v>190.876</v>
      </c>
      <c r="D5445" s="33" t="n">
        <f aca="false">WEEKDAY(A5445,2)</f>
        <v>2</v>
      </c>
      <c r="E5445" s="33" t="n">
        <f aca="false">HOUR(A5445)+MINUTE(A5445)/60</f>
        <v>19</v>
      </c>
      <c r="F5445" s="33" t="n">
        <f aca="false">IF(OR(D5445&gt;5,E5445&lt;8,E5445&gt;=18,COUNTIF($K$2:$K$10,INT(A5445))&gt;0),1,0)</f>
        <v>1</v>
      </c>
      <c r="G5445" s="34" t="n">
        <f aca="false">B5445/1</f>
        <v>190.876</v>
      </c>
      <c r="H5445" s="34" t="n">
        <f aca="false">IF(F5445=1,G5445,"")</f>
        <v>190.876</v>
      </c>
    </row>
    <row r="5446" customFormat="false" ht="15" hidden="false" customHeight="false" outlineLevel="0" collapsed="false">
      <c r="A5446" s="31" t="n">
        <v>42962.8333333333</v>
      </c>
      <c r="B5446" s="32" t="n">
        <v>190.991</v>
      </c>
      <c r="D5446" s="33" t="n">
        <f aca="false">WEEKDAY(A5446,2)</f>
        <v>2</v>
      </c>
      <c r="E5446" s="33" t="n">
        <f aca="false">HOUR(A5446)+MINUTE(A5446)/60</f>
        <v>20</v>
      </c>
      <c r="F5446" s="33" t="n">
        <f aca="false">IF(OR(D5446&gt;5,E5446&lt;8,E5446&gt;=18,COUNTIF($K$2:$K$10,INT(A5446))&gt;0),1,0)</f>
        <v>1</v>
      </c>
      <c r="G5446" s="34" t="n">
        <f aca="false">B5446/1</f>
        <v>190.991</v>
      </c>
      <c r="H5446" s="34" t="n">
        <f aca="false">IF(F5446=1,G5446,"")</f>
        <v>190.991</v>
      </c>
    </row>
    <row r="5447" customFormat="false" ht="15" hidden="false" customHeight="false" outlineLevel="0" collapsed="false">
      <c r="A5447" s="31" t="n">
        <v>42962.875</v>
      </c>
      <c r="B5447" s="32" t="n">
        <v>190.591</v>
      </c>
      <c r="D5447" s="33" t="n">
        <f aca="false">WEEKDAY(A5447,2)</f>
        <v>2</v>
      </c>
      <c r="E5447" s="33" t="n">
        <f aca="false">HOUR(A5447)+MINUTE(A5447)/60</f>
        <v>21</v>
      </c>
      <c r="F5447" s="33" t="n">
        <f aca="false">IF(OR(D5447&gt;5,E5447&lt;8,E5447&gt;=18,COUNTIF($K$2:$K$10,INT(A5447))&gt;0),1,0)</f>
        <v>1</v>
      </c>
      <c r="G5447" s="34" t="n">
        <f aca="false">B5447/1</f>
        <v>190.591</v>
      </c>
      <c r="H5447" s="34" t="n">
        <f aca="false">IF(F5447=1,G5447,"")</f>
        <v>190.591</v>
      </c>
    </row>
    <row r="5448" customFormat="false" ht="15" hidden="false" customHeight="false" outlineLevel="0" collapsed="false">
      <c r="A5448" s="31" t="n">
        <v>42962.9166666667</v>
      </c>
      <c r="B5448" s="32" t="n">
        <v>143.066</v>
      </c>
      <c r="D5448" s="33" t="n">
        <f aca="false">WEEKDAY(A5448,2)</f>
        <v>2</v>
      </c>
      <c r="E5448" s="33" t="n">
        <f aca="false">HOUR(A5448)+MINUTE(A5448)/60</f>
        <v>22</v>
      </c>
      <c r="F5448" s="33" t="n">
        <f aca="false">IF(OR(D5448&gt;5,E5448&lt;8,E5448&gt;=18,COUNTIF($K$2:$K$10,INT(A5448))&gt;0),1,0)</f>
        <v>1</v>
      </c>
      <c r="G5448" s="34" t="n">
        <f aca="false">B5448/1</f>
        <v>143.066</v>
      </c>
      <c r="H5448" s="34" t="n">
        <f aca="false">IF(F5448=1,G5448,"")</f>
        <v>143.066</v>
      </c>
    </row>
    <row r="5449" customFormat="false" ht="15" hidden="false" customHeight="false" outlineLevel="0" collapsed="false">
      <c r="A5449" s="31" t="n">
        <v>42962.9583333333</v>
      </c>
      <c r="B5449" s="32" t="n">
        <v>80.94</v>
      </c>
      <c r="D5449" s="33" t="n">
        <f aca="false">WEEKDAY(A5449,2)</f>
        <v>2</v>
      </c>
      <c r="E5449" s="33" t="n">
        <f aca="false">HOUR(A5449)+MINUTE(A5449)/60</f>
        <v>23</v>
      </c>
      <c r="F5449" s="33" t="n">
        <f aca="false">IF(OR(D5449&gt;5,E5449&lt;8,E5449&gt;=18,COUNTIF($K$2:$K$10,INT(A5449))&gt;0),1,0)</f>
        <v>1</v>
      </c>
      <c r="G5449" s="34" t="n">
        <f aca="false">B5449/1</f>
        <v>80.94</v>
      </c>
      <c r="H5449" s="34" t="n">
        <f aca="false">IF(F5449=1,G5449,"")</f>
        <v>80.94</v>
      </c>
    </row>
    <row r="5450" customFormat="false" ht="15" hidden="false" customHeight="false" outlineLevel="0" collapsed="false">
      <c r="A5450" s="31" t="n">
        <v>42963</v>
      </c>
      <c r="B5450" s="32" t="n">
        <v>79.219</v>
      </c>
      <c r="D5450" s="33" t="n">
        <f aca="false">WEEKDAY(A5450,2)</f>
        <v>3</v>
      </c>
      <c r="E5450" s="33" t="n">
        <f aca="false">HOUR(A5450)+MINUTE(A5450)/60</f>
        <v>0</v>
      </c>
      <c r="F5450" s="33" t="n">
        <f aca="false">IF(OR(D5450&gt;5,E5450&lt;8,E5450&gt;=18,COUNTIF($K$2:$K$10,INT(A5450))&gt;0),1,0)</f>
        <v>1</v>
      </c>
      <c r="G5450" s="34" t="n">
        <f aca="false">B5450/1</f>
        <v>79.219</v>
      </c>
      <c r="H5450" s="34" t="n">
        <f aca="false">IF(F5450=1,G5450,"")</f>
        <v>79.219</v>
      </c>
    </row>
    <row r="5451" customFormat="false" ht="15" hidden="false" customHeight="false" outlineLevel="0" collapsed="false">
      <c r="A5451" s="31" t="n">
        <v>42963.0416666667</v>
      </c>
      <c r="B5451" s="32" t="n">
        <v>75.862</v>
      </c>
      <c r="D5451" s="33" t="n">
        <f aca="false">WEEKDAY(A5451,2)</f>
        <v>3</v>
      </c>
      <c r="E5451" s="33" t="n">
        <f aca="false">HOUR(A5451)+MINUTE(A5451)/60</f>
        <v>1</v>
      </c>
      <c r="F5451" s="33" t="n">
        <f aca="false">IF(OR(D5451&gt;5,E5451&lt;8,E5451&gt;=18,COUNTIF($K$2:$K$10,INT(A5451))&gt;0),1,0)</f>
        <v>1</v>
      </c>
      <c r="G5451" s="34" t="n">
        <f aca="false">B5451/1</f>
        <v>75.862</v>
      </c>
      <c r="H5451" s="34" t="n">
        <f aca="false">IF(F5451=1,G5451,"")</f>
        <v>75.862</v>
      </c>
    </row>
    <row r="5452" customFormat="false" ht="15" hidden="false" customHeight="false" outlineLevel="0" collapsed="false">
      <c r="A5452" s="31" t="n">
        <v>42963.0833333333</v>
      </c>
      <c r="B5452" s="32" t="n">
        <v>77.124</v>
      </c>
      <c r="D5452" s="33" t="n">
        <f aca="false">WEEKDAY(A5452,2)</f>
        <v>3</v>
      </c>
      <c r="E5452" s="33" t="n">
        <f aca="false">HOUR(A5452)+MINUTE(A5452)/60</f>
        <v>2</v>
      </c>
      <c r="F5452" s="33" t="n">
        <f aca="false">IF(OR(D5452&gt;5,E5452&lt;8,E5452&gt;=18,COUNTIF($K$2:$K$10,INT(A5452))&gt;0),1,0)</f>
        <v>1</v>
      </c>
      <c r="G5452" s="34" t="n">
        <f aca="false">B5452/1</f>
        <v>77.124</v>
      </c>
      <c r="H5452" s="34" t="n">
        <f aca="false">IF(F5452=1,G5452,"")</f>
        <v>77.124</v>
      </c>
    </row>
    <row r="5453" customFormat="false" ht="15" hidden="false" customHeight="false" outlineLevel="0" collapsed="false">
      <c r="A5453" s="31" t="n">
        <v>42963.125</v>
      </c>
      <c r="B5453" s="32" t="n">
        <v>77.248</v>
      </c>
      <c r="D5453" s="33" t="n">
        <f aca="false">WEEKDAY(A5453,2)</f>
        <v>3</v>
      </c>
      <c r="E5453" s="33" t="n">
        <f aca="false">HOUR(A5453)+MINUTE(A5453)/60</f>
        <v>3</v>
      </c>
      <c r="F5453" s="33" t="n">
        <f aca="false">IF(OR(D5453&gt;5,E5453&lt;8,E5453&gt;=18,COUNTIF($K$2:$K$10,INT(A5453))&gt;0),1,0)</f>
        <v>1</v>
      </c>
      <c r="G5453" s="34" t="n">
        <f aca="false">B5453/1</f>
        <v>77.248</v>
      </c>
      <c r="H5453" s="34" t="n">
        <f aca="false">IF(F5453=1,G5453,"")</f>
        <v>77.248</v>
      </c>
    </row>
    <row r="5454" customFormat="false" ht="15" hidden="false" customHeight="false" outlineLevel="0" collapsed="false">
      <c r="A5454" s="31" t="n">
        <v>42963.1666666667</v>
      </c>
      <c r="B5454" s="32" t="n">
        <v>76.811</v>
      </c>
      <c r="D5454" s="33" t="n">
        <f aca="false">WEEKDAY(A5454,2)</f>
        <v>3</v>
      </c>
      <c r="E5454" s="33" t="n">
        <f aca="false">HOUR(A5454)+MINUTE(A5454)/60</f>
        <v>4</v>
      </c>
      <c r="F5454" s="33" t="n">
        <f aca="false">IF(OR(D5454&gt;5,E5454&lt;8,E5454&gt;=18,COUNTIF($K$2:$K$10,INT(A5454))&gt;0),1,0)</f>
        <v>1</v>
      </c>
      <c r="G5454" s="34" t="n">
        <f aca="false">B5454/1</f>
        <v>76.811</v>
      </c>
      <c r="H5454" s="34" t="n">
        <f aca="false">IF(F5454=1,G5454,"")</f>
        <v>76.811</v>
      </c>
    </row>
    <row r="5455" customFormat="false" ht="15" hidden="false" customHeight="false" outlineLevel="0" collapsed="false">
      <c r="A5455" s="31" t="n">
        <v>42963.2083333333</v>
      </c>
      <c r="B5455" s="32" t="n">
        <v>77.189</v>
      </c>
      <c r="D5455" s="33" t="n">
        <f aca="false">WEEKDAY(A5455,2)</f>
        <v>3</v>
      </c>
      <c r="E5455" s="33" t="n">
        <f aca="false">HOUR(A5455)+MINUTE(A5455)/60</f>
        <v>5</v>
      </c>
      <c r="F5455" s="33" t="n">
        <f aca="false">IF(OR(D5455&gt;5,E5455&lt;8,E5455&gt;=18,COUNTIF($K$2:$K$10,INT(A5455))&gt;0),1,0)</f>
        <v>1</v>
      </c>
      <c r="G5455" s="34" t="n">
        <f aca="false">B5455/1</f>
        <v>77.189</v>
      </c>
      <c r="H5455" s="34" t="n">
        <f aca="false">IF(F5455=1,G5455,"")</f>
        <v>77.189</v>
      </c>
    </row>
    <row r="5456" customFormat="false" ht="15" hidden="false" customHeight="false" outlineLevel="0" collapsed="false">
      <c r="A5456" s="31" t="n">
        <v>42963.25</v>
      </c>
      <c r="B5456" s="32" t="n">
        <v>79.202</v>
      </c>
      <c r="D5456" s="33" t="n">
        <f aca="false">WEEKDAY(A5456,2)</f>
        <v>3</v>
      </c>
      <c r="E5456" s="33" t="n">
        <f aca="false">HOUR(A5456)+MINUTE(A5456)/60</f>
        <v>6</v>
      </c>
      <c r="F5456" s="33" t="n">
        <f aca="false">IF(OR(D5456&gt;5,E5456&lt;8,E5456&gt;=18,COUNTIF($K$2:$K$10,INT(A5456))&gt;0),1,0)</f>
        <v>1</v>
      </c>
      <c r="G5456" s="34" t="n">
        <f aca="false">B5456/1</f>
        <v>79.202</v>
      </c>
      <c r="H5456" s="34" t="n">
        <f aca="false">IF(F5456=1,G5456,"")</f>
        <v>79.202</v>
      </c>
    </row>
    <row r="5457" customFormat="false" ht="15" hidden="false" customHeight="false" outlineLevel="0" collapsed="false">
      <c r="A5457" s="31" t="n">
        <v>42963.2916666667</v>
      </c>
      <c r="B5457" s="32" t="n">
        <v>80.534</v>
      </c>
      <c r="D5457" s="33" t="n">
        <f aca="false">WEEKDAY(A5457,2)</f>
        <v>3</v>
      </c>
      <c r="E5457" s="33" t="n">
        <f aca="false">HOUR(A5457)+MINUTE(A5457)/60</f>
        <v>7</v>
      </c>
      <c r="F5457" s="33" t="n">
        <f aca="false">IF(OR(D5457&gt;5,E5457&lt;8,E5457&gt;=18,COUNTIF($K$2:$K$10,INT(A5457))&gt;0),1,0)</f>
        <v>1</v>
      </c>
      <c r="G5457" s="34" t="n">
        <f aca="false">B5457/1</f>
        <v>80.534</v>
      </c>
      <c r="H5457" s="34" t="n">
        <f aca="false">IF(F5457=1,G5457,"")</f>
        <v>80.534</v>
      </c>
    </row>
    <row r="5458" customFormat="false" ht="15" hidden="false" customHeight="false" outlineLevel="0" collapsed="false">
      <c r="A5458" s="31" t="n">
        <v>42963.3333333333</v>
      </c>
      <c r="B5458" s="32" t="n">
        <v>191.263</v>
      </c>
      <c r="D5458" s="33" t="n">
        <f aca="false">WEEKDAY(A5458,2)</f>
        <v>3</v>
      </c>
      <c r="E5458" s="33" t="n">
        <f aca="false">HOUR(A5458)+MINUTE(A5458)/60</f>
        <v>8</v>
      </c>
      <c r="F5458" s="33" t="n">
        <f aca="false">IF(OR(D5458&gt;5,E5458&lt;8,E5458&gt;=18,COUNTIF($K$2:$K$10,INT(A5458))&gt;0),1,0)</f>
        <v>0</v>
      </c>
      <c r="G5458" s="34" t="n">
        <f aca="false">B5458/1</f>
        <v>191.263</v>
      </c>
      <c r="H5458" s="34" t="str">
        <f aca="false">IF(F5458=1,G5458,"")</f>
        <v/>
      </c>
    </row>
    <row r="5459" customFormat="false" ht="15" hidden="false" customHeight="false" outlineLevel="0" collapsed="false">
      <c r="A5459" s="31" t="n">
        <v>42963.375</v>
      </c>
      <c r="B5459" s="32" t="n">
        <v>214.567</v>
      </c>
      <c r="D5459" s="33" t="n">
        <f aca="false">WEEKDAY(A5459,2)</f>
        <v>3</v>
      </c>
      <c r="E5459" s="33" t="n">
        <f aca="false">HOUR(A5459)+MINUTE(A5459)/60</f>
        <v>9</v>
      </c>
      <c r="F5459" s="33" t="n">
        <f aca="false">IF(OR(D5459&gt;5,E5459&lt;8,E5459&gt;=18,COUNTIF($K$2:$K$10,INT(A5459))&gt;0),1,0)</f>
        <v>0</v>
      </c>
      <c r="G5459" s="34" t="n">
        <f aca="false">B5459/1</f>
        <v>214.567</v>
      </c>
      <c r="H5459" s="34" t="str">
        <f aca="false">IF(F5459=1,G5459,"")</f>
        <v/>
      </c>
    </row>
    <row r="5460" customFormat="false" ht="15" hidden="false" customHeight="false" outlineLevel="0" collapsed="false">
      <c r="A5460" s="31" t="n">
        <v>42963.4166666667</v>
      </c>
      <c r="B5460" s="32" t="n">
        <v>223.561</v>
      </c>
      <c r="D5460" s="33" t="n">
        <f aca="false">WEEKDAY(A5460,2)</f>
        <v>3</v>
      </c>
      <c r="E5460" s="33" t="n">
        <f aca="false">HOUR(A5460)+MINUTE(A5460)/60</f>
        <v>10</v>
      </c>
      <c r="F5460" s="33" t="n">
        <f aca="false">IF(OR(D5460&gt;5,E5460&lt;8,E5460&gt;=18,COUNTIF($K$2:$K$10,INT(A5460))&gt;0),1,0)</f>
        <v>0</v>
      </c>
      <c r="G5460" s="34" t="n">
        <f aca="false">B5460/1</f>
        <v>223.561</v>
      </c>
      <c r="H5460" s="34" t="str">
        <f aca="false">IF(F5460=1,G5460,"")</f>
        <v/>
      </c>
    </row>
    <row r="5461" customFormat="false" ht="15" hidden="false" customHeight="false" outlineLevel="0" collapsed="false">
      <c r="A5461" s="31" t="n">
        <v>42963.4583333333</v>
      </c>
      <c r="B5461" s="32" t="n">
        <v>225.576</v>
      </c>
      <c r="D5461" s="33" t="n">
        <f aca="false">WEEKDAY(A5461,2)</f>
        <v>3</v>
      </c>
      <c r="E5461" s="33" t="n">
        <f aca="false">HOUR(A5461)+MINUTE(A5461)/60</f>
        <v>11</v>
      </c>
      <c r="F5461" s="33" t="n">
        <f aca="false">IF(OR(D5461&gt;5,E5461&lt;8,E5461&gt;=18,COUNTIF($K$2:$K$10,INT(A5461))&gt;0),1,0)</f>
        <v>0</v>
      </c>
      <c r="G5461" s="34" t="n">
        <f aca="false">B5461/1</f>
        <v>225.576</v>
      </c>
      <c r="H5461" s="34" t="str">
        <f aca="false">IF(F5461=1,G5461,"")</f>
        <v/>
      </c>
    </row>
    <row r="5462" customFormat="false" ht="15" hidden="false" customHeight="false" outlineLevel="0" collapsed="false">
      <c r="A5462" s="31" t="n">
        <v>42963.5</v>
      </c>
      <c r="B5462" s="32" t="n">
        <v>227.821</v>
      </c>
      <c r="D5462" s="33" t="n">
        <f aca="false">WEEKDAY(A5462,2)</f>
        <v>3</v>
      </c>
      <c r="E5462" s="33" t="n">
        <f aca="false">HOUR(A5462)+MINUTE(A5462)/60</f>
        <v>12</v>
      </c>
      <c r="F5462" s="33" t="n">
        <f aca="false">IF(OR(D5462&gt;5,E5462&lt;8,E5462&gt;=18,COUNTIF($K$2:$K$10,INT(A5462))&gt;0),1,0)</f>
        <v>0</v>
      </c>
      <c r="G5462" s="34" t="n">
        <f aca="false">B5462/1</f>
        <v>227.821</v>
      </c>
      <c r="H5462" s="34" t="str">
        <f aca="false">IF(F5462=1,G5462,"")</f>
        <v/>
      </c>
    </row>
    <row r="5463" customFormat="false" ht="15" hidden="false" customHeight="false" outlineLevel="0" collapsed="false">
      <c r="A5463" s="31" t="n">
        <v>42963.5416666667</v>
      </c>
      <c r="B5463" s="32" t="n">
        <v>226.818</v>
      </c>
      <c r="D5463" s="33" t="n">
        <f aca="false">WEEKDAY(A5463,2)</f>
        <v>3</v>
      </c>
      <c r="E5463" s="33" t="n">
        <f aca="false">HOUR(A5463)+MINUTE(A5463)/60</f>
        <v>13</v>
      </c>
      <c r="F5463" s="33" t="n">
        <f aca="false">IF(OR(D5463&gt;5,E5463&lt;8,E5463&gt;=18,COUNTIF($K$2:$K$10,INT(A5463))&gt;0),1,0)</f>
        <v>0</v>
      </c>
      <c r="G5463" s="34" t="n">
        <f aca="false">B5463/1</f>
        <v>226.818</v>
      </c>
      <c r="H5463" s="34" t="str">
        <f aca="false">IF(F5463=1,G5463,"")</f>
        <v/>
      </c>
    </row>
    <row r="5464" customFormat="false" ht="15" hidden="false" customHeight="false" outlineLevel="0" collapsed="false">
      <c r="A5464" s="31" t="n">
        <v>42963.5833333333</v>
      </c>
      <c r="B5464" s="32" t="n">
        <v>225.354</v>
      </c>
      <c r="D5464" s="33" t="n">
        <f aca="false">WEEKDAY(A5464,2)</f>
        <v>3</v>
      </c>
      <c r="E5464" s="33" t="n">
        <f aca="false">HOUR(A5464)+MINUTE(A5464)/60</f>
        <v>14</v>
      </c>
      <c r="F5464" s="33" t="n">
        <f aca="false">IF(OR(D5464&gt;5,E5464&lt;8,E5464&gt;=18,COUNTIF($K$2:$K$10,INT(A5464))&gt;0),1,0)</f>
        <v>0</v>
      </c>
      <c r="G5464" s="34" t="n">
        <f aca="false">B5464/1</f>
        <v>225.354</v>
      </c>
      <c r="H5464" s="34" t="str">
        <f aca="false">IF(F5464=1,G5464,"")</f>
        <v/>
      </c>
    </row>
    <row r="5465" customFormat="false" ht="15" hidden="false" customHeight="false" outlineLevel="0" collapsed="false">
      <c r="A5465" s="31" t="n">
        <v>42963.625</v>
      </c>
      <c r="B5465" s="32" t="n">
        <v>229.867</v>
      </c>
      <c r="D5465" s="33" t="n">
        <f aca="false">WEEKDAY(A5465,2)</f>
        <v>3</v>
      </c>
      <c r="E5465" s="33" t="n">
        <f aca="false">HOUR(A5465)+MINUTE(A5465)/60</f>
        <v>15</v>
      </c>
      <c r="F5465" s="33" t="n">
        <f aca="false">IF(OR(D5465&gt;5,E5465&lt;8,E5465&gt;=18,COUNTIF($K$2:$K$10,INT(A5465))&gt;0),1,0)</f>
        <v>0</v>
      </c>
      <c r="G5465" s="34" t="n">
        <f aca="false">B5465/1</f>
        <v>229.867</v>
      </c>
      <c r="H5465" s="34" t="str">
        <f aca="false">IF(F5465=1,G5465,"")</f>
        <v/>
      </c>
    </row>
    <row r="5466" customFormat="false" ht="15" hidden="false" customHeight="false" outlineLevel="0" collapsed="false">
      <c r="A5466" s="31" t="n">
        <v>42963.6666666667</v>
      </c>
      <c r="B5466" s="32" t="n">
        <v>227.807</v>
      </c>
      <c r="D5466" s="33" t="n">
        <f aca="false">WEEKDAY(A5466,2)</f>
        <v>3</v>
      </c>
      <c r="E5466" s="33" t="n">
        <f aca="false">HOUR(A5466)+MINUTE(A5466)/60</f>
        <v>16</v>
      </c>
      <c r="F5466" s="33" t="n">
        <f aca="false">IF(OR(D5466&gt;5,E5466&lt;8,E5466&gt;=18,COUNTIF($K$2:$K$10,INT(A5466))&gt;0),1,0)</f>
        <v>0</v>
      </c>
      <c r="G5466" s="34" t="n">
        <f aca="false">B5466/1</f>
        <v>227.807</v>
      </c>
      <c r="H5466" s="34" t="str">
        <f aca="false">IF(F5466=1,G5466,"")</f>
        <v/>
      </c>
    </row>
    <row r="5467" customFormat="false" ht="15" hidden="false" customHeight="false" outlineLevel="0" collapsed="false">
      <c r="A5467" s="31" t="n">
        <v>42963.7083333333</v>
      </c>
      <c r="B5467" s="32" t="n">
        <v>218.281</v>
      </c>
      <c r="D5467" s="33" t="n">
        <f aca="false">WEEKDAY(A5467,2)</f>
        <v>3</v>
      </c>
      <c r="E5467" s="33" t="n">
        <f aca="false">HOUR(A5467)+MINUTE(A5467)/60</f>
        <v>17</v>
      </c>
      <c r="F5467" s="33" t="n">
        <f aca="false">IF(OR(D5467&gt;5,E5467&lt;8,E5467&gt;=18,COUNTIF($K$2:$K$10,INT(A5467))&gt;0),1,0)</f>
        <v>0</v>
      </c>
      <c r="G5467" s="34" t="n">
        <f aca="false">B5467/1</f>
        <v>218.281</v>
      </c>
      <c r="H5467" s="34" t="str">
        <f aca="false">IF(F5467=1,G5467,"")</f>
        <v/>
      </c>
    </row>
    <row r="5468" customFormat="false" ht="15" hidden="false" customHeight="false" outlineLevel="0" collapsed="false">
      <c r="A5468" s="31" t="n">
        <v>42963.75</v>
      </c>
      <c r="B5468" s="32" t="n">
        <v>204.562</v>
      </c>
      <c r="D5468" s="33" t="n">
        <f aca="false">WEEKDAY(A5468,2)</f>
        <v>3</v>
      </c>
      <c r="E5468" s="33" t="n">
        <f aca="false">HOUR(A5468)+MINUTE(A5468)/60</f>
        <v>18</v>
      </c>
      <c r="F5468" s="33" t="n">
        <f aca="false">IF(OR(D5468&gt;5,E5468&lt;8,E5468&gt;=18,COUNTIF($K$2:$K$10,INT(A5468))&gt;0),1,0)</f>
        <v>1</v>
      </c>
      <c r="G5468" s="34" t="n">
        <f aca="false">B5468/1</f>
        <v>204.562</v>
      </c>
      <c r="H5468" s="34" t="n">
        <f aca="false">IF(F5468=1,G5468,"")</f>
        <v>204.562</v>
      </c>
    </row>
    <row r="5469" customFormat="false" ht="15" hidden="false" customHeight="false" outlineLevel="0" collapsed="false">
      <c r="A5469" s="31" t="n">
        <v>42963.7916666667</v>
      </c>
      <c r="B5469" s="32" t="n">
        <v>198.137</v>
      </c>
      <c r="D5469" s="33" t="n">
        <f aca="false">WEEKDAY(A5469,2)</f>
        <v>3</v>
      </c>
      <c r="E5469" s="33" t="n">
        <f aca="false">HOUR(A5469)+MINUTE(A5469)/60</f>
        <v>19</v>
      </c>
      <c r="F5469" s="33" t="n">
        <f aca="false">IF(OR(D5469&gt;5,E5469&lt;8,E5469&gt;=18,COUNTIF($K$2:$K$10,INT(A5469))&gt;0),1,0)</f>
        <v>1</v>
      </c>
      <c r="G5469" s="34" t="n">
        <f aca="false">B5469/1</f>
        <v>198.137</v>
      </c>
      <c r="H5469" s="34" t="n">
        <f aca="false">IF(F5469=1,G5469,"")</f>
        <v>198.137</v>
      </c>
    </row>
    <row r="5470" customFormat="false" ht="15" hidden="false" customHeight="false" outlineLevel="0" collapsed="false">
      <c r="A5470" s="31" t="n">
        <v>42963.8333333333</v>
      </c>
      <c r="B5470" s="32" t="n">
        <v>197.37</v>
      </c>
      <c r="D5470" s="33" t="n">
        <f aca="false">WEEKDAY(A5470,2)</f>
        <v>3</v>
      </c>
      <c r="E5470" s="33" t="n">
        <f aca="false">HOUR(A5470)+MINUTE(A5470)/60</f>
        <v>20</v>
      </c>
      <c r="F5470" s="33" t="n">
        <f aca="false">IF(OR(D5470&gt;5,E5470&lt;8,E5470&gt;=18,COUNTIF($K$2:$K$10,INT(A5470))&gt;0),1,0)</f>
        <v>1</v>
      </c>
      <c r="G5470" s="34" t="n">
        <f aca="false">B5470/1</f>
        <v>197.37</v>
      </c>
      <c r="H5470" s="34" t="n">
        <f aca="false">IF(F5470=1,G5470,"")</f>
        <v>197.37</v>
      </c>
    </row>
    <row r="5471" customFormat="false" ht="15" hidden="false" customHeight="false" outlineLevel="0" collapsed="false">
      <c r="A5471" s="31" t="n">
        <v>42963.875</v>
      </c>
      <c r="B5471" s="32" t="n">
        <v>197.64</v>
      </c>
      <c r="D5471" s="33" t="n">
        <f aca="false">WEEKDAY(A5471,2)</f>
        <v>3</v>
      </c>
      <c r="E5471" s="33" t="n">
        <f aca="false">HOUR(A5471)+MINUTE(A5471)/60</f>
        <v>21</v>
      </c>
      <c r="F5471" s="33" t="n">
        <f aca="false">IF(OR(D5471&gt;5,E5471&lt;8,E5471&gt;=18,COUNTIF($K$2:$K$10,INT(A5471))&gt;0),1,0)</f>
        <v>1</v>
      </c>
      <c r="G5471" s="34" t="n">
        <f aca="false">B5471/1</f>
        <v>197.64</v>
      </c>
      <c r="H5471" s="34" t="n">
        <f aca="false">IF(F5471=1,G5471,"")</f>
        <v>197.64</v>
      </c>
    </row>
    <row r="5472" customFormat="false" ht="15" hidden="false" customHeight="false" outlineLevel="0" collapsed="false">
      <c r="A5472" s="31" t="n">
        <v>42963.9166666667</v>
      </c>
      <c r="B5472" s="32" t="n">
        <v>157.136</v>
      </c>
      <c r="D5472" s="33" t="n">
        <f aca="false">WEEKDAY(A5472,2)</f>
        <v>3</v>
      </c>
      <c r="E5472" s="33" t="n">
        <f aca="false">HOUR(A5472)+MINUTE(A5472)/60</f>
        <v>22</v>
      </c>
      <c r="F5472" s="33" t="n">
        <f aca="false">IF(OR(D5472&gt;5,E5472&lt;8,E5472&gt;=18,COUNTIF($K$2:$K$10,INT(A5472))&gt;0),1,0)</f>
        <v>1</v>
      </c>
      <c r="G5472" s="34" t="n">
        <f aca="false">B5472/1</f>
        <v>157.136</v>
      </c>
      <c r="H5472" s="34" t="n">
        <f aca="false">IF(F5472=1,G5472,"")</f>
        <v>157.136</v>
      </c>
    </row>
    <row r="5473" customFormat="false" ht="15" hidden="false" customHeight="false" outlineLevel="0" collapsed="false">
      <c r="A5473" s="31" t="n">
        <v>42963.9583333333</v>
      </c>
      <c r="B5473" s="32" t="n">
        <v>77.9</v>
      </c>
      <c r="D5473" s="33" t="n">
        <f aca="false">WEEKDAY(A5473,2)</f>
        <v>3</v>
      </c>
      <c r="E5473" s="33" t="n">
        <f aca="false">HOUR(A5473)+MINUTE(A5473)/60</f>
        <v>23</v>
      </c>
      <c r="F5473" s="33" t="n">
        <f aca="false">IF(OR(D5473&gt;5,E5473&lt;8,E5473&gt;=18,COUNTIF($K$2:$K$10,INT(A5473))&gt;0),1,0)</f>
        <v>1</v>
      </c>
      <c r="G5473" s="34" t="n">
        <f aca="false">B5473/1</f>
        <v>77.9</v>
      </c>
      <c r="H5473" s="34" t="n">
        <f aca="false">IF(F5473=1,G5473,"")</f>
        <v>77.9</v>
      </c>
    </row>
    <row r="5474" customFormat="false" ht="15" hidden="false" customHeight="false" outlineLevel="0" collapsed="false">
      <c r="A5474" s="31" t="n">
        <v>42964</v>
      </c>
      <c r="B5474" s="32" t="n">
        <v>75.361</v>
      </c>
      <c r="D5474" s="33" t="n">
        <f aca="false">WEEKDAY(A5474,2)</f>
        <v>4</v>
      </c>
      <c r="E5474" s="33" t="n">
        <f aca="false">HOUR(A5474)+MINUTE(A5474)/60</f>
        <v>0</v>
      </c>
      <c r="F5474" s="33" t="n">
        <f aca="false">IF(OR(D5474&gt;5,E5474&lt;8,E5474&gt;=18,COUNTIF($K$2:$K$10,INT(A5474))&gt;0),1,0)</f>
        <v>1</v>
      </c>
      <c r="G5474" s="34" t="n">
        <f aca="false">B5474/1</f>
        <v>75.361</v>
      </c>
      <c r="H5474" s="34" t="n">
        <f aca="false">IF(F5474=1,G5474,"")</f>
        <v>75.361</v>
      </c>
    </row>
    <row r="5475" customFormat="false" ht="15" hidden="false" customHeight="false" outlineLevel="0" collapsed="false">
      <c r="A5475" s="31" t="n">
        <v>42964.0416666667</v>
      </c>
      <c r="B5475" s="32" t="n">
        <v>147.045</v>
      </c>
      <c r="D5475" s="33" t="n">
        <f aca="false">WEEKDAY(A5475,2)</f>
        <v>4</v>
      </c>
      <c r="E5475" s="33" t="n">
        <f aca="false">HOUR(A5475)+MINUTE(A5475)/60</f>
        <v>1</v>
      </c>
      <c r="F5475" s="33" t="n">
        <f aca="false">IF(OR(D5475&gt;5,E5475&lt;8,E5475&gt;=18,COUNTIF($K$2:$K$10,INT(A5475))&gt;0),1,0)</f>
        <v>1</v>
      </c>
      <c r="G5475" s="34" t="n">
        <f aca="false">B5475/1</f>
        <v>147.045</v>
      </c>
      <c r="H5475" s="34" t="n">
        <f aca="false">IF(F5475=1,G5475,"")</f>
        <v>147.045</v>
      </c>
    </row>
    <row r="5476" customFormat="false" ht="15" hidden="false" customHeight="false" outlineLevel="0" collapsed="false">
      <c r="A5476" s="31" t="n">
        <v>42964.0833333333</v>
      </c>
      <c r="B5476" s="32" t="n">
        <v>120.809</v>
      </c>
      <c r="D5476" s="33" t="n">
        <f aca="false">WEEKDAY(A5476,2)</f>
        <v>4</v>
      </c>
      <c r="E5476" s="33" t="n">
        <f aca="false">HOUR(A5476)+MINUTE(A5476)/60</f>
        <v>2</v>
      </c>
      <c r="F5476" s="33" t="n">
        <f aca="false">IF(OR(D5476&gt;5,E5476&lt;8,E5476&gt;=18,COUNTIF($K$2:$K$10,INT(A5476))&gt;0),1,0)</f>
        <v>1</v>
      </c>
      <c r="G5476" s="34" t="n">
        <f aca="false">B5476/1</f>
        <v>120.809</v>
      </c>
      <c r="H5476" s="34" t="n">
        <f aca="false">IF(F5476=1,G5476,"")</f>
        <v>120.809</v>
      </c>
    </row>
    <row r="5477" customFormat="false" ht="15" hidden="false" customHeight="false" outlineLevel="0" collapsed="false">
      <c r="A5477" s="31" t="n">
        <v>42964.125</v>
      </c>
      <c r="B5477" s="32" t="n">
        <v>73.404</v>
      </c>
      <c r="D5477" s="33" t="n">
        <f aca="false">WEEKDAY(A5477,2)</f>
        <v>4</v>
      </c>
      <c r="E5477" s="33" t="n">
        <f aca="false">HOUR(A5477)+MINUTE(A5477)/60</f>
        <v>3</v>
      </c>
      <c r="F5477" s="33" t="n">
        <f aca="false">IF(OR(D5477&gt;5,E5477&lt;8,E5477&gt;=18,COUNTIF($K$2:$K$10,INT(A5477))&gt;0),1,0)</f>
        <v>1</v>
      </c>
      <c r="G5477" s="34" t="n">
        <f aca="false">B5477/1</f>
        <v>73.404</v>
      </c>
      <c r="H5477" s="34" t="n">
        <f aca="false">IF(F5477=1,G5477,"")</f>
        <v>73.404</v>
      </c>
    </row>
    <row r="5478" customFormat="false" ht="15" hidden="false" customHeight="false" outlineLevel="0" collapsed="false">
      <c r="A5478" s="31" t="n">
        <v>42964.1666666667</v>
      </c>
      <c r="B5478" s="32" t="n">
        <v>73.589</v>
      </c>
      <c r="D5478" s="33" t="n">
        <f aca="false">WEEKDAY(A5478,2)</f>
        <v>4</v>
      </c>
      <c r="E5478" s="33" t="n">
        <f aca="false">HOUR(A5478)+MINUTE(A5478)/60</f>
        <v>4</v>
      </c>
      <c r="F5478" s="33" t="n">
        <f aca="false">IF(OR(D5478&gt;5,E5478&lt;8,E5478&gt;=18,COUNTIF($K$2:$K$10,INT(A5478))&gt;0),1,0)</f>
        <v>1</v>
      </c>
      <c r="G5478" s="34" t="n">
        <f aca="false">B5478/1</f>
        <v>73.589</v>
      </c>
      <c r="H5478" s="34" t="n">
        <f aca="false">IF(F5478=1,G5478,"")</f>
        <v>73.589</v>
      </c>
    </row>
    <row r="5479" customFormat="false" ht="15" hidden="false" customHeight="false" outlineLevel="0" collapsed="false">
      <c r="A5479" s="31" t="n">
        <v>42964.2083333333</v>
      </c>
      <c r="B5479" s="32" t="n">
        <v>73.034</v>
      </c>
      <c r="D5479" s="33" t="n">
        <f aca="false">WEEKDAY(A5479,2)</f>
        <v>4</v>
      </c>
      <c r="E5479" s="33" t="n">
        <f aca="false">HOUR(A5479)+MINUTE(A5479)/60</f>
        <v>5</v>
      </c>
      <c r="F5479" s="33" t="n">
        <f aca="false">IF(OR(D5479&gt;5,E5479&lt;8,E5479&gt;=18,COUNTIF($K$2:$K$10,INT(A5479))&gt;0),1,0)</f>
        <v>1</v>
      </c>
      <c r="G5479" s="34" t="n">
        <f aca="false">B5479/1</f>
        <v>73.034</v>
      </c>
      <c r="H5479" s="34" t="n">
        <f aca="false">IF(F5479=1,G5479,"")</f>
        <v>73.034</v>
      </c>
    </row>
    <row r="5480" customFormat="false" ht="15" hidden="false" customHeight="false" outlineLevel="0" collapsed="false">
      <c r="A5480" s="31" t="n">
        <v>42964.25</v>
      </c>
      <c r="B5480" s="32" t="n">
        <v>74.855</v>
      </c>
      <c r="D5480" s="33" t="n">
        <f aca="false">WEEKDAY(A5480,2)</f>
        <v>4</v>
      </c>
      <c r="E5480" s="33" t="n">
        <f aca="false">HOUR(A5480)+MINUTE(A5480)/60</f>
        <v>6</v>
      </c>
      <c r="F5480" s="33" t="n">
        <f aca="false">IF(OR(D5480&gt;5,E5480&lt;8,E5480&gt;=18,COUNTIF($K$2:$K$10,INT(A5480))&gt;0),1,0)</f>
        <v>1</v>
      </c>
      <c r="G5480" s="34" t="n">
        <f aca="false">B5480/1</f>
        <v>74.855</v>
      </c>
      <c r="H5480" s="34" t="n">
        <f aca="false">IF(F5480=1,G5480,"")</f>
        <v>74.855</v>
      </c>
    </row>
    <row r="5481" customFormat="false" ht="15" hidden="false" customHeight="false" outlineLevel="0" collapsed="false">
      <c r="A5481" s="31" t="n">
        <v>42964.2916666667</v>
      </c>
      <c r="B5481" s="32" t="n">
        <v>81.692</v>
      </c>
      <c r="D5481" s="33" t="n">
        <f aca="false">WEEKDAY(A5481,2)</f>
        <v>4</v>
      </c>
      <c r="E5481" s="33" t="n">
        <f aca="false">HOUR(A5481)+MINUTE(A5481)/60</f>
        <v>7</v>
      </c>
      <c r="F5481" s="33" t="n">
        <f aca="false">IF(OR(D5481&gt;5,E5481&lt;8,E5481&gt;=18,COUNTIF($K$2:$K$10,INT(A5481))&gt;0),1,0)</f>
        <v>1</v>
      </c>
      <c r="G5481" s="34" t="n">
        <f aca="false">B5481/1</f>
        <v>81.692</v>
      </c>
      <c r="H5481" s="34" t="n">
        <f aca="false">IF(F5481=1,G5481,"")</f>
        <v>81.692</v>
      </c>
    </row>
    <row r="5482" customFormat="false" ht="15" hidden="false" customHeight="false" outlineLevel="0" collapsed="false">
      <c r="A5482" s="31" t="n">
        <v>42964.3333333333</v>
      </c>
      <c r="B5482" s="32" t="n">
        <v>186.262</v>
      </c>
      <c r="D5482" s="33" t="n">
        <f aca="false">WEEKDAY(A5482,2)</f>
        <v>4</v>
      </c>
      <c r="E5482" s="33" t="n">
        <f aca="false">HOUR(A5482)+MINUTE(A5482)/60</f>
        <v>8</v>
      </c>
      <c r="F5482" s="33" t="n">
        <f aca="false">IF(OR(D5482&gt;5,E5482&lt;8,E5482&gt;=18,COUNTIF($K$2:$K$10,INT(A5482))&gt;0),1,0)</f>
        <v>0</v>
      </c>
      <c r="G5482" s="34" t="n">
        <f aca="false">B5482/1</f>
        <v>186.262</v>
      </c>
      <c r="H5482" s="34" t="str">
        <f aca="false">IF(F5482=1,G5482,"")</f>
        <v/>
      </c>
    </row>
    <row r="5483" customFormat="false" ht="15" hidden="false" customHeight="false" outlineLevel="0" collapsed="false">
      <c r="A5483" s="31" t="n">
        <v>42964.375</v>
      </c>
      <c r="B5483" s="32" t="n">
        <v>215.567</v>
      </c>
      <c r="D5483" s="33" t="n">
        <f aca="false">WEEKDAY(A5483,2)</f>
        <v>4</v>
      </c>
      <c r="E5483" s="33" t="n">
        <f aca="false">HOUR(A5483)+MINUTE(A5483)/60</f>
        <v>9</v>
      </c>
      <c r="F5483" s="33" t="n">
        <f aca="false">IF(OR(D5483&gt;5,E5483&lt;8,E5483&gt;=18,COUNTIF($K$2:$K$10,INT(A5483))&gt;0),1,0)</f>
        <v>0</v>
      </c>
      <c r="G5483" s="34" t="n">
        <f aca="false">B5483/1</f>
        <v>215.567</v>
      </c>
      <c r="H5483" s="34" t="str">
        <f aca="false">IF(F5483=1,G5483,"")</f>
        <v/>
      </c>
    </row>
    <row r="5484" customFormat="false" ht="15" hidden="false" customHeight="false" outlineLevel="0" collapsed="false">
      <c r="A5484" s="31" t="n">
        <v>42964.4166666667</v>
      </c>
      <c r="B5484" s="32" t="n">
        <v>226.688</v>
      </c>
      <c r="D5484" s="33" t="n">
        <f aca="false">WEEKDAY(A5484,2)</f>
        <v>4</v>
      </c>
      <c r="E5484" s="33" t="n">
        <f aca="false">HOUR(A5484)+MINUTE(A5484)/60</f>
        <v>10</v>
      </c>
      <c r="F5484" s="33" t="n">
        <f aca="false">IF(OR(D5484&gt;5,E5484&lt;8,E5484&gt;=18,COUNTIF($K$2:$K$10,INT(A5484))&gt;0),1,0)</f>
        <v>0</v>
      </c>
      <c r="G5484" s="34" t="n">
        <f aca="false">B5484/1</f>
        <v>226.688</v>
      </c>
      <c r="H5484" s="34" t="str">
        <f aca="false">IF(F5484=1,G5484,"")</f>
        <v/>
      </c>
    </row>
    <row r="5485" customFormat="false" ht="15" hidden="false" customHeight="false" outlineLevel="0" collapsed="false">
      <c r="A5485" s="31" t="n">
        <v>42964.4583333333</v>
      </c>
      <c r="B5485" s="32" t="n">
        <v>234.816</v>
      </c>
      <c r="D5485" s="33" t="n">
        <f aca="false">WEEKDAY(A5485,2)</f>
        <v>4</v>
      </c>
      <c r="E5485" s="33" t="n">
        <f aca="false">HOUR(A5485)+MINUTE(A5485)/60</f>
        <v>11</v>
      </c>
      <c r="F5485" s="33" t="n">
        <f aca="false">IF(OR(D5485&gt;5,E5485&lt;8,E5485&gt;=18,COUNTIF($K$2:$K$10,INT(A5485))&gt;0),1,0)</f>
        <v>0</v>
      </c>
      <c r="G5485" s="34" t="n">
        <f aca="false">B5485/1</f>
        <v>234.816</v>
      </c>
      <c r="H5485" s="34" t="str">
        <f aca="false">IF(F5485=1,G5485,"")</f>
        <v/>
      </c>
    </row>
    <row r="5486" customFormat="false" ht="15" hidden="false" customHeight="false" outlineLevel="0" collapsed="false">
      <c r="A5486" s="31" t="n">
        <v>42964.5</v>
      </c>
      <c r="B5486" s="32" t="n">
        <v>236.311</v>
      </c>
      <c r="D5486" s="33" t="n">
        <f aca="false">WEEKDAY(A5486,2)</f>
        <v>4</v>
      </c>
      <c r="E5486" s="33" t="n">
        <f aca="false">HOUR(A5486)+MINUTE(A5486)/60</f>
        <v>12</v>
      </c>
      <c r="F5486" s="33" t="n">
        <f aca="false">IF(OR(D5486&gt;5,E5486&lt;8,E5486&gt;=18,COUNTIF($K$2:$K$10,INT(A5486))&gt;0),1,0)</f>
        <v>0</v>
      </c>
      <c r="G5486" s="34" t="n">
        <f aca="false">B5486/1</f>
        <v>236.311</v>
      </c>
      <c r="H5486" s="34" t="str">
        <f aca="false">IF(F5486=1,G5486,"")</f>
        <v/>
      </c>
    </row>
    <row r="5487" customFormat="false" ht="15" hidden="false" customHeight="false" outlineLevel="0" collapsed="false">
      <c r="A5487" s="31" t="n">
        <v>42964.5416666667</v>
      </c>
      <c r="B5487" s="32" t="n">
        <v>235.677</v>
      </c>
      <c r="D5487" s="33" t="n">
        <f aca="false">WEEKDAY(A5487,2)</f>
        <v>4</v>
      </c>
      <c r="E5487" s="33" t="n">
        <f aca="false">HOUR(A5487)+MINUTE(A5487)/60</f>
        <v>13</v>
      </c>
      <c r="F5487" s="33" t="n">
        <f aca="false">IF(OR(D5487&gt;5,E5487&lt;8,E5487&gt;=18,COUNTIF($K$2:$K$10,INT(A5487))&gt;0),1,0)</f>
        <v>0</v>
      </c>
      <c r="G5487" s="34" t="n">
        <f aca="false">B5487/1</f>
        <v>235.677</v>
      </c>
      <c r="H5487" s="34" t="str">
        <f aca="false">IF(F5487=1,G5487,"")</f>
        <v/>
      </c>
    </row>
    <row r="5488" customFormat="false" ht="15" hidden="false" customHeight="false" outlineLevel="0" collapsed="false">
      <c r="A5488" s="31" t="n">
        <v>42964.5833333333</v>
      </c>
      <c r="B5488" s="32" t="n">
        <v>232.092</v>
      </c>
      <c r="D5488" s="33" t="n">
        <f aca="false">WEEKDAY(A5488,2)</f>
        <v>4</v>
      </c>
      <c r="E5488" s="33" t="n">
        <f aca="false">HOUR(A5488)+MINUTE(A5488)/60</f>
        <v>14</v>
      </c>
      <c r="F5488" s="33" t="n">
        <f aca="false">IF(OR(D5488&gt;5,E5488&lt;8,E5488&gt;=18,COUNTIF($K$2:$K$10,INT(A5488))&gt;0),1,0)</f>
        <v>0</v>
      </c>
      <c r="G5488" s="34" t="n">
        <f aca="false">B5488/1</f>
        <v>232.092</v>
      </c>
      <c r="H5488" s="34" t="str">
        <f aca="false">IF(F5488=1,G5488,"")</f>
        <v/>
      </c>
    </row>
    <row r="5489" customFormat="false" ht="15" hidden="false" customHeight="false" outlineLevel="0" collapsed="false">
      <c r="A5489" s="31" t="n">
        <v>42964.625</v>
      </c>
      <c r="B5489" s="32" t="n">
        <v>229.001</v>
      </c>
      <c r="D5489" s="33" t="n">
        <f aca="false">WEEKDAY(A5489,2)</f>
        <v>4</v>
      </c>
      <c r="E5489" s="33" t="n">
        <f aca="false">HOUR(A5489)+MINUTE(A5489)/60</f>
        <v>15</v>
      </c>
      <c r="F5489" s="33" t="n">
        <f aca="false">IF(OR(D5489&gt;5,E5489&lt;8,E5489&gt;=18,COUNTIF($K$2:$K$10,INT(A5489))&gt;0),1,0)</f>
        <v>0</v>
      </c>
      <c r="G5489" s="34" t="n">
        <f aca="false">B5489/1</f>
        <v>229.001</v>
      </c>
      <c r="H5489" s="34" t="str">
        <f aca="false">IF(F5489=1,G5489,"")</f>
        <v/>
      </c>
    </row>
    <row r="5490" customFormat="false" ht="15" hidden="false" customHeight="false" outlineLevel="0" collapsed="false">
      <c r="A5490" s="31" t="n">
        <v>42964.6666666667</v>
      </c>
      <c r="B5490" s="32" t="n">
        <v>222.848</v>
      </c>
      <c r="D5490" s="33" t="n">
        <f aca="false">WEEKDAY(A5490,2)</f>
        <v>4</v>
      </c>
      <c r="E5490" s="33" t="n">
        <f aca="false">HOUR(A5490)+MINUTE(A5490)/60</f>
        <v>16</v>
      </c>
      <c r="F5490" s="33" t="n">
        <f aca="false">IF(OR(D5490&gt;5,E5490&lt;8,E5490&gt;=18,COUNTIF($K$2:$K$10,INT(A5490))&gt;0),1,0)</f>
        <v>0</v>
      </c>
      <c r="G5490" s="34" t="n">
        <f aca="false">B5490/1</f>
        <v>222.848</v>
      </c>
      <c r="H5490" s="34" t="str">
        <f aca="false">IF(F5490=1,G5490,"")</f>
        <v/>
      </c>
    </row>
    <row r="5491" customFormat="false" ht="15" hidden="false" customHeight="false" outlineLevel="0" collapsed="false">
      <c r="A5491" s="31" t="n">
        <v>42964.7083333333</v>
      </c>
      <c r="B5491" s="32" t="n">
        <v>210.271</v>
      </c>
      <c r="D5491" s="33" t="n">
        <f aca="false">WEEKDAY(A5491,2)</f>
        <v>4</v>
      </c>
      <c r="E5491" s="33" t="n">
        <f aca="false">HOUR(A5491)+MINUTE(A5491)/60</f>
        <v>17</v>
      </c>
      <c r="F5491" s="33" t="n">
        <f aca="false">IF(OR(D5491&gt;5,E5491&lt;8,E5491&gt;=18,COUNTIF($K$2:$K$10,INT(A5491))&gt;0),1,0)</f>
        <v>0</v>
      </c>
      <c r="G5491" s="34" t="n">
        <f aca="false">B5491/1</f>
        <v>210.271</v>
      </c>
      <c r="H5491" s="34" t="str">
        <f aca="false">IF(F5491=1,G5491,"")</f>
        <v/>
      </c>
    </row>
    <row r="5492" customFormat="false" ht="15" hidden="false" customHeight="false" outlineLevel="0" collapsed="false">
      <c r="A5492" s="31" t="n">
        <v>42964.75</v>
      </c>
      <c r="B5492" s="32" t="n">
        <v>196.083</v>
      </c>
      <c r="D5492" s="33" t="n">
        <f aca="false">WEEKDAY(A5492,2)</f>
        <v>4</v>
      </c>
      <c r="E5492" s="33" t="n">
        <f aca="false">HOUR(A5492)+MINUTE(A5492)/60</f>
        <v>18</v>
      </c>
      <c r="F5492" s="33" t="n">
        <f aca="false">IF(OR(D5492&gt;5,E5492&lt;8,E5492&gt;=18,COUNTIF($K$2:$K$10,INT(A5492))&gt;0),1,0)</f>
        <v>1</v>
      </c>
      <c r="G5492" s="34" t="n">
        <f aca="false">B5492/1</f>
        <v>196.083</v>
      </c>
      <c r="H5492" s="34" t="n">
        <f aca="false">IF(F5492=1,G5492,"")</f>
        <v>196.083</v>
      </c>
    </row>
    <row r="5493" customFormat="false" ht="15" hidden="false" customHeight="false" outlineLevel="0" collapsed="false">
      <c r="A5493" s="31" t="n">
        <v>42964.7916666667</v>
      </c>
      <c r="B5493" s="32" t="n">
        <v>190.202</v>
      </c>
      <c r="D5493" s="33" t="n">
        <f aca="false">WEEKDAY(A5493,2)</f>
        <v>4</v>
      </c>
      <c r="E5493" s="33" t="n">
        <f aca="false">HOUR(A5493)+MINUTE(A5493)/60</f>
        <v>19</v>
      </c>
      <c r="F5493" s="33" t="n">
        <f aca="false">IF(OR(D5493&gt;5,E5493&lt;8,E5493&gt;=18,COUNTIF($K$2:$K$10,INT(A5493))&gt;0),1,0)</f>
        <v>1</v>
      </c>
      <c r="G5493" s="34" t="n">
        <f aca="false">B5493/1</f>
        <v>190.202</v>
      </c>
      <c r="H5493" s="34" t="n">
        <f aca="false">IF(F5493=1,G5493,"")</f>
        <v>190.202</v>
      </c>
    </row>
    <row r="5494" customFormat="false" ht="15" hidden="false" customHeight="false" outlineLevel="0" collapsed="false">
      <c r="A5494" s="31" t="n">
        <v>42964.8333333333</v>
      </c>
      <c r="B5494" s="32" t="n">
        <v>188.701</v>
      </c>
      <c r="D5494" s="33" t="n">
        <f aca="false">WEEKDAY(A5494,2)</f>
        <v>4</v>
      </c>
      <c r="E5494" s="33" t="n">
        <f aca="false">HOUR(A5494)+MINUTE(A5494)/60</f>
        <v>20</v>
      </c>
      <c r="F5494" s="33" t="n">
        <f aca="false">IF(OR(D5494&gt;5,E5494&lt;8,E5494&gt;=18,COUNTIF($K$2:$K$10,INT(A5494))&gt;0),1,0)</f>
        <v>1</v>
      </c>
      <c r="G5494" s="34" t="n">
        <f aca="false">B5494/1</f>
        <v>188.701</v>
      </c>
      <c r="H5494" s="34" t="n">
        <f aca="false">IF(F5494=1,G5494,"")</f>
        <v>188.701</v>
      </c>
    </row>
    <row r="5495" customFormat="false" ht="15" hidden="false" customHeight="false" outlineLevel="0" collapsed="false">
      <c r="A5495" s="31" t="n">
        <v>42964.875</v>
      </c>
      <c r="B5495" s="32" t="n">
        <v>188.494</v>
      </c>
      <c r="D5495" s="33" t="n">
        <f aca="false">WEEKDAY(A5495,2)</f>
        <v>4</v>
      </c>
      <c r="E5495" s="33" t="n">
        <f aca="false">HOUR(A5495)+MINUTE(A5495)/60</f>
        <v>21</v>
      </c>
      <c r="F5495" s="33" t="n">
        <f aca="false">IF(OR(D5495&gt;5,E5495&lt;8,E5495&gt;=18,COUNTIF($K$2:$K$10,INT(A5495))&gt;0),1,0)</f>
        <v>1</v>
      </c>
      <c r="G5495" s="34" t="n">
        <f aca="false">B5495/1</f>
        <v>188.494</v>
      </c>
      <c r="H5495" s="34" t="n">
        <f aca="false">IF(F5495=1,G5495,"")</f>
        <v>188.494</v>
      </c>
    </row>
    <row r="5496" customFormat="false" ht="15" hidden="false" customHeight="false" outlineLevel="0" collapsed="false">
      <c r="A5496" s="31" t="n">
        <v>42964.9166666667</v>
      </c>
      <c r="B5496" s="32" t="n">
        <v>134.465</v>
      </c>
      <c r="D5496" s="33" t="n">
        <f aca="false">WEEKDAY(A5496,2)</f>
        <v>4</v>
      </c>
      <c r="E5496" s="33" t="n">
        <f aca="false">HOUR(A5496)+MINUTE(A5496)/60</f>
        <v>22</v>
      </c>
      <c r="F5496" s="33" t="n">
        <f aca="false">IF(OR(D5496&gt;5,E5496&lt;8,E5496&gt;=18,COUNTIF($K$2:$K$10,INT(A5496))&gt;0),1,0)</f>
        <v>1</v>
      </c>
      <c r="G5496" s="34" t="n">
        <f aca="false">B5496/1</f>
        <v>134.465</v>
      </c>
      <c r="H5496" s="34" t="n">
        <f aca="false">IF(F5496=1,G5496,"")</f>
        <v>134.465</v>
      </c>
    </row>
    <row r="5497" customFormat="false" ht="15" hidden="false" customHeight="false" outlineLevel="0" collapsed="false">
      <c r="A5497" s="31" t="n">
        <v>42964.9583333333</v>
      </c>
      <c r="B5497" s="32" t="n">
        <v>74.047</v>
      </c>
      <c r="D5497" s="33" t="n">
        <f aca="false">WEEKDAY(A5497,2)</f>
        <v>4</v>
      </c>
      <c r="E5497" s="33" t="n">
        <f aca="false">HOUR(A5497)+MINUTE(A5497)/60</f>
        <v>23</v>
      </c>
      <c r="F5497" s="33" t="n">
        <f aca="false">IF(OR(D5497&gt;5,E5497&lt;8,E5497&gt;=18,COUNTIF($K$2:$K$10,INT(A5497))&gt;0),1,0)</f>
        <v>1</v>
      </c>
      <c r="G5497" s="34" t="n">
        <f aca="false">B5497/1</f>
        <v>74.047</v>
      </c>
      <c r="H5497" s="34" t="n">
        <f aca="false">IF(F5497=1,G5497,"")</f>
        <v>74.047</v>
      </c>
    </row>
    <row r="5498" customFormat="false" ht="15" hidden="false" customHeight="false" outlineLevel="0" collapsed="false">
      <c r="A5498" s="31" t="n">
        <v>42965</v>
      </c>
      <c r="B5498" s="32" t="n">
        <v>72.694</v>
      </c>
      <c r="D5498" s="33" t="n">
        <f aca="false">WEEKDAY(A5498,2)</f>
        <v>5</v>
      </c>
      <c r="E5498" s="33" t="n">
        <f aca="false">HOUR(A5498)+MINUTE(A5498)/60</f>
        <v>0</v>
      </c>
      <c r="F5498" s="33" t="n">
        <f aca="false">IF(OR(D5498&gt;5,E5498&lt;8,E5498&gt;=18,COUNTIF($K$2:$K$10,INT(A5498))&gt;0),1,0)</f>
        <v>1</v>
      </c>
      <c r="G5498" s="34" t="n">
        <f aca="false">B5498/1</f>
        <v>72.694</v>
      </c>
      <c r="H5498" s="34" t="n">
        <f aca="false">IF(F5498=1,G5498,"")</f>
        <v>72.694</v>
      </c>
    </row>
    <row r="5499" customFormat="false" ht="15" hidden="false" customHeight="false" outlineLevel="0" collapsed="false">
      <c r="A5499" s="31" t="n">
        <v>42965.0416666667</v>
      </c>
      <c r="B5499" s="32" t="n">
        <v>71.576</v>
      </c>
      <c r="D5499" s="33" t="n">
        <f aca="false">WEEKDAY(A5499,2)</f>
        <v>5</v>
      </c>
      <c r="E5499" s="33" t="n">
        <f aca="false">HOUR(A5499)+MINUTE(A5499)/60</f>
        <v>1</v>
      </c>
      <c r="F5499" s="33" t="n">
        <f aca="false">IF(OR(D5499&gt;5,E5499&lt;8,E5499&gt;=18,COUNTIF($K$2:$K$10,INT(A5499))&gt;0),1,0)</f>
        <v>1</v>
      </c>
      <c r="G5499" s="34" t="n">
        <f aca="false">B5499/1</f>
        <v>71.576</v>
      </c>
      <c r="H5499" s="34" t="n">
        <f aca="false">IF(F5499=1,G5499,"")</f>
        <v>71.576</v>
      </c>
    </row>
    <row r="5500" customFormat="false" ht="15" hidden="false" customHeight="false" outlineLevel="0" collapsed="false">
      <c r="A5500" s="31" t="n">
        <v>42965.0833333333</v>
      </c>
      <c r="B5500" s="32" t="n">
        <v>70.144</v>
      </c>
      <c r="D5500" s="33" t="n">
        <f aca="false">WEEKDAY(A5500,2)</f>
        <v>5</v>
      </c>
      <c r="E5500" s="33" t="n">
        <f aca="false">HOUR(A5500)+MINUTE(A5500)/60</f>
        <v>2</v>
      </c>
      <c r="F5500" s="33" t="n">
        <f aca="false">IF(OR(D5500&gt;5,E5500&lt;8,E5500&gt;=18,COUNTIF($K$2:$K$10,INT(A5500))&gt;0),1,0)</f>
        <v>1</v>
      </c>
      <c r="G5500" s="34" t="n">
        <f aca="false">B5500/1</f>
        <v>70.144</v>
      </c>
      <c r="H5500" s="34" t="n">
        <f aca="false">IF(F5500=1,G5500,"")</f>
        <v>70.144</v>
      </c>
    </row>
    <row r="5501" customFormat="false" ht="15" hidden="false" customHeight="false" outlineLevel="0" collapsed="false">
      <c r="A5501" s="31" t="n">
        <v>42965.125</v>
      </c>
      <c r="B5501" s="32" t="n">
        <v>70.66</v>
      </c>
      <c r="D5501" s="33" t="n">
        <f aca="false">WEEKDAY(A5501,2)</f>
        <v>5</v>
      </c>
      <c r="E5501" s="33" t="n">
        <f aca="false">HOUR(A5501)+MINUTE(A5501)/60</f>
        <v>3</v>
      </c>
      <c r="F5501" s="33" t="n">
        <f aca="false">IF(OR(D5501&gt;5,E5501&lt;8,E5501&gt;=18,COUNTIF($K$2:$K$10,INT(A5501))&gt;0),1,0)</f>
        <v>1</v>
      </c>
      <c r="G5501" s="34" t="n">
        <f aca="false">B5501/1</f>
        <v>70.66</v>
      </c>
      <c r="H5501" s="34" t="n">
        <f aca="false">IF(F5501=1,G5501,"")</f>
        <v>70.66</v>
      </c>
    </row>
    <row r="5502" customFormat="false" ht="15" hidden="false" customHeight="false" outlineLevel="0" collapsed="false">
      <c r="A5502" s="31" t="n">
        <v>42965.1666666667</v>
      </c>
      <c r="B5502" s="32" t="n">
        <v>70.165</v>
      </c>
      <c r="D5502" s="33" t="n">
        <f aca="false">WEEKDAY(A5502,2)</f>
        <v>5</v>
      </c>
      <c r="E5502" s="33" t="n">
        <f aca="false">HOUR(A5502)+MINUTE(A5502)/60</f>
        <v>4</v>
      </c>
      <c r="F5502" s="33" t="n">
        <f aca="false">IF(OR(D5502&gt;5,E5502&lt;8,E5502&gt;=18,COUNTIF($K$2:$K$10,INT(A5502))&gt;0),1,0)</f>
        <v>1</v>
      </c>
      <c r="G5502" s="34" t="n">
        <f aca="false">B5502/1</f>
        <v>70.165</v>
      </c>
      <c r="H5502" s="34" t="n">
        <f aca="false">IF(F5502=1,G5502,"")</f>
        <v>70.165</v>
      </c>
    </row>
    <row r="5503" customFormat="false" ht="15" hidden="false" customHeight="false" outlineLevel="0" collapsed="false">
      <c r="A5503" s="31" t="n">
        <v>42965.2083333333</v>
      </c>
      <c r="B5503" s="32" t="n">
        <v>70.715</v>
      </c>
      <c r="D5503" s="33" t="n">
        <f aca="false">WEEKDAY(A5503,2)</f>
        <v>5</v>
      </c>
      <c r="E5503" s="33" t="n">
        <f aca="false">HOUR(A5503)+MINUTE(A5503)/60</f>
        <v>5</v>
      </c>
      <c r="F5503" s="33" t="n">
        <f aca="false">IF(OR(D5503&gt;5,E5503&lt;8,E5503&gt;=18,COUNTIF($K$2:$K$10,INT(A5503))&gt;0),1,0)</f>
        <v>1</v>
      </c>
      <c r="G5503" s="34" t="n">
        <f aca="false">B5503/1</f>
        <v>70.715</v>
      </c>
      <c r="H5503" s="34" t="n">
        <f aca="false">IF(F5503=1,G5503,"")</f>
        <v>70.715</v>
      </c>
    </row>
    <row r="5504" customFormat="false" ht="15" hidden="false" customHeight="false" outlineLevel="0" collapsed="false">
      <c r="A5504" s="31" t="n">
        <v>42965.25</v>
      </c>
      <c r="B5504" s="32" t="n">
        <v>70.98</v>
      </c>
      <c r="D5504" s="33" t="n">
        <f aca="false">WEEKDAY(A5504,2)</f>
        <v>5</v>
      </c>
      <c r="E5504" s="33" t="n">
        <f aca="false">HOUR(A5504)+MINUTE(A5504)/60</f>
        <v>6</v>
      </c>
      <c r="F5504" s="33" t="n">
        <f aca="false">IF(OR(D5504&gt;5,E5504&lt;8,E5504&gt;=18,COUNTIF($K$2:$K$10,INT(A5504))&gt;0),1,0)</f>
        <v>1</v>
      </c>
      <c r="G5504" s="34" t="n">
        <f aca="false">B5504/1</f>
        <v>70.98</v>
      </c>
      <c r="H5504" s="34" t="n">
        <f aca="false">IF(F5504=1,G5504,"")</f>
        <v>70.98</v>
      </c>
    </row>
    <row r="5505" customFormat="false" ht="15" hidden="false" customHeight="false" outlineLevel="0" collapsed="false">
      <c r="A5505" s="31" t="n">
        <v>42965.2916666667</v>
      </c>
      <c r="B5505" s="32" t="n">
        <v>75.329</v>
      </c>
      <c r="D5505" s="33" t="n">
        <f aca="false">WEEKDAY(A5505,2)</f>
        <v>5</v>
      </c>
      <c r="E5505" s="33" t="n">
        <f aca="false">HOUR(A5505)+MINUTE(A5505)/60</f>
        <v>7</v>
      </c>
      <c r="F5505" s="33" t="n">
        <f aca="false">IF(OR(D5505&gt;5,E5505&lt;8,E5505&gt;=18,COUNTIF($K$2:$K$10,INT(A5505))&gt;0),1,0)</f>
        <v>1</v>
      </c>
      <c r="G5505" s="34" t="n">
        <f aca="false">B5505/1</f>
        <v>75.329</v>
      </c>
      <c r="H5505" s="34" t="n">
        <f aca="false">IF(F5505=1,G5505,"")</f>
        <v>75.329</v>
      </c>
    </row>
    <row r="5506" customFormat="false" ht="15" hidden="false" customHeight="false" outlineLevel="0" collapsed="false">
      <c r="A5506" s="31" t="n">
        <v>42965.3333333333</v>
      </c>
      <c r="B5506" s="32" t="n">
        <v>178.105</v>
      </c>
      <c r="D5506" s="33" t="n">
        <f aca="false">WEEKDAY(A5506,2)</f>
        <v>5</v>
      </c>
      <c r="E5506" s="33" t="n">
        <f aca="false">HOUR(A5506)+MINUTE(A5506)/60</f>
        <v>8</v>
      </c>
      <c r="F5506" s="33" t="n">
        <f aca="false">IF(OR(D5506&gt;5,E5506&lt;8,E5506&gt;=18,COUNTIF($K$2:$K$10,INT(A5506))&gt;0),1,0)</f>
        <v>0</v>
      </c>
      <c r="G5506" s="34" t="n">
        <f aca="false">B5506/1</f>
        <v>178.105</v>
      </c>
      <c r="H5506" s="34" t="str">
        <f aca="false">IF(F5506=1,G5506,"")</f>
        <v/>
      </c>
    </row>
    <row r="5507" customFormat="false" ht="15" hidden="false" customHeight="false" outlineLevel="0" collapsed="false">
      <c r="A5507" s="31" t="n">
        <v>42965.375</v>
      </c>
      <c r="B5507" s="32" t="n">
        <v>204.838</v>
      </c>
      <c r="D5507" s="33" t="n">
        <f aca="false">WEEKDAY(A5507,2)</f>
        <v>5</v>
      </c>
      <c r="E5507" s="33" t="n">
        <f aca="false">HOUR(A5507)+MINUTE(A5507)/60</f>
        <v>9</v>
      </c>
      <c r="F5507" s="33" t="n">
        <f aca="false">IF(OR(D5507&gt;5,E5507&lt;8,E5507&gt;=18,COUNTIF($K$2:$K$10,INT(A5507))&gt;0),1,0)</f>
        <v>0</v>
      </c>
      <c r="G5507" s="34" t="n">
        <f aca="false">B5507/1</f>
        <v>204.838</v>
      </c>
      <c r="H5507" s="34" t="str">
        <f aca="false">IF(F5507=1,G5507,"")</f>
        <v/>
      </c>
    </row>
    <row r="5508" customFormat="false" ht="15" hidden="false" customHeight="false" outlineLevel="0" collapsed="false">
      <c r="A5508" s="31" t="n">
        <v>42965.4166666667</v>
      </c>
      <c r="B5508" s="32" t="n">
        <v>216.003</v>
      </c>
      <c r="D5508" s="33" t="n">
        <f aca="false">WEEKDAY(A5508,2)</f>
        <v>5</v>
      </c>
      <c r="E5508" s="33" t="n">
        <f aca="false">HOUR(A5508)+MINUTE(A5508)/60</f>
        <v>10</v>
      </c>
      <c r="F5508" s="33" t="n">
        <f aca="false">IF(OR(D5508&gt;5,E5508&lt;8,E5508&gt;=18,COUNTIF($K$2:$K$10,INT(A5508))&gt;0),1,0)</f>
        <v>0</v>
      </c>
      <c r="G5508" s="34" t="n">
        <f aca="false">B5508/1</f>
        <v>216.003</v>
      </c>
      <c r="H5508" s="34" t="str">
        <f aca="false">IF(F5508=1,G5508,"")</f>
        <v/>
      </c>
    </row>
    <row r="5509" customFormat="false" ht="15" hidden="false" customHeight="false" outlineLevel="0" collapsed="false">
      <c r="A5509" s="31" t="n">
        <v>42965.4583333333</v>
      </c>
      <c r="B5509" s="32" t="n">
        <v>221.894</v>
      </c>
      <c r="D5509" s="33" t="n">
        <f aca="false">WEEKDAY(A5509,2)</f>
        <v>5</v>
      </c>
      <c r="E5509" s="33" t="n">
        <f aca="false">HOUR(A5509)+MINUTE(A5509)/60</f>
        <v>11</v>
      </c>
      <c r="F5509" s="33" t="n">
        <f aca="false">IF(OR(D5509&gt;5,E5509&lt;8,E5509&gt;=18,COUNTIF($K$2:$K$10,INT(A5509))&gt;0),1,0)</f>
        <v>0</v>
      </c>
      <c r="G5509" s="34" t="n">
        <f aca="false">B5509/1</f>
        <v>221.894</v>
      </c>
      <c r="H5509" s="34" t="str">
        <f aca="false">IF(F5509=1,G5509,"")</f>
        <v/>
      </c>
    </row>
    <row r="5510" customFormat="false" ht="15" hidden="false" customHeight="false" outlineLevel="0" collapsed="false">
      <c r="A5510" s="31" t="n">
        <v>42965.5</v>
      </c>
      <c r="B5510" s="32" t="n">
        <v>228.193</v>
      </c>
      <c r="D5510" s="33" t="n">
        <f aca="false">WEEKDAY(A5510,2)</f>
        <v>5</v>
      </c>
      <c r="E5510" s="33" t="n">
        <f aca="false">HOUR(A5510)+MINUTE(A5510)/60</f>
        <v>12</v>
      </c>
      <c r="F5510" s="33" t="n">
        <f aca="false">IF(OR(D5510&gt;5,E5510&lt;8,E5510&gt;=18,COUNTIF($K$2:$K$10,INT(A5510))&gt;0),1,0)</f>
        <v>0</v>
      </c>
      <c r="G5510" s="34" t="n">
        <f aca="false">B5510/1</f>
        <v>228.193</v>
      </c>
      <c r="H5510" s="34" t="str">
        <f aca="false">IF(F5510=1,G5510,"")</f>
        <v/>
      </c>
    </row>
    <row r="5511" customFormat="false" ht="15" hidden="false" customHeight="false" outlineLevel="0" collapsed="false">
      <c r="A5511" s="31" t="n">
        <v>42965.5416666667</v>
      </c>
      <c r="B5511" s="32" t="n">
        <v>226.484</v>
      </c>
      <c r="D5511" s="33" t="n">
        <f aca="false">WEEKDAY(A5511,2)</f>
        <v>5</v>
      </c>
      <c r="E5511" s="33" t="n">
        <f aca="false">HOUR(A5511)+MINUTE(A5511)/60</f>
        <v>13</v>
      </c>
      <c r="F5511" s="33" t="n">
        <f aca="false">IF(OR(D5511&gt;5,E5511&lt;8,E5511&gt;=18,COUNTIF($K$2:$K$10,INT(A5511))&gt;0),1,0)</f>
        <v>0</v>
      </c>
      <c r="G5511" s="34" t="n">
        <f aca="false">B5511/1</f>
        <v>226.484</v>
      </c>
      <c r="H5511" s="34" t="str">
        <f aca="false">IF(F5511=1,G5511,"")</f>
        <v/>
      </c>
    </row>
    <row r="5512" customFormat="false" ht="15" hidden="false" customHeight="false" outlineLevel="0" collapsed="false">
      <c r="A5512" s="31" t="n">
        <v>42965.5833333333</v>
      </c>
      <c r="B5512" s="32" t="n">
        <v>225.604</v>
      </c>
      <c r="D5512" s="33" t="n">
        <f aca="false">WEEKDAY(A5512,2)</f>
        <v>5</v>
      </c>
      <c r="E5512" s="33" t="n">
        <f aca="false">HOUR(A5512)+MINUTE(A5512)/60</f>
        <v>14</v>
      </c>
      <c r="F5512" s="33" t="n">
        <f aca="false">IF(OR(D5512&gt;5,E5512&lt;8,E5512&gt;=18,COUNTIF($K$2:$K$10,INT(A5512))&gt;0),1,0)</f>
        <v>0</v>
      </c>
      <c r="G5512" s="34" t="n">
        <f aca="false">B5512/1</f>
        <v>225.604</v>
      </c>
      <c r="H5512" s="34" t="str">
        <f aca="false">IF(F5512=1,G5512,"")</f>
        <v/>
      </c>
    </row>
    <row r="5513" customFormat="false" ht="15" hidden="false" customHeight="false" outlineLevel="0" collapsed="false">
      <c r="A5513" s="31" t="n">
        <v>42965.625</v>
      </c>
      <c r="B5513" s="32" t="n">
        <v>225.28</v>
      </c>
      <c r="D5513" s="33" t="n">
        <f aca="false">WEEKDAY(A5513,2)</f>
        <v>5</v>
      </c>
      <c r="E5513" s="33" t="n">
        <f aca="false">HOUR(A5513)+MINUTE(A5513)/60</f>
        <v>15</v>
      </c>
      <c r="F5513" s="33" t="n">
        <f aca="false">IF(OR(D5513&gt;5,E5513&lt;8,E5513&gt;=18,COUNTIF($K$2:$K$10,INT(A5513))&gt;0),1,0)</f>
        <v>0</v>
      </c>
      <c r="G5513" s="34" t="n">
        <f aca="false">B5513/1</f>
        <v>225.28</v>
      </c>
      <c r="H5513" s="34" t="str">
        <f aca="false">IF(F5513=1,G5513,"")</f>
        <v/>
      </c>
    </row>
    <row r="5514" customFormat="false" ht="15" hidden="false" customHeight="false" outlineLevel="0" collapsed="false">
      <c r="A5514" s="31" t="n">
        <v>42965.6666666667</v>
      </c>
      <c r="B5514" s="32" t="n">
        <v>224.731</v>
      </c>
      <c r="D5514" s="33" t="n">
        <f aca="false">WEEKDAY(A5514,2)</f>
        <v>5</v>
      </c>
      <c r="E5514" s="33" t="n">
        <f aca="false">HOUR(A5514)+MINUTE(A5514)/60</f>
        <v>16</v>
      </c>
      <c r="F5514" s="33" t="n">
        <f aca="false">IF(OR(D5514&gt;5,E5514&lt;8,E5514&gt;=18,COUNTIF($K$2:$K$10,INT(A5514))&gt;0),1,0)</f>
        <v>0</v>
      </c>
      <c r="G5514" s="34" t="n">
        <f aca="false">B5514/1</f>
        <v>224.731</v>
      </c>
      <c r="H5514" s="34" t="str">
        <f aca="false">IF(F5514=1,G5514,"")</f>
        <v/>
      </c>
    </row>
    <row r="5515" customFormat="false" ht="15" hidden="false" customHeight="false" outlineLevel="0" collapsed="false">
      <c r="A5515" s="31" t="n">
        <v>42965.7083333333</v>
      </c>
      <c r="B5515" s="32" t="n">
        <v>214.864</v>
      </c>
      <c r="D5515" s="33" t="n">
        <f aca="false">WEEKDAY(A5515,2)</f>
        <v>5</v>
      </c>
      <c r="E5515" s="33" t="n">
        <f aca="false">HOUR(A5515)+MINUTE(A5515)/60</f>
        <v>17</v>
      </c>
      <c r="F5515" s="33" t="n">
        <f aca="false">IF(OR(D5515&gt;5,E5515&lt;8,E5515&gt;=18,COUNTIF($K$2:$K$10,INT(A5515))&gt;0),1,0)</f>
        <v>0</v>
      </c>
      <c r="G5515" s="34" t="n">
        <f aca="false">B5515/1</f>
        <v>214.864</v>
      </c>
      <c r="H5515" s="34" t="str">
        <f aca="false">IF(F5515=1,G5515,"")</f>
        <v/>
      </c>
    </row>
    <row r="5516" customFormat="false" ht="15" hidden="false" customHeight="false" outlineLevel="0" collapsed="false">
      <c r="A5516" s="31" t="n">
        <v>42965.75</v>
      </c>
      <c r="B5516" s="32" t="n">
        <v>203.659</v>
      </c>
      <c r="D5516" s="33" t="n">
        <f aca="false">WEEKDAY(A5516,2)</f>
        <v>5</v>
      </c>
      <c r="E5516" s="33" t="n">
        <f aca="false">HOUR(A5516)+MINUTE(A5516)/60</f>
        <v>18</v>
      </c>
      <c r="F5516" s="33" t="n">
        <f aca="false">IF(OR(D5516&gt;5,E5516&lt;8,E5516&gt;=18,COUNTIF($K$2:$K$10,INT(A5516))&gt;0),1,0)</f>
        <v>1</v>
      </c>
      <c r="G5516" s="34" t="n">
        <f aca="false">B5516/1</f>
        <v>203.659</v>
      </c>
      <c r="H5516" s="34" t="n">
        <f aca="false">IF(F5516=1,G5516,"")</f>
        <v>203.659</v>
      </c>
    </row>
    <row r="5517" customFormat="false" ht="15" hidden="false" customHeight="false" outlineLevel="0" collapsed="false">
      <c r="A5517" s="31" t="n">
        <v>42965.7916666667</v>
      </c>
      <c r="B5517" s="32" t="n">
        <v>192.126</v>
      </c>
      <c r="D5517" s="33" t="n">
        <f aca="false">WEEKDAY(A5517,2)</f>
        <v>5</v>
      </c>
      <c r="E5517" s="33" t="n">
        <f aca="false">HOUR(A5517)+MINUTE(A5517)/60</f>
        <v>19</v>
      </c>
      <c r="F5517" s="33" t="n">
        <f aca="false">IF(OR(D5517&gt;5,E5517&lt;8,E5517&gt;=18,COUNTIF($K$2:$K$10,INT(A5517))&gt;0),1,0)</f>
        <v>1</v>
      </c>
      <c r="G5517" s="34" t="n">
        <f aca="false">B5517/1</f>
        <v>192.126</v>
      </c>
      <c r="H5517" s="34" t="n">
        <f aca="false">IF(F5517=1,G5517,"")</f>
        <v>192.126</v>
      </c>
    </row>
    <row r="5518" customFormat="false" ht="15" hidden="false" customHeight="false" outlineLevel="0" collapsed="false">
      <c r="A5518" s="31" t="n">
        <v>42965.8333333333</v>
      </c>
      <c r="B5518" s="32" t="n">
        <v>188.619</v>
      </c>
      <c r="D5518" s="33" t="n">
        <f aca="false">WEEKDAY(A5518,2)</f>
        <v>5</v>
      </c>
      <c r="E5518" s="33" t="n">
        <f aca="false">HOUR(A5518)+MINUTE(A5518)/60</f>
        <v>20</v>
      </c>
      <c r="F5518" s="33" t="n">
        <f aca="false">IF(OR(D5518&gt;5,E5518&lt;8,E5518&gt;=18,COUNTIF($K$2:$K$10,INT(A5518))&gt;0),1,0)</f>
        <v>1</v>
      </c>
      <c r="G5518" s="34" t="n">
        <f aca="false">B5518/1</f>
        <v>188.619</v>
      </c>
      <c r="H5518" s="34" t="n">
        <f aca="false">IF(F5518=1,G5518,"")</f>
        <v>188.619</v>
      </c>
    </row>
    <row r="5519" customFormat="false" ht="15" hidden="false" customHeight="false" outlineLevel="0" collapsed="false">
      <c r="A5519" s="31" t="n">
        <v>42965.875</v>
      </c>
      <c r="B5519" s="32" t="n">
        <v>187.6</v>
      </c>
      <c r="D5519" s="33" t="n">
        <f aca="false">WEEKDAY(A5519,2)</f>
        <v>5</v>
      </c>
      <c r="E5519" s="33" t="n">
        <f aca="false">HOUR(A5519)+MINUTE(A5519)/60</f>
        <v>21</v>
      </c>
      <c r="F5519" s="33" t="n">
        <f aca="false">IF(OR(D5519&gt;5,E5519&lt;8,E5519&gt;=18,COUNTIF($K$2:$K$10,INT(A5519))&gt;0),1,0)</f>
        <v>1</v>
      </c>
      <c r="G5519" s="34" t="n">
        <f aca="false">B5519/1</f>
        <v>187.6</v>
      </c>
      <c r="H5519" s="34" t="n">
        <f aca="false">IF(F5519=1,G5519,"")</f>
        <v>187.6</v>
      </c>
    </row>
    <row r="5520" customFormat="false" ht="15" hidden="false" customHeight="false" outlineLevel="0" collapsed="false">
      <c r="A5520" s="31" t="n">
        <v>42965.9166666667</v>
      </c>
      <c r="B5520" s="32" t="n">
        <v>134.333</v>
      </c>
      <c r="D5520" s="33" t="n">
        <f aca="false">WEEKDAY(A5520,2)</f>
        <v>5</v>
      </c>
      <c r="E5520" s="33" t="n">
        <f aca="false">HOUR(A5520)+MINUTE(A5520)/60</f>
        <v>22</v>
      </c>
      <c r="F5520" s="33" t="n">
        <f aca="false">IF(OR(D5520&gt;5,E5520&lt;8,E5520&gt;=18,COUNTIF($K$2:$K$10,INT(A5520))&gt;0),1,0)</f>
        <v>1</v>
      </c>
      <c r="G5520" s="34" t="n">
        <f aca="false">B5520/1</f>
        <v>134.333</v>
      </c>
      <c r="H5520" s="34" t="n">
        <f aca="false">IF(F5520=1,G5520,"")</f>
        <v>134.333</v>
      </c>
    </row>
    <row r="5521" customFormat="false" ht="15" hidden="false" customHeight="false" outlineLevel="0" collapsed="false">
      <c r="A5521" s="31" t="n">
        <v>42965.9583333333</v>
      </c>
      <c r="B5521" s="32" t="n">
        <v>73.354</v>
      </c>
      <c r="D5521" s="33" t="n">
        <f aca="false">WEEKDAY(A5521,2)</f>
        <v>5</v>
      </c>
      <c r="E5521" s="33" t="n">
        <f aca="false">HOUR(A5521)+MINUTE(A5521)/60</f>
        <v>23</v>
      </c>
      <c r="F5521" s="33" t="n">
        <f aca="false">IF(OR(D5521&gt;5,E5521&lt;8,E5521&gt;=18,COUNTIF($K$2:$K$10,INT(A5521))&gt;0),1,0)</f>
        <v>1</v>
      </c>
      <c r="G5521" s="34" t="n">
        <f aca="false">B5521/1</f>
        <v>73.354</v>
      </c>
      <c r="H5521" s="34" t="n">
        <f aca="false">IF(F5521=1,G5521,"")</f>
        <v>73.354</v>
      </c>
    </row>
    <row r="5522" customFormat="false" ht="15" hidden="false" customHeight="false" outlineLevel="0" collapsed="false">
      <c r="A5522" s="31" t="n">
        <v>42966</v>
      </c>
      <c r="B5522" s="32" t="n">
        <v>70.083</v>
      </c>
      <c r="D5522" s="33" t="n">
        <f aca="false">WEEKDAY(A5522,2)</f>
        <v>6</v>
      </c>
      <c r="E5522" s="33" t="n">
        <f aca="false">HOUR(A5522)+MINUTE(A5522)/60</f>
        <v>0</v>
      </c>
      <c r="F5522" s="33" t="n">
        <f aca="false">IF(OR(D5522&gt;5,E5522&lt;8,E5522&gt;=18,COUNTIF($K$2:$K$10,INT(A5522))&gt;0),1,0)</f>
        <v>1</v>
      </c>
      <c r="G5522" s="34" t="n">
        <f aca="false">B5522/1</f>
        <v>70.083</v>
      </c>
      <c r="H5522" s="34" t="n">
        <f aca="false">IF(F5522=1,G5522,"")</f>
        <v>70.083</v>
      </c>
    </row>
    <row r="5523" customFormat="false" ht="15" hidden="false" customHeight="false" outlineLevel="0" collapsed="false">
      <c r="A5523" s="31" t="n">
        <v>42966.0416666667</v>
      </c>
      <c r="B5523" s="32" t="n">
        <v>69.253</v>
      </c>
      <c r="D5523" s="33" t="n">
        <f aca="false">WEEKDAY(A5523,2)</f>
        <v>6</v>
      </c>
      <c r="E5523" s="33" t="n">
        <f aca="false">HOUR(A5523)+MINUTE(A5523)/60</f>
        <v>1</v>
      </c>
      <c r="F5523" s="33" t="n">
        <f aca="false">IF(OR(D5523&gt;5,E5523&lt;8,E5523&gt;=18,COUNTIF($K$2:$K$10,INT(A5523))&gt;0),1,0)</f>
        <v>1</v>
      </c>
      <c r="G5523" s="34" t="n">
        <f aca="false">B5523/1</f>
        <v>69.253</v>
      </c>
      <c r="H5523" s="34" t="n">
        <f aca="false">IF(F5523=1,G5523,"")</f>
        <v>69.253</v>
      </c>
    </row>
    <row r="5524" customFormat="false" ht="15" hidden="false" customHeight="false" outlineLevel="0" collapsed="false">
      <c r="A5524" s="31" t="n">
        <v>42966.0833333333</v>
      </c>
      <c r="B5524" s="32" t="n">
        <v>67.732</v>
      </c>
      <c r="D5524" s="33" t="n">
        <f aca="false">WEEKDAY(A5524,2)</f>
        <v>6</v>
      </c>
      <c r="E5524" s="33" t="n">
        <f aca="false">HOUR(A5524)+MINUTE(A5524)/60</f>
        <v>2</v>
      </c>
      <c r="F5524" s="33" t="n">
        <f aca="false">IF(OR(D5524&gt;5,E5524&lt;8,E5524&gt;=18,COUNTIF($K$2:$K$10,INT(A5524))&gt;0),1,0)</f>
        <v>1</v>
      </c>
      <c r="G5524" s="34" t="n">
        <f aca="false">B5524/1</f>
        <v>67.732</v>
      </c>
      <c r="H5524" s="34" t="n">
        <f aca="false">IF(F5524=1,G5524,"")</f>
        <v>67.732</v>
      </c>
    </row>
    <row r="5525" customFormat="false" ht="15" hidden="false" customHeight="false" outlineLevel="0" collapsed="false">
      <c r="A5525" s="31" t="n">
        <v>42966.125</v>
      </c>
      <c r="B5525" s="32" t="n">
        <v>69.524</v>
      </c>
      <c r="D5525" s="33" t="n">
        <f aca="false">WEEKDAY(A5525,2)</f>
        <v>6</v>
      </c>
      <c r="E5525" s="33" t="n">
        <f aca="false">HOUR(A5525)+MINUTE(A5525)/60</f>
        <v>3</v>
      </c>
      <c r="F5525" s="33" t="n">
        <f aca="false">IF(OR(D5525&gt;5,E5525&lt;8,E5525&gt;=18,COUNTIF($K$2:$K$10,INT(A5525))&gt;0),1,0)</f>
        <v>1</v>
      </c>
      <c r="G5525" s="34" t="n">
        <f aca="false">B5525/1</f>
        <v>69.524</v>
      </c>
      <c r="H5525" s="34" t="n">
        <f aca="false">IF(F5525=1,G5525,"")</f>
        <v>69.524</v>
      </c>
    </row>
    <row r="5526" customFormat="false" ht="15" hidden="false" customHeight="false" outlineLevel="0" collapsed="false">
      <c r="A5526" s="31" t="n">
        <v>42966.1666666667</v>
      </c>
      <c r="B5526" s="32" t="n">
        <v>67.487</v>
      </c>
      <c r="D5526" s="33" t="n">
        <f aca="false">WEEKDAY(A5526,2)</f>
        <v>6</v>
      </c>
      <c r="E5526" s="33" t="n">
        <f aca="false">HOUR(A5526)+MINUTE(A5526)/60</f>
        <v>4</v>
      </c>
      <c r="F5526" s="33" t="n">
        <f aca="false">IF(OR(D5526&gt;5,E5526&lt;8,E5526&gt;=18,COUNTIF($K$2:$K$10,INT(A5526))&gt;0),1,0)</f>
        <v>1</v>
      </c>
      <c r="G5526" s="34" t="n">
        <f aca="false">B5526/1</f>
        <v>67.487</v>
      </c>
      <c r="H5526" s="34" t="n">
        <f aca="false">IF(F5526=1,G5526,"")</f>
        <v>67.487</v>
      </c>
    </row>
    <row r="5527" customFormat="false" ht="15" hidden="false" customHeight="false" outlineLevel="0" collapsed="false">
      <c r="A5527" s="31" t="n">
        <v>42966.2083333333</v>
      </c>
      <c r="B5527" s="32" t="n">
        <v>68.752</v>
      </c>
      <c r="D5527" s="33" t="n">
        <f aca="false">WEEKDAY(A5527,2)</f>
        <v>6</v>
      </c>
      <c r="E5527" s="33" t="n">
        <f aca="false">HOUR(A5527)+MINUTE(A5527)/60</f>
        <v>5</v>
      </c>
      <c r="F5527" s="33" t="n">
        <f aca="false">IF(OR(D5527&gt;5,E5527&lt;8,E5527&gt;=18,COUNTIF($K$2:$K$10,INT(A5527))&gt;0),1,0)</f>
        <v>1</v>
      </c>
      <c r="G5527" s="34" t="n">
        <f aca="false">B5527/1</f>
        <v>68.752</v>
      </c>
      <c r="H5527" s="34" t="n">
        <f aca="false">IF(F5527=1,G5527,"")</f>
        <v>68.752</v>
      </c>
    </row>
    <row r="5528" customFormat="false" ht="15" hidden="false" customHeight="false" outlineLevel="0" collapsed="false">
      <c r="A5528" s="31" t="n">
        <v>42966.25</v>
      </c>
      <c r="B5528" s="32" t="n">
        <v>69.77</v>
      </c>
      <c r="D5528" s="33" t="n">
        <f aca="false">WEEKDAY(A5528,2)</f>
        <v>6</v>
      </c>
      <c r="E5528" s="33" t="n">
        <f aca="false">HOUR(A5528)+MINUTE(A5528)/60</f>
        <v>6</v>
      </c>
      <c r="F5528" s="33" t="n">
        <f aca="false">IF(OR(D5528&gt;5,E5528&lt;8,E5528&gt;=18,COUNTIF($K$2:$K$10,INT(A5528))&gt;0),1,0)</f>
        <v>1</v>
      </c>
      <c r="G5528" s="34" t="n">
        <f aca="false">B5528/1</f>
        <v>69.77</v>
      </c>
      <c r="H5528" s="34" t="n">
        <f aca="false">IF(F5528=1,G5528,"")</f>
        <v>69.77</v>
      </c>
    </row>
    <row r="5529" customFormat="false" ht="15" hidden="false" customHeight="false" outlineLevel="0" collapsed="false">
      <c r="A5529" s="31" t="n">
        <v>42966.2916666667</v>
      </c>
      <c r="B5529" s="32" t="n">
        <v>68.432</v>
      </c>
      <c r="D5529" s="33" t="n">
        <f aca="false">WEEKDAY(A5529,2)</f>
        <v>6</v>
      </c>
      <c r="E5529" s="33" t="n">
        <f aca="false">HOUR(A5529)+MINUTE(A5529)/60</f>
        <v>7</v>
      </c>
      <c r="F5529" s="33" t="n">
        <f aca="false">IF(OR(D5529&gt;5,E5529&lt;8,E5529&gt;=18,COUNTIF($K$2:$K$10,INT(A5529))&gt;0),1,0)</f>
        <v>1</v>
      </c>
      <c r="G5529" s="34" t="n">
        <f aca="false">B5529/1</f>
        <v>68.432</v>
      </c>
      <c r="H5529" s="34" t="n">
        <f aca="false">IF(F5529=1,G5529,"")</f>
        <v>68.432</v>
      </c>
    </row>
    <row r="5530" customFormat="false" ht="15" hidden="false" customHeight="false" outlineLevel="0" collapsed="false">
      <c r="A5530" s="31" t="n">
        <v>42966.3333333333</v>
      </c>
      <c r="B5530" s="32" t="n">
        <v>133.32</v>
      </c>
      <c r="D5530" s="33" t="n">
        <f aca="false">WEEKDAY(A5530,2)</f>
        <v>6</v>
      </c>
      <c r="E5530" s="33" t="n">
        <f aca="false">HOUR(A5530)+MINUTE(A5530)/60</f>
        <v>8</v>
      </c>
      <c r="F5530" s="33" t="n">
        <f aca="false">IF(OR(D5530&gt;5,E5530&lt;8,E5530&gt;=18,COUNTIF($K$2:$K$10,INT(A5530))&gt;0),1,0)</f>
        <v>1</v>
      </c>
      <c r="G5530" s="34" t="n">
        <f aca="false">B5530/1</f>
        <v>133.32</v>
      </c>
      <c r="H5530" s="34" t="n">
        <f aca="false">IF(F5530=1,G5530,"")</f>
        <v>133.32</v>
      </c>
    </row>
    <row r="5531" customFormat="false" ht="15" hidden="false" customHeight="false" outlineLevel="0" collapsed="false">
      <c r="A5531" s="31" t="n">
        <v>42966.375</v>
      </c>
      <c r="B5531" s="32" t="n">
        <v>178.946</v>
      </c>
      <c r="D5531" s="33" t="n">
        <f aca="false">WEEKDAY(A5531,2)</f>
        <v>6</v>
      </c>
      <c r="E5531" s="33" t="n">
        <f aca="false">HOUR(A5531)+MINUTE(A5531)/60</f>
        <v>9</v>
      </c>
      <c r="F5531" s="33" t="n">
        <f aca="false">IF(OR(D5531&gt;5,E5531&lt;8,E5531&gt;=18,COUNTIF($K$2:$K$10,INT(A5531))&gt;0),1,0)</f>
        <v>1</v>
      </c>
      <c r="G5531" s="34" t="n">
        <f aca="false">B5531/1</f>
        <v>178.946</v>
      </c>
      <c r="H5531" s="34" t="n">
        <f aca="false">IF(F5531=1,G5531,"")</f>
        <v>178.946</v>
      </c>
    </row>
    <row r="5532" customFormat="false" ht="15" hidden="false" customHeight="false" outlineLevel="0" collapsed="false">
      <c r="A5532" s="31" t="n">
        <v>42966.4166666667</v>
      </c>
      <c r="B5532" s="32" t="n">
        <v>183.981</v>
      </c>
      <c r="D5532" s="33" t="n">
        <f aca="false">WEEKDAY(A5532,2)</f>
        <v>6</v>
      </c>
      <c r="E5532" s="33" t="n">
        <f aca="false">HOUR(A5532)+MINUTE(A5532)/60</f>
        <v>10</v>
      </c>
      <c r="F5532" s="33" t="n">
        <f aca="false">IF(OR(D5532&gt;5,E5532&lt;8,E5532&gt;=18,COUNTIF($K$2:$K$10,INT(A5532))&gt;0),1,0)</f>
        <v>1</v>
      </c>
      <c r="G5532" s="34" t="n">
        <f aca="false">B5532/1</f>
        <v>183.981</v>
      </c>
      <c r="H5532" s="34" t="n">
        <f aca="false">IF(F5532=1,G5532,"")</f>
        <v>183.981</v>
      </c>
    </row>
    <row r="5533" customFormat="false" ht="15" hidden="false" customHeight="false" outlineLevel="0" collapsed="false">
      <c r="A5533" s="31" t="n">
        <v>42966.4583333333</v>
      </c>
      <c r="B5533" s="32" t="n">
        <v>183.294</v>
      </c>
      <c r="D5533" s="33" t="n">
        <f aca="false">WEEKDAY(A5533,2)</f>
        <v>6</v>
      </c>
      <c r="E5533" s="33" t="n">
        <f aca="false">HOUR(A5533)+MINUTE(A5533)/60</f>
        <v>11</v>
      </c>
      <c r="F5533" s="33" t="n">
        <f aca="false">IF(OR(D5533&gt;5,E5533&lt;8,E5533&gt;=18,COUNTIF($K$2:$K$10,INT(A5533))&gt;0),1,0)</f>
        <v>1</v>
      </c>
      <c r="G5533" s="34" t="n">
        <f aca="false">B5533/1</f>
        <v>183.294</v>
      </c>
      <c r="H5533" s="34" t="n">
        <f aca="false">IF(F5533=1,G5533,"")</f>
        <v>183.294</v>
      </c>
    </row>
    <row r="5534" customFormat="false" ht="15" hidden="false" customHeight="false" outlineLevel="0" collapsed="false">
      <c r="A5534" s="31" t="n">
        <v>42966.5</v>
      </c>
      <c r="B5534" s="32" t="n">
        <v>183.005</v>
      </c>
      <c r="D5534" s="33" t="n">
        <f aca="false">WEEKDAY(A5534,2)</f>
        <v>6</v>
      </c>
      <c r="E5534" s="33" t="n">
        <f aca="false">HOUR(A5534)+MINUTE(A5534)/60</f>
        <v>12</v>
      </c>
      <c r="F5534" s="33" t="n">
        <f aca="false">IF(OR(D5534&gt;5,E5534&lt;8,E5534&gt;=18,COUNTIF($K$2:$K$10,INT(A5534))&gt;0),1,0)</f>
        <v>1</v>
      </c>
      <c r="G5534" s="34" t="n">
        <f aca="false">B5534/1</f>
        <v>183.005</v>
      </c>
      <c r="H5534" s="34" t="n">
        <f aca="false">IF(F5534=1,G5534,"")</f>
        <v>183.005</v>
      </c>
    </row>
    <row r="5535" customFormat="false" ht="15" hidden="false" customHeight="false" outlineLevel="0" collapsed="false">
      <c r="A5535" s="31" t="n">
        <v>42966.5416666667</v>
      </c>
      <c r="B5535" s="32" t="n">
        <v>183.525</v>
      </c>
      <c r="D5535" s="33" t="n">
        <f aca="false">WEEKDAY(A5535,2)</f>
        <v>6</v>
      </c>
      <c r="E5535" s="33" t="n">
        <f aca="false">HOUR(A5535)+MINUTE(A5535)/60</f>
        <v>13</v>
      </c>
      <c r="F5535" s="33" t="n">
        <f aca="false">IF(OR(D5535&gt;5,E5535&lt;8,E5535&gt;=18,COUNTIF($K$2:$K$10,INT(A5535))&gt;0),1,0)</f>
        <v>1</v>
      </c>
      <c r="G5535" s="34" t="n">
        <f aca="false">B5535/1</f>
        <v>183.525</v>
      </c>
      <c r="H5535" s="34" t="n">
        <f aca="false">IF(F5535=1,G5535,"")</f>
        <v>183.525</v>
      </c>
    </row>
    <row r="5536" customFormat="false" ht="15" hidden="false" customHeight="false" outlineLevel="0" collapsed="false">
      <c r="A5536" s="31" t="n">
        <v>42966.5833333333</v>
      </c>
      <c r="B5536" s="32" t="n">
        <v>184.47</v>
      </c>
      <c r="D5536" s="33" t="n">
        <f aca="false">WEEKDAY(A5536,2)</f>
        <v>6</v>
      </c>
      <c r="E5536" s="33" t="n">
        <f aca="false">HOUR(A5536)+MINUTE(A5536)/60</f>
        <v>14</v>
      </c>
      <c r="F5536" s="33" t="n">
        <f aca="false">IF(OR(D5536&gt;5,E5536&lt;8,E5536&gt;=18,COUNTIF($K$2:$K$10,INT(A5536))&gt;0),1,0)</f>
        <v>1</v>
      </c>
      <c r="G5536" s="34" t="n">
        <f aca="false">B5536/1</f>
        <v>184.47</v>
      </c>
      <c r="H5536" s="34" t="n">
        <f aca="false">IF(F5536=1,G5536,"")</f>
        <v>184.47</v>
      </c>
    </row>
    <row r="5537" customFormat="false" ht="15" hidden="false" customHeight="false" outlineLevel="0" collapsed="false">
      <c r="A5537" s="31" t="n">
        <v>42966.625</v>
      </c>
      <c r="B5537" s="32" t="n">
        <v>185.082</v>
      </c>
      <c r="D5537" s="33" t="n">
        <f aca="false">WEEKDAY(A5537,2)</f>
        <v>6</v>
      </c>
      <c r="E5537" s="33" t="n">
        <f aca="false">HOUR(A5537)+MINUTE(A5537)/60</f>
        <v>15</v>
      </c>
      <c r="F5537" s="33" t="n">
        <f aca="false">IF(OR(D5537&gt;5,E5537&lt;8,E5537&gt;=18,COUNTIF($K$2:$K$10,INT(A5537))&gt;0),1,0)</f>
        <v>1</v>
      </c>
      <c r="G5537" s="34" t="n">
        <f aca="false">B5537/1</f>
        <v>185.082</v>
      </c>
      <c r="H5537" s="34" t="n">
        <f aca="false">IF(F5537=1,G5537,"")</f>
        <v>185.082</v>
      </c>
    </row>
    <row r="5538" customFormat="false" ht="15" hidden="false" customHeight="false" outlineLevel="0" collapsed="false">
      <c r="A5538" s="31" t="n">
        <v>42966.6666666667</v>
      </c>
      <c r="B5538" s="32" t="n">
        <v>186.877</v>
      </c>
      <c r="D5538" s="33" t="n">
        <f aca="false">WEEKDAY(A5538,2)</f>
        <v>6</v>
      </c>
      <c r="E5538" s="33" t="n">
        <f aca="false">HOUR(A5538)+MINUTE(A5538)/60</f>
        <v>16</v>
      </c>
      <c r="F5538" s="33" t="n">
        <f aca="false">IF(OR(D5538&gt;5,E5538&lt;8,E5538&gt;=18,COUNTIF($K$2:$K$10,INT(A5538))&gt;0),1,0)</f>
        <v>1</v>
      </c>
      <c r="G5538" s="34" t="n">
        <f aca="false">B5538/1</f>
        <v>186.877</v>
      </c>
      <c r="H5538" s="34" t="n">
        <f aca="false">IF(F5538=1,G5538,"")</f>
        <v>186.877</v>
      </c>
    </row>
    <row r="5539" customFormat="false" ht="15" hidden="false" customHeight="false" outlineLevel="0" collapsed="false">
      <c r="A5539" s="31" t="n">
        <v>42966.7083333333</v>
      </c>
      <c r="B5539" s="32" t="n">
        <v>181.619</v>
      </c>
      <c r="D5539" s="33" t="n">
        <f aca="false">WEEKDAY(A5539,2)</f>
        <v>6</v>
      </c>
      <c r="E5539" s="33" t="n">
        <f aca="false">HOUR(A5539)+MINUTE(A5539)/60</f>
        <v>17</v>
      </c>
      <c r="F5539" s="33" t="n">
        <f aca="false">IF(OR(D5539&gt;5,E5539&lt;8,E5539&gt;=18,COUNTIF($K$2:$K$10,INT(A5539))&gt;0),1,0)</f>
        <v>1</v>
      </c>
      <c r="G5539" s="34" t="n">
        <f aca="false">B5539/1</f>
        <v>181.619</v>
      </c>
      <c r="H5539" s="34" t="n">
        <f aca="false">IF(F5539=1,G5539,"")</f>
        <v>181.619</v>
      </c>
    </row>
    <row r="5540" customFormat="false" ht="15" hidden="false" customHeight="false" outlineLevel="0" collapsed="false">
      <c r="A5540" s="31" t="n">
        <v>42966.75</v>
      </c>
      <c r="B5540" s="32" t="n">
        <v>87.518</v>
      </c>
      <c r="D5540" s="33" t="n">
        <f aca="false">WEEKDAY(A5540,2)</f>
        <v>6</v>
      </c>
      <c r="E5540" s="33" t="n">
        <f aca="false">HOUR(A5540)+MINUTE(A5540)/60</f>
        <v>18</v>
      </c>
      <c r="F5540" s="33" t="n">
        <f aca="false">IF(OR(D5540&gt;5,E5540&lt;8,E5540&gt;=18,COUNTIF($K$2:$K$10,INT(A5540))&gt;0),1,0)</f>
        <v>1</v>
      </c>
      <c r="G5540" s="34" t="n">
        <f aca="false">B5540/1</f>
        <v>87.518</v>
      </c>
      <c r="H5540" s="34" t="n">
        <f aca="false">IF(F5540=1,G5540,"")</f>
        <v>87.518</v>
      </c>
    </row>
    <row r="5541" customFormat="false" ht="15" hidden="false" customHeight="false" outlineLevel="0" collapsed="false">
      <c r="A5541" s="31" t="n">
        <v>42966.7916666667</v>
      </c>
      <c r="B5541" s="32" t="n">
        <v>68.943</v>
      </c>
      <c r="D5541" s="33" t="n">
        <f aca="false">WEEKDAY(A5541,2)</f>
        <v>6</v>
      </c>
      <c r="E5541" s="33" t="n">
        <f aca="false">HOUR(A5541)+MINUTE(A5541)/60</f>
        <v>19</v>
      </c>
      <c r="F5541" s="33" t="n">
        <f aca="false">IF(OR(D5541&gt;5,E5541&lt;8,E5541&gt;=18,COUNTIF($K$2:$K$10,INT(A5541))&gt;0),1,0)</f>
        <v>1</v>
      </c>
      <c r="G5541" s="34" t="n">
        <f aca="false">B5541/1</f>
        <v>68.943</v>
      </c>
      <c r="H5541" s="34" t="n">
        <f aca="false">IF(F5541=1,G5541,"")</f>
        <v>68.943</v>
      </c>
    </row>
    <row r="5542" customFormat="false" ht="15" hidden="false" customHeight="false" outlineLevel="0" collapsed="false">
      <c r="A5542" s="31" t="n">
        <v>42966.8333333333</v>
      </c>
      <c r="B5542" s="32" t="n">
        <v>68.545</v>
      </c>
      <c r="D5542" s="33" t="n">
        <f aca="false">WEEKDAY(A5542,2)</f>
        <v>6</v>
      </c>
      <c r="E5542" s="33" t="n">
        <f aca="false">HOUR(A5542)+MINUTE(A5542)/60</f>
        <v>20</v>
      </c>
      <c r="F5542" s="33" t="n">
        <f aca="false">IF(OR(D5542&gt;5,E5542&lt;8,E5542&gt;=18,COUNTIF($K$2:$K$10,INT(A5542))&gt;0),1,0)</f>
        <v>1</v>
      </c>
      <c r="G5542" s="34" t="n">
        <f aca="false">B5542/1</f>
        <v>68.545</v>
      </c>
      <c r="H5542" s="34" t="n">
        <f aca="false">IF(F5542=1,G5542,"")</f>
        <v>68.545</v>
      </c>
    </row>
    <row r="5543" customFormat="false" ht="15" hidden="false" customHeight="false" outlineLevel="0" collapsed="false">
      <c r="A5543" s="31" t="n">
        <v>42966.875</v>
      </c>
      <c r="B5543" s="32" t="n">
        <v>69.435</v>
      </c>
      <c r="D5543" s="33" t="n">
        <f aca="false">WEEKDAY(A5543,2)</f>
        <v>6</v>
      </c>
      <c r="E5543" s="33" t="n">
        <f aca="false">HOUR(A5543)+MINUTE(A5543)/60</f>
        <v>21</v>
      </c>
      <c r="F5543" s="33" t="n">
        <f aca="false">IF(OR(D5543&gt;5,E5543&lt;8,E5543&gt;=18,COUNTIF($K$2:$K$10,INT(A5543))&gt;0),1,0)</f>
        <v>1</v>
      </c>
      <c r="G5543" s="34" t="n">
        <f aca="false">B5543/1</f>
        <v>69.435</v>
      </c>
      <c r="H5543" s="34" t="n">
        <f aca="false">IF(F5543=1,G5543,"")</f>
        <v>69.435</v>
      </c>
    </row>
    <row r="5544" customFormat="false" ht="15" hidden="false" customHeight="false" outlineLevel="0" collapsed="false">
      <c r="A5544" s="31" t="n">
        <v>42966.9166666667</v>
      </c>
      <c r="B5544" s="32" t="n">
        <v>69.906</v>
      </c>
      <c r="D5544" s="33" t="n">
        <f aca="false">WEEKDAY(A5544,2)</f>
        <v>6</v>
      </c>
      <c r="E5544" s="33" t="n">
        <f aca="false">HOUR(A5544)+MINUTE(A5544)/60</f>
        <v>22</v>
      </c>
      <c r="F5544" s="33" t="n">
        <f aca="false">IF(OR(D5544&gt;5,E5544&lt;8,E5544&gt;=18,COUNTIF($K$2:$K$10,INT(A5544))&gt;0),1,0)</f>
        <v>1</v>
      </c>
      <c r="G5544" s="34" t="n">
        <f aca="false">B5544/1</f>
        <v>69.906</v>
      </c>
      <c r="H5544" s="34" t="n">
        <f aca="false">IF(F5544=1,G5544,"")</f>
        <v>69.906</v>
      </c>
    </row>
    <row r="5545" customFormat="false" ht="15" hidden="false" customHeight="false" outlineLevel="0" collapsed="false">
      <c r="A5545" s="31" t="n">
        <v>42966.9583333333</v>
      </c>
      <c r="B5545" s="32" t="n">
        <v>70.538</v>
      </c>
      <c r="D5545" s="33" t="n">
        <f aca="false">WEEKDAY(A5545,2)</f>
        <v>6</v>
      </c>
      <c r="E5545" s="33" t="n">
        <f aca="false">HOUR(A5545)+MINUTE(A5545)/60</f>
        <v>23</v>
      </c>
      <c r="F5545" s="33" t="n">
        <f aca="false">IF(OR(D5545&gt;5,E5545&lt;8,E5545&gt;=18,COUNTIF($K$2:$K$10,INT(A5545))&gt;0),1,0)</f>
        <v>1</v>
      </c>
      <c r="G5545" s="34" t="n">
        <f aca="false">B5545/1</f>
        <v>70.538</v>
      </c>
      <c r="H5545" s="34" t="n">
        <f aca="false">IF(F5545=1,G5545,"")</f>
        <v>70.538</v>
      </c>
    </row>
    <row r="5546" customFormat="false" ht="15" hidden="false" customHeight="false" outlineLevel="0" collapsed="false">
      <c r="A5546" s="31" t="n">
        <v>42967</v>
      </c>
      <c r="B5546" s="32" t="n">
        <v>69.556</v>
      </c>
      <c r="D5546" s="33" t="n">
        <f aca="false">WEEKDAY(A5546,2)</f>
        <v>7</v>
      </c>
      <c r="E5546" s="33" t="n">
        <f aca="false">HOUR(A5546)+MINUTE(A5546)/60</f>
        <v>0</v>
      </c>
      <c r="F5546" s="33" t="n">
        <f aca="false">IF(OR(D5546&gt;5,E5546&lt;8,E5546&gt;=18,COUNTIF($K$2:$K$10,INT(A5546))&gt;0),1,0)</f>
        <v>1</v>
      </c>
      <c r="G5546" s="34" t="n">
        <f aca="false">B5546/1</f>
        <v>69.556</v>
      </c>
      <c r="H5546" s="34" t="n">
        <f aca="false">IF(F5546=1,G5546,"")</f>
        <v>69.556</v>
      </c>
    </row>
    <row r="5547" customFormat="false" ht="15" hidden="false" customHeight="false" outlineLevel="0" collapsed="false">
      <c r="A5547" s="31" t="n">
        <v>42967.0416666667</v>
      </c>
      <c r="B5547" s="32" t="n">
        <v>70.45</v>
      </c>
      <c r="D5547" s="33" t="n">
        <f aca="false">WEEKDAY(A5547,2)</f>
        <v>7</v>
      </c>
      <c r="E5547" s="33" t="n">
        <f aca="false">HOUR(A5547)+MINUTE(A5547)/60</f>
        <v>1</v>
      </c>
      <c r="F5547" s="33" t="n">
        <f aca="false">IF(OR(D5547&gt;5,E5547&lt;8,E5547&gt;=18,COUNTIF($K$2:$K$10,INT(A5547))&gt;0),1,0)</f>
        <v>1</v>
      </c>
      <c r="G5547" s="34" t="n">
        <f aca="false">B5547/1</f>
        <v>70.45</v>
      </c>
      <c r="H5547" s="34" t="n">
        <f aca="false">IF(F5547=1,G5547,"")</f>
        <v>70.45</v>
      </c>
    </row>
    <row r="5548" customFormat="false" ht="15" hidden="false" customHeight="false" outlineLevel="0" collapsed="false">
      <c r="A5548" s="31" t="n">
        <v>42967.0833333333</v>
      </c>
      <c r="B5548" s="32" t="n">
        <v>69.94</v>
      </c>
      <c r="D5548" s="33" t="n">
        <f aca="false">WEEKDAY(A5548,2)</f>
        <v>7</v>
      </c>
      <c r="E5548" s="33" t="n">
        <f aca="false">HOUR(A5548)+MINUTE(A5548)/60</f>
        <v>2</v>
      </c>
      <c r="F5548" s="33" t="n">
        <f aca="false">IF(OR(D5548&gt;5,E5548&lt;8,E5548&gt;=18,COUNTIF($K$2:$K$10,INT(A5548))&gt;0),1,0)</f>
        <v>1</v>
      </c>
      <c r="G5548" s="34" t="n">
        <f aca="false">B5548/1</f>
        <v>69.94</v>
      </c>
      <c r="H5548" s="34" t="n">
        <f aca="false">IF(F5548=1,G5548,"")</f>
        <v>69.94</v>
      </c>
    </row>
    <row r="5549" customFormat="false" ht="15" hidden="false" customHeight="false" outlineLevel="0" collapsed="false">
      <c r="A5549" s="31" t="n">
        <v>42967.125</v>
      </c>
      <c r="B5549" s="32" t="n">
        <v>69.475</v>
      </c>
      <c r="D5549" s="33" t="n">
        <f aca="false">WEEKDAY(A5549,2)</f>
        <v>7</v>
      </c>
      <c r="E5549" s="33" t="n">
        <f aca="false">HOUR(A5549)+MINUTE(A5549)/60</f>
        <v>3</v>
      </c>
      <c r="F5549" s="33" t="n">
        <f aca="false">IF(OR(D5549&gt;5,E5549&lt;8,E5549&gt;=18,COUNTIF($K$2:$K$10,INT(A5549))&gt;0),1,0)</f>
        <v>1</v>
      </c>
      <c r="G5549" s="34" t="n">
        <f aca="false">B5549/1</f>
        <v>69.475</v>
      </c>
      <c r="H5549" s="34" t="n">
        <f aca="false">IF(F5549=1,G5549,"")</f>
        <v>69.475</v>
      </c>
    </row>
    <row r="5550" customFormat="false" ht="15" hidden="false" customHeight="false" outlineLevel="0" collapsed="false">
      <c r="A5550" s="31" t="n">
        <v>42967.1666666667</v>
      </c>
      <c r="B5550" s="32" t="n">
        <v>68.369</v>
      </c>
      <c r="D5550" s="33" t="n">
        <f aca="false">WEEKDAY(A5550,2)</f>
        <v>7</v>
      </c>
      <c r="E5550" s="33" t="n">
        <f aca="false">HOUR(A5550)+MINUTE(A5550)/60</f>
        <v>4</v>
      </c>
      <c r="F5550" s="33" t="n">
        <f aca="false">IF(OR(D5550&gt;5,E5550&lt;8,E5550&gt;=18,COUNTIF($K$2:$K$10,INT(A5550))&gt;0),1,0)</f>
        <v>1</v>
      </c>
      <c r="G5550" s="34" t="n">
        <f aca="false">B5550/1</f>
        <v>68.369</v>
      </c>
      <c r="H5550" s="34" t="n">
        <f aca="false">IF(F5550=1,G5550,"")</f>
        <v>68.369</v>
      </c>
    </row>
    <row r="5551" customFormat="false" ht="15" hidden="false" customHeight="false" outlineLevel="0" collapsed="false">
      <c r="A5551" s="31" t="n">
        <v>42967.2083333333</v>
      </c>
      <c r="B5551" s="32" t="n">
        <v>69.752</v>
      </c>
      <c r="D5551" s="33" t="n">
        <f aca="false">WEEKDAY(A5551,2)</f>
        <v>7</v>
      </c>
      <c r="E5551" s="33" t="n">
        <f aca="false">HOUR(A5551)+MINUTE(A5551)/60</f>
        <v>5</v>
      </c>
      <c r="F5551" s="33" t="n">
        <f aca="false">IF(OR(D5551&gt;5,E5551&lt;8,E5551&gt;=18,COUNTIF($K$2:$K$10,INT(A5551))&gt;0),1,0)</f>
        <v>1</v>
      </c>
      <c r="G5551" s="34" t="n">
        <f aca="false">B5551/1</f>
        <v>69.752</v>
      </c>
      <c r="H5551" s="34" t="n">
        <f aca="false">IF(F5551=1,G5551,"")</f>
        <v>69.752</v>
      </c>
    </row>
    <row r="5552" customFormat="false" ht="15" hidden="false" customHeight="false" outlineLevel="0" collapsed="false">
      <c r="A5552" s="31" t="n">
        <v>42967.25</v>
      </c>
      <c r="B5552" s="32" t="n">
        <v>69.618</v>
      </c>
      <c r="D5552" s="33" t="n">
        <f aca="false">WEEKDAY(A5552,2)</f>
        <v>7</v>
      </c>
      <c r="E5552" s="33" t="n">
        <f aca="false">HOUR(A5552)+MINUTE(A5552)/60</f>
        <v>6</v>
      </c>
      <c r="F5552" s="33" t="n">
        <f aca="false">IF(OR(D5552&gt;5,E5552&lt;8,E5552&gt;=18,COUNTIF($K$2:$K$10,INT(A5552))&gt;0),1,0)</f>
        <v>1</v>
      </c>
      <c r="G5552" s="34" t="n">
        <f aca="false">B5552/1</f>
        <v>69.618</v>
      </c>
      <c r="H5552" s="34" t="n">
        <f aca="false">IF(F5552=1,G5552,"")</f>
        <v>69.618</v>
      </c>
    </row>
    <row r="5553" customFormat="false" ht="15" hidden="false" customHeight="false" outlineLevel="0" collapsed="false">
      <c r="A5553" s="31" t="n">
        <v>42967.2916666667</v>
      </c>
      <c r="B5553" s="32" t="n">
        <v>71.257</v>
      </c>
      <c r="D5553" s="33" t="n">
        <f aca="false">WEEKDAY(A5553,2)</f>
        <v>7</v>
      </c>
      <c r="E5553" s="33" t="n">
        <f aca="false">HOUR(A5553)+MINUTE(A5553)/60</f>
        <v>7</v>
      </c>
      <c r="F5553" s="33" t="n">
        <f aca="false">IF(OR(D5553&gt;5,E5553&lt;8,E5553&gt;=18,COUNTIF($K$2:$K$10,INT(A5553))&gt;0),1,0)</f>
        <v>1</v>
      </c>
      <c r="G5553" s="34" t="n">
        <f aca="false">B5553/1</f>
        <v>71.257</v>
      </c>
      <c r="H5553" s="34" t="n">
        <f aca="false">IF(F5553=1,G5553,"")</f>
        <v>71.257</v>
      </c>
    </row>
    <row r="5554" customFormat="false" ht="15" hidden="false" customHeight="false" outlineLevel="0" collapsed="false">
      <c r="A5554" s="31" t="n">
        <v>42967.3333333333</v>
      </c>
      <c r="B5554" s="32" t="n">
        <v>66.777</v>
      </c>
      <c r="D5554" s="33" t="n">
        <f aca="false">WEEKDAY(A5554,2)</f>
        <v>7</v>
      </c>
      <c r="E5554" s="33" t="n">
        <f aca="false">HOUR(A5554)+MINUTE(A5554)/60</f>
        <v>8</v>
      </c>
      <c r="F5554" s="33" t="n">
        <f aca="false">IF(OR(D5554&gt;5,E5554&lt;8,E5554&gt;=18,COUNTIF($K$2:$K$10,INT(A5554))&gt;0),1,0)</f>
        <v>1</v>
      </c>
      <c r="G5554" s="34" t="n">
        <f aca="false">B5554/1</f>
        <v>66.777</v>
      </c>
      <c r="H5554" s="34" t="n">
        <f aca="false">IF(F5554=1,G5554,"")</f>
        <v>66.777</v>
      </c>
    </row>
    <row r="5555" customFormat="false" ht="15" hidden="false" customHeight="false" outlineLevel="0" collapsed="false">
      <c r="A5555" s="31" t="n">
        <v>42967.375</v>
      </c>
      <c r="B5555" s="32" t="n">
        <v>68.141</v>
      </c>
      <c r="D5555" s="33" t="n">
        <f aca="false">WEEKDAY(A5555,2)</f>
        <v>7</v>
      </c>
      <c r="E5555" s="33" t="n">
        <f aca="false">HOUR(A5555)+MINUTE(A5555)/60</f>
        <v>9</v>
      </c>
      <c r="F5555" s="33" t="n">
        <f aca="false">IF(OR(D5555&gt;5,E5555&lt;8,E5555&gt;=18,COUNTIF($K$2:$K$10,INT(A5555))&gt;0),1,0)</f>
        <v>1</v>
      </c>
      <c r="G5555" s="34" t="n">
        <f aca="false">B5555/1</f>
        <v>68.141</v>
      </c>
      <c r="H5555" s="34" t="n">
        <f aca="false">IF(F5555=1,G5555,"")</f>
        <v>68.141</v>
      </c>
    </row>
    <row r="5556" customFormat="false" ht="15" hidden="false" customHeight="false" outlineLevel="0" collapsed="false">
      <c r="A5556" s="31" t="n">
        <v>42967.4166666667</v>
      </c>
      <c r="B5556" s="32" t="n">
        <v>67.418</v>
      </c>
      <c r="D5556" s="33" t="n">
        <f aca="false">WEEKDAY(A5556,2)</f>
        <v>7</v>
      </c>
      <c r="E5556" s="33" t="n">
        <f aca="false">HOUR(A5556)+MINUTE(A5556)/60</f>
        <v>10</v>
      </c>
      <c r="F5556" s="33" t="n">
        <f aca="false">IF(OR(D5556&gt;5,E5556&lt;8,E5556&gt;=18,COUNTIF($K$2:$K$10,INT(A5556))&gt;0),1,0)</f>
        <v>1</v>
      </c>
      <c r="G5556" s="34" t="n">
        <f aca="false">B5556/1</f>
        <v>67.418</v>
      </c>
      <c r="H5556" s="34" t="n">
        <f aca="false">IF(F5556=1,G5556,"")</f>
        <v>67.418</v>
      </c>
    </row>
    <row r="5557" customFormat="false" ht="15" hidden="false" customHeight="false" outlineLevel="0" collapsed="false">
      <c r="A5557" s="31" t="n">
        <v>42967.4583333333</v>
      </c>
      <c r="B5557" s="32" t="n">
        <v>69.257</v>
      </c>
      <c r="D5557" s="33" t="n">
        <f aca="false">WEEKDAY(A5557,2)</f>
        <v>7</v>
      </c>
      <c r="E5557" s="33" t="n">
        <f aca="false">HOUR(A5557)+MINUTE(A5557)/60</f>
        <v>11</v>
      </c>
      <c r="F5557" s="33" t="n">
        <f aca="false">IF(OR(D5557&gt;5,E5557&lt;8,E5557&gt;=18,COUNTIF($K$2:$K$10,INT(A5557))&gt;0),1,0)</f>
        <v>1</v>
      </c>
      <c r="G5557" s="34" t="n">
        <f aca="false">B5557/1</f>
        <v>69.257</v>
      </c>
      <c r="H5557" s="34" t="n">
        <f aca="false">IF(F5557=1,G5557,"")</f>
        <v>69.257</v>
      </c>
    </row>
    <row r="5558" customFormat="false" ht="15" hidden="false" customHeight="false" outlineLevel="0" collapsed="false">
      <c r="A5558" s="31" t="n">
        <v>42967.5</v>
      </c>
      <c r="B5558" s="32" t="n">
        <v>188.716</v>
      </c>
      <c r="D5558" s="33" t="n">
        <f aca="false">WEEKDAY(A5558,2)</f>
        <v>7</v>
      </c>
      <c r="E5558" s="33" t="n">
        <f aca="false">HOUR(A5558)+MINUTE(A5558)/60</f>
        <v>12</v>
      </c>
      <c r="F5558" s="33" t="n">
        <f aca="false">IF(OR(D5558&gt;5,E5558&lt;8,E5558&gt;=18,COUNTIF($K$2:$K$10,INT(A5558))&gt;0),1,0)</f>
        <v>1</v>
      </c>
      <c r="G5558" s="34" t="n">
        <f aca="false">B5558/1</f>
        <v>188.716</v>
      </c>
      <c r="H5558" s="34" t="n">
        <f aca="false">IF(F5558=1,G5558,"")</f>
        <v>188.716</v>
      </c>
    </row>
    <row r="5559" customFormat="false" ht="15" hidden="false" customHeight="false" outlineLevel="0" collapsed="false">
      <c r="A5559" s="31" t="n">
        <v>42967.5416666667</v>
      </c>
      <c r="B5559" s="32" t="n">
        <v>191.549</v>
      </c>
      <c r="D5559" s="33" t="n">
        <f aca="false">WEEKDAY(A5559,2)</f>
        <v>7</v>
      </c>
      <c r="E5559" s="33" t="n">
        <f aca="false">HOUR(A5559)+MINUTE(A5559)/60</f>
        <v>13</v>
      </c>
      <c r="F5559" s="33" t="n">
        <f aca="false">IF(OR(D5559&gt;5,E5559&lt;8,E5559&gt;=18,COUNTIF($K$2:$K$10,INT(A5559))&gt;0),1,0)</f>
        <v>1</v>
      </c>
      <c r="G5559" s="34" t="n">
        <f aca="false">B5559/1</f>
        <v>191.549</v>
      </c>
      <c r="H5559" s="34" t="n">
        <f aca="false">IF(F5559=1,G5559,"")</f>
        <v>191.549</v>
      </c>
    </row>
    <row r="5560" customFormat="false" ht="15" hidden="false" customHeight="false" outlineLevel="0" collapsed="false">
      <c r="A5560" s="31" t="n">
        <v>42967.5833333333</v>
      </c>
      <c r="B5560" s="32" t="n">
        <v>191.769</v>
      </c>
      <c r="D5560" s="33" t="n">
        <f aca="false">WEEKDAY(A5560,2)</f>
        <v>7</v>
      </c>
      <c r="E5560" s="33" t="n">
        <f aca="false">HOUR(A5560)+MINUTE(A5560)/60</f>
        <v>14</v>
      </c>
      <c r="F5560" s="33" t="n">
        <f aca="false">IF(OR(D5560&gt;5,E5560&lt;8,E5560&gt;=18,COUNTIF($K$2:$K$10,INT(A5560))&gt;0),1,0)</f>
        <v>1</v>
      </c>
      <c r="G5560" s="34" t="n">
        <f aca="false">B5560/1</f>
        <v>191.769</v>
      </c>
      <c r="H5560" s="34" t="n">
        <f aca="false">IF(F5560=1,G5560,"")</f>
        <v>191.769</v>
      </c>
    </row>
    <row r="5561" customFormat="false" ht="15" hidden="false" customHeight="false" outlineLevel="0" collapsed="false">
      <c r="A5561" s="31" t="n">
        <v>42967.625</v>
      </c>
      <c r="B5561" s="32" t="n">
        <v>193.603</v>
      </c>
      <c r="D5561" s="33" t="n">
        <f aca="false">WEEKDAY(A5561,2)</f>
        <v>7</v>
      </c>
      <c r="E5561" s="33" t="n">
        <f aca="false">HOUR(A5561)+MINUTE(A5561)/60</f>
        <v>15</v>
      </c>
      <c r="F5561" s="33" t="n">
        <f aca="false">IF(OR(D5561&gt;5,E5561&lt;8,E5561&gt;=18,COUNTIF($K$2:$K$10,INT(A5561))&gt;0),1,0)</f>
        <v>1</v>
      </c>
      <c r="G5561" s="34" t="n">
        <f aca="false">B5561/1</f>
        <v>193.603</v>
      </c>
      <c r="H5561" s="34" t="n">
        <f aca="false">IF(F5561=1,G5561,"")</f>
        <v>193.603</v>
      </c>
    </row>
    <row r="5562" customFormat="false" ht="15" hidden="false" customHeight="false" outlineLevel="0" collapsed="false">
      <c r="A5562" s="31" t="n">
        <v>42967.6666666667</v>
      </c>
      <c r="B5562" s="32" t="n">
        <v>194.022</v>
      </c>
      <c r="D5562" s="33" t="n">
        <f aca="false">WEEKDAY(A5562,2)</f>
        <v>7</v>
      </c>
      <c r="E5562" s="33" t="n">
        <f aca="false">HOUR(A5562)+MINUTE(A5562)/60</f>
        <v>16</v>
      </c>
      <c r="F5562" s="33" t="n">
        <f aca="false">IF(OR(D5562&gt;5,E5562&lt;8,E5562&gt;=18,COUNTIF($K$2:$K$10,INT(A5562))&gt;0),1,0)</f>
        <v>1</v>
      </c>
      <c r="G5562" s="34" t="n">
        <f aca="false">B5562/1</f>
        <v>194.022</v>
      </c>
      <c r="H5562" s="34" t="n">
        <f aca="false">IF(F5562=1,G5562,"")</f>
        <v>194.022</v>
      </c>
    </row>
    <row r="5563" customFormat="false" ht="15" hidden="false" customHeight="false" outlineLevel="0" collapsed="false">
      <c r="A5563" s="31" t="n">
        <v>42967.7083333333</v>
      </c>
      <c r="B5563" s="32" t="n">
        <v>193.475</v>
      </c>
      <c r="D5563" s="33" t="n">
        <f aca="false">WEEKDAY(A5563,2)</f>
        <v>7</v>
      </c>
      <c r="E5563" s="33" t="n">
        <f aca="false">HOUR(A5563)+MINUTE(A5563)/60</f>
        <v>17</v>
      </c>
      <c r="F5563" s="33" t="n">
        <f aca="false">IF(OR(D5563&gt;5,E5563&lt;8,E5563&gt;=18,COUNTIF($K$2:$K$10,INT(A5563))&gt;0),1,0)</f>
        <v>1</v>
      </c>
      <c r="G5563" s="34" t="n">
        <f aca="false">B5563/1</f>
        <v>193.475</v>
      </c>
      <c r="H5563" s="34" t="n">
        <f aca="false">IF(F5563=1,G5563,"")</f>
        <v>193.475</v>
      </c>
    </row>
    <row r="5564" customFormat="false" ht="15" hidden="false" customHeight="false" outlineLevel="0" collapsed="false">
      <c r="A5564" s="31" t="n">
        <v>42967.75</v>
      </c>
      <c r="B5564" s="32" t="n">
        <v>190.831</v>
      </c>
      <c r="D5564" s="33" t="n">
        <f aca="false">WEEKDAY(A5564,2)</f>
        <v>7</v>
      </c>
      <c r="E5564" s="33" t="n">
        <f aca="false">HOUR(A5564)+MINUTE(A5564)/60</f>
        <v>18</v>
      </c>
      <c r="F5564" s="33" t="n">
        <f aca="false">IF(OR(D5564&gt;5,E5564&lt;8,E5564&gt;=18,COUNTIF($K$2:$K$10,INT(A5564))&gt;0),1,0)</f>
        <v>1</v>
      </c>
      <c r="G5564" s="34" t="n">
        <f aca="false">B5564/1</f>
        <v>190.831</v>
      </c>
      <c r="H5564" s="34" t="n">
        <f aca="false">IF(F5564=1,G5564,"")</f>
        <v>190.831</v>
      </c>
    </row>
    <row r="5565" customFormat="false" ht="15" hidden="false" customHeight="false" outlineLevel="0" collapsed="false">
      <c r="A5565" s="31" t="n">
        <v>42967.7916666667</v>
      </c>
      <c r="B5565" s="32" t="n">
        <v>187.139</v>
      </c>
      <c r="D5565" s="33" t="n">
        <f aca="false">WEEKDAY(A5565,2)</f>
        <v>7</v>
      </c>
      <c r="E5565" s="33" t="n">
        <f aca="false">HOUR(A5565)+MINUTE(A5565)/60</f>
        <v>19</v>
      </c>
      <c r="F5565" s="33" t="n">
        <f aca="false">IF(OR(D5565&gt;5,E5565&lt;8,E5565&gt;=18,COUNTIF($K$2:$K$10,INT(A5565))&gt;0),1,0)</f>
        <v>1</v>
      </c>
      <c r="G5565" s="34" t="n">
        <f aca="false">B5565/1</f>
        <v>187.139</v>
      </c>
      <c r="H5565" s="34" t="n">
        <f aca="false">IF(F5565=1,G5565,"")</f>
        <v>187.139</v>
      </c>
    </row>
    <row r="5566" customFormat="false" ht="15" hidden="false" customHeight="false" outlineLevel="0" collapsed="false">
      <c r="A5566" s="31" t="n">
        <v>42967.8333333333</v>
      </c>
      <c r="B5566" s="32" t="n">
        <v>186.425</v>
      </c>
      <c r="D5566" s="33" t="n">
        <f aca="false">WEEKDAY(A5566,2)</f>
        <v>7</v>
      </c>
      <c r="E5566" s="33" t="n">
        <f aca="false">HOUR(A5566)+MINUTE(A5566)/60</f>
        <v>20</v>
      </c>
      <c r="F5566" s="33" t="n">
        <f aca="false">IF(OR(D5566&gt;5,E5566&lt;8,E5566&gt;=18,COUNTIF($K$2:$K$10,INT(A5566))&gt;0),1,0)</f>
        <v>1</v>
      </c>
      <c r="G5566" s="34" t="n">
        <f aca="false">B5566/1</f>
        <v>186.425</v>
      </c>
      <c r="H5566" s="34" t="n">
        <f aca="false">IF(F5566=1,G5566,"")</f>
        <v>186.425</v>
      </c>
    </row>
    <row r="5567" customFormat="false" ht="15" hidden="false" customHeight="false" outlineLevel="0" collapsed="false">
      <c r="A5567" s="31" t="n">
        <v>42967.875</v>
      </c>
      <c r="B5567" s="32" t="n">
        <v>156.457</v>
      </c>
      <c r="D5567" s="33" t="n">
        <f aca="false">WEEKDAY(A5567,2)</f>
        <v>7</v>
      </c>
      <c r="E5567" s="33" t="n">
        <f aca="false">HOUR(A5567)+MINUTE(A5567)/60</f>
        <v>21</v>
      </c>
      <c r="F5567" s="33" t="n">
        <f aca="false">IF(OR(D5567&gt;5,E5567&lt;8,E5567&gt;=18,COUNTIF($K$2:$K$10,INT(A5567))&gt;0),1,0)</f>
        <v>1</v>
      </c>
      <c r="G5567" s="34" t="n">
        <f aca="false">B5567/1</f>
        <v>156.457</v>
      </c>
      <c r="H5567" s="34" t="n">
        <f aca="false">IF(F5567=1,G5567,"")</f>
        <v>156.457</v>
      </c>
    </row>
    <row r="5568" customFormat="false" ht="15" hidden="false" customHeight="false" outlineLevel="0" collapsed="false">
      <c r="A5568" s="31" t="n">
        <v>42967.9166666667</v>
      </c>
      <c r="B5568" s="32" t="n">
        <v>69.909</v>
      </c>
      <c r="D5568" s="33" t="n">
        <f aca="false">WEEKDAY(A5568,2)</f>
        <v>7</v>
      </c>
      <c r="E5568" s="33" t="n">
        <f aca="false">HOUR(A5568)+MINUTE(A5568)/60</f>
        <v>22</v>
      </c>
      <c r="F5568" s="33" t="n">
        <f aca="false">IF(OR(D5568&gt;5,E5568&lt;8,E5568&gt;=18,COUNTIF($K$2:$K$10,INT(A5568))&gt;0),1,0)</f>
        <v>1</v>
      </c>
      <c r="G5568" s="34" t="n">
        <f aca="false">B5568/1</f>
        <v>69.909</v>
      </c>
      <c r="H5568" s="34" t="n">
        <f aca="false">IF(F5568=1,G5568,"")</f>
        <v>69.909</v>
      </c>
    </row>
    <row r="5569" customFormat="false" ht="15" hidden="false" customHeight="false" outlineLevel="0" collapsed="false">
      <c r="A5569" s="31" t="n">
        <v>42967.9583333333</v>
      </c>
      <c r="B5569" s="32" t="n">
        <v>69.064</v>
      </c>
      <c r="D5569" s="33" t="n">
        <f aca="false">WEEKDAY(A5569,2)</f>
        <v>7</v>
      </c>
      <c r="E5569" s="33" t="n">
        <f aca="false">HOUR(A5569)+MINUTE(A5569)/60</f>
        <v>23</v>
      </c>
      <c r="F5569" s="33" t="n">
        <f aca="false">IF(OR(D5569&gt;5,E5569&lt;8,E5569&gt;=18,COUNTIF($K$2:$K$10,INT(A5569))&gt;0),1,0)</f>
        <v>1</v>
      </c>
      <c r="G5569" s="34" t="n">
        <f aca="false">B5569/1</f>
        <v>69.064</v>
      </c>
      <c r="H5569" s="34" t="n">
        <f aca="false">IF(F5569=1,G5569,"")</f>
        <v>69.064</v>
      </c>
    </row>
    <row r="5570" customFormat="false" ht="15" hidden="false" customHeight="false" outlineLevel="0" collapsed="false">
      <c r="A5570" s="31" t="n">
        <v>42968</v>
      </c>
      <c r="B5570" s="32" t="n">
        <v>67.149</v>
      </c>
      <c r="D5570" s="33" t="n">
        <f aca="false">WEEKDAY(A5570,2)</f>
        <v>1</v>
      </c>
      <c r="E5570" s="33" t="n">
        <f aca="false">HOUR(A5570)+MINUTE(A5570)/60</f>
        <v>0</v>
      </c>
      <c r="F5570" s="33" t="n">
        <f aca="false">IF(OR(D5570&gt;5,E5570&lt;8,E5570&gt;=18,COUNTIF($K$2:$K$10,INT(A5570))&gt;0),1,0)</f>
        <v>1</v>
      </c>
      <c r="G5570" s="34" t="n">
        <f aca="false">B5570/1</f>
        <v>67.149</v>
      </c>
      <c r="H5570" s="34" t="n">
        <f aca="false">IF(F5570=1,G5570,"")</f>
        <v>67.149</v>
      </c>
    </row>
    <row r="5571" customFormat="false" ht="15" hidden="false" customHeight="false" outlineLevel="0" collapsed="false">
      <c r="A5571" s="31" t="n">
        <v>42968.0416666667</v>
      </c>
      <c r="B5571" s="32" t="n">
        <v>69.006</v>
      </c>
      <c r="D5571" s="33" t="n">
        <f aca="false">WEEKDAY(A5571,2)</f>
        <v>1</v>
      </c>
      <c r="E5571" s="33" t="n">
        <f aca="false">HOUR(A5571)+MINUTE(A5571)/60</f>
        <v>1</v>
      </c>
      <c r="F5571" s="33" t="n">
        <f aca="false">IF(OR(D5571&gt;5,E5571&lt;8,E5571&gt;=18,COUNTIF($K$2:$K$10,INT(A5571))&gt;0),1,0)</f>
        <v>1</v>
      </c>
      <c r="G5571" s="34" t="n">
        <f aca="false">B5571/1</f>
        <v>69.006</v>
      </c>
      <c r="H5571" s="34" t="n">
        <f aca="false">IF(F5571=1,G5571,"")</f>
        <v>69.006</v>
      </c>
    </row>
    <row r="5572" customFormat="false" ht="15" hidden="false" customHeight="false" outlineLevel="0" collapsed="false">
      <c r="A5572" s="31" t="n">
        <v>42968.0833333333</v>
      </c>
      <c r="B5572" s="32" t="n">
        <v>69.41</v>
      </c>
      <c r="D5572" s="33" t="n">
        <f aca="false">WEEKDAY(A5572,2)</f>
        <v>1</v>
      </c>
      <c r="E5572" s="33" t="n">
        <f aca="false">HOUR(A5572)+MINUTE(A5572)/60</f>
        <v>2</v>
      </c>
      <c r="F5572" s="33" t="n">
        <f aca="false">IF(OR(D5572&gt;5,E5572&lt;8,E5572&gt;=18,COUNTIF($K$2:$K$10,INT(A5572))&gt;0),1,0)</f>
        <v>1</v>
      </c>
      <c r="G5572" s="34" t="n">
        <f aca="false">B5572/1</f>
        <v>69.41</v>
      </c>
      <c r="H5572" s="34" t="n">
        <f aca="false">IF(F5572=1,G5572,"")</f>
        <v>69.41</v>
      </c>
    </row>
    <row r="5573" customFormat="false" ht="15" hidden="false" customHeight="false" outlineLevel="0" collapsed="false">
      <c r="A5573" s="31" t="n">
        <v>42968.125</v>
      </c>
      <c r="B5573" s="32" t="n">
        <v>67.437</v>
      </c>
      <c r="D5573" s="33" t="n">
        <f aca="false">WEEKDAY(A5573,2)</f>
        <v>1</v>
      </c>
      <c r="E5573" s="33" t="n">
        <f aca="false">HOUR(A5573)+MINUTE(A5573)/60</f>
        <v>3</v>
      </c>
      <c r="F5573" s="33" t="n">
        <f aca="false">IF(OR(D5573&gt;5,E5573&lt;8,E5573&gt;=18,COUNTIF($K$2:$K$10,INT(A5573))&gt;0),1,0)</f>
        <v>1</v>
      </c>
      <c r="G5573" s="34" t="n">
        <f aca="false">B5573/1</f>
        <v>67.437</v>
      </c>
      <c r="H5573" s="34" t="n">
        <f aca="false">IF(F5573=1,G5573,"")</f>
        <v>67.437</v>
      </c>
    </row>
    <row r="5574" customFormat="false" ht="15" hidden="false" customHeight="false" outlineLevel="0" collapsed="false">
      <c r="A5574" s="31" t="n">
        <v>42968.1666666667</v>
      </c>
      <c r="B5574" s="32" t="n">
        <v>67.661</v>
      </c>
      <c r="D5574" s="33" t="n">
        <f aca="false">WEEKDAY(A5574,2)</f>
        <v>1</v>
      </c>
      <c r="E5574" s="33" t="n">
        <f aca="false">HOUR(A5574)+MINUTE(A5574)/60</f>
        <v>4</v>
      </c>
      <c r="F5574" s="33" t="n">
        <f aca="false">IF(OR(D5574&gt;5,E5574&lt;8,E5574&gt;=18,COUNTIF($K$2:$K$10,INT(A5574))&gt;0),1,0)</f>
        <v>1</v>
      </c>
      <c r="G5574" s="34" t="n">
        <f aca="false">B5574/1</f>
        <v>67.661</v>
      </c>
      <c r="H5574" s="34" t="n">
        <f aca="false">IF(F5574=1,G5574,"")</f>
        <v>67.661</v>
      </c>
    </row>
    <row r="5575" customFormat="false" ht="15" hidden="false" customHeight="false" outlineLevel="0" collapsed="false">
      <c r="A5575" s="31" t="n">
        <v>42968.2083333333</v>
      </c>
      <c r="B5575" s="32" t="n">
        <v>69.161</v>
      </c>
      <c r="D5575" s="33" t="n">
        <f aca="false">WEEKDAY(A5575,2)</f>
        <v>1</v>
      </c>
      <c r="E5575" s="33" t="n">
        <f aca="false">HOUR(A5575)+MINUTE(A5575)/60</f>
        <v>5</v>
      </c>
      <c r="F5575" s="33" t="n">
        <f aca="false">IF(OR(D5575&gt;5,E5575&lt;8,E5575&gt;=18,COUNTIF($K$2:$K$10,INT(A5575))&gt;0),1,0)</f>
        <v>1</v>
      </c>
      <c r="G5575" s="34" t="n">
        <f aca="false">B5575/1</f>
        <v>69.161</v>
      </c>
      <c r="H5575" s="34" t="n">
        <f aca="false">IF(F5575=1,G5575,"")</f>
        <v>69.161</v>
      </c>
    </row>
    <row r="5576" customFormat="false" ht="15" hidden="false" customHeight="false" outlineLevel="0" collapsed="false">
      <c r="A5576" s="31" t="n">
        <v>42968.25</v>
      </c>
      <c r="B5576" s="32" t="n">
        <v>72.44</v>
      </c>
      <c r="D5576" s="33" t="n">
        <f aca="false">WEEKDAY(A5576,2)</f>
        <v>1</v>
      </c>
      <c r="E5576" s="33" t="n">
        <f aca="false">HOUR(A5576)+MINUTE(A5576)/60</f>
        <v>6</v>
      </c>
      <c r="F5576" s="33" t="n">
        <f aca="false">IF(OR(D5576&gt;5,E5576&lt;8,E5576&gt;=18,COUNTIF($K$2:$K$10,INT(A5576))&gt;0),1,0)</f>
        <v>1</v>
      </c>
      <c r="G5576" s="34" t="n">
        <f aca="false">B5576/1</f>
        <v>72.44</v>
      </c>
      <c r="H5576" s="34" t="n">
        <f aca="false">IF(F5576=1,G5576,"")</f>
        <v>72.44</v>
      </c>
    </row>
    <row r="5577" customFormat="false" ht="15" hidden="false" customHeight="false" outlineLevel="0" collapsed="false">
      <c r="A5577" s="31" t="n">
        <v>42968.2916666667</v>
      </c>
      <c r="B5577" s="32" t="n">
        <v>100.455</v>
      </c>
      <c r="D5577" s="33" t="n">
        <f aca="false">WEEKDAY(A5577,2)</f>
        <v>1</v>
      </c>
      <c r="E5577" s="33" t="n">
        <f aca="false">HOUR(A5577)+MINUTE(A5577)/60</f>
        <v>7</v>
      </c>
      <c r="F5577" s="33" t="n">
        <f aca="false">IF(OR(D5577&gt;5,E5577&lt;8,E5577&gt;=18,COUNTIF($K$2:$K$10,INT(A5577))&gt;0),1,0)</f>
        <v>1</v>
      </c>
      <c r="G5577" s="34" t="n">
        <f aca="false">B5577/1</f>
        <v>100.455</v>
      </c>
      <c r="H5577" s="34" t="n">
        <f aca="false">IF(F5577=1,G5577,"")</f>
        <v>100.455</v>
      </c>
    </row>
    <row r="5578" customFormat="false" ht="15" hidden="false" customHeight="false" outlineLevel="0" collapsed="false">
      <c r="A5578" s="31" t="n">
        <v>42968.3333333333</v>
      </c>
      <c r="B5578" s="32" t="n">
        <v>190.107</v>
      </c>
      <c r="D5578" s="33" t="n">
        <f aca="false">WEEKDAY(A5578,2)</f>
        <v>1</v>
      </c>
      <c r="E5578" s="33" t="n">
        <f aca="false">HOUR(A5578)+MINUTE(A5578)/60</f>
        <v>8</v>
      </c>
      <c r="F5578" s="33" t="n">
        <f aca="false">IF(OR(D5578&gt;5,E5578&lt;8,E5578&gt;=18,COUNTIF($K$2:$K$10,INT(A5578))&gt;0),1,0)</f>
        <v>0</v>
      </c>
      <c r="G5578" s="34" t="n">
        <f aca="false">B5578/1</f>
        <v>190.107</v>
      </c>
      <c r="H5578" s="34" t="str">
        <f aca="false">IF(F5578=1,G5578,"")</f>
        <v/>
      </c>
    </row>
    <row r="5579" customFormat="false" ht="15" hidden="false" customHeight="false" outlineLevel="0" collapsed="false">
      <c r="A5579" s="31" t="n">
        <v>42968.375</v>
      </c>
      <c r="B5579" s="32" t="n">
        <v>220.978</v>
      </c>
      <c r="D5579" s="33" t="n">
        <f aca="false">WEEKDAY(A5579,2)</f>
        <v>1</v>
      </c>
      <c r="E5579" s="33" t="n">
        <f aca="false">HOUR(A5579)+MINUTE(A5579)/60</f>
        <v>9</v>
      </c>
      <c r="F5579" s="33" t="n">
        <f aca="false">IF(OR(D5579&gt;5,E5579&lt;8,E5579&gt;=18,COUNTIF($K$2:$K$10,INT(A5579))&gt;0),1,0)</f>
        <v>0</v>
      </c>
      <c r="G5579" s="34" t="n">
        <f aca="false">B5579/1</f>
        <v>220.978</v>
      </c>
      <c r="H5579" s="34" t="str">
        <f aca="false">IF(F5579=1,G5579,"")</f>
        <v/>
      </c>
    </row>
    <row r="5580" customFormat="false" ht="15" hidden="false" customHeight="false" outlineLevel="0" collapsed="false">
      <c r="A5580" s="31" t="n">
        <v>42968.4166666667</v>
      </c>
      <c r="B5580" s="32" t="n">
        <v>234.167</v>
      </c>
      <c r="D5580" s="33" t="n">
        <f aca="false">WEEKDAY(A5580,2)</f>
        <v>1</v>
      </c>
      <c r="E5580" s="33" t="n">
        <f aca="false">HOUR(A5580)+MINUTE(A5580)/60</f>
        <v>10</v>
      </c>
      <c r="F5580" s="33" t="n">
        <f aca="false">IF(OR(D5580&gt;5,E5580&lt;8,E5580&gt;=18,COUNTIF($K$2:$K$10,INT(A5580))&gt;0),1,0)</f>
        <v>0</v>
      </c>
      <c r="G5580" s="34" t="n">
        <f aca="false">B5580/1</f>
        <v>234.167</v>
      </c>
      <c r="H5580" s="34" t="str">
        <f aca="false">IF(F5580=1,G5580,"")</f>
        <v/>
      </c>
    </row>
    <row r="5581" customFormat="false" ht="15" hidden="false" customHeight="false" outlineLevel="0" collapsed="false">
      <c r="A5581" s="31" t="n">
        <v>42968.4583333333</v>
      </c>
      <c r="B5581" s="32" t="n">
        <v>235.169</v>
      </c>
      <c r="D5581" s="33" t="n">
        <f aca="false">WEEKDAY(A5581,2)</f>
        <v>1</v>
      </c>
      <c r="E5581" s="33" t="n">
        <f aca="false">HOUR(A5581)+MINUTE(A5581)/60</f>
        <v>11</v>
      </c>
      <c r="F5581" s="33" t="n">
        <f aca="false">IF(OR(D5581&gt;5,E5581&lt;8,E5581&gt;=18,COUNTIF($K$2:$K$10,INT(A5581))&gt;0),1,0)</f>
        <v>0</v>
      </c>
      <c r="G5581" s="34" t="n">
        <f aca="false">B5581/1</f>
        <v>235.169</v>
      </c>
      <c r="H5581" s="34" t="str">
        <f aca="false">IF(F5581=1,G5581,"")</f>
        <v/>
      </c>
    </row>
    <row r="5582" customFormat="false" ht="15" hidden="false" customHeight="false" outlineLevel="0" collapsed="false">
      <c r="A5582" s="31" t="n">
        <v>42968.5</v>
      </c>
      <c r="B5582" s="32" t="n">
        <v>236.176</v>
      </c>
      <c r="D5582" s="33" t="n">
        <f aca="false">WEEKDAY(A5582,2)</f>
        <v>1</v>
      </c>
      <c r="E5582" s="33" t="n">
        <f aca="false">HOUR(A5582)+MINUTE(A5582)/60</f>
        <v>12</v>
      </c>
      <c r="F5582" s="33" t="n">
        <f aca="false">IF(OR(D5582&gt;5,E5582&lt;8,E5582&gt;=18,COUNTIF($K$2:$K$10,INT(A5582))&gt;0),1,0)</f>
        <v>0</v>
      </c>
      <c r="G5582" s="34" t="n">
        <f aca="false">B5582/1</f>
        <v>236.176</v>
      </c>
      <c r="H5582" s="34" t="str">
        <f aca="false">IF(F5582=1,G5582,"")</f>
        <v/>
      </c>
    </row>
    <row r="5583" customFormat="false" ht="15" hidden="false" customHeight="false" outlineLevel="0" collapsed="false">
      <c r="A5583" s="31" t="n">
        <v>42968.5416666667</v>
      </c>
      <c r="B5583" s="32" t="n">
        <v>235.653</v>
      </c>
      <c r="D5583" s="33" t="n">
        <f aca="false">WEEKDAY(A5583,2)</f>
        <v>1</v>
      </c>
      <c r="E5583" s="33" t="n">
        <f aca="false">HOUR(A5583)+MINUTE(A5583)/60</f>
        <v>13</v>
      </c>
      <c r="F5583" s="33" t="n">
        <f aca="false">IF(OR(D5583&gt;5,E5583&lt;8,E5583&gt;=18,COUNTIF($K$2:$K$10,INT(A5583))&gt;0),1,0)</f>
        <v>0</v>
      </c>
      <c r="G5583" s="34" t="n">
        <f aca="false">B5583/1</f>
        <v>235.653</v>
      </c>
      <c r="H5583" s="34" t="str">
        <f aca="false">IF(F5583=1,G5583,"")</f>
        <v/>
      </c>
    </row>
    <row r="5584" customFormat="false" ht="15" hidden="false" customHeight="false" outlineLevel="0" collapsed="false">
      <c r="A5584" s="31" t="n">
        <v>42968.5833333333</v>
      </c>
      <c r="B5584" s="32" t="n">
        <v>235.739</v>
      </c>
      <c r="D5584" s="33" t="n">
        <f aca="false">WEEKDAY(A5584,2)</f>
        <v>1</v>
      </c>
      <c r="E5584" s="33" t="n">
        <f aca="false">HOUR(A5584)+MINUTE(A5584)/60</f>
        <v>14</v>
      </c>
      <c r="F5584" s="33" t="n">
        <f aca="false">IF(OR(D5584&gt;5,E5584&lt;8,E5584&gt;=18,COUNTIF($K$2:$K$10,INT(A5584))&gt;0),1,0)</f>
        <v>0</v>
      </c>
      <c r="G5584" s="34" t="n">
        <f aca="false">B5584/1</f>
        <v>235.739</v>
      </c>
      <c r="H5584" s="34" t="str">
        <f aca="false">IF(F5584=1,G5584,"")</f>
        <v/>
      </c>
    </row>
    <row r="5585" customFormat="false" ht="15" hidden="false" customHeight="false" outlineLevel="0" collapsed="false">
      <c r="A5585" s="31" t="n">
        <v>42968.625</v>
      </c>
      <c r="B5585" s="32" t="n">
        <v>234.108</v>
      </c>
      <c r="D5585" s="33" t="n">
        <f aca="false">WEEKDAY(A5585,2)</f>
        <v>1</v>
      </c>
      <c r="E5585" s="33" t="n">
        <f aca="false">HOUR(A5585)+MINUTE(A5585)/60</f>
        <v>15</v>
      </c>
      <c r="F5585" s="33" t="n">
        <f aca="false">IF(OR(D5585&gt;5,E5585&lt;8,E5585&gt;=18,COUNTIF($K$2:$K$10,INT(A5585))&gt;0),1,0)</f>
        <v>0</v>
      </c>
      <c r="G5585" s="34" t="n">
        <f aca="false">B5585/1</f>
        <v>234.108</v>
      </c>
      <c r="H5585" s="34" t="str">
        <f aca="false">IF(F5585=1,G5585,"")</f>
        <v/>
      </c>
    </row>
    <row r="5586" customFormat="false" ht="15" hidden="false" customHeight="false" outlineLevel="0" collapsed="false">
      <c r="A5586" s="31" t="n">
        <v>42968.6666666667</v>
      </c>
      <c r="B5586" s="32" t="n">
        <v>228.82</v>
      </c>
      <c r="D5586" s="33" t="n">
        <f aca="false">WEEKDAY(A5586,2)</f>
        <v>1</v>
      </c>
      <c r="E5586" s="33" t="n">
        <f aca="false">HOUR(A5586)+MINUTE(A5586)/60</f>
        <v>16</v>
      </c>
      <c r="F5586" s="33" t="n">
        <f aca="false">IF(OR(D5586&gt;5,E5586&lt;8,E5586&gt;=18,COUNTIF($K$2:$K$10,INT(A5586))&gt;0),1,0)</f>
        <v>0</v>
      </c>
      <c r="G5586" s="34" t="n">
        <f aca="false">B5586/1</f>
        <v>228.82</v>
      </c>
      <c r="H5586" s="34" t="str">
        <f aca="false">IF(F5586=1,G5586,"")</f>
        <v/>
      </c>
    </row>
    <row r="5587" customFormat="false" ht="15" hidden="false" customHeight="false" outlineLevel="0" collapsed="false">
      <c r="A5587" s="31" t="n">
        <v>42968.7083333333</v>
      </c>
      <c r="B5587" s="32" t="n">
        <v>217.333</v>
      </c>
      <c r="D5587" s="33" t="n">
        <f aca="false">WEEKDAY(A5587,2)</f>
        <v>1</v>
      </c>
      <c r="E5587" s="33" t="n">
        <f aca="false">HOUR(A5587)+MINUTE(A5587)/60</f>
        <v>17</v>
      </c>
      <c r="F5587" s="33" t="n">
        <f aca="false">IF(OR(D5587&gt;5,E5587&lt;8,E5587&gt;=18,COUNTIF($K$2:$K$10,INT(A5587))&gt;0),1,0)</f>
        <v>0</v>
      </c>
      <c r="G5587" s="34" t="n">
        <f aca="false">B5587/1</f>
        <v>217.333</v>
      </c>
      <c r="H5587" s="34" t="str">
        <f aca="false">IF(F5587=1,G5587,"")</f>
        <v/>
      </c>
    </row>
    <row r="5588" customFormat="false" ht="15" hidden="false" customHeight="false" outlineLevel="0" collapsed="false">
      <c r="A5588" s="31" t="n">
        <v>42968.75</v>
      </c>
      <c r="B5588" s="32" t="n">
        <v>203.748</v>
      </c>
      <c r="D5588" s="33" t="n">
        <f aca="false">WEEKDAY(A5588,2)</f>
        <v>1</v>
      </c>
      <c r="E5588" s="33" t="n">
        <f aca="false">HOUR(A5588)+MINUTE(A5588)/60</f>
        <v>18</v>
      </c>
      <c r="F5588" s="33" t="n">
        <f aca="false">IF(OR(D5588&gt;5,E5588&lt;8,E5588&gt;=18,COUNTIF($K$2:$K$10,INT(A5588))&gt;0),1,0)</f>
        <v>1</v>
      </c>
      <c r="G5588" s="34" t="n">
        <f aca="false">B5588/1</f>
        <v>203.748</v>
      </c>
      <c r="H5588" s="34" t="n">
        <f aca="false">IF(F5588=1,G5588,"")</f>
        <v>203.748</v>
      </c>
    </row>
    <row r="5589" customFormat="false" ht="15" hidden="false" customHeight="false" outlineLevel="0" collapsed="false">
      <c r="A5589" s="31" t="n">
        <v>42968.7916666667</v>
      </c>
      <c r="B5589" s="32" t="n">
        <v>198.401</v>
      </c>
      <c r="D5589" s="33" t="n">
        <f aca="false">WEEKDAY(A5589,2)</f>
        <v>1</v>
      </c>
      <c r="E5589" s="33" t="n">
        <f aca="false">HOUR(A5589)+MINUTE(A5589)/60</f>
        <v>19</v>
      </c>
      <c r="F5589" s="33" t="n">
        <f aca="false">IF(OR(D5589&gt;5,E5589&lt;8,E5589&gt;=18,COUNTIF($K$2:$K$10,INT(A5589))&gt;0),1,0)</f>
        <v>1</v>
      </c>
      <c r="G5589" s="34" t="n">
        <f aca="false">B5589/1</f>
        <v>198.401</v>
      </c>
      <c r="H5589" s="34" t="n">
        <f aca="false">IF(F5589=1,G5589,"")</f>
        <v>198.401</v>
      </c>
    </row>
    <row r="5590" customFormat="false" ht="15" hidden="false" customHeight="false" outlineLevel="0" collapsed="false">
      <c r="A5590" s="31" t="n">
        <v>42968.8333333333</v>
      </c>
      <c r="B5590" s="32" t="n">
        <v>196.13</v>
      </c>
      <c r="D5590" s="33" t="n">
        <f aca="false">WEEKDAY(A5590,2)</f>
        <v>1</v>
      </c>
      <c r="E5590" s="33" t="n">
        <f aca="false">HOUR(A5590)+MINUTE(A5590)/60</f>
        <v>20</v>
      </c>
      <c r="F5590" s="33" t="n">
        <f aca="false">IF(OR(D5590&gt;5,E5590&lt;8,E5590&gt;=18,COUNTIF($K$2:$K$10,INT(A5590))&gt;0),1,0)</f>
        <v>1</v>
      </c>
      <c r="G5590" s="34" t="n">
        <f aca="false">B5590/1</f>
        <v>196.13</v>
      </c>
      <c r="H5590" s="34" t="n">
        <f aca="false">IF(F5590=1,G5590,"")</f>
        <v>196.13</v>
      </c>
    </row>
    <row r="5591" customFormat="false" ht="15" hidden="false" customHeight="false" outlineLevel="0" collapsed="false">
      <c r="A5591" s="31" t="n">
        <v>42968.875</v>
      </c>
      <c r="B5591" s="32" t="n">
        <v>194.373</v>
      </c>
      <c r="D5591" s="33" t="n">
        <f aca="false">WEEKDAY(A5591,2)</f>
        <v>1</v>
      </c>
      <c r="E5591" s="33" t="n">
        <f aca="false">HOUR(A5591)+MINUTE(A5591)/60</f>
        <v>21</v>
      </c>
      <c r="F5591" s="33" t="n">
        <f aca="false">IF(OR(D5591&gt;5,E5591&lt;8,E5591&gt;=18,COUNTIF($K$2:$K$10,INT(A5591))&gt;0),1,0)</f>
        <v>1</v>
      </c>
      <c r="G5591" s="34" t="n">
        <f aca="false">B5591/1</f>
        <v>194.373</v>
      </c>
      <c r="H5591" s="34" t="n">
        <f aca="false">IF(F5591=1,G5591,"")</f>
        <v>194.373</v>
      </c>
    </row>
    <row r="5592" customFormat="false" ht="15" hidden="false" customHeight="false" outlineLevel="0" collapsed="false">
      <c r="A5592" s="31" t="n">
        <v>42968.9166666667</v>
      </c>
      <c r="B5592" s="32" t="n">
        <v>146.049</v>
      </c>
      <c r="D5592" s="33" t="n">
        <f aca="false">WEEKDAY(A5592,2)</f>
        <v>1</v>
      </c>
      <c r="E5592" s="33" t="n">
        <f aca="false">HOUR(A5592)+MINUTE(A5592)/60</f>
        <v>22</v>
      </c>
      <c r="F5592" s="33" t="n">
        <f aca="false">IF(OR(D5592&gt;5,E5592&lt;8,E5592&gt;=18,COUNTIF($K$2:$K$10,INT(A5592))&gt;0),1,0)</f>
        <v>1</v>
      </c>
      <c r="G5592" s="34" t="n">
        <f aca="false">B5592/1</f>
        <v>146.049</v>
      </c>
      <c r="H5592" s="34" t="n">
        <f aca="false">IF(F5592=1,G5592,"")</f>
        <v>146.049</v>
      </c>
    </row>
    <row r="5593" customFormat="false" ht="15" hidden="false" customHeight="false" outlineLevel="0" collapsed="false">
      <c r="A5593" s="31" t="n">
        <v>42968.9583333333</v>
      </c>
      <c r="B5593" s="32" t="n">
        <v>103.741</v>
      </c>
      <c r="D5593" s="33" t="n">
        <f aca="false">WEEKDAY(A5593,2)</f>
        <v>1</v>
      </c>
      <c r="E5593" s="33" t="n">
        <f aca="false">HOUR(A5593)+MINUTE(A5593)/60</f>
        <v>23</v>
      </c>
      <c r="F5593" s="33" t="n">
        <f aca="false">IF(OR(D5593&gt;5,E5593&lt;8,E5593&gt;=18,COUNTIF($K$2:$K$10,INT(A5593))&gt;0),1,0)</f>
        <v>1</v>
      </c>
      <c r="G5593" s="34" t="n">
        <f aca="false">B5593/1</f>
        <v>103.741</v>
      </c>
      <c r="H5593" s="34" t="n">
        <f aca="false">IF(F5593=1,G5593,"")</f>
        <v>103.741</v>
      </c>
    </row>
    <row r="5594" customFormat="false" ht="15" hidden="false" customHeight="false" outlineLevel="0" collapsed="false">
      <c r="A5594" s="31" t="n">
        <v>42969</v>
      </c>
      <c r="B5594" s="32" t="n">
        <v>101.789</v>
      </c>
      <c r="D5594" s="33" t="n">
        <f aca="false">WEEKDAY(A5594,2)</f>
        <v>2</v>
      </c>
      <c r="E5594" s="33" t="n">
        <f aca="false">HOUR(A5594)+MINUTE(A5594)/60</f>
        <v>0</v>
      </c>
      <c r="F5594" s="33" t="n">
        <f aca="false">IF(OR(D5594&gt;5,E5594&lt;8,E5594&gt;=18,COUNTIF($K$2:$K$10,INT(A5594))&gt;0),1,0)</f>
        <v>1</v>
      </c>
      <c r="G5594" s="34" t="n">
        <f aca="false">B5594/1</f>
        <v>101.789</v>
      </c>
      <c r="H5594" s="34" t="n">
        <f aca="false">IF(F5594=1,G5594,"")</f>
        <v>101.789</v>
      </c>
    </row>
    <row r="5595" customFormat="false" ht="15" hidden="false" customHeight="false" outlineLevel="0" collapsed="false">
      <c r="A5595" s="31" t="n">
        <v>42969.0416666667</v>
      </c>
      <c r="B5595" s="32" t="n">
        <v>99.179</v>
      </c>
      <c r="D5595" s="33" t="n">
        <f aca="false">WEEKDAY(A5595,2)</f>
        <v>2</v>
      </c>
      <c r="E5595" s="33" t="n">
        <f aca="false">HOUR(A5595)+MINUTE(A5595)/60</f>
        <v>1</v>
      </c>
      <c r="F5595" s="33" t="n">
        <f aca="false">IF(OR(D5595&gt;5,E5595&lt;8,E5595&gt;=18,COUNTIF($K$2:$K$10,INT(A5595))&gt;0),1,0)</f>
        <v>1</v>
      </c>
      <c r="G5595" s="34" t="n">
        <f aca="false">B5595/1</f>
        <v>99.179</v>
      </c>
      <c r="H5595" s="34" t="n">
        <f aca="false">IF(F5595=1,G5595,"")</f>
        <v>99.179</v>
      </c>
    </row>
    <row r="5596" customFormat="false" ht="15" hidden="false" customHeight="false" outlineLevel="0" collapsed="false">
      <c r="A5596" s="31" t="n">
        <v>42969.0833333333</v>
      </c>
      <c r="B5596" s="32" t="n">
        <v>99.864</v>
      </c>
      <c r="D5596" s="33" t="n">
        <f aca="false">WEEKDAY(A5596,2)</f>
        <v>2</v>
      </c>
      <c r="E5596" s="33" t="n">
        <f aca="false">HOUR(A5596)+MINUTE(A5596)/60</f>
        <v>2</v>
      </c>
      <c r="F5596" s="33" t="n">
        <f aca="false">IF(OR(D5596&gt;5,E5596&lt;8,E5596&gt;=18,COUNTIF($K$2:$K$10,INT(A5596))&gt;0),1,0)</f>
        <v>1</v>
      </c>
      <c r="G5596" s="34" t="n">
        <f aca="false">B5596/1</f>
        <v>99.864</v>
      </c>
      <c r="H5596" s="34" t="n">
        <f aca="false">IF(F5596=1,G5596,"")</f>
        <v>99.864</v>
      </c>
    </row>
    <row r="5597" customFormat="false" ht="15" hidden="false" customHeight="false" outlineLevel="0" collapsed="false">
      <c r="A5597" s="31" t="n">
        <v>42969.125</v>
      </c>
      <c r="B5597" s="32" t="n">
        <v>99.961</v>
      </c>
      <c r="D5597" s="33" t="n">
        <f aca="false">WEEKDAY(A5597,2)</f>
        <v>2</v>
      </c>
      <c r="E5597" s="33" t="n">
        <f aca="false">HOUR(A5597)+MINUTE(A5597)/60</f>
        <v>3</v>
      </c>
      <c r="F5597" s="33" t="n">
        <f aca="false">IF(OR(D5597&gt;5,E5597&lt;8,E5597&gt;=18,COUNTIF($K$2:$K$10,INT(A5597))&gt;0),1,0)</f>
        <v>1</v>
      </c>
      <c r="G5597" s="34" t="n">
        <f aca="false">B5597/1</f>
        <v>99.961</v>
      </c>
      <c r="H5597" s="34" t="n">
        <f aca="false">IF(F5597=1,G5597,"")</f>
        <v>99.961</v>
      </c>
    </row>
    <row r="5598" customFormat="false" ht="15" hidden="false" customHeight="false" outlineLevel="0" collapsed="false">
      <c r="A5598" s="31" t="n">
        <v>42969.1666666667</v>
      </c>
      <c r="B5598" s="32" t="n">
        <v>100.317</v>
      </c>
      <c r="D5598" s="33" t="n">
        <f aca="false">WEEKDAY(A5598,2)</f>
        <v>2</v>
      </c>
      <c r="E5598" s="33" t="n">
        <f aca="false">HOUR(A5598)+MINUTE(A5598)/60</f>
        <v>4</v>
      </c>
      <c r="F5598" s="33" t="n">
        <f aca="false">IF(OR(D5598&gt;5,E5598&lt;8,E5598&gt;=18,COUNTIF($K$2:$K$10,INT(A5598))&gt;0),1,0)</f>
        <v>1</v>
      </c>
      <c r="G5598" s="34" t="n">
        <f aca="false">B5598/1</f>
        <v>100.317</v>
      </c>
      <c r="H5598" s="34" t="n">
        <f aca="false">IF(F5598=1,G5598,"")</f>
        <v>100.317</v>
      </c>
    </row>
    <row r="5599" customFormat="false" ht="15" hidden="false" customHeight="false" outlineLevel="0" collapsed="false">
      <c r="A5599" s="31" t="n">
        <v>42969.2083333333</v>
      </c>
      <c r="B5599" s="32" t="n">
        <v>100.126</v>
      </c>
      <c r="D5599" s="33" t="n">
        <f aca="false">WEEKDAY(A5599,2)</f>
        <v>2</v>
      </c>
      <c r="E5599" s="33" t="n">
        <f aca="false">HOUR(A5599)+MINUTE(A5599)/60</f>
        <v>5</v>
      </c>
      <c r="F5599" s="33" t="n">
        <f aca="false">IF(OR(D5599&gt;5,E5599&lt;8,E5599&gt;=18,COUNTIF($K$2:$K$10,INT(A5599))&gt;0),1,0)</f>
        <v>1</v>
      </c>
      <c r="G5599" s="34" t="n">
        <f aca="false">B5599/1</f>
        <v>100.126</v>
      </c>
      <c r="H5599" s="34" t="n">
        <f aca="false">IF(F5599=1,G5599,"")</f>
        <v>100.126</v>
      </c>
    </row>
    <row r="5600" customFormat="false" ht="15" hidden="false" customHeight="false" outlineLevel="0" collapsed="false">
      <c r="A5600" s="31" t="n">
        <v>42969.25</v>
      </c>
      <c r="B5600" s="32" t="n">
        <v>96.98</v>
      </c>
      <c r="D5600" s="33" t="n">
        <f aca="false">WEEKDAY(A5600,2)</f>
        <v>2</v>
      </c>
      <c r="E5600" s="33" t="n">
        <f aca="false">HOUR(A5600)+MINUTE(A5600)/60</f>
        <v>6</v>
      </c>
      <c r="F5600" s="33" t="n">
        <f aca="false">IF(OR(D5600&gt;5,E5600&lt;8,E5600&gt;=18,COUNTIF($K$2:$K$10,INT(A5600))&gt;0),1,0)</f>
        <v>1</v>
      </c>
      <c r="G5600" s="34" t="n">
        <f aca="false">B5600/1</f>
        <v>96.98</v>
      </c>
      <c r="H5600" s="34" t="n">
        <f aca="false">IF(F5600=1,G5600,"")</f>
        <v>96.98</v>
      </c>
    </row>
    <row r="5601" customFormat="false" ht="15" hidden="false" customHeight="false" outlineLevel="0" collapsed="false">
      <c r="A5601" s="31" t="n">
        <v>42969.2916666667</v>
      </c>
      <c r="B5601" s="32" t="n">
        <v>78.807</v>
      </c>
      <c r="D5601" s="33" t="n">
        <f aca="false">WEEKDAY(A5601,2)</f>
        <v>2</v>
      </c>
      <c r="E5601" s="33" t="n">
        <f aca="false">HOUR(A5601)+MINUTE(A5601)/60</f>
        <v>7</v>
      </c>
      <c r="F5601" s="33" t="n">
        <f aca="false">IF(OR(D5601&gt;5,E5601&lt;8,E5601&gt;=18,COUNTIF($K$2:$K$10,INT(A5601))&gt;0),1,0)</f>
        <v>1</v>
      </c>
      <c r="G5601" s="34" t="n">
        <f aca="false">B5601/1</f>
        <v>78.807</v>
      </c>
      <c r="H5601" s="34" t="n">
        <f aca="false">IF(F5601=1,G5601,"")</f>
        <v>78.807</v>
      </c>
    </row>
    <row r="5602" customFormat="false" ht="15" hidden="false" customHeight="false" outlineLevel="0" collapsed="false">
      <c r="A5602" s="31" t="n">
        <v>42969.3333333333</v>
      </c>
      <c r="B5602" s="32" t="n">
        <v>187.395</v>
      </c>
      <c r="D5602" s="33" t="n">
        <f aca="false">WEEKDAY(A5602,2)</f>
        <v>2</v>
      </c>
      <c r="E5602" s="33" t="n">
        <f aca="false">HOUR(A5602)+MINUTE(A5602)/60</f>
        <v>8</v>
      </c>
      <c r="F5602" s="33" t="n">
        <f aca="false">IF(OR(D5602&gt;5,E5602&lt;8,E5602&gt;=18,COUNTIF($K$2:$K$10,INT(A5602))&gt;0),1,0)</f>
        <v>0</v>
      </c>
      <c r="G5602" s="34" t="n">
        <f aca="false">B5602/1</f>
        <v>187.395</v>
      </c>
      <c r="H5602" s="34" t="str">
        <f aca="false">IF(F5602=1,G5602,"")</f>
        <v/>
      </c>
    </row>
    <row r="5603" customFormat="false" ht="15" hidden="false" customHeight="false" outlineLevel="0" collapsed="false">
      <c r="A5603" s="31" t="n">
        <v>42969.375</v>
      </c>
      <c r="B5603" s="32" t="n">
        <v>216.123</v>
      </c>
      <c r="D5603" s="33" t="n">
        <f aca="false">WEEKDAY(A5603,2)</f>
        <v>2</v>
      </c>
      <c r="E5603" s="33" t="n">
        <f aca="false">HOUR(A5603)+MINUTE(A5603)/60</f>
        <v>9</v>
      </c>
      <c r="F5603" s="33" t="n">
        <f aca="false">IF(OR(D5603&gt;5,E5603&lt;8,E5603&gt;=18,COUNTIF($K$2:$K$10,INT(A5603))&gt;0),1,0)</f>
        <v>0</v>
      </c>
      <c r="G5603" s="34" t="n">
        <f aca="false">B5603/1</f>
        <v>216.123</v>
      </c>
      <c r="H5603" s="34" t="str">
        <f aca="false">IF(F5603=1,G5603,"")</f>
        <v/>
      </c>
    </row>
    <row r="5604" customFormat="false" ht="15" hidden="false" customHeight="false" outlineLevel="0" collapsed="false">
      <c r="A5604" s="31" t="n">
        <v>42969.4166666667</v>
      </c>
      <c r="B5604" s="32" t="n">
        <v>226.299</v>
      </c>
      <c r="D5604" s="33" t="n">
        <f aca="false">WEEKDAY(A5604,2)</f>
        <v>2</v>
      </c>
      <c r="E5604" s="33" t="n">
        <f aca="false">HOUR(A5604)+MINUTE(A5604)/60</f>
        <v>10</v>
      </c>
      <c r="F5604" s="33" t="n">
        <f aca="false">IF(OR(D5604&gt;5,E5604&lt;8,E5604&gt;=18,COUNTIF($K$2:$K$10,INT(A5604))&gt;0),1,0)</f>
        <v>0</v>
      </c>
      <c r="G5604" s="34" t="n">
        <f aca="false">B5604/1</f>
        <v>226.299</v>
      </c>
      <c r="H5604" s="34" t="str">
        <f aca="false">IF(F5604=1,G5604,"")</f>
        <v/>
      </c>
    </row>
    <row r="5605" customFormat="false" ht="15" hidden="false" customHeight="false" outlineLevel="0" collapsed="false">
      <c r="A5605" s="31" t="n">
        <v>42969.4583333333</v>
      </c>
      <c r="B5605" s="32" t="n">
        <v>216.213</v>
      </c>
      <c r="D5605" s="33" t="n">
        <f aca="false">WEEKDAY(A5605,2)</f>
        <v>2</v>
      </c>
      <c r="E5605" s="33" t="n">
        <f aca="false">HOUR(A5605)+MINUTE(A5605)/60</f>
        <v>11</v>
      </c>
      <c r="F5605" s="33" t="n">
        <f aca="false">IF(OR(D5605&gt;5,E5605&lt;8,E5605&gt;=18,COUNTIF($K$2:$K$10,INT(A5605))&gt;0),1,0)</f>
        <v>0</v>
      </c>
      <c r="G5605" s="34" t="n">
        <f aca="false">B5605/1</f>
        <v>216.213</v>
      </c>
      <c r="H5605" s="34" t="str">
        <f aca="false">IF(F5605=1,G5605,"")</f>
        <v/>
      </c>
    </row>
    <row r="5606" customFormat="false" ht="15" hidden="false" customHeight="false" outlineLevel="0" collapsed="false">
      <c r="A5606" s="31" t="n">
        <v>42969.5</v>
      </c>
      <c r="B5606" s="32" t="n">
        <v>209.333</v>
      </c>
      <c r="D5606" s="33" t="n">
        <f aca="false">WEEKDAY(A5606,2)</f>
        <v>2</v>
      </c>
      <c r="E5606" s="33" t="n">
        <f aca="false">HOUR(A5606)+MINUTE(A5606)/60</f>
        <v>12</v>
      </c>
      <c r="F5606" s="33" t="n">
        <f aca="false">IF(OR(D5606&gt;5,E5606&lt;8,E5606&gt;=18,COUNTIF($K$2:$K$10,INT(A5606))&gt;0),1,0)</f>
        <v>0</v>
      </c>
      <c r="G5606" s="34" t="n">
        <f aca="false">B5606/1</f>
        <v>209.333</v>
      </c>
      <c r="H5606" s="34" t="str">
        <f aca="false">IF(F5606=1,G5606,"")</f>
        <v/>
      </c>
    </row>
    <row r="5607" customFormat="false" ht="15" hidden="false" customHeight="false" outlineLevel="0" collapsed="false">
      <c r="A5607" s="31" t="n">
        <v>42969.5416666667</v>
      </c>
      <c r="B5607" s="32" t="n">
        <v>205.003</v>
      </c>
      <c r="D5607" s="33" t="n">
        <f aca="false">WEEKDAY(A5607,2)</f>
        <v>2</v>
      </c>
      <c r="E5607" s="33" t="n">
        <f aca="false">HOUR(A5607)+MINUTE(A5607)/60</f>
        <v>13</v>
      </c>
      <c r="F5607" s="33" t="n">
        <f aca="false">IF(OR(D5607&gt;5,E5607&lt;8,E5607&gt;=18,COUNTIF($K$2:$K$10,INT(A5607))&gt;0),1,0)</f>
        <v>0</v>
      </c>
      <c r="G5607" s="34" t="n">
        <f aca="false">B5607/1</f>
        <v>205.003</v>
      </c>
      <c r="H5607" s="34" t="str">
        <f aca="false">IF(F5607=1,G5607,"")</f>
        <v/>
      </c>
    </row>
    <row r="5608" customFormat="false" ht="15" hidden="false" customHeight="false" outlineLevel="0" collapsed="false">
      <c r="A5608" s="31" t="n">
        <v>42969.5833333333</v>
      </c>
      <c r="B5608" s="32" t="n">
        <v>204.543</v>
      </c>
      <c r="D5608" s="33" t="n">
        <f aca="false">WEEKDAY(A5608,2)</f>
        <v>2</v>
      </c>
      <c r="E5608" s="33" t="n">
        <f aca="false">HOUR(A5608)+MINUTE(A5608)/60</f>
        <v>14</v>
      </c>
      <c r="F5608" s="33" t="n">
        <f aca="false">IF(OR(D5608&gt;5,E5608&lt;8,E5608&gt;=18,COUNTIF($K$2:$K$10,INT(A5608))&gt;0),1,0)</f>
        <v>0</v>
      </c>
      <c r="G5608" s="34" t="n">
        <f aca="false">B5608/1</f>
        <v>204.543</v>
      </c>
      <c r="H5608" s="34" t="str">
        <f aca="false">IF(F5608=1,G5608,"")</f>
        <v/>
      </c>
    </row>
    <row r="5609" customFormat="false" ht="15" hidden="false" customHeight="false" outlineLevel="0" collapsed="false">
      <c r="A5609" s="31" t="n">
        <v>42969.625</v>
      </c>
      <c r="B5609" s="32" t="n">
        <v>205.627</v>
      </c>
      <c r="D5609" s="33" t="n">
        <f aca="false">WEEKDAY(A5609,2)</f>
        <v>2</v>
      </c>
      <c r="E5609" s="33" t="n">
        <f aca="false">HOUR(A5609)+MINUTE(A5609)/60</f>
        <v>15</v>
      </c>
      <c r="F5609" s="33" t="n">
        <f aca="false">IF(OR(D5609&gt;5,E5609&lt;8,E5609&gt;=18,COUNTIF($K$2:$K$10,INT(A5609))&gt;0),1,0)</f>
        <v>0</v>
      </c>
      <c r="G5609" s="34" t="n">
        <f aca="false">B5609/1</f>
        <v>205.627</v>
      </c>
      <c r="H5609" s="34" t="str">
        <f aca="false">IF(F5609=1,G5609,"")</f>
        <v/>
      </c>
    </row>
    <row r="5610" customFormat="false" ht="15" hidden="false" customHeight="false" outlineLevel="0" collapsed="false">
      <c r="A5610" s="31" t="n">
        <v>42969.6666666667</v>
      </c>
      <c r="B5610" s="32" t="n">
        <v>202.747</v>
      </c>
      <c r="D5610" s="33" t="n">
        <f aca="false">WEEKDAY(A5610,2)</f>
        <v>2</v>
      </c>
      <c r="E5610" s="33" t="n">
        <f aca="false">HOUR(A5610)+MINUTE(A5610)/60</f>
        <v>16</v>
      </c>
      <c r="F5610" s="33" t="n">
        <f aca="false">IF(OR(D5610&gt;5,E5610&lt;8,E5610&gt;=18,COUNTIF($K$2:$K$10,INT(A5610))&gt;0),1,0)</f>
        <v>0</v>
      </c>
      <c r="G5610" s="34" t="n">
        <f aca="false">B5610/1</f>
        <v>202.747</v>
      </c>
      <c r="H5610" s="34" t="str">
        <f aca="false">IF(F5610=1,G5610,"")</f>
        <v/>
      </c>
    </row>
    <row r="5611" customFormat="false" ht="15" hidden="false" customHeight="false" outlineLevel="0" collapsed="false">
      <c r="A5611" s="31" t="n">
        <v>42969.7083333333</v>
      </c>
      <c r="B5611" s="32" t="n">
        <v>193.5</v>
      </c>
      <c r="D5611" s="33" t="n">
        <f aca="false">WEEKDAY(A5611,2)</f>
        <v>2</v>
      </c>
      <c r="E5611" s="33" t="n">
        <f aca="false">HOUR(A5611)+MINUTE(A5611)/60</f>
        <v>17</v>
      </c>
      <c r="F5611" s="33" t="n">
        <f aca="false">IF(OR(D5611&gt;5,E5611&lt;8,E5611&gt;=18,COUNTIF($K$2:$K$10,INT(A5611))&gt;0),1,0)</f>
        <v>0</v>
      </c>
      <c r="G5611" s="34" t="n">
        <f aca="false">B5611/1</f>
        <v>193.5</v>
      </c>
      <c r="H5611" s="34" t="str">
        <f aca="false">IF(F5611=1,G5611,"")</f>
        <v/>
      </c>
    </row>
    <row r="5612" customFormat="false" ht="15" hidden="false" customHeight="false" outlineLevel="0" collapsed="false">
      <c r="A5612" s="31" t="n">
        <v>42969.75</v>
      </c>
      <c r="B5612" s="32" t="n">
        <v>177.018</v>
      </c>
      <c r="D5612" s="33" t="n">
        <f aca="false">WEEKDAY(A5612,2)</f>
        <v>2</v>
      </c>
      <c r="E5612" s="33" t="n">
        <f aca="false">HOUR(A5612)+MINUTE(A5612)/60</f>
        <v>18</v>
      </c>
      <c r="F5612" s="33" t="n">
        <f aca="false">IF(OR(D5612&gt;5,E5612&lt;8,E5612&gt;=18,COUNTIF($K$2:$K$10,INT(A5612))&gt;0),1,0)</f>
        <v>1</v>
      </c>
      <c r="G5612" s="34" t="n">
        <f aca="false">B5612/1</f>
        <v>177.018</v>
      </c>
      <c r="H5612" s="34" t="n">
        <f aca="false">IF(F5612=1,G5612,"")</f>
        <v>177.018</v>
      </c>
    </row>
    <row r="5613" customFormat="false" ht="15" hidden="false" customHeight="false" outlineLevel="0" collapsed="false">
      <c r="A5613" s="31" t="n">
        <v>42969.7916666667</v>
      </c>
      <c r="B5613" s="32" t="n">
        <v>171.72</v>
      </c>
      <c r="D5613" s="33" t="n">
        <f aca="false">WEEKDAY(A5613,2)</f>
        <v>2</v>
      </c>
      <c r="E5613" s="33" t="n">
        <f aca="false">HOUR(A5613)+MINUTE(A5613)/60</f>
        <v>19</v>
      </c>
      <c r="F5613" s="33" t="n">
        <f aca="false">IF(OR(D5613&gt;5,E5613&lt;8,E5613&gt;=18,COUNTIF($K$2:$K$10,INT(A5613))&gt;0),1,0)</f>
        <v>1</v>
      </c>
      <c r="G5613" s="34" t="n">
        <f aca="false">B5613/1</f>
        <v>171.72</v>
      </c>
      <c r="H5613" s="34" t="n">
        <f aca="false">IF(F5613=1,G5613,"")</f>
        <v>171.72</v>
      </c>
    </row>
    <row r="5614" customFormat="false" ht="15" hidden="false" customHeight="false" outlineLevel="0" collapsed="false">
      <c r="A5614" s="31" t="n">
        <v>42969.8333333333</v>
      </c>
      <c r="B5614" s="32" t="n">
        <v>168.235</v>
      </c>
      <c r="D5614" s="33" t="n">
        <f aca="false">WEEKDAY(A5614,2)</f>
        <v>2</v>
      </c>
      <c r="E5614" s="33" t="n">
        <f aca="false">HOUR(A5614)+MINUTE(A5614)/60</f>
        <v>20</v>
      </c>
      <c r="F5614" s="33" t="n">
        <f aca="false">IF(OR(D5614&gt;5,E5614&lt;8,E5614&gt;=18,COUNTIF($K$2:$K$10,INT(A5614))&gt;0),1,0)</f>
        <v>1</v>
      </c>
      <c r="G5614" s="34" t="n">
        <f aca="false">B5614/1</f>
        <v>168.235</v>
      </c>
      <c r="H5614" s="34" t="n">
        <f aca="false">IF(F5614=1,G5614,"")</f>
        <v>168.235</v>
      </c>
    </row>
    <row r="5615" customFormat="false" ht="15" hidden="false" customHeight="false" outlineLevel="0" collapsed="false">
      <c r="A5615" s="31" t="n">
        <v>42969.875</v>
      </c>
      <c r="B5615" s="32" t="n">
        <v>168.409</v>
      </c>
      <c r="D5615" s="33" t="n">
        <f aca="false">WEEKDAY(A5615,2)</f>
        <v>2</v>
      </c>
      <c r="E5615" s="33" t="n">
        <f aca="false">HOUR(A5615)+MINUTE(A5615)/60</f>
        <v>21</v>
      </c>
      <c r="F5615" s="33" t="n">
        <f aca="false">IF(OR(D5615&gt;5,E5615&lt;8,E5615&gt;=18,COUNTIF($K$2:$K$10,INT(A5615))&gt;0),1,0)</f>
        <v>1</v>
      </c>
      <c r="G5615" s="34" t="n">
        <f aca="false">B5615/1</f>
        <v>168.409</v>
      </c>
      <c r="H5615" s="34" t="n">
        <f aca="false">IF(F5615=1,G5615,"")</f>
        <v>168.409</v>
      </c>
    </row>
    <row r="5616" customFormat="false" ht="15" hidden="false" customHeight="false" outlineLevel="0" collapsed="false">
      <c r="A5616" s="31" t="n">
        <v>42969.9166666667</v>
      </c>
      <c r="B5616" s="32" t="n">
        <v>113.455</v>
      </c>
      <c r="D5616" s="33" t="n">
        <f aca="false">WEEKDAY(A5616,2)</f>
        <v>2</v>
      </c>
      <c r="E5616" s="33" t="n">
        <f aca="false">HOUR(A5616)+MINUTE(A5616)/60</f>
        <v>22</v>
      </c>
      <c r="F5616" s="33" t="n">
        <f aca="false">IF(OR(D5616&gt;5,E5616&lt;8,E5616&gt;=18,COUNTIF($K$2:$K$10,INT(A5616))&gt;0),1,0)</f>
        <v>1</v>
      </c>
      <c r="G5616" s="34" t="n">
        <f aca="false">B5616/1</f>
        <v>113.455</v>
      </c>
      <c r="H5616" s="34" t="n">
        <f aca="false">IF(F5616=1,G5616,"")</f>
        <v>113.455</v>
      </c>
    </row>
    <row r="5617" customFormat="false" ht="15" hidden="false" customHeight="false" outlineLevel="0" collapsed="false">
      <c r="A5617" s="31" t="n">
        <v>42969.9583333333</v>
      </c>
      <c r="B5617" s="32" t="n">
        <v>52.149</v>
      </c>
      <c r="D5617" s="33" t="n">
        <f aca="false">WEEKDAY(A5617,2)</f>
        <v>2</v>
      </c>
      <c r="E5617" s="33" t="n">
        <f aca="false">HOUR(A5617)+MINUTE(A5617)/60</f>
        <v>23</v>
      </c>
      <c r="F5617" s="33" t="n">
        <f aca="false">IF(OR(D5617&gt;5,E5617&lt;8,E5617&gt;=18,COUNTIF($K$2:$K$10,INT(A5617))&gt;0),1,0)</f>
        <v>1</v>
      </c>
      <c r="G5617" s="34" t="n">
        <f aca="false">B5617/1</f>
        <v>52.149</v>
      </c>
      <c r="H5617" s="34" t="n">
        <f aca="false">IF(F5617=1,G5617,"")</f>
        <v>52.149</v>
      </c>
    </row>
    <row r="5618" customFormat="false" ht="15" hidden="false" customHeight="false" outlineLevel="0" collapsed="false">
      <c r="A5618" s="31" t="n">
        <v>42970</v>
      </c>
      <c r="B5618" s="32" t="n">
        <v>50.657</v>
      </c>
      <c r="D5618" s="33" t="n">
        <f aca="false">WEEKDAY(A5618,2)</f>
        <v>3</v>
      </c>
      <c r="E5618" s="33" t="n">
        <f aca="false">HOUR(A5618)+MINUTE(A5618)/60</f>
        <v>0</v>
      </c>
      <c r="F5618" s="33" t="n">
        <f aca="false">IF(OR(D5618&gt;5,E5618&lt;8,E5618&gt;=18,COUNTIF($K$2:$K$10,INT(A5618))&gt;0),1,0)</f>
        <v>1</v>
      </c>
      <c r="G5618" s="34" t="n">
        <f aca="false">B5618/1</f>
        <v>50.657</v>
      </c>
      <c r="H5618" s="34" t="n">
        <f aca="false">IF(F5618=1,G5618,"")</f>
        <v>50.657</v>
      </c>
    </row>
    <row r="5619" customFormat="false" ht="15" hidden="false" customHeight="false" outlineLevel="0" collapsed="false">
      <c r="A5619" s="31" t="n">
        <v>42970.0416666667</v>
      </c>
      <c r="B5619" s="32" t="n">
        <v>48.992</v>
      </c>
      <c r="D5619" s="33" t="n">
        <f aca="false">WEEKDAY(A5619,2)</f>
        <v>3</v>
      </c>
      <c r="E5619" s="33" t="n">
        <f aca="false">HOUR(A5619)+MINUTE(A5619)/60</f>
        <v>1</v>
      </c>
      <c r="F5619" s="33" t="n">
        <f aca="false">IF(OR(D5619&gt;5,E5619&lt;8,E5619&gt;=18,COUNTIF($K$2:$K$10,INT(A5619))&gt;0),1,0)</f>
        <v>1</v>
      </c>
      <c r="G5619" s="34" t="n">
        <f aca="false">B5619/1</f>
        <v>48.992</v>
      </c>
      <c r="H5619" s="34" t="n">
        <f aca="false">IF(F5619=1,G5619,"")</f>
        <v>48.992</v>
      </c>
    </row>
    <row r="5620" customFormat="false" ht="15" hidden="false" customHeight="false" outlineLevel="0" collapsed="false">
      <c r="A5620" s="31" t="n">
        <v>42970.0833333333</v>
      </c>
      <c r="B5620" s="32" t="n">
        <v>49.255</v>
      </c>
      <c r="D5620" s="33" t="n">
        <f aca="false">WEEKDAY(A5620,2)</f>
        <v>3</v>
      </c>
      <c r="E5620" s="33" t="n">
        <f aca="false">HOUR(A5620)+MINUTE(A5620)/60</f>
        <v>2</v>
      </c>
      <c r="F5620" s="33" t="n">
        <f aca="false">IF(OR(D5620&gt;5,E5620&lt;8,E5620&gt;=18,COUNTIF($K$2:$K$10,INT(A5620))&gt;0),1,0)</f>
        <v>1</v>
      </c>
      <c r="G5620" s="34" t="n">
        <f aca="false">B5620/1</f>
        <v>49.255</v>
      </c>
      <c r="H5620" s="34" t="n">
        <f aca="false">IF(F5620=1,G5620,"")</f>
        <v>49.255</v>
      </c>
    </row>
    <row r="5621" customFormat="false" ht="15" hidden="false" customHeight="false" outlineLevel="0" collapsed="false">
      <c r="A5621" s="31" t="n">
        <v>42970.125</v>
      </c>
      <c r="B5621" s="32" t="n">
        <v>51.39</v>
      </c>
      <c r="D5621" s="33" t="n">
        <f aca="false">WEEKDAY(A5621,2)</f>
        <v>3</v>
      </c>
      <c r="E5621" s="33" t="n">
        <f aca="false">HOUR(A5621)+MINUTE(A5621)/60</f>
        <v>3</v>
      </c>
      <c r="F5621" s="33" t="n">
        <f aca="false">IF(OR(D5621&gt;5,E5621&lt;8,E5621&gt;=18,COUNTIF($K$2:$K$10,INT(A5621))&gt;0),1,0)</f>
        <v>1</v>
      </c>
      <c r="G5621" s="34" t="n">
        <f aca="false">B5621/1</f>
        <v>51.39</v>
      </c>
      <c r="H5621" s="34" t="n">
        <f aca="false">IF(F5621=1,G5621,"")</f>
        <v>51.39</v>
      </c>
    </row>
    <row r="5622" customFormat="false" ht="15" hidden="false" customHeight="false" outlineLevel="0" collapsed="false">
      <c r="A5622" s="31" t="n">
        <v>42970.1666666667</v>
      </c>
      <c r="B5622" s="32" t="n">
        <v>51.093</v>
      </c>
      <c r="D5622" s="33" t="n">
        <f aca="false">WEEKDAY(A5622,2)</f>
        <v>3</v>
      </c>
      <c r="E5622" s="33" t="n">
        <f aca="false">HOUR(A5622)+MINUTE(A5622)/60</f>
        <v>4</v>
      </c>
      <c r="F5622" s="33" t="n">
        <f aca="false">IF(OR(D5622&gt;5,E5622&lt;8,E5622&gt;=18,COUNTIF($K$2:$K$10,INT(A5622))&gt;0),1,0)</f>
        <v>1</v>
      </c>
      <c r="G5622" s="34" t="n">
        <f aca="false">B5622/1</f>
        <v>51.093</v>
      </c>
      <c r="H5622" s="34" t="n">
        <f aca="false">IF(F5622=1,G5622,"")</f>
        <v>51.093</v>
      </c>
    </row>
    <row r="5623" customFormat="false" ht="15" hidden="false" customHeight="false" outlineLevel="0" collapsed="false">
      <c r="A5623" s="31" t="n">
        <v>42970.2083333333</v>
      </c>
      <c r="B5623" s="32" t="n">
        <v>50.774</v>
      </c>
      <c r="D5623" s="33" t="n">
        <f aca="false">WEEKDAY(A5623,2)</f>
        <v>3</v>
      </c>
      <c r="E5623" s="33" t="n">
        <f aca="false">HOUR(A5623)+MINUTE(A5623)/60</f>
        <v>5</v>
      </c>
      <c r="F5623" s="33" t="n">
        <f aca="false">IF(OR(D5623&gt;5,E5623&lt;8,E5623&gt;=18,COUNTIF($K$2:$K$10,INT(A5623))&gt;0),1,0)</f>
        <v>1</v>
      </c>
      <c r="G5623" s="34" t="n">
        <f aca="false">B5623/1</f>
        <v>50.774</v>
      </c>
      <c r="H5623" s="34" t="n">
        <f aca="false">IF(F5623=1,G5623,"")</f>
        <v>50.774</v>
      </c>
    </row>
    <row r="5624" customFormat="false" ht="15" hidden="false" customHeight="false" outlineLevel="0" collapsed="false">
      <c r="A5624" s="31" t="n">
        <v>42970.25</v>
      </c>
      <c r="B5624" s="32" t="n">
        <v>53.511</v>
      </c>
      <c r="D5624" s="33" t="n">
        <f aca="false">WEEKDAY(A5624,2)</f>
        <v>3</v>
      </c>
      <c r="E5624" s="33" t="n">
        <f aca="false">HOUR(A5624)+MINUTE(A5624)/60</f>
        <v>6</v>
      </c>
      <c r="F5624" s="33" t="n">
        <f aca="false">IF(OR(D5624&gt;5,E5624&lt;8,E5624&gt;=18,COUNTIF($K$2:$K$10,INT(A5624))&gt;0),1,0)</f>
        <v>1</v>
      </c>
      <c r="G5624" s="34" t="n">
        <f aca="false">B5624/1</f>
        <v>53.511</v>
      </c>
      <c r="H5624" s="34" t="n">
        <f aca="false">IF(F5624=1,G5624,"")</f>
        <v>53.511</v>
      </c>
    </row>
    <row r="5625" customFormat="false" ht="15" hidden="false" customHeight="false" outlineLevel="0" collapsed="false">
      <c r="A5625" s="31" t="n">
        <v>42970.2916666667</v>
      </c>
      <c r="B5625" s="32" t="n">
        <v>55.731</v>
      </c>
      <c r="D5625" s="33" t="n">
        <f aca="false">WEEKDAY(A5625,2)</f>
        <v>3</v>
      </c>
      <c r="E5625" s="33" t="n">
        <f aca="false">HOUR(A5625)+MINUTE(A5625)/60</f>
        <v>7</v>
      </c>
      <c r="F5625" s="33" t="n">
        <f aca="false">IF(OR(D5625&gt;5,E5625&lt;8,E5625&gt;=18,COUNTIF($K$2:$K$10,INT(A5625))&gt;0),1,0)</f>
        <v>1</v>
      </c>
      <c r="G5625" s="34" t="n">
        <f aca="false">B5625/1</f>
        <v>55.731</v>
      </c>
      <c r="H5625" s="34" t="n">
        <f aca="false">IF(F5625=1,G5625,"")</f>
        <v>55.731</v>
      </c>
    </row>
    <row r="5626" customFormat="false" ht="15" hidden="false" customHeight="false" outlineLevel="0" collapsed="false">
      <c r="A5626" s="31" t="n">
        <v>42970.3333333333</v>
      </c>
      <c r="B5626" s="32" t="n">
        <v>157.983</v>
      </c>
      <c r="D5626" s="33" t="n">
        <f aca="false">WEEKDAY(A5626,2)</f>
        <v>3</v>
      </c>
      <c r="E5626" s="33" t="n">
        <f aca="false">HOUR(A5626)+MINUTE(A5626)/60</f>
        <v>8</v>
      </c>
      <c r="F5626" s="33" t="n">
        <f aca="false">IF(OR(D5626&gt;5,E5626&lt;8,E5626&gt;=18,COUNTIF($K$2:$K$10,INT(A5626))&gt;0),1,0)</f>
        <v>0</v>
      </c>
      <c r="G5626" s="34" t="n">
        <f aca="false">B5626/1</f>
        <v>157.983</v>
      </c>
      <c r="H5626" s="34" t="str">
        <f aca="false">IF(F5626=1,G5626,"")</f>
        <v/>
      </c>
    </row>
    <row r="5627" customFormat="false" ht="15" hidden="false" customHeight="false" outlineLevel="0" collapsed="false">
      <c r="A5627" s="31" t="n">
        <v>42970.375</v>
      </c>
      <c r="B5627" s="32" t="n">
        <v>194.44</v>
      </c>
      <c r="D5627" s="33" t="n">
        <f aca="false">WEEKDAY(A5627,2)</f>
        <v>3</v>
      </c>
      <c r="E5627" s="33" t="n">
        <f aca="false">HOUR(A5627)+MINUTE(A5627)/60</f>
        <v>9</v>
      </c>
      <c r="F5627" s="33" t="n">
        <f aca="false">IF(OR(D5627&gt;5,E5627&lt;8,E5627&gt;=18,COUNTIF($K$2:$K$10,INT(A5627))&gt;0),1,0)</f>
        <v>0</v>
      </c>
      <c r="G5627" s="34" t="n">
        <f aca="false">B5627/1</f>
        <v>194.44</v>
      </c>
      <c r="H5627" s="34" t="str">
        <f aca="false">IF(F5627=1,G5627,"")</f>
        <v/>
      </c>
    </row>
    <row r="5628" customFormat="false" ht="15" hidden="false" customHeight="false" outlineLevel="0" collapsed="false">
      <c r="A5628" s="31" t="n">
        <v>42970.4166666667</v>
      </c>
      <c r="B5628" s="32" t="n">
        <v>206.349</v>
      </c>
      <c r="D5628" s="33" t="n">
        <f aca="false">WEEKDAY(A5628,2)</f>
        <v>3</v>
      </c>
      <c r="E5628" s="33" t="n">
        <f aca="false">HOUR(A5628)+MINUTE(A5628)/60</f>
        <v>10</v>
      </c>
      <c r="F5628" s="33" t="n">
        <f aca="false">IF(OR(D5628&gt;5,E5628&lt;8,E5628&gt;=18,COUNTIF($K$2:$K$10,INT(A5628))&gt;0),1,0)</f>
        <v>0</v>
      </c>
      <c r="G5628" s="34" t="n">
        <f aca="false">B5628/1</f>
        <v>206.349</v>
      </c>
      <c r="H5628" s="34" t="str">
        <f aca="false">IF(F5628=1,G5628,"")</f>
        <v/>
      </c>
    </row>
    <row r="5629" customFormat="false" ht="15" hidden="false" customHeight="false" outlineLevel="0" collapsed="false">
      <c r="A5629" s="31" t="n">
        <v>42970.4583333333</v>
      </c>
      <c r="B5629" s="32" t="n">
        <v>210.241</v>
      </c>
      <c r="D5629" s="33" t="n">
        <f aca="false">WEEKDAY(A5629,2)</f>
        <v>3</v>
      </c>
      <c r="E5629" s="33" t="n">
        <f aca="false">HOUR(A5629)+MINUTE(A5629)/60</f>
        <v>11</v>
      </c>
      <c r="F5629" s="33" t="n">
        <f aca="false">IF(OR(D5629&gt;5,E5629&lt;8,E5629&gt;=18,COUNTIF($K$2:$K$10,INT(A5629))&gt;0),1,0)</f>
        <v>0</v>
      </c>
      <c r="G5629" s="34" t="n">
        <f aca="false">B5629/1</f>
        <v>210.241</v>
      </c>
      <c r="H5629" s="34" t="str">
        <f aca="false">IF(F5629=1,G5629,"")</f>
        <v/>
      </c>
    </row>
    <row r="5630" customFormat="false" ht="15" hidden="false" customHeight="false" outlineLevel="0" collapsed="false">
      <c r="A5630" s="31" t="n">
        <v>42970.5</v>
      </c>
      <c r="B5630" s="32" t="n">
        <v>208.437</v>
      </c>
      <c r="D5630" s="33" t="n">
        <f aca="false">WEEKDAY(A5630,2)</f>
        <v>3</v>
      </c>
      <c r="E5630" s="33" t="n">
        <f aca="false">HOUR(A5630)+MINUTE(A5630)/60</f>
        <v>12</v>
      </c>
      <c r="F5630" s="33" t="n">
        <f aca="false">IF(OR(D5630&gt;5,E5630&lt;8,E5630&gt;=18,COUNTIF($K$2:$K$10,INT(A5630))&gt;0),1,0)</f>
        <v>0</v>
      </c>
      <c r="G5630" s="34" t="n">
        <f aca="false">B5630/1</f>
        <v>208.437</v>
      </c>
      <c r="H5630" s="34" t="str">
        <f aca="false">IF(F5630=1,G5630,"")</f>
        <v/>
      </c>
    </row>
    <row r="5631" customFormat="false" ht="15" hidden="false" customHeight="false" outlineLevel="0" collapsed="false">
      <c r="A5631" s="31" t="n">
        <v>42970.5416666667</v>
      </c>
      <c r="B5631" s="32" t="n">
        <v>207.01</v>
      </c>
      <c r="D5631" s="33" t="n">
        <f aca="false">WEEKDAY(A5631,2)</f>
        <v>3</v>
      </c>
      <c r="E5631" s="33" t="n">
        <f aca="false">HOUR(A5631)+MINUTE(A5631)/60</f>
        <v>13</v>
      </c>
      <c r="F5631" s="33" t="n">
        <f aca="false">IF(OR(D5631&gt;5,E5631&lt;8,E5631&gt;=18,COUNTIF($K$2:$K$10,INT(A5631))&gt;0),1,0)</f>
        <v>0</v>
      </c>
      <c r="G5631" s="34" t="n">
        <f aca="false">B5631/1</f>
        <v>207.01</v>
      </c>
      <c r="H5631" s="34" t="str">
        <f aca="false">IF(F5631=1,G5631,"")</f>
        <v/>
      </c>
    </row>
    <row r="5632" customFormat="false" ht="15" hidden="false" customHeight="false" outlineLevel="0" collapsed="false">
      <c r="A5632" s="31" t="n">
        <v>42970.5833333333</v>
      </c>
      <c r="B5632" s="32" t="n">
        <v>207.387</v>
      </c>
      <c r="D5632" s="33" t="n">
        <f aca="false">WEEKDAY(A5632,2)</f>
        <v>3</v>
      </c>
      <c r="E5632" s="33" t="n">
        <f aca="false">HOUR(A5632)+MINUTE(A5632)/60</f>
        <v>14</v>
      </c>
      <c r="F5632" s="33" t="n">
        <f aca="false">IF(OR(D5632&gt;5,E5632&lt;8,E5632&gt;=18,COUNTIF($K$2:$K$10,INT(A5632))&gt;0),1,0)</f>
        <v>0</v>
      </c>
      <c r="G5632" s="34" t="n">
        <f aca="false">B5632/1</f>
        <v>207.387</v>
      </c>
      <c r="H5632" s="34" t="str">
        <f aca="false">IF(F5632=1,G5632,"")</f>
        <v/>
      </c>
    </row>
    <row r="5633" customFormat="false" ht="15" hidden="false" customHeight="false" outlineLevel="0" collapsed="false">
      <c r="A5633" s="31" t="n">
        <v>42970.625</v>
      </c>
      <c r="B5633" s="32" t="n">
        <v>209.924</v>
      </c>
      <c r="D5633" s="33" t="n">
        <f aca="false">WEEKDAY(A5633,2)</f>
        <v>3</v>
      </c>
      <c r="E5633" s="33" t="n">
        <f aca="false">HOUR(A5633)+MINUTE(A5633)/60</f>
        <v>15</v>
      </c>
      <c r="F5633" s="33" t="n">
        <f aca="false">IF(OR(D5633&gt;5,E5633&lt;8,E5633&gt;=18,COUNTIF($K$2:$K$10,INT(A5633))&gt;0),1,0)</f>
        <v>0</v>
      </c>
      <c r="G5633" s="34" t="n">
        <f aca="false">B5633/1</f>
        <v>209.924</v>
      </c>
      <c r="H5633" s="34" t="str">
        <f aca="false">IF(F5633=1,G5633,"")</f>
        <v/>
      </c>
    </row>
    <row r="5634" customFormat="false" ht="15" hidden="false" customHeight="false" outlineLevel="0" collapsed="false">
      <c r="A5634" s="31" t="n">
        <v>42970.6666666667</v>
      </c>
      <c r="B5634" s="32" t="n">
        <v>204.088</v>
      </c>
      <c r="D5634" s="33" t="n">
        <f aca="false">WEEKDAY(A5634,2)</f>
        <v>3</v>
      </c>
      <c r="E5634" s="33" t="n">
        <f aca="false">HOUR(A5634)+MINUTE(A5634)/60</f>
        <v>16</v>
      </c>
      <c r="F5634" s="33" t="n">
        <f aca="false">IF(OR(D5634&gt;5,E5634&lt;8,E5634&gt;=18,COUNTIF($K$2:$K$10,INT(A5634))&gt;0),1,0)</f>
        <v>0</v>
      </c>
      <c r="G5634" s="34" t="n">
        <f aca="false">B5634/1</f>
        <v>204.088</v>
      </c>
      <c r="H5634" s="34" t="str">
        <f aca="false">IF(F5634=1,G5634,"")</f>
        <v/>
      </c>
    </row>
    <row r="5635" customFormat="false" ht="15" hidden="false" customHeight="false" outlineLevel="0" collapsed="false">
      <c r="A5635" s="31" t="n">
        <v>42970.7083333333</v>
      </c>
      <c r="B5635" s="32" t="n">
        <v>190.211</v>
      </c>
      <c r="D5635" s="33" t="n">
        <f aca="false">WEEKDAY(A5635,2)</f>
        <v>3</v>
      </c>
      <c r="E5635" s="33" t="n">
        <f aca="false">HOUR(A5635)+MINUTE(A5635)/60</f>
        <v>17</v>
      </c>
      <c r="F5635" s="33" t="n">
        <f aca="false">IF(OR(D5635&gt;5,E5635&lt;8,E5635&gt;=18,COUNTIF($K$2:$K$10,INT(A5635))&gt;0),1,0)</f>
        <v>0</v>
      </c>
      <c r="G5635" s="34" t="n">
        <f aca="false">B5635/1</f>
        <v>190.211</v>
      </c>
      <c r="H5635" s="34" t="str">
        <f aca="false">IF(F5635=1,G5635,"")</f>
        <v/>
      </c>
    </row>
    <row r="5636" customFormat="false" ht="15" hidden="false" customHeight="false" outlineLevel="0" collapsed="false">
      <c r="A5636" s="31" t="n">
        <v>42970.75</v>
      </c>
      <c r="B5636" s="32" t="n">
        <v>175.925</v>
      </c>
      <c r="D5636" s="33" t="n">
        <f aca="false">WEEKDAY(A5636,2)</f>
        <v>3</v>
      </c>
      <c r="E5636" s="33" t="n">
        <f aca="false">HOUR(A5636)+MINUTE(A5636)/60</f>
        <v>18</v>
      </c>
      <c r="F5636" s="33" t="n">
        <f aca="false">IF(OR(D5636&gt;5,E5636&lt;8,E5636&gt;=18,COUNTIF($K$2:$K$10,INT(A5636))&gt;0),1,0)</f>
        <v>1</v>
      </c>
      <c r="G5636" s="34" t="n">
        <f aca="false">B5636/1</f>
        <v>175.925</v>
      </c>
      <c r="H5636" s="34" t="n">
        <f aca="false">IF(F5636=1,G5636,"")</f>
        <v>175.925</v>
      </c>
    </row>
    <row r="5637" customFormat="false" ht="15" hidden="false" customHeight="false" outlineLevel="0" collapsed="false">
      <c r="A5637" s="31" t="n">
        <v>42970.7916666667</v>
      </c>
      <c r="B5637" s="32" t="n">
        <v>168.741</v>
      </c>
      <c r="D5637" s="33" t="n">
        <f aca="false">WEEKDAY(A5637,2)</f>
        <v>3</v>
      </c>
      <c r="E5637" s="33" t="n">
        <f aca="false">HOUR(A5637)+MINUTE(A5637)/60</f>
        <v>19</v>
      </c>
      <c r="F5637" s="33" t="n">
        <f aca="false">IF(OR(D5637&gt;5,E5637&lt;8,E5637&gt;=18,COUNTIF($K$2:$K$10,INT(A5637))&gt;0),1,0)</f>
        <v>1</v>
      </c>
      <c r="G5637" s="34" t="n">
        <f aca="false">B5637/1</f>
        <v>168.741</v>
      </c>
      <c r="H5637" s="34" t="n">
        <f aca="false">IF(F5637=1,G5637,"")</f>
        <v>168.741</v>
      </c>
    </row>
    <row r="5638" customFormat="false" ht="15" hidden="false" customHeight="false" outlineLevel="0" collapsed="false">
      <c r="A5638" s="31" t="n">
        <v>42970.8333333333</v>
      </c>
      <c r="B5638" s="32" t="n">
        <v>165.22</v>
      </c>
      <c r="D5638" s="33" t="n">
        <f aca="false">WEEKDAY(A5638,2)</f>
        <v>3</v>
      </c>
      <c r="E5638" s="33" t="n">
        <f aca="false">HOUR(A5638)+MINUTE(A5638)/60</f>
        <v>20</v>
      </c>
      <c r="F5638" s="33" t="n">
        <f aca="false">IF(OR(D5638&gt;5,E5638&lt;8,E5638&gt;=18,COUNTIF($K$2:$K$10,INT(A5638))&gt;0),1,0)</f>
        <v>1</v>
      </c>
      <c r="G5638" s="34" t="n">
        <f aca="false">B5638/1</f>
        <v>165.22</v>
      </c>
      <c r="H5638" s="34" t="n">
        <f aca="false">IF(F5638=1,G5638,"")</f>
        <v>165.22</v>
      </c>
    </row>
    <row r="5639" customFormat="false" ht="15" hidden="false" customHeight="false" outlineLevel="0" collapsed="false">
      <c r="A5639" s="31" t="n">
        <v>42970.875</v>
      </c>
      <c r="B5639" s="32" t="n">
        <v>166.479</v>
      </c>
      <c r="D5639" s="33" t="n">
        <f aca="false">WEEKDAY(A5639,2)</f>
        <v>3</v>
      </c>
      <c r="E5639" s="33" t="n">
        <f aca="false">HOUR(A5639)+MINUTE(A5639)/60</f>
        <v>21</v>
      </c>
      <c r="F5639" s="33" t="n">
        <f aca="false">IF(OR(D5639&gt;5,E5639&lt;8,E5639&gt;=18,COUNTIF($K$2:$K$10,INT(A5639))&gt;0),1,0)</f>
        <v>1</v>
      </c>
      <c r="G5639" s="34" t="n">
        <f aca="false">B5639/1</f>
        <v>166.479</v>
      </c>
      <c r="H5639" s="34" t="n">
        <f aca="false">IF(F5639=1,G5639,"")</f>
        <v>166.479</v>
      </c>
    </row>
    <row r="5640" customFormat="false" ht="15" hidden="false" customHeight="false" outlineLevel="0" collapsed="false">
      <c r="A5640" s="31" t="n">
        <v>42970.9166666667</v>
      </c>
      <c r="B5640" s="32" t="n">
        <v>113.306</v>
      </c>
      <c r="D5640" s="33" t="n">
        <f aca="false">WEEKDAY(A5640,2)</f>
        <v>3</v>
      </c>
      <c r="E5640" s="33" t="n">
        <f aca="false">HOUR(A5640)+MINUTE(A5640)/60</f>
        <v>22</v>
      </c>
      <c r="F5640" s="33" t="n">
        <f aca="false">IF(OR(D5640&gt;5,E5640&lt;8,E5640&gt;=18,COUNTIF($K$2:$K$10,INT(A5640))&gt;0),1,0)</f>
        <v>1</v>
      </c>
      <c r="G5640" s="34" t="n">
        <f aca="false">B5640/1</f>
        <v>113.306</v>
      </c>
      <c r="H5640" s="34" t="n">
        <f aca="false">IF(F5640=1,G5640,"")</f>
        <v>113.306</v>
      </c>
    </row>
    <row r="5641" customFormat="false" ht="15" hidden="false" customHeight="false" outlineLevel="0" collapsed="false">
      <c r="A5641" s="31" t="n">
        <v>42970.9583333333</v>
      </c>
      <c r="B5641" s="32" t="n">
        <v>51.91</v>
      </c>
      <c r="D5641" s="33" t="n">
        <f aca="false">WEEKDAY(A5641,2)</f>
        <v>3</v>
      </c>
      <c r="E5641" s="33" t="n">
        <f aca="false">HOUR(A5641)+MINUTE(A5641)/60</f>
        <v>23</v>
      </c>
      <c r="F5641" s="33" t="n">
        <f aca="false">IF(OR(D5641&gt;5,E5641&lt;8,E5641&gt;=18,COUNTIF($K$2:$K$10,INT(A5641))&gt;0),1,0)</f>
        <v>1</v>
      </c>
      <c r="G5641" s="34" t="n">
        <f aca="false">B5641/1</f>
        <v>51.91</v>
      </c>
      <c r="H5641" s="34" t="n">
        <f aca="false">IF(F5641=1,G5641,"")</f>
        <v>51.91</v>
      </c>
    </row>
    <row r="5642" customFormat="false" ht="15" hidden="false" customHeight="false" outlineLevel="0" collapsed="false">
      <c r="A5642" s="31" t="n">
        <v>42971</v>
      </c>
      <c r="B5642" s="32" t="n">
        <v>50.377</v>
      </c>
      <c r="D5642" s="33" t="n">
        <f aca="false">WEEKDAY(A5642,2)</f>
        <v>4</v>
      </c>
      <c r="E5642" s="33" t="n">
        <f aca="false">HOUR(A5642)+MINUTE(A5642)/60</f>
        <v>0</v>
      </c>
      <c r="F5642" s="33" t="n">
        <f aca="false">IF(OR(D5642&gt;5,E5642&lt;8,E5642&gt;=18,COUNTIF($K$2:$K$10,INT(A5642))&gt;0),1,0)</f>
        <v>1</v>
      </c>
      <c r="G5642" s="34" t="n">
        <f aca="false">B5642/1</f>
        <v>50.377</v>
      </c>
      <c r="H5642" s="34" t="n">
        <f aca="false">IF(F5642=1,G5642,"")</f>
        <v>50.377</v>
      </c>
    </row>
    <row r="5643" customFormat="false" ht="15" hidden="false" customHeight="false" outlineLevel="0" collapsed="false">
      <c r="A5643" s="31" t="n">
        <v>42971.0416666667</v>
      </c>
      <c r="B5643" s="32" t="n">
        <v>48.697</v>
      </c>
      <c r="D5643" s="33" t="n">
        <f aca="false">WEEKDAY(A5643,2)</f>
        <v>4</v>
      </c>
      <c r="E5643" s="33" t="n">
        <f aca="false">HOUR(A5643)+MINUTE(A5643)/60</f>
        <v>1</v>
      </c>
      <c r="F5643" s="33" t="n">
        <f aca="false">IF(OR(D5643&gt;5,E5643&lt;8,E5643&gt;=18,COUNTIF($K$2:$K$10,INT(A5643))&gt;0),1,0)</f>
        <v>1</v>
      </c>
      <c r="G5643" s="34" t="n">
        <f aca="false">B5643/1</f>
        <v>48.697</v>
      </c>
      <c r="H5643" s="34" t="n">
        <f aca="false">IF(F5643=1,G5643,"")</f>
        <v>48.697</v>
      </c>
    </row>
    <row r="5644" customFormat="false" ht="15" hidden="false" customHeight="false" outlineLevel="0" collapsed="false">
      <c r="A5644" s="31" t="n">
        <v>42971.0833333333</v>
      </c>
      <c r="B5644" s="32" t="n">
        <v>47.528</v>
      </c>
      <c r="D5644" s="33" t="n">
        <f aca="false">WEEKDAY(A5644,2)</f>
        <v>4</v>
      </c>
      <c r="E5644" s="33" t="n">
        <f aca="false">HOUR(A5644)+MINUTE(A5644)/60</f>
        <v>2</v>
      </c>
      <c r="F5644" s="33" t="n">
        <f aca="false">IF(OR(D5644&gt;5,E5644&lt;8,E5644&gt;=18,COUNTIF($K$2:$K$10,INT(A5644))&gt;0),1,0)</f>
        <v>1</v>
      </c>
      <c r="G5644" s="34" t="n">
        <f aca="false">B5644/1</f>
        <v>47.528</v>
      </c>
      <c r="H5644" s="34" t="n">
        <f aca="false">IF(F5644=1,G5644,"")</f>
        <v>47.528</v>
      </c>
    </row>
    <row r="5645" customFormat="false" ht="15" hidden="false" customHeight="false" outlineLevel="0" collapsed="false">
      <c r="A5645" s="31" t="n">
        <v>42971.125</v>
      </c>
      <c r="B5645" s="32" t="n">
        <v>48.285</v>
      </c>
      <c r="D5645" s="33" t="n">
        <f aca="false">WEEKDAY(A5645,2)</f>
        <v>4</v>
      </c>
      <c r="E5645" s="33" t="n">
        <f aca="false">HOUR(A5645)+MINUTE(A5645)/60</f>
        <v>3</v>
      </c>
      <c r="F5645" s="33" t="n">
        <f aca="false">IF(OR(D5645&gt;5,E5645&lt;8,E5645&gt;=18,COUNTIF($K$2:$K$10,INT(A5645))&gt;0),1,0)</f>
        <v>1</v>
      </c>
      <c r="G5645" s="34" t="n">
        <f aca="false">B5645/1</f>
        <v>48.285</v>
      </c>
      <c r="H5645" s="34" t="n">
        <f aca="false">IF(F5645=1,G5645,"")</f>
        <v>48.285</v>
      </c>
    </row>
    <row r="5646" customFormat="false" ht="15" hidden="false" customHeight="false" outlineLevel="0" collapsed="false">
      <c r="A5646" s="31" t="n">
        <v>42971.1666666667</v>
      </c>
      <c r="B5646" s="32" t="n">
        <v>47.811</v>
      </c>
      <c r="D5646" s="33" t="n">
        <f aca="false">WEEKDAY(A5646,2)</f>
        <v>4</v>
      </c>
      <c r="E5646" s="33" t="n">
        <f aca="false">HOUR(A5646)+MINUTE(A5646)/60</f>
        <v>4</v>
      </c>
      <c r="F5646" s="33" t="n">
        <f aca="false">IF(OR(D5646&gt;5,E5646&lt;8,E5646&gt;=18,COUNTIF($K$2:$K$10,INT(A5646))&gt;0),1,0)</f>
        <v>1</v>
      </c>
      <c r="G5646" s="34" t="n">
        <f aca="false">B5646/1</f>
        <v>47.811</v>
      </c>
      <c r="H5646" s="34" t="n">
        <f aca="false">IF(F5646=1,G5646,"")</f>
        <v>47.811</v>
      </c>
    </row>
    <row r="5647" customFormat="false" ht="15" hidden="false" customHeight="false" outlineLevel="0" collapsed="false">
      <c r="A5647" s="31" t="n">
        <v>42971.2083333333</v>
      </c>
      <c r="B5647" s="32" t="n">
        <v>47.54</v>
      </c>
      <c r="D5647" s="33" t="n">
        <f aca="false">WEEKDAY(A5647,2)</f>
        <v>4</v>
      </c>
      <c r="E5647" s="33" t="n">
        <f aca="false">HOUR(A5647)+MINUTE(A5647)/60</f>
        <v>5</v>
      </c>
      <c r="F5647" s="33" t="n">
        <f aca="false">IF(OR(D5647&gt;5,E5647&lt;8,E5647&gt;=18,COUNTIF($K$2:$K$10,INT(A5647))&gt;0),1,0)</f>
        <v>1</v>
      </c>
      <c r="G5647" s="34" t="n">
        <f aca="false">B5647/1</f>
        <v>47.54</v>
      </c>
      <c r="H5647" s="34" t="n">
        <f aca="false">IF(F5647=1,G5647,"")</f>
        <v>47.54</v>
      </c>
    </row>
    <row r="5648" customFormat="false" ht="15" hidden="false" customHeight="false" outlineLevel="0" collapsed="false">
      <c r="A5648" s="31" t="n">
        <v>42971.25</v>
      </c>
      <c r="B5648" s="32" t="n">
        <v>48.942</v>
      </c>
      <c r="D5648" s="33" t="n">
        <f aca="false">WEEKDAY(A5648,2)</f>
        <v>4</v>
      </c>
      <c r="E5648" s="33" t="n">
        <f aca="false">HOUR(A5648)+MINUTE(A5648)/60</f>
        <v>6</v>
      </c>
      <c r="F5648" s="33" t="n">
        <f aca="false">IF(OR(D5648&gt;5,E5648&lt;8,E5648&gt;=18,COUNTIF($K$2:$K$10,INT(A5648))&gt;0),1,0)</f>
        <v>1</v>
      </c>
      <c r="G5648" s="34" t="n">
        <f aca="false">B5648/1</f>
        <v>48.942</v>
      </c>
      <c r="H5648" s="34" t="n">
        <f aca="false">IF(F5648=1,G5648,"")</f>
        <v>48.942</v>
      </c>
    </row>
    <row r="5649" customFormat="false" ht="15" hidden="false" customHeight="false" outlineLevel="0" collapsed="false">
      <c r="A5649" s="31" t="n">
        <v>42971.2916666667</v>
      </c>
      <c r="B5649" s="32" t="n">
        <v>54.347</v>
      </c>
      <c r="D5649" s="33" t="n">
        <f aca="false">WEEKDAY(A5649,2)</f>
        <v>4</v>
      </c>
      <c r="E5649" s="33" t="n">
        <f aca="false">HOUR(A5649)+MINUTE(A5649)/60</f>
        <v>7</v>
      </c>
      <c r="F5649" s="33" t="n">
        <f aca="false">IF(OR(D5649&gt;5,E5649&lt;8,E5649&gt;=18,COUNTIF($K$2:$K$10,INT(A5649))&gt;0),1,0)</f>
        <v>1</v>
      </c>
      <c r="G5649" s="34" t="n">
        <f aca="false">B5649/1</f>
        <v>54.347</v>
      </c>
      <c r="H5649" s="34" t="n">
        <f aca="false">IF(F5649=1,G5649,"")</f>
        <v>54.347</v>
      </c>
    </row>
    <row r="5650" customFormat="false" ht="15" hidden="false" customHeight="false" outlineLevel="0" collapsed="false">
      <c r="A5650" s="31" t="n">
        <v>42971.3333333333</v>
      </c>
      <c r="B5650" s="32" t="n">
        <v>157.641</v>
      </c>
      <c r="D5650" s="33" t="n">
        <f aca="false">WEEKDAY(A5650,2)</f>
        <v>4</v>
      </c>
      <c r="E5650" s="33" t="n">
        <f aca="false">HOUR(A5650)+MINUTE(A5650)/60</f>
        <v>8</v>
      </c>
      <c r="F5650" s="33" t="n">
        <f aca="false">IF(OR(D5650&gt;5,E5650&lt;8,E5650&gt;=18,COUNTIF($K$2:$K$10,INT(A5650))&gt;0),1,0)</f>
        <v>0</v>
      </c>
      <c r="G5650" s="34" t="n">
        <f aca="false">B5650/1</f>
        <v>157.641</v>
      </c>
      <c r="H5650" s="34" t="str">
        <f aca="false">IF(F5650=1,G5650,"")</f>
        <v/>
      </c>
    </row>
    <row r="5651" customFormat="false" ht="15" hidden="false" customHeight="false" outlineLevel="0" collapsed="false">
      <c r="A5651" s="31" t="n">
        <v>42971.375</v>
      </c>
      <c r="B5651" s="32" t="n">
        <v>188.771</v>
      </c>
      <c r="D5651" s="33" t="n">
        <f aca="false">WEEKDAY(A5651,2)</f>
        <v>4</v>
      </c>
      <c r="E5651" s="33" t="n">
        <f aca="false">HOUR(A5651)+MINUTE(A5651)/60</f>
        <v>9</v>
      </c>
      <c r="F5651" s="33" t="n">
        <f aca="false">IF(OR(D5651&gt;5,E5651&lt;8,E5651&gt;=18,COUNTIF($K$2:$K$10,INT(A5651))&gt;0),1,0)</f>
        <v>0</v>
      </c>
      <c r="G5651" s="34" t="n">
        <f aca="false">B5651/1</f>
        <v>188.771</v>
      </c>
      <c r="H5651" s="34" t="str">
        <f aca="false">IF(F5651=1,G5651,"")</f>
        <v/>
      </c>
    </row>
    <row r="5652" customFormat="false" ht="15" hidden="false" customHeight="false" outlineLevel="0" collapsed="false">
      <c r="A5652" s="31" t="n">
        <v>42971.4166666667</v>
      </c>
      <c r="B5652" s="32" t="n">
        <v>203.92</v>
      </c>
      <c r="D5652" s="33" t="n">
        <f aca="false">WEEKDAY(A5652,2)</f>
        <v>4</v>
      </c>
      <c r="E5652" s="33" t="n">
        <f aca="false">HOUR(A5652)+MINUTE(A5652)/60</f>
        <v>10</v>
      </c>
      <c r="F5652" s="33" t="n">
        <f aca="false">IF(OR(D5652&gt;5,E5652&lt;8,E5652&gt;=18,COUNTIF($K$2:$K$10,INT(A5652))&gt;0),1,0)</f>
        <v>0</v>
      </c>
      <c r="G5652" s="34" t="n">
        <f aca="false">B5652/1</f>
        <v>203.92</v>
      </c>
      <c r="H5652" s="34" t="str">
        <f aca="false">IF(F5652=1,G5652,"")</f>
        <v/>
      </c>
    </row>
    <row r="5653" customFormat="false" ht="15" hidden="false" customHeight="false" outlineLevel="0" collapsed="false">
      <c r="A5653" s="31" t="n">
        <v>42971.4583333333</v>
      </c>
      <c r="B5653" s="32" t="n">
        <v>210.674</v>
      </c>
      <c r="D5653" s="33" t="n">
        <f aca="false">WEEKDAY(A5653,2)</f>
        <v>4</v>
      </c>
      <c r="E5653" s="33" t="n">
        <f aca="false">HOUR(A5653)+MINUTE(A5653)/60</f>
        <v>11</v>
      </c>
      <c r="F5653" s="33" t="n">
        <f aca="false">IF(OR(D5653&gt;5,E5653&lt;8,E5653&gt;=18,COUNTIF($K$2:$K$10,INT(A5653))&gt;0),1,0)</f>
        <v>0</v>
      </c>
      <c r="G5653" s="34" t="n">
        <f aca="false">B5653/1</f>
        <v>210.674</v>
      </c>
      <c r="H5653" s="34" t="str">
        <f aca="false">IF(F5653=1,G5653,"")</f>
        <v/>
      </c>
    </row>
    <row r="5654" customFormat="false" ht="15" hidden="false" customHeight="false" outlineLevel="0" collapsed="false">
      <c r="A5654" s="31" t="n">
        <v>42971.5</v>
      </c>
      <c r="B5654" s="32" t="n">
        <v>211.009</v>
      </c>
      <c r="D5654" s="33" t="n">
        <f aca="false">WEEKDAY(A5654,2)</f>
        <v>4</v>
      </c>
      <c r="E5654" s="33" t="n">
        <f aca="false">HOUR(A5654)+MINUTE(A5654)/60</f>
        <v>12</v>
      </c>
      <c r="F5654" s="33" t="n">
        <f aca="false">IF(OR(D5654&gt;5,E5654&lt;8,E5654&gt;=18,COUNTIF($K$2:$K$10,INT(A5654))&gt;0),1,0)</f>
        <v>0</v>
      </c>
      <c r="G5654" s="34" t="n">
        <f aca="false">B5654/1</f>
        <v>211.009</v>
      </c>
      <c r="H5654" s="34" t="str">
        <f aca="false">IF(F5654=1,G5654,"")</f>
        <v/>
      </c>
    </row>
    <row r="5655" customFormat="false" ht="15" hidden="false" customHeight="false" outlineLevel="0" collapsed="false">
      <c r="A5655" s="31" t="n">
        <v>42971.5416666667</v>
      </c>
      <c r="B5655" s="32" t="n">
        <v>206.501</v>
      </c>
      <c r="D5655" s="33" t="n">
        <f aca="false">WEEKDAY(A5655,2)</f>
        <v>4</v>
      </c>
      <c r="E5655" s="33" t="n">
        <f aca="false">HOUR(A5655)+MINUTE(A5655)/60</f>
        <v>13</v>
      </c>
      <c r="F5655" s="33" t="n">
        <f aca="false">IF(OR(D5655&gt;5,E5655&lt;8,E5655&gt;=18,COUNTIF($K$2:$K$10,INT(A5655))&gt;0),1,0)</f>
        <v>0</v>
      </c>
      <c r="G5655" s="34" t="n">
        <f aca="false">B5655/1</f>
        <v>206.501</v>
      </c>
      <c r="H5655" s="34" t="str">
        <f aca="false">IF(F5655=1,G5655,"")</f>
        <v/>
      </c>
    </row>
    <row r="5656" customFormat="false" ht="15" hidden="false" customHeight="false" outlineLevel="0" collapsed="false">
      <c r="A5656" s="31" t="n">
        <v>42971.5833333333</v>
      </c>
      <c r="B5656" s="32" t="n">
        <v>206.938</v>
      </c>
      <c r="D5656" s="33" t="n">
        <f aca="false">WEEKDAY(A5656,2)</f>
        <v>4</v>
      </c>
      <c r="E5656" s="33" t="n">
        <f aca="false">HOUR(A5656)+MINUTE(A5656)/60</f>
        <v>14</v>
      </c>
      <c r="F5656" s="33" t="n">
        <f aca="false">IF(OR(D5656&gt;5,E5656&lt;8,E5656&gt;=18,COUNTIF($K$2:$K$10,INT(A5656))&gt;0),1,0)</f>
        <v>0</v>
      </c>
      <c r="G5656" s="34" t="n">
        <f aca="false">B5656/1</f>
        <v>206.938</v>
      </c>
      <c r="H5656" s="34" t="str">
        <f aca="false">IF(F5656=1,G5656,"")</f>
        <v/>
      </c>
    </row>
    <row r="5657" customFormat="false" ht="15" hidden="false" customHeight="false" outlineLevel="0" collapsed="false">
      <c r="A5657" s="31" t="n">
        <v>42971.625</v>
      </c>
      <c r="B5657" s="32" t="n">
        <v>206.466</v>
      </c>
      <c r="D5657" s="33" t="n">
        <f aca="false">WEEKDAY(A5657,2)</f>
        <v>4</v>
      </c>
      <c r="E5657" s="33" t="n">
        <f aca="false">HOUR(A5657)+MINUTE(A5657)/60</f>
        <v>15</v>
      </c>
      <c r="F5657" s="33" t="n">
        <f aca="false">IF(OR(D5657&gt;5,E5657&lt;8,E5657&gt;=18,COUNTIF($K$2:$K$10,INT(A5657))&gt;0),1,0)</f>
        <v>0</v>
      </c>
      <c r="G5657" s="34" t="n">
        <f aca="false">B5657/1</f>
        <v>206.466</v>
      </c>
      <c r="H5657" s="34" t="str">
        <f aca="false">IF(F5657=1,G5657,"")</f>
        <v/>
      </c>
    </row>
    <row r="5658" customFormat="false" ht="15" hidden="false" customHeight="false" outlineLevel="0" collapsed="false">
      <c r="A5658" s="31" t="n">
        <v>42971.6666666667</v>
      </c>
      <c r="B5658" s="32" t="n">
        <v>204.887</v>
      </c>
      <c r="D5658" s="33" t="n">
        <f aca="false">WEEKDAY(A5658,2)</f>
        <v>4</v>
      </c>
      <c r="E5658" s="33" t="n">
        <f aca="false">HOUR(A5658)+MINUTE(A5658)/60</f>
        <v>16</v>
      </c>
      <c r="F5658" s="33" t="n">
        <f aca="false">IF(OR(D5658&gt;5,E5658&lt;8,E5658&gt;=18,COUNTIF($K$2:$K$10,INT(A5658))&gt;0),1,0)</f>
        <v>0</v>
      </c>
      <c r="G5658" s="34" t="n">
        <f aca="false">B5658/1</f>
        <v>204.887</v>
      </c>
      <c r="H5658" s="34" t="str">
        <f aca="false">IF(F5658=1,G5658,"")</f>
        <v/>
      </c>
    </row>
    <row r="5659" customFormat="false" ht="15" hidden="false" customHeight="false" outlineLevel="0" collapsed="false">
      <c r="A5659" s="31" t="n">
        <v>42971.7083333333</v>
      </c>
      <c r="B5659" s="32" t="n">
        <v>190.378</v>
      </c>
      <c r="D5659" s="33" t="n">
        <f aca="false">WEEKDAY(A5659,2)</f>
        <v>4</v>
      </c>
      <c r="E5659" s="33" t="n">
        <f aca="false">HOUR(A5659)+MINUTE(A5659)/60</f>
        <v>17</v>
      </c>
      <c r="F5659" s="33" t="n">
        <f aca="false">IF(OR(D5659&gt;5,E5659&lt;8,E5659&gt;=18,COUNTIF($K$2:$K$10,INT(A5659))&gt;0),1,0)</f>
        <v>0</v>
      </c>
      <c r="G5659" s="34" t="n">
        <f aca="false">B5659/1</f>
        <v>190.378</v>
      </c>
      <c r="H5659" s="34" t="str">
        <f aca="false">IF(F5659=1,G5659,"")</f>
        <v/>
      </c>
    </row>
    <row r="5660" customFormat="false" ht="15" hidden="false" customHeight="false" outlineLevel="0" collapsed="false">
      <c r="A5660" s="31" t="n">
        <v>42971.75</v>
      </c>
      <c r="B5660" s="32" t="n">
        <v>170.272</v>
      </c>
      <c r="D5660" s="33" t="n">
        <f aca="false">WEEKDAY(A5660,2)</f>
        <v>4</v>
      </c>
      <c r="E5660" s="33" t="n">
        <f aca="false">HOUR(A5660)+MINUTE(A5660)/60</f>
        <v>18</v>
      </c>
      <c r="F5660" s="33" t="n">
        <f aca="false">IF(OR(D5660&gt;5,E5660&lt;8,E5660&gt;=18,COUNTIF($K$2:$K$10,INT(A5660))&gt;0),1,0)</f>
        <v>1</v>
      </c>
      <c r="G5660" s="34" t="n">
        <f aca="false">B5660/1</f>
        <v>170.272</v>
      </c>
      <c r="H5660" s="34" t="n">
        <f aca="false">IF(F5660=1,G5660,"")</f>
        <v>170.272</v>
      </c>
    </row>
    <row r="5661" customFormat="false" ht="15" hidden="false" customHeight="false" outlineLevel="0" collapsed="false">
      <c r="A5661" s="31" t="n">
        <v>42971.7916666667</v>
      </c>
      <c r="B5661" s="32" t="n">
        <v>164.552</v>
      </c>
      <c r="D5661" s="33" t="n">
        <f aca="false">WEEKDAY(A5661,2)</f>
        <v>4</v>
      </c>
      <c r="E5661" s="33" t="n">
        <f aca="false">HOUR(A5661)+MINUTE(A5661)/60</f>
        <v>19</v>
      </c>
      <c r="F5661" s="33" t="n">
        <f aca="false">IF(OR(D5661&gt;5,E5661&lt;8,E5661&gt;=18,COUNTIF($K$2:$K$10,INT(A5661))&gt;0),1,0)</f>
        <v>1</v>
      </c>
      <c r="G5661" s="34" t="n">
        <f aca="false">B5661/1</f>
        <v>164.552</v>
      </c>
      <c r="H5661" s="34" t="n">
        <f aca="false">IF(F5661=1,G5661,"")</f>
        <v>164.552</v>
      </c>
    </row>
    <row r="5662" customFormat="false" ht="15" hidden="false" customHeight="false" outlineLevel="0" collapsed="false">
      <c r="A5662" s="31" t="n">
        <v>42971.8333333333</v>
      </c>
      <c r="B5662" s="32" t="n">
        <v>163.787</v>
      </c>
      <c r="D5662" s="33" t="n">
        <f aca="false">WEEKDAY(A5662,2)</f>
        <v>4</v>
      </c>
      <c r="E5662" s="33" t="n">
        <f aca="false">HOUR(A5662)+MINUTE(A5662)/60</f>
        <v>20</v>
      </c>
      <c r="F5662" s="33" t="n">
        <f aca="false">IF(OR(D5662&gt;5,E5662&lt;8,E5662&gt;=18,COUNTIF($K$2:$K$10,INT(A5662))&gt;0),1,0)</f>
        <v>1</v>
      </c>
      <c r="G5662" s="34" t="n">
        <f aca="false">B5662/1</f>
        <v>163.787</v>
      </c>
      <c r="H5662" s="34" t="n">
        <f aca="false">IF(F5662=1,G5662,"")</f>
        <v>163.787</v>
      </c>
    </row>
    <row r="5663" customFormat="false" ht="15" hidden="false" customHeight="false" outlineLevel="0" collapsed="false">
      <c r="A5663" s="31" t="n">
        <v>42971.875</v>
      </c>
      <c r="B5663" s="32" t="n">
        <v>164.904</v>
      </c>
      <c r="D5663" s="33" t="n">
        <f aca="false">WEEKDAY(A5663,2)</f>
        <v>4</v>
      </c>
      <c r="E5663" s="33" t="n">
        <f aca="false">HOUR(A5663)+MINUTE(A5663)/60</f>
        <v>21</v>
      </c>
      <c r="F5663" s="33" t="n">
        <f aca="false">IF(OR(D5663&gt;5,E5663&lt;8,E5663&gt;=18,COUNTIF($K$2:$K$10,INT(A5663))&gt;0),1,0)</f>
        <v>1</v>
      </c>
      <c r="G5663" s="34" t="n">
        <f aca="false">B5663/1</f>
        <v>164.904</v>
      </c>
      <c r="H5663" s="34" t="n">
        <f aca="false">IF(F5663=1,G5663,"")</f>
        <v>164.904</v>
      </c>
    </row>
    <row r="5664" customFormat="false" ht="15" hidden="false" customHeight="false" outlineLevel="0" collapsed="false">
      <c r="A5664" s="31" t="n">
        <v>42971.9166666667</v>
      </c>
      <c r="B5664" s="32" t="n">
        <v>114.329</v>
      </c>
      <c r="D5664" s="33" t="n">
        <f aca="false">WEEKDAY(A5664,2)</f>
        <v>4</v>
      </c>
      <c r="E5664" s="33" t="n">
        <f aca="false">HOUR(A5664)+MINUTE(A5664)/60</f>
        <v>22</v>
      </c>
      <c r="F5664" s="33" t="n">
        <f aca="false">IF(OR(D5664&gt;5,E5664&lt;8,E5664&gt;=18,COUNTIF($K$2:$K$10,INT(A5664))&gt;0),1,0)</f>
        <v>1</v>
      </c>
      <c r="G5664" s="34" t="n">
        <f aca="false">B5664/1</f>
        <v>114.329</v>
      </c>
      <c r="H5664" s="34" t="n">
        <f aca="false">IF(F5664=1,G5664,"")</f>
        <v>114.329</v>
      </c>
    </row>
    <row r="5665" customFormat="false" ht="15" hidden="false" customHeight="false" outlineLevel="0" collapsed="false">
      <c r="A5665" s="31" t="n">
        <v>42971.9583333333</v>
      </c>
      <c r="B5665" s="32" t="n">
        <v>51.793</v>
      </c>
      <c r="D5665" s="33" t="n">
        <f aca="false">WEEKDAY(A5665,2)</f>
        <v>4</v>
      </c>
      <c r="E5665" s="33" t="n">
        <f aca="false">HOUR(A5665)+MINUTE(A5665)/60</f>
        <v>23</v>
      </c>
      <c r="F5665" s="33" t="n">
        <f aca="false">IF(OR(D5665&gt;5,E5665&lt;8,E5665&gt;=18,COUNTIF($K$2:$K$10,INT(A5665))&gt;0),1,0)</f>
        <v>1</v>
      </c>
      <c r="G5665" s="34" t="n">
        <f aca="false">B5665/1</f>
        <v>51.793</v>
      </c>
      <c r="H5665" s="34" t="n">
        <f aca="false">IF(F5665=1,G5665,"")</f>
        <v>51.793</v>
      </c>
    </row>
    <row r="5666" customFormat="false" ht="15" hidden="false" customHeight="false" outlineLevel="0" collapsed="false">
      <c r="A5666" s="31" t="n">
        <v>42972</v>
      </c>
      <c r="B5666" s="32" t="n">
        <v>49.302</v>
      </c>
      <c r="D5666" s="33" t="n">
        <f aca="false">WEEKDAY(A5666,2)</f>
        <v>5</v>
      </c>
      <c r="E5666" s="33" t="n">
        <f aca="false">HOUR(A5666)+MINUTE(A5666)/60</f>
        <v>0</v>
      </c>
      <c r="F5666" s="33" t="n">
        <f aca="false">IF(OR(D5666&gt;5,E5666&lt;8,E5666&gt;=18,COUNTIF($K$2:$K$10,INT(A5666))&gt;0),1,0)</f>
        <v>1</v>
      </c>
      <c r="G5666" s="34" t="n">
        <f aca="false">B5666/1</f>
        <v>49.302</v>
      </c>
      <c r="H5666" s="34" t="n">
        <f aca="false">IF(F5666=1,G5666,"")</f>
        <v>49.302</v>
      </c>
    </row>
    <row r="5667" customFormat="false" ht="15" hidden="false" customHeight="false" outlineLevel="0" collapsed="false">
      <c r="A5667" s="31" t="n">
        <v>42972.0416666667</v>
      </c>
      <c r="B5667" s="32" t="n">
        <v>47.75</v>
      </c>
      <c r="D5667" s="33" t="n">
        <f aca="false">WEEKDAY(A5667,2)</f>
        <v>5</v>
      </c>
      <c r="E5667" s="33" t="n">
        <f aca="false">HOUR(A5667)+MINUTE(A5667)/60</f>
        <v>1</v>
      </c>
      <c r="F5667" s="33" t="n">
        <f aca="false">IF(OR(D5667&gt;5,E5667&lt;8,E5667&gt;=18,COUNTIF($K$2:$K$10,INT(A5667))&gt;0),1,0)</f>
        <v>1</v>
      </c>
      <c r="G5667" s="34" t="n">
        <f aca="false">B5667/1</f>
        <v>47.75</v>
      </c>
      <c r="H5667" s="34" t="n">
        <f aca="false">IF(F5667=1,G5667,"")</f>
        <v>47.75</v>
      </c>
    </row>
    <row r="5668" customFormat="false" ht="15" hidden="false" customHeight="false" outlineLevel="0" collapsed="false">
      <c r="A5668" s="31" t="n">
        <v>42972.0833333333</v>
      </c>
      <c r="B5668" s="32" t="n">
        <v>47.334</v>
      </c>
      <c r="D5668" s="33" t="n">
        <f aca="false">WEEKDAY(A5668,2)</f>
        <v>5</v>
      </c>
      <c r="E5668" s="33" t="n">
        <f aca="false">HOUR(A5668)+MINUTE(A5668)/60</f>
        <v>2</v>
      </c>
      <c r="F5668" s="33" t="n">
        <f aca="false">IF(OR(D5668&gt;5,E5668&lt;8,E5668&gt;=18,COUNTIF($K$2:$K$10,INT(A5668))&gt;0),1,0)</f>
        <v>1</v>
      </c>
      <c r="G5668" s="34" t="n">
        <f aca="false">B5668/1</f>
        <v>47.334</v>
      </c>
      <c r="H5668" s="34" t="n">
        <f aca="false">IF(F5668=1,G5668,"")</f>
        <v>47.334</v>
      </c>
    </row>
    <row r="5669" customFormat="false" ht="15" hidden="false" customHeight="false" outlineLevel="0" collapsed="false">
      <c r="A5669" s="31" t="n">
        <v>42972.125</v>
      </c>
      <c r="B5669" s="32" t="n">
        <v>47.007</v>
      </c>
      <c r="D5669" s="33" t="n">
        <f aca="false">WEEKDAY(A5669,2)</f>
        <v>5</v>
      </c>
      <c r="E5669" s="33" t="n">
        <f aca="false">HOUR(A5669)+MINUTE(A5669)/60</f>
        <v>3</v>
      </c>
      <c r="F5669" s="33" t="n">
        <f aca="false">IF(OR(D5669&gt;5,E5669&lt;8,E5669&gt;=18,COUNTIF($K$2:$K$10,INT(A5669))&gt;0),1,0)</f>
        <v>1</v>
      </c>
      <c r="G5669" s="34" t="n">
        <f aca="false">B5669/1</f>
        <v>47.007</v>
      </c>
      <c r="H5669" s="34" t="n">
        <f aca="false">IF(F5669=1,G5669,"")</f>
        <v>47.007</v>
      </c>
    </row>
    <row r="5670" customFormat="false" ht="15" hidden="false" customHeight="false" outlineLevel="0" collapsed="false">
      <c r="A5670" s="31" t="n">
        <v>42972.1666666667</v>
      </c>
      <c r="B5670" s="32" t="n">
        <v>47.059</v>
      </c>
      <c r="D5670" s="33" t="n">
        <f aca="false">WEEKDAY(A5670,2)</f>
        <v>5</v>
      </c>
      <c r="E5670" s="33" t="n">
        <f aca="false">HOUR(A5670)+MINUTE(A5670)/60</f>
        <v>4</v>
      </c>
      <c r="F5670" s="33" t="n">
        <f aca="false">IF(OR(D5670&gt;5,E5670&lt;8,E5670&gt;=18,COUNTIF($K$2:$K$10,INT(A5670))&gt;0),1,0)</f>
        <v>1</v>
      </c>
      <c r="G5670" s="34" t="n">
        <f aca="false">B5670/1</f>
        <v>47.059</v>
      </c>
      <c r="H5670" s="34" t="n">
        <f aca="false">IF(F5670=1,G5670,"")</f>
        <v>47.059</v>
      </c>
    </row>
    <row r="5671" customFormat="false" ht="15" hidden="false" customHeight="false" outlineLevel="0" collapsed="false">
      <c r="A5671" s="31" t="n">
        <v>42972.2083333333</v>
      </c>
      <c r="B5671" s="32" t="n">
        <v>47.335</v>
      </c>
      <c r="D5671" s="33" t="n">
        <f aca="false">WEEKDAY(A5671,2)</f>
        <v>5</v>
      </c>
      <c r="E5671" s="33" t="n">
        <f aca="false">HOUR(A5671)+MINUTE(A5671)/60</f>
        <v>5</v>
      </c>
      <c r="F5671" s="33" t="n">
        <f aca="false">IF(OR(D5671&gt;5,E5671&lt;8,E5671&gt;=18,COUNTIF($K$2:$K$10,INT(A5671))&gt;0),1,0)</f>
        <v>1</v>
      </c>
      <c r="G5671" s="34" t="n">
        <f aca="false">B5671/1</f>
        <v>47.335</v>
      </c>
      <c r="H5671" s="34" t="n">
        <f aca="false">IF(F5671=1,G5671,"")</f>
        <v>47.335</v>
      </c>
    </row>
    <row r="5672" customFormat="false" ht="15" hidden="false" customHeight="false" outlineLevel="0" collapsed="false">
      <c r="A5672" s="31" t="n">
        <v>42972.25</v>
      </c>
      <c r="B5672" s="32" t="n">
        <v>48.468</v>
      </c>
      <c r="D5672" s="33" t="n">
        <f aca="false">WEEKDAY(A5672,2)</f>
        <v>5</v>
      </c>
      <c r="E5672" s="33" t="n">
        <f aca="false">HOUR(A5672)+MINUTE(A5672)/60</f>
        <v>6</v>
      </c>
      <c r="F5672" s="33" t="n">
        <f aca="false">IF(OR(D5672&gt;5,E5672&lt;8,E5672&gt;=18,COUNTIF($K$2:$K$10,INT(A5672))&gt;0),1,0)</f>
        <v>1</v>
      </c>
      <c r="G5672" s="34" t="n">
        <f aca="false">B5672/1</f>
        <v>48.468</v>
      </c>
      <c r="H5672" s="34" t="n">
        <f aca="false">IF(F5672=1,G5672,"")</f>
        <v>48.468</v>
      </c>
    </row>
    <row r="5673" customFormat="false" ht="15" hidden="false" customHeight="false" outlineLevel="0" collapsed="false">
      <c r="A5673" s="31" t="n">
        <v>42972.2916666667</v>
      </c>
      <c r="B5673" s="32" t="n">
        <v>54.588</v>
      </c>
      <c r="D5673" s="33" t="n">
        <f aca="false">WEEKDAY(A5673,2)</f>
        <v>5</v>
      </c>
      <c r="E5673" s="33" t="n">
        <f aca="false">HOUR(A5673)+MINUTE(A5673)/60</f>
        <v>7</v>
      </c>
      <c r="F5673" s="33" t="n">
        <f aca="false">IF(OR(D5673&gt;5,E5673&lt;8,E5673&gt;=18,COUNTIF($K$2:$K$10,INT(A5673))&gt;0),1,0)</f>
        <v>1</v>
      </c>
      <c r="G5673" s="34" t="n">
        <f aca="false">B5673/1</f>
        <v>54.588</v>
      </c>
      <c r="H5673" s="34" t="n">
        <f aca="false">IF(F5673=1,G5673,"")</f>
        <v>54.588</v>
      </c>
    </row>
    <row r="5674" customFormat="false" ht="15" hidden="false" customHeight="false" outlineLevel="0" collapsed="false">
      <c r="A5674" s="31" t="n">
        <v>42972.3333333333</v>
      </c>
      <c r="B5674" s="32" t="n">
        <v>159.41</v>
      </c>
      <c r="D5674" s="33" t="n">
        <f aca="false">WEEKDAY(A5674,2)</f>
        <v>5</v>
      </c>
      <c r="E5674" s="33" t="n">
        <f aca="false">HOUR(A5674)+MINUTE(A5674)/60</f>
        <v>8</v>
      </c>
      <c r="F5674" s="33" t="n">
        <f aca="false">IF(OR(D5674&gt;5,E5674&lt;8,E5674&gt;=18,COUNTIF($K$2:$K$10,INT(A5674))&gt;0),1,0)</f>
        <v>0</v>
      </c>
      <c r="G5674" s="34" t="n">
        <f aca="false">B5674/1</f>
        <v>159.41</v>
      </c>
      <c r="H5674" s="34" t="str">
        <f aca="false">IF(F5674=1,G5674,"")</f>
        <v/>
      </c>
    </row>
    <row r="5675" customFormat="false" ht="15" hidden="false" customHeight="false" outlineLevel="0" collapsed="false">
      <c r="A5675" s="31" t="n">
        <v>42972.375</v>
      </c>
      <c r="B5675" s="32" t="n">
        <v>190.553</v>
      </c>
      <c r="D5675" s="33" t="n">
        <f aca="false">WEEKDAY(A5675,2)</f>
        <v>5</v>
      </c>
      <c r="E5675" s="33" t="n">
        <f aca="false">HOUR(A5675)+MINUTE(A5675)/60</f>
        <v>9</v>
      </c>
      <c r="F5675" s="33" t="n">
        <f aca="false">IF(OR(D5675&gt;5,E5675&lt;8,E5675&gt;=18,COUNTIF($K$2:$K$10,INT(A5675))&gt;0),1,0)</f>
        <v>0</v>
      </c>
      <c r="G5675" s="34" t="n">
        <f aca="false">B5675/1</f>
        <v>190.553</v>
      </c>
      <c r="H5675" s="34" t="str">
        <f aca="false">IF(F5675=1,G5675,"")</f>
        <v/>
      </c>
    </row>
    <row r="5676" customFormat="false" ht="15" hidden="false" customHeight="false" outlineLevel="0" collapsed="false">
      <c r="A5676" s="31" t="n">
        <v>42972.4166666667</v>
      </c>
      <c r="B5676" s="32" t="n">
        <v>202.396</v>
      </c>
      <c r="D5676" s="33" t="n">
        <f aca="false">WEEKDAY(A5676,2)</f>
        <v>5</v>
      </c>
      <c r="E5676" s="33" t="n">
        <f aca="false">HOUR(A5676)+MINUTE(A5676)/60</f>
        <v>10</v>
      </c>
      <c r="F5676" s="33" t="n">
        <f aca="false">IF(OR(D5676&gt;5,E5676&lt;8,E5676&gt;=18,COUNTIF($K$2:$K$10,INT(A5676))&gt;0),1,0)</f>
        <v>0</v>
      </c>
      <c r="G5676" s="34" t="n">
        <f aca="false">B5676/1</f>
        <v>202.396</v>
      </c>
      <c r="H5676" s="34" t="str">
        <f aca="false">IF(F5676=1,G5676,"")</f>
        <v/>
      </c>
    </row>
    <row r="5677" customFormat="false" ht="15" hidden="false" customHeight="false" outlineLevel="0" collapsed="false">
      <c r="A5677" s="31" t="n">
        <v>42972.4583333333</v>
      </c>
      <c r="B5677" s="32" t="n">
        <v>204.302</v>
      </c>
      <c r="D5677" s="33" t="n">
        <f aca="false">WEEKDAY(A5677,2)</f>
        <v>5</v>
      </c>
      <c r="E5677" s="33" t="n">
        <f aca="false">HOUR(A5677)+MINUTE(A5677)/60</f>
        <v>11</v>
      </c>
      <c r="F5677" s="33" t="n">
        <f aca="false">IF(OR(D5677&gt;5,E5677&lt;8,E5677&gt;=18,COUNTIF($K$2:$K$10,INT(A5677))&gt;0),1,0)</f>
        <v>0</v>
      </c>
      <c r="G5677" s="34" t="n">
        <f aca="false">B5677/1</f>
        <v>204.302</v>
      </c>
      <c r="H5677" s="34" t="str">
        <f aca="false">IF(F5677=1,G5677,"")</f>
        <v/>
      </c>
    </row>
    <row r="5678" customFormat="false" ht="15" hidden="false" customHeight="false" outlineLevel="0" collapsed="false">
      <c r="A5678" s="31" t="n">
        <v>42972.5</v>
      </c>
      <c r="B5678" s="32" t="n">
        <v>205.595</v>
      </c>
      <c r="D5678" s="33" t="n">
        <f aca="false">WEEKDAY(A5678,2)</f>
        <v>5</v>
      </c>
      <c r="E5678" s="33" t="n">
        <f aca="false">HOUR(A5678)+MINUTE(A5678)/60</f>
        <v>12</v>
      </c>
      <c r="F5678" s="33" t="n">
        <f aca="false">IF(OR(D5678&gt;5,E5678&lt;8,E5678&gt;=18,COUNTIF($K$2:$K$10,INT(A5678))&gt;0),1,0)</f>
        <v>0</v>
      </c>
      <c r="G5678" s="34" t="n">
        <f aca="false">B5678/1</f>
        <v>205.595</v>
      </c>
      <c r="H5678" s="34" t="str">
        <f aca="false">IF(F5678=1,G5678,"")</f>
        <v/>
      </c>
    </row>
    <row r="5679" customFormat="false" ht="15" hidden="false" customHeight="false" outlineLevel="0" collapsed="false">
      <c r="A5679" s="31" t="n">
        <v>42972.5416666667</v>
      </c>
      <c r="B5679" s="32" t="n">
        <v>204.976</v>
      </c>
      <c r="D5679" s="33" t="n">
        <f aca="false">WEEKDAY(A5679,2)</f>
        <v>5</v>
      </c>
      <c r="E5679" s="33" t="n">
        <f aca="false">HOUR(A5679)+MINUTE(A5679)/60</f>
        <v>13</v>
      </c>
      <c r="F5679" s="33" t="n">
        <f aca="false">IF(OR(D5679&gt;5,E5679&lt;8,E5679&gt;=18,COUNTIF($K$2:$K$10,INT(A5679))&gt;0),1,0)</f>
        <v>0</v>
      </c>
      <c r="G5679" s="34" t="n">
        <f aca="false">B5679/1</f>
        <v>204.976</v>
      </c>
      <c r="H5679" s="34" t="str">
        <f aca="false">IF(F5679=1,G5679,"")</f>
        <v/>
      </c>
    </row>
    <row r="5680" customFormat="false" ht="15" hidden="false" customHeight="false" outlineLevel="0" collapsed="false">
      <c r="A5680" s="31" t="n">
        <v>42972.5833333333</v>
      </c>
      <c r="B5680" s="32" t="n">
        <v>202.047</v>
      </c>
      <c r="D5680" s="33" t="n">
        <f aca="false">WEEKDAY(A5680,2)</f>
        <v>5</v>
      </c>
      <c r="E5680" s="33" t="n">
        <f aca="false">HOUR(A5680)+MINUTE(A5680)/60</f>
        <v>14</v>
      </c>
      <c r="F5680" s="33" t="n">
        <f aca="false">IF(OR(D5680&gt;5,E5680&lt;8,E5680&gt;=18,COUNTIF($K$2:$K$10,INT(A5680))&gt;0),1,0)</f>
        <v>0</v>
      </c>
      <c r="G5680" s="34" t="n">
        <f aca="false">B5680/1</f>
        <v>202.047</v>
      </c>
      <c r="H5680" s="34" t="str">
        <f aca="false">IF(F5680=1,G5680,"")</f>
        <v/>
      </c>
    </row>
    <row r="5681" customFormat="false" ht="15" hidden="false" customHeight="false" outlineLevel="0" collapsed="false">
      <c r="A5681" s="31" t="n">
        <v>42972.625</v>
      </c>
      <c r="B5681" s="32" t="n">
        <v>201.205</v>
      </c>
      <c r="D5681" s="33" t="n">
        <f aca="false">WEEKDAY(A5681,2)</f>
        <v>5</v>
      </c>
      <c r="E5681" s="33" t="n">
        <f aca="false">HOUR(A5681)+MINUTE(A5681)/60</f>
        <v>15</v>
      </c>
      <c r="F5681" s="33" t="n">
        <f aca="false">IF(OR(D5681&gt;5,E5681&lt;8,E5681&gt;=18,COUNTIF($K$2:$K$10,INT(A5681))&gt;0),1,0)</f>
        <v>0</v>
      </c>
      <c r="G5681" s="34" t="n">
        <f aca="false">B5681/1</f>
        <v>201.205</v>
      </c>
      <c r="H5681" s="34" t="str">
        <f aca="false">IF(F5681=1,G5681,"")</f>
        <v/>
      </c>
    </row>
    <row r="5682" customFormat="false" ht="15" hidden="false" customHeight="false" outlineLevel="0" collapsed="false">
      <c r="A5682" s="31" t="n">
        <v>42972.6666666667</v>
      </c>
      <c r="B5682" s="32" t="n">
        <v>196.386</v>
      </c>
      <c r="D5682" s="33" t="n">
        <f aca="false">WEEKDAY(A5682,2)</f>
        <v>5</v>
      </c>
      <c r="E5682" s="33" t="n">
        <f aca="false">HOUR(A5682)+MINUTE(A5682)/60</f>
        <v>16</v>
      </c>
      <c r="F5682" s="33" t="n">
        <f aca="false">IF(OR(D5682&gt;5,E5682&lt;8,E5682&gt;=18,COUNTIF($K$2:$K$10,INT(A5682))&gt;0),1,0)</f>
        <v>0</v>
      </c>
      <c r="G5682" s="34" t="n">
        <f aca="false">B5682/1</f>
        <v>196.386</v>
      </c>
      <c r="H5682" s="34" t="str">
        <f aca="false">IF(F5682=1,G5682,"")</f>
        <v/>
      </c>
    </row>
    <row r="5683" customFormat="false" ht="15" hidden="false" customHeight="false" outlineLevel="0" collapsed="false">
      <c r="A5683" s="31" t="n">
        <v>42972.7083333333</v>
      </c>
      <c r="B5683" s="32" t="n">
        <v>186.763</v>
      </c>
      <c r="D5683" s="33" t="n">
        <f aca="false">WEEKDAY(A5683,2)</f>
        <v>5</v>
      </c>
      <c r="E5683" s="33" t="n">
        <f aca="false">HOUR(A5683)+MINUTE(A5683)/60</f>
        <v>17</v>
      </c>
      <c r="F5683" s="33" t="n">
        <f aca="false">IF(OR(D5683&gt;5,E5683&lt;8,E5683&gt;=18,COUNTIF($K$2:$K$10,INT(A5683))&gt;0),1,0)</f>
        <v>0</v>
      </c>
      <c r="G5683" s="34" t="n">
        <f aca="false">B5683/1</f>
        <v>186.763</v>
      </c>
      <c r="H5683" s="34" t="str">
        <f aca="false">IF(F5683=1,G5683,"")</f>
        <v/>
      </c>
    </row>
    <row r="5684" customFormat="false" ht="15" hidden="false" customHeight="false" outlineLevel="0" collapsed="false">
      <c r="A5684" s="31" t="n">
        <v>42972.75</v>
      </c>
      <c r="B5684" s="32" t="n">
        <v>170.091</v>
      </c>
      <c r="D5684" s="33" t="n">
        <f aca="false">WEEKDAY(A5684,2)</f>
        <v>5</v>
      </c>
      <c r="E5684" s="33" t="n">
        <f aca="false">HOUR(A5684)+MINUTE(A5684)/60</f>
        <v>18</v>
      </c>
      <c r="F5684" s="33" t="n">
        <f aca="false">IF(OR(D5684&gt;5,E5684&lt;8,E5684&gt;=18,COUNTIF($K$2:$K$10,INT(A5684))&gt;0),1,0)</f>
        <v>1</v>
      </c>
      <c r="G5684" s="34" t="n">
        <f aca="false">B5684/1</f>
        <v>170.091</v>
      </c>
      <c r="H5684" s="34" t="n">
        <f aca="false">IF(F5684=1,G5684,"")</f>
        <v>170.091</v>
      </c>
    </row>
    <row r="5685" customFormat="false" ht="15" hidden="false" customHeight="false" outlineLevel="0" collapsed="false">
      <c r="A5685" s="31" t="n">
        <v>42972.7916666667</v>
      </c>
      <c r="B5685" s="32" t="n">
        <v>166.059</v>
      </c>
      <c r="D5685" s="33" t="n">
        <f aca="false">WEEKDAY(A5685,2)</f>
        <v>5</v>
      </c>
      <c r="E5685" s="33" t="n">
        <f aca="false">HOUR(A5685)+MINUTE(A5685)/60</f>
        <v>19</v>
      </c>
      <c r="F5685" s="33" t="n">
        <f aca="false">IF(OR(D5685&gt;5,E5685&lt;8,E5685&gt;=18,COUNTIF($K$2:$K$10,INT(A5685))&gt;0),1,0)</f>
        <v>1</v>
      </c>
      <c r="G5685" s="34" t="n">
        <f aca="false">B5685/1</f>
        <v>166.059</v>
      </c>
      <c r="H5685" s="34" t="n">
        <f aca="false">IF(F5685=1,G5685,"")</f>
        <v>166.059</v>
      </c>
    </row>
    <row r="5686" customFormat="false" ht="15" hidden="false" customHeight="false" outlineLevel="0" collapsed="false">
      <c r="A5686" s="31" t="n">
        <v>42972.8333333333</v>
      </c>
      <c r="B5686" s="32" t="n">
        <v>177.822</v>
      </c>
      <c r="D5686" s="33" t="n">
        <f aca="false">WEEKDAY(A5686,2)</f>
        <v>5</v>
      </c>
      <c r="E5686" s="33" t="n">
        <f aca="false">HOUR(A5686)+MINUTE(A5686)/60</f>
        <v>20</v>
      </c>
      <c r="F5686" s="33" t="n">
        <f aca="false">IF(OR(D5686&gt;5,E5686&lt;8,E5686&gt;=18,COUNTIF($K$2:$K$10,INT(A5686))&gt;0),1,0)</f>
        <v>1</v>
      </c>
      <c r="G5686" s="34" t="n">
        <f aca="false">B5686/1</f>
        <v>177.822</v>
      </c>
      <c r="H5686" s="34" t="n">
        <f aca="false">IF(F5686=1,G5686,"")</f>
        <v>177.822</v>
      </c>
    </row>
    <row r="5687" customFormat="false" ht="15" hidden="false" customHeight="false" outlineLevel="0" collapsed="false">
      <c r="A5687" s="31" t="n">
        <v>42972.875</v>
      </c>
      <c r="B5687" s="32" t="n">
        <v>184.859</v>
      </c>
      <c r="D5687" s="33" t="n">
        <f aca="false">WEEKDAY(A5687,2)</f>
        <v>5</v>
      </c>
      <c r="E5687" s="33" t="n">
        <f aca="false">HOUR(A5687)+MINUTE(A5687)/60</f>
        <v>21</v>
      </c>
      <c r="F5687" s="33" t="n">
        <f aca="false">IF(OR(D5687&gt;5,E5687&lt;8,E5687&gt;=18,COUNTIF($K$2:$K$10,INT(A5687))&gt;0),1,0)</f>
        <v>1</v>
      </c>
      <c r="G5687" s="34" t="n">
        <f aca="false">B5687/1</f>
        <v>184.859</v>
      </c>
      <c r="H5687" s="34" t="n">
        <f aca="false">IF(F5687=1,G5687,"")</f>
        <v>184.859</v>
      </c>
    </row>
    <row r="5688" customFormat="false" ht="15" hidden="false" customHeight="false" outlineLevel="0" collapsed="false">
      <c r="A5688" s="31" t="n">
        <v>42972.9166666667</v>
      </c>
      <c r="B5688" s="32" t="n">
        <v>130.973</v>
      </c>
      <c r="D5688" s="33" t="n">
        <f aca="false">WEEKDAY(A5688,2)</f>
        <v>5</v>
      </c>
      <c r="E5688" s="33" t="n">
        <f aca="false">HOUR(A5688)+MINUTE(A5688)/60</f>
        <v>22</v>
      </c>
      <c r="F5688" s="33" t="n">
        <f aca="false">IF(OR(D5688&gt;5,E5688&lt;8,E5688&gt;=18,COUNTIF($K$2:$K$10,INT(A5688))&gt;0),1,0)</f>
        <v>1</v>
      </c>
      <c r="G5688" s="34" t="n">
        <f aca="false">B5688/1</f>
        <v>130.973</v>
      </c>
      <c r="H5688" s="34" t="n">
        <f aca="false">IF(F5688=1,G5688,"")</f>
        <v>130.973</v>
      </c>
    </row>
    <row r="5689" customFormat="false" ht="15" hidden="false" customHeight="false" outlineLevel="0" collapsed="false">
      <c r="A5689" s="31" t="n">
        <v>42972.9583333333</v>
      </c>
      <c r="B5689" s="32" t="n">
        <v>68.892</v>
      </c>
      <c r="D5689" s="33" t="n">
        <f aca="false">WEEKDAY(A5689,2)</f>
        <v>5</v>
      </c>
      <c r="E5689" s="33" t="n">
        <f aca="false">HOUR(A5689)+MINUTE(A5689)/60</f>
        <v>23</v>
      </c>
      <c r="F5689" s="33" t="n">
        <f aca="false">IF(OR(D5689&gt;5,E5689&lt;8,E5689&gt;=18,COUNTIF($K$2:$K$10,INT(A5689))&gt;0),1,0)</f>
        <v>1</v>
      </c>
      <c r="G5689" s="34" t="n">
        <f aca="false">B5689/1</f>
        <v>68.892</v>
      </c>
      <c r="H5689" s="34" t="n">
        <f aca="false">IF(F5689=1,G5689,"")</f>
        <v>68.892</v>
      </c>
    </row>
    <row r="5690" customFormat="false" ht="15" hidden="false" customHeight="false" outlineLevel="0" collapsed="false">
      <c r="A5690" s="31" t="n">
        <v>42973</v>
      </c>
      <c r="B5690" s="32" t="n">
        <v>66.98</v>
      </c>
      <c r="D5690" s="33" t="n">
        <f aca="false">WEEKDAY(A5690,2)</f>
        <v>6</v>
      </c>
      <c r="E5690" s="33" t="n">
        <f aca="false">HOUR(A5690)+MINUTE(A5690)/60</f>
        <v>0</v>
      </c>
      <c r="F5690" s="33" t="n">
        <f aca="false">IF(OR(D5690&gt;5,E5690&lt;8,E5690&gt;=18,COUNTIF($K$2:$K$10,INT(A5690))&gt;0),1,0)</f>
        <v>1</v>
      </c>
      <c r="G5690" s="34" t="n">
        <f aca="false">B5690/1</f>
        <v>66.98</v>
      </c>
      <c r="H5690" s="34" t="n">
        <f aca="false">IF(F5690=1,G5690,"")</f>
        <v>66.98</v>
      </c>
    </row>
    <row r="5691" customFormat="false" ht="15" hidden="false" customHeight="false" outlineLevel="0" collapsed="false">
      <c r="A5691" s="31" t="n">
        <v>42973.0416666667</v>
      </c>
      <c r="B5691" s="32" t="n">
        <v>66.424</v>
      </c>
      <c r="D5691" s="33" t="n">
        <f aca="false">WEEKDAY(A5691,2)</f>
        <v>6</v>
      </c>
      <c r="E5691" s="33" t="n">
        <f aca="false">HOUR(A5691)+MINUTE(A5691)/60</f>
        <v>1</v>
      </c>
      <c r="F5691" s="33" t="n">
        <f aca="false">IF(OR(D5691&gt;5,E5691&lt;8,E5691&gt;=18,COUNTIF($K$2:$K$10,INT(A5691))&gt;0),1,0)</f>
        <v>1</v>
      </c>
      <c r="G5691" s="34" t="n">
        <f aca="false">B5691/1</f>
        <v>66.424</v>
      </c>
      <c r="H5691" s="34" t="n">
        <f aca="false">IF(F5691=1,G5691,"")</f>
        <v>66.424</v>
      </c>
    </row>
    <row r="5692" customFormat="false" ht="15" hidden="false" customHeight="false" outlineLevel="0" collapsed="false">
      <c r="A5692" s="31" t="n">
        <v>42973.0833333333</v>
      </c>
      <c r="B5692" s="32" t="n">
        <v>64.713</v>
      </c>
      <c r="D5692" s="33" t="n">
        <f aca="false">WEEKDAY(A5692,2)</f>
        <v>6</v>
      </c>
      <c r="E5692" s="33" t="n">
        <f aca="false">HOUR(A5692)+MINUTE(A5692)/60</f>
        <v>2</v>
      </c>
      <c r="F5692" s="33" t="n">
        <f aca="false">IF(OR(D5692&gt;5,E5692&lt;8,E5692&gt;=18,COUNTIF($K$2:$K$10,INT(A5692))&gt;0),1,0)</f>
        <v>1</v>
      </c>
      <c r="G5692" s="34" t="n">
        <f aca="false">B5692/1</f>
        <v>64.713</v>
      </c>
      <c r="H5692" s="34" t="n">
        <f aca="false">IF(F5692=1,G5692,"")</f>
        <v>64.713</v>
      </c>
    </row>
    <row r="5693" customFormat="false" ht="15" hidden="false" customHeight="false" outlineLevel="0" collapsed="false">
      <c r="A5693" s="31" t="n">
        <v>42973.125</v>
      </c>
      <c r="B5693" s="32" t="n">
        <v>65.74</v>
      </c>
      <c r="D5693" s="33" t="n">
        <f aca="false">WEEKDAY(A5693,2)</f>
        <v>6</v>
      </c>
      <c r="E5693" s="33" t="n">
        <f aca="false">HOUR(A5693)+MINUTE(A5693)/60</f>
        <v>3</v>
      </c>
      <c r="F5693" s="33" t="n">
        <f aca="false">IF(OR(D5693&gt;5,E5693&lt;8,E5693&gt;=18,COUNTIF($K$2:$K$10,INT(A5693))&gt;0),1,0)</f>
        <v>1</v>
      </c>
      <c r="G5693" s="34" t="n">
        <f aca="false">B5693/1</f>
        <v>65.74</v>
      </c>
      <c r="H5693" s="34" t="n">
        <f aca="false">IF(F5693=1,G5693,"")</f>
        <v>65.74</v>
      </c>
    </row>
    <row r="5694" customFormat="false" ht="15" hidden="false" customHeight="false" outlineLevel="0" collapsed="false">
      <c r="A5694" s="31" t="n">
        <v>42973.1666666667</v>
      </c>
      <c r="B5694" s="32" t="n">
        <v>65.44</v>
      </c>
      <c r="D5694" s="33" t="n">
        <f aca="false">WEEKDAY(A5694,2)</f>
        <v>6</v>
      </c>
      <c r="E5694" s="33" t="n">
        <f aca="false">HOUR(A5694)+MINUTE(A5694)/60</f>
        <v>4</v>
      </c>
      <c r="F5694" s="33" t="n">
        <f aca="false">IF(OR(D5694&gt;5,E5694&lt;8,E5694&gt;=18,COUNTIF($K$2:$K$10,INT(A5694))&gt;0),1,0)</f>
        <v>1</v>
      </c>
      <c r="G5694" s="34" t="n">
        <f aca="false">B5694/1</f>
        <v>65.44</v>
      </c>
      <c r="H5694" s="34" t="n">
        <f aca="false">IF(F5694=1,G5694,"")</f>
        <v>65.44</v>
      </c>
    </row>
    <row r="5695" customFormat="false" ht="15" hidden="false" customHeight="false" outlineLevel="0" collapsed="false">
      <c r="A5695" s="31" t="n">
        <v>42973.2083333333</v>
      </c>
      <c r="B5695" s="32" t="n">
        <v>66.097</v>
      </c>
      <c r="D5695" s="33" t="n">
        <f aca="false">WEEKDAY(A5695,2)</f>
        <v>6</v>
      </c>
      <c r="E5695" s="33" t="n">
        <f aca="false">HOUR(A5695)+MINUTE(A5695)/60</f>
        <v>5</v>
      </c>
      <c r="F5695" s="33" t="n">
        <f aca="false">IF(OR(D5695&gt;5,E5695&lt;8,E5695&gt;=18,COUNTIF($K$2:$K$10,INT(A5695))&gt;0),1,0)</f>
        <v>1</v>
      </c>
      <c r="G5695" s="34" t="n">
        <f aca="false">B5695/1</f>
        <v>66.097</v>
      </c>
      <c r="H5695" s="34" t="n">
        <f aca="false">IF(F5695=1,G5695,"")</f>
        <v>66.097</v>
      </c>
    </row>
    <row r="5696" customFormat="false" ht="15" hidden="false" customHeight="false" outlineLevel="0" collapsed="false">
      <c r="A5696" s="31" t="n">
        <v>42973.25</v>
      </c>
      <c r="B5696" s="32" t="n">
        <v>66.05</v>
      </c>
      <c r="D5696" s="33" t="n">
        <f aca="false">WEEKDAY(A5696,2)</f>
        <v>6</v>
      </c>
      <c r="E5696" s="33" t="n">
        <f aca="false">HOUR(A5696)+MINUTE(A5696)/60</f>
        <v>6</v>
      </c>
      <c r="F5696" s="33" t="n">
        <f aca="false">IF(OR(D5696&gt;5,E5696&lt;8,E5696&gt;=18,COUNTIF($K$2:$K$10,INT(A5696))&gt;0),1,0)</f>
        <v>1</v>
      </c>
      <c r="G5696" s="34" t="n">
        <f aca="false">B5696/1</f>
        <v>66.05</v>
      </c>
      <c r="H5696" s="34" t="n">
        <f aca="false">IF(F5696=1,G5696,"")</f>
        <v>66.05</v>
      </c>
    </row>
    <row r="5697" customFormat="false" ht="15" hidden="false" customHeight="false" outlineLevel="0" collapsed="false">
      <c r="A5697" s="31" t="n">
        <v>42973.2916666667</v>
      </c>
      <c r="B5697" s="32" t="n">
        <v>66.671</v>
      </c>
      <c r="D5697" s="33" t="n">
        <f aca="false">WEEKDAY(A5697,2)</f>
        <v>6</v>
      </c>
      <c r="E5697" s="33" t="n">
        <f aca="false">HOUR(A5697)+MINUTE(A5697)/60</f>
        <v>7</v>
      </c>
      <c r="F5697" s="33" t="n">
        <f aca="false">IF(OR(D5697&gt;5,E5697&lt;8,E5697&gt;=18,COUNTIF($K$2:$K$10,INT(A5697))&gt;0),1,0)</f>
        <v>1</v>
      </c>
      <c r="G5697" s="34" t="n">
        <f aca="false">B5697/1</f>
        <v>66.671</v>
      </c>
      <c r="H5697" s="34" t="n">
        <f aca="false">IF(F5697=1,G5697,"")</f>
        <v>66.671</v>
      </c>
    </row>
    <row r="5698" customFormat="false" ht="15" hidden="false" customHeight="false" outlineLevel="0" collapsed="false">
      <c r="A5698" s="31" t="n">
        <v>42973.3333333333</v>
      </c>
      <c r="B5698" s="32" t="n">
        <v>134.791</v>
      </c>
      <c r="D5698" s="33" t="n">
        <f aca="false">WEEKDAY(A5698,2)</f>
        <v>6</v>
      </c>
      <c r="E5698" s="33" t="n">
        <f aca="false">HOUR(A5698)+MINUTE(A5698)/60</f>
        <v>8</v>
      </c>
      <c r="F5698" s="33" t="n">
        <f aca="false">IF(OR(D5698&gt;5,E5698&lt;8,E5698&gt;=18,COUNTIF($K$2:$K$10,INT(A5698))&gt;0),1,0)</f>
        <v>1</v>
      </c>
      <c r="G5698" s="34" t="n">
        <f aca="false">B5698/1</f>
        <v>134.791</v>
      </c>
      <c r="H5698" s="34" t="n">
        <f aca="false">IF(F5698=1,G5698,"")</f>
        <v>134.791</v>
      </c>
    </row>
    <row r="5699" customFormat="false" ht="15" hidden="false" customHeight="false" outlineLevel="0" collapsed="false">
      <c r="A5699" s="31" t="n">
        <v>42973.375</v>
      </c>
      <c r="B5699" s="32" t="n">
        <v>180.138</v>
      </c>
      <c r="D5699" s="33" t="n">
        <f aca="false">WEEKDAY(A5699,2)</f>
        <v>6</v>
      </c>
      <c r="E5699" s="33" t="n">
        <f aca="false">HOUR(A5699)+MINUTE(A5699)/60</f>
        <v>9</v>
      </c>
      <c r="F5699" s="33" t="n">
        <f aca="false">IF(OR(D5699&gt;5,E5699&lt;8,E5699&gt;=18,COUNTIF($K$2:$K$10,INT(A5699))&gt;0),1,0)</f>
        <v>1</v>
      </c>
      <c r="G5699" s="34" t="n">
        <f aca="false">B5699/1</f>
        <v>180.138</v>
      </c>
      <c r="H5699" s="34" t="n">
        <f aca="false">IF(F5699=1,G5699,"")</f>
        <v>180.138</v>
      </c>
    </row>
    <row r="5700" customFormat="false" ht="15" hidden="false" customHeight="false" outlineLevel="0" collapsed="false">
      <c r="A5700" s="31" t="n">
        <v>42973.4166666667</v>
      </c>
      <c r="B5700" s="32" t="n">
        <v>185.303</v>
      </c>
      <c r="D5700" s="33" t="n">
        <f aca="false">WEEKDAY(A5700,2)</f>
        <v>6</v>
      </c>
      <c r="E5700" s="33" t="n">
        <f aca="false">HOUR(A5700)+MINUTE(A5700)/60</f>
        <v>10</v>
      </c>
      <c r="F5700" s="33" t="n">
        <f aca="false">IF(OR(D5700&gt;5,E5700&lt;8,E5700&gt;=18,COUNTIF($K$2:$K$10,INT(A5700))&gt;0),1,0)</f>
        <v>1</v>
      </c>
      <c r="G5700" s="34" t="n">
        <f aca="false">B5700/1</f>
        <v>185.303</v>
      </c>
      <c r="H5700" s="34" t="n">
        <f aca="false">IF(F5700=1,G5700,"")</f>
        <v>185.303</v>
      </c>
    </row>
    <row r="5701" customFormat="false" ht="15" hidden="false" customHeight="false" outlineLevel="0" collapsed="false">
      <c r="A5701" s="31" t="n">
        <v>42973.4583333333</v>
      </c>
      <c r="B5701" s="32" t="n">
        <v>188.285</v>
      </c>
      <c r="D5701" s="33" t="n">
        <f aca="false">WEEKDAY(A5701,2)</f>
        <v>6</v>
      </c>
      <c r="E5701" s="33" t="n">
        <f aca="false">HOUR(A5701)+MINUTE(A5701)/60</f>
        <v>11</v>
      </c>
      <c r="F5701" s="33" t="n">
        <f aca="false">IF(OR(D5701&gt;5,E5701&lt;8,E5701&gt;=18,COUNTIF($K$2:$K$10,INT(A5701))&gt;0),1,0)</f>
        <v>1</v>
      </c>
      <c r="G5701" s="34" t="n">
        <f aca="false">B5701/1</f>
        <v>188.285</v>
      </c>
      <c r="H5701" s="34" t="n">
        <f aca="false">IF(F5701=1,G5701,"")</f>
        <v>188.285</v>
      </c>
    </row>
    <row r="5702" customFormat="false" ht="15" hidden="false" customHeight="false" outlineLevel="0" collapsed="false">
      <c r="A5702" s="31" t="n">
        <v>42973.5</v>
      </c>
      <c r="B5702" s="32" t="n">
        <v>189.945</v>
      </c>
      <c r="D5702" s="33" t="n">
        <f aca="false">WEEKDAY(A5702,2)</f>
        <v>6</v>
      </c>
      <c r="E5702" s="33" t="n">
        <f aca="false">HOUR(A5702)+MINUTE(A5702)/60</f>
        <v>12</v>
      </c>
      <c r="F5702" s="33" t="n">
        <f aca="false">IF(OR(D5702&gt;5,E5702&lt;8,E5702&gt;=18,COUNTIF($K$2:$K$10,INT(A5702))&gt;0),1,0)</f>
        <v>1</v>
      </c>
      <c r="G5702" s="34" t="n">
        <f aca="false">B5702/1</f>
        <v>189.945</v>
      </c>
      <c r="H5702" s="34" t="n">
        <f aca="false">IF(F5702=1,G5702,"")</f>
        <v>189.945</v>
      </c>
    </row>
    <row r="5703" customFormat="false" ht="15" hidden="false" customHeight="false" outlineLevel="0" collapsed="false">
      <c r="A5703" s="31" t="n">
        <v>42973.5416666667</v>
      </c>
      <c r="B5703" s="32" t="n">
        <v>191.276</v>
      </c>
      <c r="D5703" s="33" t="n">
        <f aca="false">WEEKDAY(A5703,2)</f>
        <v>6</v>
      </c>
      <c r="E5703" s="33" t="n">
        <f aca="false">HOUR(A5703)+MINUTE(A5703)/60</f>
        <v>13</v>
      </c>
      <c r="F5703" s="33" t="n">
        <f aca="false">IF(OR(D5703&gt;5,E5703&lt;8,E5703&gt;=18,COUNTIF($K$2:$K$10,INT(A5703))&gt;0),1,0)</f>
        <v>1</v>
      </c>
      <c r="G5703" s="34" t="n">
        <f aca="false">B5703/1</f>
        <v>191.276</v>
      </c>
      <c r="H5703" s="34" t="n">
        <f aca="false">IF(F5703=1,G5703,"")</f>
        <v>191.276</v>
      </c>
    </row>
    <row r="5704" customFormat="false" ht="15" hidden="false" customHeight="false" outlineLevel="0" collapsed="false">
      <c r="A5704" s="31" t="n">
        <v>42973.5833333333</v>
      </c>
      <c r="B5704" s="32" t="n">
        <v>192.691</v>
      </c>
      <c r="D5704" s="33" t="n">
        <f aca="false">WEEKDAY(A5704,2)</f>
        <v>6</v>
      </c>
      <c r="E5704" s="33" t="n">
        <f aca="false">HOUR(A5704)+MINUTE(A5704)/60</f>
        <v>14</v>
      </c>
      <c r="F5704" s="33" t="n">
        <f aca="false">IF(OR(D5704&gt;5,E5704&lt;8,E5704&gt;=18,COUNTIF($K$2:$K$10,INT(A5704))&gt;0),1,0)</f>
        <v>1</v>
      </c>
      <c r="G5704" s="34" t="n">
        <f aca="false">B5704/1</f>
        <v>192.691</v>
      </c>
      <c r="H5704" s="34" t="n">
        <f aca="false">IF(F5704=1,G5704,"")</f>
        <v>192.691</v>
      </c>
    </row>
    <row r="5705" customFormat="false" ht="15" hidden="false" customHeight="false" outlineLevel="0" collapsed="false">
      <c r="A5705" s="31" t="n">
        <v>42973.625</v>
      </c>
      <c r="B5705" s="32" t="n">
        <v>193.624</v>
      </c>
      <c r="D5705" s="33" t="n">
        <f aca="false">WEEKDAY(A5705,2)</f>
        <v>6</v>
      </c>
      <c r="E5705" s="33" t="n">
        <f aca="false">HOUR(A5705)+MINUTE(A5705)/60</f>
        <v>15</v>
      </c>
      <c r="F5705" s="33" t="n">
        <f aca="false">IF(OR(D5705&gt;5,E5705&lt;8,E5705&gt;=18,COUNTIF($K$2:$K$10,INT(A5705))&gt;0),1,0)</f>
        <v>1</v>
      </c>
      <c r="G5705" s="34" t="n">
        <f aca="false">B5705/1</f>
        <v>193.624</v>
      </c>
      <c r="H5705" s="34" t="n">
        <f aca="false">IF(F5705=1,G5705,"")</f>
        <v>193.624</v>
      </c>
    </row>
    <row r="5706" customFormat="false" ht="15" hidden="false" customHeight="false" outlineLevel="0" collapsed="false">
      <c r="A5706" s="31" t="n">
        <v>42973.6666666667</v>
      </c>
      <c r="B5706" s="32" t="n">
        <v>190.745</v>
      </c>
      <c r="D5706" s="33" t="n">
        <f aca="false">WEEKDAY(A5706,2)</f>
        <v>6</v>
      </c>
      <c r="E5706" s="33" t="n">
        <f aca="false">HOUR(A5706)+MINUTE(A5706)/60</f>
        <v>16</v>
      </c>
      <c r="F5706" s="33" t="n">
        <f aca="false">IF(OR(D5706&gt;5,E5706&lt;8,E5706&gt;=18,COUNTIF($K$2:$K$10,INT(A5706))&gt;0),1,0)</f>
        <v>1</v>
      </c>
      <c r="G5706" s="34" t="n">
        <f aca="false">B5706/1</f>
        <v>190.745</v>
      </c>
      <c r="H5706" s="34" t="n">
        <f aca="false">IF(F5706=1,G5706,"")</f>
        <v>190.745</v>
      </c>
    </row>
    <row r="5707" customFormat="false" ht="15" hidden="false" customHeight="false" outlineLevel="0" collapsed="false">
      <c r="A5707" s="31" t="n">
        <v>42973.7083333333</v>
      </c>
      <c r="B5707" s="32" t="n">
        <v>182.335</v>
      </c>
      <c r="D5707" s="33" t="n">
        <f aca="false">WEEKDAY(A5707,2)</f>
        <v>6</v>
      </c>
      <c r="E5707" s="33" t="n">
        <f aca="false">HOUR(A5707)+MINUTE(A5707)/60</f>
        <v>17</v>
      </c>
      <c r="F5707" s="33" t="n">
        <f aca="false">IF(OR(D5707&gt;5,E5707&lt;8,E5707&gt;=18,COUNTIF($K$2:$K$10,INT(A5707))&gt;0),1,0)</f>
        <v>1</v>
      </c>
      <c r="G5707" s="34" t="n">
        <f aca="false">B5707/1</f>
        <v>182.335</v>
      </c>
      <c r="H5707" s="34" t="n">
        <f aca="false">IF(F5707=1,G5707,"")</f>
        <v>182.335</v>
      </c>
    </row>
    <row r="5708" customFormat="false" ht="15" hidden="false" customHeight="false" outlineLevel="0" collapsed="false">
      <c r="A5708" s="31" t="n">
        <v>42973.75</v>
      </c>
      <c r="B5708" s="32" t="n">
        <v>88.903</v>
      </c>
      <c r="D5708" s="33" t="n">
        <f aca="false">WEEKDAY(A5708,2)</f>
        <v>6</v>
      </c>
      <c r="E5708" s="33" t="n">
        <f aca="false">HOUR(A5708)+MINUTE(A5708)/60</f>
        <v>18</v>
      </c>
      <c r="F5708" s="33" t="n">
        <f aca="false">IF(OR(D5708&gt;5,E5708&lt;8,E5708&gt;=18,COUNTIF($K$2:$K$10,INT(A5708))&gt;0),1,0)</f>
        <v>1</v>
      </c>
      <c r="G5708" s="34" t="n">
        <f aca="false">B5708/1</f>
        <v>88.903</v>
      </c>
      <c r="H5708" s="34" t="n">
        <f aca="false">IF(F5708=1,G5708,"")</f>
        <v>88.903</v>
      </c>
    </row>
    <row r="5709" customFormat="false" ht="15" hidden="false" customHeight="false" outlineLevel="0" collapsed="false">
      <c r="A5709" s="31" t="n">
        <v>42973.7916666667</v>
      </c>
      <c r="B5709" s="32" t="n">
        <v>71.087</v>
      </c>
      <c r="D5709" s="33" t="n">
        <f aca="false">WEEKDAY(A5709,2)</f>
        <v>6</v>
      </c>
      <c r="E5709" s="33" t="n">
        <f aca="false">HOUR(A5709)+MINUTE(A5709)/60</f>
        <v>19</v>
      </c>
      <c r="F5709" s="33" t="n">
        <f aca="false">IF(OR(D5709&gt;5,E5709&lt;8,E5709&gt;=18,COUNTIF($K$2:$K$10,INT(A5709))&gt;0),1,0)</f>
        <v>1</v>
      </c>
      <c r="G5709" s="34" t="n">
        <f aca="false">B5709/1</f>
        <v>71.087</v>
      </c>
      <c r="H5709" s="34" t="n">
        <f aca="false">IF(F5709=1,G5709,"")</f>
        <v>71.087</v>
      </c>
    </row>
    <row r="5710" customFormat="false" ht="15" hidden="false" customHeight="false" outlineLevel="0" collapsed="false">
      <c r="A5710" s="31" t="n">
        <v>42973.8333333333</v>
      </c>
      <c r="B5710" s="32" t="n">
        <v>70.044</v>
      </c>
      <c r="D5710" s="33" t="n">
        <f aca="false">WEEKDAY(A5710,2)</f>
        <v>6</v>
      </c>
      <c r="E5710" s="33" t="n">
        <f aca="false">HOUR(A5710)+MINUTE(A5710)/60</f>
        <v>20</v>
      </c>
      <c r="F5710" s="33" t="n">
        <f aca="false">IF(OR(D5710&gt;5,E5710&lt;8,E5710&gt;=18,COUNTIF($K$2:$K$10,INT(A5710))&gt;0),1,0)</f>
        <v>1</v>
      </c>
      <c r="G5710" s="34" t="n">
        <f aca="false">B5710/1</f>
        <v>70.044</v>
      </c>
      <c r="H5710" s="34" t="n">
        <f aca="false">IF(F5710=1,G5710,"")</f>
        <v>70.044</v>
      </c>
    </row>
    <row r="5711" customFormat="false" ht="15" hidden="false" customHeight="false" outlineLevel="0" collapsed="false">
      <c r="A5711" s="31" t="n">
        <v>42973.875</v>
      </c>
      <c r="B5711" s="32" t="n">
        <v>75.101</v>
      </c>
      <c r="D5711" s="33" t="n">
        <f aca="false">WEEKDAY(A5711,2)</f>
        <v>6</v>
      </c>
      <c r="E5711" s="33" t="n">
        <f aca="false">HOUR(A5711)+MINUTE(A5711)/60</f>
        <v>21</v>
      </c>
      <c r="F5711" s="33" t="n">
        <f aca="false">IF(OR(D5711&gt;5,E5711&lt;8,E5711&gt;=18,COUNTIF($K$2:$K$10,INT(A5711))&gt;0),1,0)</f>
        <v>1</v>
      </c>
      <c r="G5711" s="34" t="n">
        <f aca="false">B5711/1</f>
        <v>75.101</v>
      </c>
      <c r="H5711" s="34" t="n">
        <f aca="false">IF(F5711=1,G5711,"")</f>
        <v>75.101</v>
      </c>
    </row>
    <row r="5712" customFormat="false" ht="15" hidden="false" customHeight="false" outlineLevel="0" collapsed="false">
      <c r="A5712" s="31" t="n">
        <v>42973.9166666667</v>
      </c>
      <c r="B5712" s="32" t="n">
        <v>75.049</v>
      </c>
      <c r="D5712" s="33" t="n">
        <f aca="false">WEEKDAY(A5712,2)</f>
        <v>6</v>
      </c>
      <c r="E5712" s="33" t="n">
        <f aca="false">HOUR(A5712)+MINUTE(A5712)/60</f>
        <v>22</v>
      </c>
      <c r="F5712" s="33" t="n">
        <f aca="false">IF(OR(D5712&gt;5,E5712&lt;8,E5712&gt;=18,COUNTIF($K$2:$K$10,INT(A5712))&gt;0),1,0)</f>
        <v>1</v>
      </c>
      <c r="G5712" s="34" t="n">
        <f aca="false">B5712/1</f>
        <v>75.049</v>
      </c>
      <c r="H5712" s="34" t="n">
        <f aca="false">IF(F5712=1,G5712,"")</f>
        <v>75.049</v>
      </c>
    </row>
    <row r="5713" customFormat="false" ht="15" hidden="false" customHeight="false" outlineLevel="0" collapsed="false">
      <c r="A5713" s="31" t="n">
        <v>42973.9583333333</v>
      </c>
      <c r="B5713" s="32" t="n">
        <v>75.298</v>
      </c>
      <c r="D5713" s="33" t="n">
        <f aca="false">WEEKDAY(A5713,2)</f>
        <v>6</v>
      </c>
      <c r="E5713" s="33" t="n">
        <f aca="false">HOUR(A5713)+MINUTE(A5713)/60</f>
        <v>23</v>
      </c>
      <c r="F5713" s="33" t="n">
        <f aca="false">IF(OR(D5713&gt;5,E5713&lt;8,E5713&gt;=18,COUNTIF($K$2:$K$10,INT(A5713))&gt;0),1,0)</f>
        <v>1</v>
      </c>
      <c r="G5713" s="34" t="n">
        <f aca="false">B5713/1</f>
        <v>75.298</v>
      </c>
      <c r="H5713" s="34" t="n">
        <f aca="false">IF(F5713=1,G5713,"")</f>
        <v>75.298</v>
      </c>
    </row>
    <row r="5714" customFormat="false" ht="15" hidden="false" customHeight="false" outlineLevel="0" collapsed="false">
      <c r="A5714" s="31" t="n">
        <v>42974</v>
      </c>
      <c r="B5714" s="32" t="n">
        <v>74.031</v>
      </c>
      <c r="D5714" s="33" t="n">
        <f aca="false">WEEKDAY(A5714,2)</f>
        <v>7</v>
      </c>
      <c r="E5714" s="33" t="n">
        <f aca="false">HOUR(A5714)+MINUTE(A5714)/60</f>
        <v>0</v>
      </c>
      <c r="F5714" s="33" t="n">
        <f aca="false">IF(OR(D5714&gt;5,E5714&lt;8,E5714&gt;=18,COUNTIF($K$2:$K$10,INT(A5714))&gt;0),1,0)</f>
        <v>1</v>
      </c>
      <c r="G5714" s="34" t="n">
        <f aca="false">B5714/1</f>
        <v>74.031</v>
      </c>
      <c r="H5714" s="34" t="n">
        <f aca="false">IF(F5714=1,G5714,"")</f>
        <v>74.031</v>
      </c>
    </row>
    <row r="5715" customFormat="false" ht="15" hidden="false" customHeight="false" outlineLevel="0" collapsed="false">
      <c r="A5715" s="31" t="n">
        <v>42974.0416666667</v>
      </c>
      <c r="B5715" s="32" t="n">
        <v>74.413</v>
      </c>
      <c r="D5715" s="33" t="n">
        <f aca="false">WEEKDAY(A5715,2)</f>
        <v>7</v>
      </c>
      <c r="E5715" s="33" t="n">
        <f aca="false">HOUR(A5715)+MINUTE(A5715)/60</f>
        <v>1</v>
      </c>
      <c r="F5715" s="33" t="n">
        <f aca="false">IF(OR(D5715&gt;5,E5715&lt;8,E5715&gt;=18,COUNTIF($K$2:$K$10,INT(A5715))&gt;0),1,0)</f>
        <v>1</v>
      </c>
      <c r="G5715" s="34" t="n">
        <f aca="false">B5715/1</f>
        <v>74.413</v>
      </c>
      <c r="H5715" s="34" t="n">
        <f aca="false">IF(F5715=1,G5715,"")</f>
        <v>74.413</v>
      </c>
    </row>
    <row r="5716" customFormat="false" ht="15" hidden="false" customHeight="false" outlineLevel="0" collapsed="false">
      <c r="A5716" s="31" t="n">
        <v>42974.0833333333</v>
      </c>
      <c r="B5716" s="32" t="n">
        <v>75.568</v>
      </c>
      <c r="D5716" s="33" t="n">
        <f aca="false">WEEKDAY(A5716,2)</f>
        <v>7</v>
      </c>
      <c r="E5716" s="33" t="n">
        <f aca="false">HOUR(A5716)+MINUTE(A5716)/60</f>
        <v>2</v>
      </c>
      <c r="F5716" s="33" t="n">
        <f aca="false">IF(OR(D5716&gt;5,E5716&lt;8,E5716&gt;=18,COUNTIF($K$2:$K$10,INT(A5716))&gt;0),1,0)</f>
        <v>1</v>
      </c>
      <c r="G5716" s="34" t="n">
        <f aca="false">B5716/1</f>
        <v>75.568</v>
      </c>
      <c r="H5716" s="34" t="n">
        <f aca="false">IF(F5716=1,G5716,"")</f>
        <v>75.568</v>
      </c>
    </row>
    <row r="5717" customFormat="false" ht="15" hidden="false" customHeight="false" outlineLevel="0" collapsed="false">
      <c r="A5717" s="31" t="n">
        <v>42974.125</v>
      </c>
      <c r="B5717" s="32" t="n">
        <v>74.447</v>
      </c>
      <c r="D5717" s="33" t="n">
        <f aca="false">WEEKDAY(A5717,2)</f>
        <v>7</v>
      </c>
      <c r="E5717" s="33" t="n">
        <f aca="false">HOUR(A5717)+MINUTE(A5717)/60</f>
        <v>3</v>
      </c>
      <c r="F5717" s="33" t="n">
        <f aca="false">IF(OR(D5717&gt;5,E5717&lt;8,E5717&gt;=18,COUNTIF($K$2:$K$10,INT(A5717))&gt;0),1,0)</f>
        <v>1</v>
      </c>
      <c r="G5717" s="34" t="n">
        <f aca="false">B5717/1</f>
        <v>74.447</v>
      </c>
      <c r="H5717" s="34" t="n">
        <f aca="false">IF(F5717=1,G5717,"")</f>
        <v>74.447</v>
      </c>
    </row>
    <row r="5718" customFormat="false" ht="15" hidden="false" customHeight="false" outlineLevel="0" collapsed="false">
      <c r="A5718" s="31" t="n">
        <v>42974.1666666667</v>
      </c>
      <c r="B5718" s="32" t="n">
        <v>74.807</v>
      </c>
      <c r="D5718" s="33" t="n">
        <f aca="false">WEEKDAY(A5718,2)</f>
        <v>7</v>
      </c>
      <c r="E5718" s="33" t="n">
        <f aca="false">HOUR(A5718)+MINUTE(A5718)/60</f>
        <v>4</v>
      </c>
      <c r="F5718" s="33" t="n">
        <f aca="false">IF(OR(D5718&gt;5,E5718&lt;8,E5718&gt;=18,COUNTIF($K$2:$K$10,INT(A5718))&gt;0),1,0)</f>
        <v>1</v>
      </c>
      <c r="G5718" s="34" t="n">
        <f aca="false">B5718/1</f>
        <v>74.807</v>
      </c>
      <c r="H5718" s="34" t="n">
        <f aca="false">IF(F5718=1,G5718,"")</f>
        <v>74.807</v>
      </c>
    </row>
    <row r="5719" customFormat="false" ht="15" hidden="false" customHeight="false" outlineLevel="0" collapsed="false">
      <c r="A5719" s="31" t="n">
        <v>42974.2083333333</v>
      </c>
      <c r="B5719" s="32" t="n">
        <v>75.096</v>
      </c>
      <c r="D5719" s="33" t="n">
        <f aca="false">WEEKDAY(A5719,2)</f>
        <v>7</v>
      </c>
      <c r="E5719" s="33" t="n">
        <f aca="false">HOUR(A5719)+MINUTE(A5719)/60</f>
        <v>5</v>
      </c>
      <c r="F5719" s="33" t="n">
        <f aca="false">IF(OR(D5719&gt;5,E5719&lt;8,E5719&gt;=18,COUNTIF($K$2:$K$10,INT(A5719))&gt;0),1,0)</f>
        <v>1</v>
      </c>
      <c r="G5719" s="34" t="n">
        <f aca="false">B5719/1</f>
        <v>75.096</v>
      </c>
      <c r="H5719" s="34" t="n">
        <f aca="false">IF(F5719=1,G5719,"")</f>
        <v>75.096</v>
      </c>
    </row>
    <row r="5720" customFormat="false" ht="15" hidden="false" customHeight="false" outlineLevel="0" collapsed="false">
      <c r="A5720" s="31" t="n">
        <v>42974.25</v>
      </c>
      <c r="B5720" s="32" t="n">
        <v>72.856</v>
      </c>
      <c r="D5720" s="33" t="n">
        <f aca="false">WEEKDAY(A5720,2)</f>
        <v>7</v>
      </c>
      <c r="E5720" s="33" t="n">
        <f aca="false">HOUR(A5720)+MINUTE(A5720)/60</f>
        <v>6</v>
      </c>
      <c r="F5720" s="33" t="n">
        <f aca="false">IF(OR(D5720&gt;5,E5720&lt;8,E5720&gt;=18,COUNTIF($K$2:$K$10,INT(A5720))&gt;0),1,0)</f>
        <v>1</v>
      </c>
      <c r="G5720" s="34" t="n">
        <f aca="false">B5720/1</f>
        <v>72.856</v>
      </c>
      <c r="H5720" s="34" t="n">
        <f aca="false">IF(F5720=1,G5720,"")</f>
        <v>72.856</v>
      </c>
    </row>
    <row r="5721" customFormat="false" ht="15" hidden="false" customHeight="false" outlineLevel="0" collapsed="false">
      <c r="A5721" s="31" t="n">
        <v>42974.2916666667</v>
      </c>
      <c r="B5721" s="32" t="n">
        <v>76.191</v>
      </c>
      <c r="D5721" s="33" t="n">
        <f aca="false">WEEKDAY(A5721,2)</f>
        <v>7</v>
      </c>
      <c r="E5721" s="33" t="n">
        <f aca="false">HOUR(A5721)+MINUTE(A5721)/60</f>
        <v>7</v>
      </c>
      <c r="F5721" s="33" t="n">
        <f aca="false">IF(OR(D5721&gt;5,E5721&lt;8,E5721&gt;=18,COUNTIF($K$2:$K$10,INT(A5721))&gt;0),1,0)</f>
        <v>1</v>
      </c>
      <c r="G5721" s="34" t="n">
        <f aca="false">B5721/1</f>
        <v>76.191</v>
      </c>
      <c r="H5721" s="34" t="n">
        <f aca="false">IF(F5721=1,G5721,"")</f>
        <v>76.191</v>
      </c>
    </row>
    <row r="5722" customFormat="false" ht="15" hidden="false" customHeight="false" outlineLevel="0" collapsed="false">
      <c r="A5722" s="31" t="n">
        <v>42974.3333333333</v>
      </c>
      <c r="B5722" s="32" t="n">
        <v>74.979</v>
      </c>
      <c r="D5722" s="33" t="n">
        <f aca="false">WEEKDAY(A5722,2)</f>
        <v>7</v>
      </c>
      <c r="E5722" s="33" t="n">
        <f aca="false">HOUR(A5722)+MINUTE(A5722)/60</f>
        <v>8</v>
      </c>
      <c r="F5722" s="33" t="n">
        <f aca="false">IF(OR(D5722&gt;5,E5722&lt;8,E5722&gt;=18,COUNTIF($K$2:$K$10,INT(A5722))&gt;0),1,0)</f>
        <v>1</v>
      </c>
      <c r="G5722" s="34" t="n">
        <f aca="false">B5722/1</f>
        <v>74.979</v>
      </c>
      <c r="H5722" s="34" t="n">
        <f aca="false">IF(F5722=1,G5722,"")</f>
        <v>74.979</v>
      </c>
    </row>
    <row r="5723" customFormat="false" ht="15" hidden="false" customHeight="false" outlineLevel="0" collapsed="false">
      <c r="A5723" s="31" t="n">
        <v>42974.375</v>
      </c>
      <c r="B5723" s="32" t="n">
        <v>72.992</v>
      </c>
      <c r="D5723" s="33" t="n">
        <f aca="false">WEEKDAY(A5723,2)</f>
        <v>7</v>
      </c>
      <c r="E5723" s="33" t="n">
        <f aca="false">HOUR(A5723)+MINUTE(A5723)/60</f>
        <v>9</v>
      </c>
      <c r="F5723" s="33" t="n">
        <f aca="false">IF(OR(D5723&gt;5,E5723&lt;8,E5723&gt;=18,COUNTIF($K$2:$K$10,INT(A5723))&gt;0),1,0)</f>
        <v>1</v>
      </c>
      <c r="G5723" s="34" t="n">
        <f aca="false">B5723/1</f>
        <v>72.992</v>
      </c>
      <c r="H5723" s="34" t="n">
        <f aca="false">IF(F5723=1,G5723,"")</f>
        <v>72.992</v>
      </c>
    </row>
    <row r="5724" customFormat="false" ht="15" hidden="false" customHeight="false" outlineLevel="0" collapsed="false">
      <c r="A5724" s="31" t="n">
        <v>42974.4166666667</v>
      </c>
      <c r="B5724" s="32" t="n">
        <v>73.258</v>
      </c>
      <c r="D5724" s="33" t="n">
        <f aca="false">WEEKDAY(A5724,2)</f>
        <v>7</v>
      </c>
      <c r="E5724" s="33" t="n">
        <f aca="false">HOUR(A5724)+MINUTE(A5724)/60</f>
        <v>10</v>
      </c>
      <c r="F5724" s="33" t="n">
        <f aca="false">IF(OR(D5724&gt;5,E5724&lt;8,E5724&gt;=18,COUNTIF($K$2:$K$10,INT(A5724))&gt;0),1,0)</f>
        <v>1</v>
      </c>
      <c r="G5724" s="34" t="n">
        <f aca="false">B5724/1</f>
        <v>73.258</v>
      </c>
      <c r="H5724" s="34" t="n">
        <f aca="false">IF(F5724=1,G5724,"")</f>
        <v>73.258</v>
      </c>
    </row>
    <row r="5725" customFormat="false" ht="15" hidden="false" customHeight="false" outlineLevel="0" collapsed="false">
      <c r="A5725" s="31" t="n">
        <v>42974.4583333333</v>
      </c>
      <c r="B5725" s="32" t="n">
        <v>72.671</v>
      </c>
      <c r="D5725" s="33" t="n">
        <f aca="false">WEEKDAY(A5725,2)</f>
        <v>7</v>
      </c>
      <c r="E5725" s="33" t="n">
        <f aca="false">HOUR(A5725)+MINUTE(A5725)/60</f>
        <v>11</v>
      </c>
      <c r="F5725" s="33" t="n">
        <f aca="false">IF(OR(D5725&gt;5,E5725&lt;8,E5725&gt;=18,COUNTIF($K$2:$K$10,INT(A5725))&gt;0),1,0)</f>
        <v>1</v>
      </c>
      <c r="G5725" s="34" t="n">
        <f aca="false">B5725/1</f>
        <v>72.671</v>
      </c>
      <c r="H5725" s="34" t="n">
        <f aca="false">IF(F5725=1,G5725,"")</f>
        <v>72.671</v>
      </c>
    </row>
    <row r="5726" customFormat="false" ht="15" hidden="false" customHeight="false" outlineLevel="0" collapsed="false">
      <c r="A5726" s="31" t="n">
        <v>42974.5</v>
      </c>
      <c r="B5726" s="32" t="n">
        <v>74.187</v>
      </c>
      <c r="D5726" s="33" t="n">
        <f aca="false">WEEKDAY(A5726,2)</f>
        <v>7</v>
      </c>
      <c r="E5726" s="33" t="n">
        <f aca="false">HOUR(A5726)+MINUTE(A5726)/60</f>
        <v>12</v>
      </c>
      <c r="F5726" s="33" t="n">
        <f aca="false">IF(OR(D5726&gt;5,E5726&lt;8,E5726&gt;=18,COUNTIF($K$2:$K$10,INT(A5726))&gt;0),1,0)</f>
        <v>1</v>
      </c>
      <c r="G5726" s="34" t="n">
        <f aca="false">B5726/1</f>
        <v>74.187</v>
      </c>
      <c r="H5726" s="34" t="n">
        <f aca="false">IF(F5726=1,G5726,"")</f>
        <v>74.187</v>
      </c>
    </row>
    <row r="5727" customFormat="false" ht="15" hidden="false" customHeight="false" outlineLevel="0" collapsed="false">
      <c r="A5727" s="31" t="n">
        <v>42974.5416666667</v>
      </c>
      <c r="B5727" s="32" t="n">
        <v>125.365</v>
      </c>
      <c r="D5727" s="33" t="n">
        <f aca="false">WEEKDAY(A5727,2)</f>
        <v>7</v>
      </c>
      <c r="E5727" s="33" t="n">
        <f aca="false">HOUR(A5727)+MINUTE(A5727)/60</f>
        <v>13</v>
      </c>
      <c r="F5727" s="33" t="n">
        <f aca="false">IF(OR(D5727&gt;5,E5727&lt;8,E5727&gt;=18,COUNTIF($K$2:$K$10,INT(A5727))&gt;0),1,0)</f>
        <v>1</v>
      </c>
      <c r="G5727" s="34" t="n">
        <f aca="false">B5727/1</f>
        <v>125.365</v>
      </c>
      <c r="H5727" s="34" t="n">
        <f aca="false">IF(F5727=1,G5727,"")</f>
        <v>125.365</v>
      </c>
    </row>
    <row r="5728" customFormat="false" ht="15" hidden="false" customHeight="false" outlineLevel="0" collapsed="false">
      <c r="A5728" s="31" t="n">
        <v>42974.5833333333</v>
      </c>
      <c r="B5728" s="32" t="n">
        <v>156.85</v>
      </c>
      <c r="D5728" s="33" t="n">
        <f aca="false">WEEKDAY(A5728,2)</f>
        <v>7</v>
      </c>
      <c r="E5728" s="33" t="n">
        <f aca="false">HOUR(A5728)+MINUTE(A5728)/60</f>
        <v>14</v>
      </c>
      <c r="F5728" s="33" t="n">
        <f aca="false">IF(OR(D5728&gt;5,E5728&lt;8,E5728&gt;=18,COUNTIF($K$2:$K$10,INT(A5728))&gt;0),1,0)</f>
        <v>1</v>
      </c>
      <c r="G5728" s="34" t="n">
        <f aca="false">B5728/1</f>
        <v>156.85</v>
      </c>
      <c r="H5728" s="34" t="n">
        <f aca="false">IF(F5728=1,G5728,"")</f>
        <v>156.85</v>
      </c>
    </row>
    <row r="5729" customFormat="false" ht="15" hidden="false" customHeight="false" outlineLevel="0" collapsed="false">
      <c r="A5729" s="31" t="n">
        <v>42974.625</v>
      </c>
      <c r="B5729" s="32" t="n">
        <v>156.14</v>
      </c>
      <c r="D5729" s="33" t="n">
        <f aca="false">WEEKDAY(A5729,2)</f>
        <v>7</v>
      </c>
      <c r="E5729" s="33" t="n">
        <f aca="false">HOUR(A5729)+MINUTE(A5729)/60</f>
        <v>15</v>
      </c>
      <c r="F5729" s="33" t="n">
        <f aca="false">IF(OR(D5729&gt;5,E5729&lt;8,E5729&gt;=18,COUNTIF($K$2:$K$10,INT(A5729))&gt;0),1,0)</f>
        <v>1</v>
      </c>
      <c r="G5729" s="34" t="n">
        <f aca="false">B5729/1</f>
        <v>156.14</v>
      </c>
      <c r="H5729" s="34" t="n">
        <f aca="false">IF(F5729=1,G5729,"")</f>
        <v>156.14</v>
      </c>
    </row>
    <row r="5730" customFormat="false" ht="15" hidden="false" customHeight="false" outlineLevel="0" collapsed="false">
      <c r="A5730" s="31" t="n">
        <v>42974.6666666667</v>
      </c>
      <c r="B5730" s="32" t="n">
        <v>156.003</v>
      </c>
      <c r="D5730" s="33" t="n">
        <f aca="false">WEEKDAY(A5730,2)</f>
        <v>7</v>
      </c>
      <c r="E5730" s="33" t="n">
        <f aca="false">HOUR(A5730)+MINUTE(A5730)/60</f>
        <v>16</v>
      </c>
      <c r="F5730" s="33" t="n">
        <f aca="false">IF(OR(D5730&gt;5,E5730&lt;8,E5730&gt;=18,COUNTIF($K$2:$K$10,INT(A5730))&gt;0),1,0)</f>
        <v>1</v>
      </c>
      <c r="G5730" s="34" t="n">
        <f aca="false">B5730/1</f>
        <v>156.003</v>
      </c>
      <c r="H5730" s="34" t="n">
        <f aca="false">IF(F5730=1,G5730,"")</f>
        <v>156.003</v>
      </c>
    </row>
    <row r="5731" customFormat="false" ht="15" hidden="false" customHeight="false" outlineLevel="0" collapsed="false">
      <c r="A5731" s="31" t="n">
        <v>42974.7083333333</v>
      </c>
      <c r="B5731" s="32" t="n">
        <v>153.324</v>
      </c>
      <c r="D5731" s="33" t="n">
        <f aca="false">WEEKDAY(A5731,2)</f>
        <v>7</v>
      </c>
      <c r="E5731" s="33" t="n">
        <f aca="false">HOUR(A5731)+MINUTE(A5731)/60</f>
        <v>17</v>
      </c>
      <c r="F5731" s="33" t="n">
        <f aca="false">IF(OR(D5731&gt;5,E5731&lt;8,E5731&gt;=18,COUNTIF($K$2:$K$10,INT(A5731))&gt;0),1,0)</f>
        <v>1</v>
      </c>
      <c r="G5731" s="34" t="n">
        <f aca="false">B5731/1</f>
        <v>153.324</v>
      </c>
      <c r="H5731" s="34" t="n">
        <f aca="false">IF(F5731=1,G5731,"")</f>
        <v>153.324</v>
      </c>
    </row>
    <row r="5732" customFormat="false" ht="15" hidden="false" customHeight="false" outlineLevel="0" collapsed="false">
      <c r="A5732" s="31" t="n">
        <v>42974.75</v>
      </c>
      <c r="B5732" s="32" t="n">
        <v>78.472</v>
      </c>
      <c r="D5732" s="33" t="n">
        <f aca="false">WEEKDAY(A5732,2)</f>
        <v>7</v>
      </c>
      <c r="E5732" s="33" t="n">
        <f aca="false">HOUR(A5732)+MINUTE(A5732)/60</f>
        <v>18</v>
      </c>
      <c r="F5732" s="33" t="n">
        <f aca="false">IF(OR(D5732&gt;5,E5732&lt;8,E5732&gt;=18,COUNTIF($K$2:$K$10,INT(A5732))&gt;0),1,0)</f>
        <v>1</v>
      </c>
      <c r="G5732" s="34" t="n">
        <f aca="false">B5732/1</f>
        <v>78.472</v>
      </c>
      <c r="H5732" s="34" t="n">
        <f aca="false">IF(F5732=1,G5732,"")</f>
        <v>78.472</v>
      </c>
    </row>
    <row r="5733" customFormat="false" ht="15" hidden="false" customHeight="false" outlineLevel="0" collapsed="false">
      <c r="A5733" s="31" t="n">
        <v>42974.7916666667</v>
      </c>
      <c r="B5733" s="32" t="n">
        <v>70.501</v>
      </c>
      <c r="D5733" s="33" t="n">
        <f aca="false">WEEKDAY(A5733,2)</f>
        <v>7</v>
      </c>
      <c r="E5733" s="33" t="n">
        <f aca="false">HOUR(A5733)+MINUTE(A5733)/60</f>
        <v>19</v>
      </c>
      <c r="F5733" s="33" t="n">
        <f aca="false">IF(OR(D5733&gt;5,E5733&lt;8,E5733&gt;=18,COUNTIF($K$2:$K$10,INT(A5733))&gt;0),1,0)</f>
        <v>1</v>
      </c>
      <c r="G5733" s="34" t="n">
        <f aca="false">B5733/1</f>
        <v>70.501</v>
      </c>
      <c r="H5733" s="34" t="n">
        <f aca="false">IF(F5733=1,G5733,"")</f>
        <v>70.501</v>
      </c>
    </row>
    <row r="5734" customFormat="false" ht="15" hidden="false" customHeight="false" outlineLevel="0" collapsed="false">
      <c r="A5734" s="31" t="n">
        <v>42974.8333333333</v>
      </c>
      <c r="B5734" s="32" t="n">
        <v>71.631</v>
      </c>
      <c r="D5734" s="33" t="n">
        <f aca="false">WEEKDAY(A5734,2)</f>
        <v>7</v>
      </c>
      <c r="E5734" s="33" t="n">
        <f aca="false">HOUR(A5734)+MINUTE(A5734)/60</f>
        <v>20</v>
      </c>
      <c r="F5734" s="33" t="n">
        <f aca="false">IF(OR(D5734&gt;5,E5734&lt;8,E5734&gt;=18,COUNTIF($K$2:$K$10,INT(A5734))&gt;0),1,0)</f>
        <v>1</v>
      </c>
      <c r="G5734" s="34" t="n">
        <f aca="false">B5734/1</f>
        <v>71.631</v>
      </c>
      <c r="H5734" s="34" t="n">
        <f aca="false">IF(F5734=1,G5734,"")</f>
        <v>71.631</v>
      </c>
    </row>
    <row r="5735" customFormat="false" ht="15" hidden="false" customHeight="false" outlineLevel="0" collapsed="false">
      <c r="A5735" s="31" t="n">
        <v>42974.875</v>
      </c>
      <c r="B5735" s="32" t="n">
        <v>73.728</v>
      </c>
      <c r="D5735" s="33" t="n">
        <f aca="false">WEEKDAY(A5735,2)</f>
        <v>7</v>
      </c>
      <c r="E5735" s="33" t="n">
        <f aca="false">HOUR(A5735)+MINUTE(A5735)/60</f>
        <v>21</v>
      </c>
      <c r="F5735" s="33" t="n">
        <f aca="false">IF(OR(D5735&gt;5,E5735&lt;8,E5735&gt;=18,COUNTIF($K$2:$K$10,INT(A5735))&gt;0),1,0)</f>
        <v>1</v>
      </c>
      <c r="G5735" s="34" t="n">
        <f aca="false">B5735/1</f>
        <v>73.728</v>
      </c>
      <c r="H5735" s="34" t="n">
        <f aca="false">IF(F5735=1,G5735,"")</f>
        <v>73.728</v>
      </c>
    </row>
    <row r="5736" customFormat="false" ht="15" hidden="false" customHeight="false" outlineLevel="0" collapsed="false">
      <c r="A5736" s="31" t="n">
        <v>42974.9166666667</v>
      </c>
      <c r="B5736" s="32" t="n">
        <v>74.448</v>
      </c>
      <c r="D5736" s="33" t="n">
        <f aca="false">WEEKDAY(A5736,2)</f>
        <v>7</v>
      </c>
      <c r="E5736" s="33" t="n">
        <f aca="false">HOUR(A5736)+MINUTE(A5736)/60</f>
        <v>22</v>
      </c>
      <c r="F5736" s="33" t="n">
        <f aca="false">IF(OR(D5736&gt;5,E5736&lt;8,E5736&gt;=18,COUNTIF($K$2:$K$10,INT(A5736))&gt;0),1,0)</f>
        <v>1</v>
      </c>
      <c r="G5736" s="34" t="n">
        <f aca="false">B5736/1</f>
        <v>74.448</v>
      </c>
      <c r="H5736" s="34" t="n">
        <f aca="false">IF(F5736=1,G5736,"")</f>
        <v>74.448</v>
      </c>
    </row>
    <row r="5737" customFormat="false" ht="15" hidden="false" customHeight="false" outlineLevel="0" collapsed="false">
      <c r="A5737" s="31" t="n">
        <v>42974.9583333333</v>
      </c>
      <c r="B5737" s="32" t="n">
        <v>73.357</v>
      </c>
      <c r="D5737" s="33" t="n">
        <f aca="false">WEEKDAY(A5737,2)</f>
        <v>7</v>
      </c>
      <c r="E5737" s="33" t="n">
        <f aca="false">HOUR(A5737)+MINUTE(A5737)/60</f>
        <v>23</v>
      </c>
      <c r="F5737" s="33" t="n">
        <f aca="false">IF(OR(D5737&gt;5,E5737&lt;8,E5737&gt;=18,COUNTIF($K$2:$K$10,INT(A5737))&gt;0),1,0)</f>
        <v>1</v>
      </c>
      <c r="G5737" s="34" t="n">
        <f aca="false">B5737/1</f>
        <v>73.357</v>
      </c>
      <c r="H5737" s="34" t="n">
        <f aca="false">IF(F5737=1,G5737,"")</f>
        <v>73.357</v>
      </c>
    </row>
    <row r="5738" customFormat="false" ht="15" hidden="false" customHeight="false" outlineLevel="0" collapsed="false">
      <c r="A5738" s="31" t="n">
        <v>42975</v>
      </c>
      <c r="B5738" s="32" t="n">
        <v>72.986</v>
      </c>
      <c r="D5738" s="33" t="n">
        <f aca="false">WEEKDAY(A5738,2)</f>
        <v>1</v>
      </c>
      <c r="E5738" s="33" t="n">
        <f aca="false">HOUR(A5738)+MINUTE(A5738)/60</f>
        <v>0</v>
      </c>
      <c r="F5738" s="33" t="n">
        <f aca="false">IF(OR(D5738&gt;5,E5738&lt;8,E5738&gt;=18,COUNTIF($K$2:$K$10,INT(A5738))&gt;0),1,0)</f>
        <v>1</v>
      </c>
      <c r="G5738" s="34" t="n">
        <f aca="false">B5738/1</f>
        <v>72.986</v>
      </c>
      <c r="H5738" s="34" t="n">
        <f aca="false">IF(F5738=1,G5738,"")</f>
        <v>72.986</v>
      </c>
    </row>
    <row r="5739" customFormat="false" ht="15" hidden="false" customHeight="false" outlineLevel="0" collapsed="false">
      <c r="A5739" s="31" t="n">
        <v>42975.0416666667</v>
      </c>
      <c r="B5739" s="32" t="n">
        <v>72.211</v>
      </c>
      <c r="D5739" s="33" t="n">
        <f aca="false">WEEKDAY(A5739,2)</f>
        <v>1</v>
      </c>
      <c r="E5739" s="33" t="n">
        <f aca="false">HOUR(A5739)+MINUTE(A5739)/60</f>
        <v>1</v>
      </c>
      <c r="F5739" s="33" t="n">
        <f aca="false">IF(OR(D5739&gt;5,E5739&lt;8,E5739&gt;=18,COUNTIF($K$2:$K$10,INT(A5739))&gt;0),1,0)</f>
        <v>1</v>
      </c>
      <c r="G5739" s="34" t="n">
        <f aca="false">B5739/1</f>
        <v>72.211</v>
      </c>
      <c r="H5739" s="34" t="n">
        <f aca="false">IF(F5739=1,G5739,"")</f>
        <v>72.211</v>
      </c>
    </row>
    <row r="5740" customFormat="false" ht="15" hidden="false" customHeight="false" outlineLevel="0" collapsed="false">
      <c r="A5740" s="31" t="n">
        <v>42975.0833333333</v>
      </c>
      <c r="B5740" s="32" t="n">
        <v>71.33</v>
      </c>
      <c r="D5740" s="33" t="n">
        <f aca="false">WEEKDAY(A5740,2)</f>
        <v>1</v>
      </c>
      <c r="E5740" s="33" t="n">
        <f aca="false">HOUR(A5740)+MINUTE(A5740)/60</f>
        <v>2</v>
      </c>
      <c r="F5740" s="33" t="n">
        <f aca="false">IF(OR(D5740&gt;5,E5740&lt;8,E5740&gt;=18,COUNTIF($K$2:$K$10,INT(A5740))&gt;0),1,0)</f>
        <v>1</v>
      </c>
      <c r="G5740" s="34" t="n">
        <f aca="false">B5740/1</f>
        <v>71.33</v>
      </c>
      <c r="H5740" s="34" t="n">
        <f aca="false">IF(F5740=1,G5740,"")</f>
        <v>71.33</v>
      </c>
    </row>
    <row r="5741" customFormat="false" ht="15" hidden="false" customHeight="false" outlineLevel="0" collapsed="false">
      <c r="A5741" s="31" t="n">
        <v>42975.125</v>
      </c>
      <c r="B5741" s="32" t="n">
        <v>71.002</v>
      </c>
      <c r="D5741" s="33" t="n">
        <f aca="false">WEEKDAY(A5741,2)</f>
        <v>1</v>
      </c>
      <c r="E5741" s="33" t="n">
        <f aca="false">HOUR(A5741)+MINUTE(A5741)/60</f>
        <v>3</v>
      </c>
      <c r="F5741" s="33" t="n">
        <f aca="false">IF(OR(D5741&gt;5,E5741&lt;8,E5741&gt;=18,COUNTIF($K$2:$K$10,INT(A5741))&gt;0),1,0)</f>
        <v>1</v>
      </c>
      <c r="G5741" s="34" t="n">
        <f aca="false">B5741/1</f>
        <v>71.002</v>
      </c>
      <c r="H5741" s="34" t="n">
        <f aca="false">IF(F5741=1,G5741,"")</f>
        <v>71.002</v>
      </c>
    </row>
    <row r="5742" customFormat="false" ht="15" hidden="false" customHeight="false" outlineLevel="0" collapsed="false">
      <c r="A5742" s="31" t="n">
        <v>42975.1666666667</v>
      </c>
      <c r="B5742" s="32" t="n">
        <v>70.954</v>
      </c>
      <c r="D5742" s="33" t="n">
        <f aca="false">WEEKDAY(A5742,2)</f>
        <v>1</v>
      </c>
      <c r="E5742" s="33" t="n">
        <f aca="false">HOUR(A5742)+MINUTE(A5742)/60</f>
        <v>4</v>
      </c>
      <c r="F5742" s="33" t="n">
        <f aca="false">IF(OR(D5742&gt;5,E5742&lt;8,E5742&gt;=18,COUNTIF($K$2:$K$10,INT(A5742))&gt;0),1,0)</f>
        <v>1</v>
      </c>
      <c r="G5742" s="34" t="n">
        <f aca="false">B5742/1</f>
        <v>70.954</v>
      </c>
      <c r="H5742" s="34" t="n">
        <f aca="false">IF(F5742=1,G5742,"")</f>
        <v>70.954</v>
      </c>
    </row>
    <row r="5743" customFormat="false" ht="15" hidden="false" customHeight="false" outlineLevel="0" collapsed="false">
      <c r="A5743" s="31" t="n">
        <v>42975.2083333333</v>
      </c>
      <c r="B5743" s="32" t="n">
        <v>69.932</v>
      </c>
      <c r="D5743" s="33" t="n">
        <f aca="false">WEEKDAY(A5743,2)</f>
        <v>1</v>
      </c>
      <c r="E5743" s="33" t="n">
        <f aca="false">HOUR(A5743)+MINUTE(A5743)/60</f>
        <v>5</v>
      </c>
      <c r="F5743" s="33" t="n">
        <f aca="false">IF(OR(D5743&gt;5,E5743&lt;8,E5743&gt;=18,COUNTIF($K$2:$K$10,INT(A5743))&gt;0),1,0)</f>
        <v>1</v>
      </c>
      <c r="G5743" s="34" t="n">
        <f aca="false">B5743/1</f>
        <v>69.932</v>
      </c>
      <c r="H5743" s="34" t="n">
        <f aca="false">IF(F5743=1,G5743,"")</f>
        <v>69.932</v>
      </c>
    </row>
    <row r="5744" customFormat="false" ht="15" hidden="false" customHeight="false" outlineLevel="0" collapsed="false">
      <c r="A5744" s="31" t="n">
        <v>42975.25</v>
      </c>
      <c r="B5744" s="32" t="n">
        <v>72.409</v>
      </c>
      <c r="D5744" s="33" t="n">
        <f aca="false">WEEKDAY(A5744,2)</f>
        <v>1</v>
      </c>
      <c r="E5744" s="33" t="n">
        <f aca="false">HOUR(A5744)+MINUTE(A5744)/60</f>
        <v>6</v>
      </c>
      <c r="F5744" s="33" t="n">
        <f aca="false">IF(OR(D5744&gt;5,E5744&lt;8,E5744&gt;=18,COUNTIF($K$2:$K$10,INT(A5744))&gt;0),1,0)</f>
        <v>1</v>
      </c>
      <c r="G5744" s="34" t="n">
        <f aca="false">B5744/1</f>
        <v>72.409</v>
      </c>
      <c r="H5744" s="34" t="n">
        <f aca="false">IF(F5744=1,G5744,"")</f>
        <v>72.409</v>
      </c>
    </row>
    <row r="5745" customFormat="false" ht="15" hidden="false" customHeight="false" outlineLevel="0" collapsed="false">
      <c r="A5745" s="31" t="n">
        <v>42975.2916666667</v>
      </c>
      <c r="B5745" s="32" t="n">
        <v>94.763</v>
      </c>
      <c r="D5745" s="33" t="n">
        <f aca="false">WEEKDAY(A5745,2)</f>
        <v>1</v>
      </c>
      <c r="E5745" s="33" t="n">
        <f aca="false">HOUR(A5745)+MINUTE(A5745)/60</f>
        <v>7</v>
      </c>
      <c r="F5745" s="33" t="n">
        <f aca="false">IF(OR(D5745&gt;5,E5745&lt;8,E5745&gt;=18,COUNTIF($K$2:$K$10,INT(A5745))&gt;0),1,0)</f>
        <v>1</v>
      </c>
      <c r="G5745" s="34" t="n">
        <f aca="false">B5745/1</f>
        <v>94.763</v>
      </c>
      <c r="H5745" s="34" t="n">
        <f aca="false">IF(F5745=1,G5745,"")</f>
        <v>94.763</v>
      </c>
    </row>
    <row r="5746" customFormat="false" ht="15" hidden="false" customHeight="false" outlineLevel="0" collapsed="false">
      <c r="A5746" s="31" t="n">
        <v>42975.3333333333</v>
      </c>
      <c r="B5746" s="32" t="n">
        <v>197.08</v>
      </c>
      <c r="D5746" s="33" t="n">
        <f aca="false">WEEKDAY(A5746,2)</f>
        <v>1</v>
      </c>
      <c r="E5746" s="33" t="n">
        <f aca="false">HOUR(A5746)+MINUTE(A5746)/60</f>
        <v>8</v>
      </c>
      <c r="F5746" s="33" t="n">
        <f aca="false">IF(OR(D5746&gt;5,E5746&lt;8,E5746&gt;=18,COUNTIF($K$2:$K$10,INT(A5746))&gt;0),1,0)</f>
        <v>0</v>
      </c>
      <c r="G5746" s="34" t="n">
        <f aca="false">B5746/1</f>
        <v>197.08</v>
      </c>
      <c r="H5746" s="34" t="str">
        <f aca="false">IF(F5746=1,G5746,"")</f>
        <v/>
      </c>
    </row>
    <row r="5747" customFormat="false" ht="15" hidden="false" customHeight="false" outlineLevel="0" collapsed="false">
      <c r="A5747" s="31" t="n">
        <v>42975.375</v>
      </c>
      <c r="B5747" s="32" t="n">
        <v>202.546</v>
      </c>
      <c r="D5747" s="33" t="n">
        <f aca="false">WEEKDAY(A5747,2)</f>
        <v>1</v>
      </c>
      <c r="E5747" s="33" t="n">
        <f aca="false">HOUR(A5747)+MINUTE(A5747)/60</f>
        <v>9</v>
      </c>
      <c r="F5747" s="33" t="n">
        <f aca="false">IF(OR(D5747&gt;5,E5747&lt;8,E5747&gt;=18,COUNTIF($K$2:$K$10,INT(A5747))&gt;0),1,0)</f>
        <v>0</v>
      </c>
      <c r="G5747" s="34" t="n">
        <f aca="false">B5747/1</f>
        <v>202.546</v>
      </c>
      <c r="H5747" s="34" t="str">
        <f aca="false">IF(F5747=1,G5747,"")</f>
        <v/>
      </c>
    </row>
    <row r="5748" customFormat="false" ht="15" hidden="false" customHeight="false" outlineLevel="0" collapsed="false">
      <c r="A5748" s="31" t="n">
        <v>42975.4166666667</v>
      </c>
      <c r="B5748" s="32" t="n">
        <v>223.3</v>
      </c>
      <c r="D5748" s="33" t="n">
        <f aca="false">WEEKDAY(A5748,2)</f>
        <v>1</v>
      </c>
      <c r="E5748" s="33" t="n">
        <f aca="false">HOUR(A5748)+MINUTE(A5748)/60</f>
        <v>10</v>
      </c>
      <c r="F5748" s="33" t="n">
        <f aca="false">IF(OR(D5748&gt;5,E5748&lt;8,E5748&gt;=18,COUNTIF($K$2:$K$10,INT(A5748))&gt;0),1,0)</f>
        <v>0</v>
      </c>
      <c r="G5748" s="34" t="n">
        <f aca="false">B5748/1</f>
        <v>223.3</v>
      </c>
      <c r="H5748" s="34" t="str">
        <f aca="false">IF(F5748=1,G5748,"")</f>
        <v/>
      </c>
    </row>
    <row r="5749" customFormat="false" ht="15" hidden="false" customHeight="false" outlineLevel="0" collapsed="false">
      <c r="A5749" s="31" t="n">
        <v>42975.4583333333</v>
      </c>
      <c r="B5749" s="32" t="n">
        <v>229.458</v>
      </c>
      <c r="D5749" s="33" t="n">
        <f aca="false">WEEKDAY(A5749,2)</f>
        <v>1</v>
      </c>
      <c r="E5749" s="33" t="n">
        <f aca="false">HOUR(A5749)+MINUTE(A5749)/60</f>
        <v>11</v>
      </c>
      <c r="F5749" s="33" t="n">
        <f aca="false">IF(OR(D5749&gt;5,E5749&lt;8,E5749&gt;=18,COUNTIF($K$2:$K$10,INT(A5749))&gt;0),1,0)</f>
        <v>0</v>
      </c>
      <c r="G5749" s="34" t="n">
        <f aca="false">B5749/1</f>
        <v>229.458</v>
      </c>
      <c r="H5749" s="34" t="str">
        <f aca="false">IF(F5749=1,G5749,"")</f>
        <v/>
      </c>
    </row>
    <row r="5750" customFormat="false" ht="15" hidden="false" customHeight="false" outlineLevel="0" collapsed="false">
      <c r="A5750" s="31" t="n">
        <v>42975.5</v>
      </c>
      <c r="B5750" s="32" t="n">
        <v>236.568</v>
      </c>
      <c r="D5750" s="33" t="n">
        <f aca="false">WEEKDAY(A5750,2)</f>
        <v>1</v>
      </c>
      <c r="E5750" s="33" t="n">
        <f aca="false">HOUR(A5750)+MINUTE(A5750)/60</f>
        <v>12</v>
      </c>
      <c r="F5750" s="33" t="n">
        <f aca="false">IF(OR(D5750&gt;5,E5750&lt;8,E5750&gt;=18,COUNTIF($K$2:$K$10,INT(A5750))&gt;0),1,0)</f>
        <v>0</v>
      </c>
      <c r="G5750" s="34" t="n">
        <f aca="false">B5750/1</f>
        <v>236.568</v>
      </c>
      <c r="H5750" s="34" t="str">
        <f aca="false">IF(F5750=1,G5750,"")</f>
        <v/>
      </c>
    </row>
    <row r="5751" customFormat="false" ht="15" hidden="false" customHeight="false" outlineLevel="0" collapsed="false">
      <c r="A5751" s="31" t="n">
        <v>42975.5416666667</v>
      </c>
      <c r="B5751" s="32" t="n">
        <v>235.064</v>
      </c>
      <c r="D5751" s="33" t="n">
        <f aca="false">WEEKDAY(A5751,2)</f>
        <v>1</v>
      </c>
      <c r="E5751" s="33" t="n">
        <f aca="false">HOUR(A5751)+MINUTE(A5751)/60</f>
        <v>13</v>
      </c>
      <c r="F5751" s="33" t="n">
        <f aca="false">IF(OR(D5751&gt;5,E5751&lt;8,E5751&gt;=18,COUNTIF($K$2:$K$10,INT(A5751))&gt;0),1,0)</f>
        <v>0</v>
      </c>
      <c r="G5751" s="34" t="n">
        <f aca="false">B5751/1</f>
        <v>235.064</v>
      </c>
      <c r="H5751" s="34" t="str">
        <f aca="false">IF(F5751=1,G5751,"")</f>
        <v/>
      </c>
    </row>
    <row r="5752" customFormat="false" ht="15" hidden="false" customHeight="false" outlineLevel="0" collapsed="false">
      <c r="A5752" s="31" t="n">
        <v>42975.5833333333</v>
      </c>
      <c r="B5752" s="32" t="n">
        <v>230.637</v>
      </c>
      <c r="D5752" s="33" t="n">
        <f aca="false">WEEKDAY(A5752,2)</f>
        <v>1</v>
      </c>
      <c r="E5752" s="33" t="n">
        <f aca="false">HOUR(A5752)+MINUTE(A5752)/60</f>
        <v>14</v>
      </c>
      <c r="F5752" s="33" t="n">
        <f aca="false">IF(OR(D5752&gt;5,E5752&lt;8,E5752&gt;=18,COUNTIF($K$2:$K$10,INT(A5752))&gt;0),1,0)</f>
        <v>0</v>
      </c>
      <c r="G5752" s="34" t="n">
        <f aca="false">B5752/1</f>
        <v>230.637</v>
      </c>
      <c r="H5752" s="34" t="str">
        <f aca="false">IF(F5752=1,G5752,"")</f>
        <v/>
      </c>
    </row>
    <row r="5753" customFormat="false" ht="15" hidden="false" customHeight="false" outlineLevel="0" collapsed="false">
      <c r="A5753" s="31" t="n">
        <v>42975.625</v>
      </c>
      <c r="B5753" s="32" t="n">
        <v>230.758</v>
      </c>
      <c r="D5753" s="33" t="n">
        <f aca="false">WEEKDAY(A5753,2)</f>
        <v>1</v>
      </c>
      <c r="E5753" s="33" t="n">
        <f aca="false">HOUR(A5753)+MINUTE(A5753)/60</f>
        <v>15</v>
      </c>
      <c r="F5753" s="33" t="n">
        <f aca="false">IF(OR(D5753&gt;5,E5753&lt;8,E5753&gt;=18,COUNTIF($K$2:$K$10,INT(A5753))&gt;0),1,0)</f>
        <v>0</v>
      </c>
      <c r="G5753" s="34" t="n">
        <f aca="false">B5753/1</f>
        <v>230.758</v>
      </c>
      <c r="H5753" s="34" t="str">
        <f aca="false">IF(F5753=1,G5753,"")</f>
        <v/>
      </c>
    </row>
    <row r="5754" customFormat="false" ht="15" hidden="false" customHeight="false" outlineLevel="0" collapsed="false">
      <c r="A5754" s="31" t="n">
        <v>42975.6666666667</v>
      </c>
      <c r="B5754" s="32" t="n">
        <v>228.109</v>
      </c>
      <c r="D5754" s="33" t="n">
        <f aca="false">WEEKDAY(A5754,2)</f>
        <v>1</v>
      </c>
      <c r="E5754" s="33" t="n">
        <f aca="false">HOUR(A5754)+MINUTE(A5754)/60</f>
        <v>16</v>
      </c>
      <c r="F5754" s="33" t="n">
        <f aca="false">IF(OR(D5754&gt;5,E5754&lt;8,E5754&gt;=18,COUNTIF($K$2:$K$10,INT(A5754))&gt;0),1,0)</f>
        <v>0</v>
      </c>
      <c r="G5754" s="34" t="n">
        <f aca="false">B5754/1</f>
        <v>228.109</v>
      </c>
      <c r="H5754" s="34" t="str">
        <f aca="false">IF(F5754=1,G5754,"")</f>
        <v/>
      </c>
    </row>
    <row r="5755" customFormat="false" ht="15" hidden="false" customHeight="false" outlineLevel="0" collapsed="false">
      <c r="A5755" s="31" t="n">
        <v>42975.7083333333</v>
      </c>
      <c r="B5755" s="32" t="n">
        <v>223.391</v>
      </c>
      <c r="D5755" s="33" t="n">
        <f aca="false">WEEKDAY(A5755,2)</f>
        <v>1</v>
      </c>
      <c r="E5755" s="33" t="n">
        <f aca="false">HOUR(A5755)+MINUTE(A5755)/60</f>
        <v>17</v>
      </c>
      <c r="F5755" s="33" t="n">
        <f aca="false">IF(OR(D5755&gt;5,E5755&lt;8,E5755&gt;=18,COUNTIF($K$2:$K$10,INT(A5755))&gt;0),1,0)</f>
        <v>0</v>
      </c>
      <c r="G5755" s="34" t="n">
        <f aca="false">B5755/1</f>
        <v>223.391</v>
      </c>
      <c r="H5755" s="34" t="str">
        <f aca="false">IF(F5755=1,G5755,"")</f>
        <v/>
      </c>
    </row>
    <row r="5756" customFormat="false" ht="15" hidden="false" customHeight="false" outlineLevel="0" collapsed="false">
      <c r="A5756" s="31" t="n">
        <v>42975.75</v>
      </c>
      <c r="B5756" s="32" t="n">
        <v>205.571</v>
      </c>
      <c r="D5756" s="33" t="n">
        <f aca="false">WEEKDAY(A5756,2)</f>
        <v>1</v>
      </c>
      <c r="E5756" s="33" t="n">
        <f aca="false">HOUR(A5756)+MINUTE(A5756)/60</f>
        <v>18</v>
      </c>
      <c r="F5756" s="33" t="n">
        <f aca="false">IF(OR(D5756&gt;5,E5756&lt;8,E5756&gt;=18,COUNTIF($K$2:$K$10,INT(A5756))&gt;0),1,0)</f>
        <v>1</v>
      </c>
      <c r="G5756" s="34" t="n">
        <f aca="false">B5756/1</f>
        <v>205.571</v>
      </c>
      <c r="H5756" s="34" t="n">
        <f aca="false">IF(F5756=1,G5756,"")</f>
        <v>205.571</v>
      </c>
    </row>
    <row r="5757" customFormat="false" ht="15" hidden="false" customHeight="false" outlineLevel="0" collapsed="false">
      <c r="A5757" s="31" t="n">
        <v>42975.7916666667</v>
      </c>
      <c r="B5757" s="32" t="n">
        <v>195.718</v>
      </c>
      <c r="D5757" s="33" t="n">
        <f aca="false">WEEKDAY(A5757,2)</f>
        <v>1</v>
      </c>
      <c r="E5757" s="33" t="n">
        <f aca="false">HOUR(A5757)+MINUTE(A5757)/60</f>
        <v>19</v>
      </c>
      <c r="F5757" s="33" t="n">
        <f aca="false">IF(OR(D5757&gt;5,E5757&lt;8,E5757&gt;=18,COUNTIF($K$2:$K$10,INT(A5757))&gt;0),1,0)</f>
        <v>1</v>
      </c>
      <c r="G5757" s="34" t="n">
        <f aca="false">B5757/1</f>
        <v>195.718</v>
      </c>
      <c r="H5757" s="34" t="n">
        <f aca="false">IF(F5757=1,G5757,"")</f>
        <v>195.718</v>
      </c>
    </row>
    <row r="5758" customFormat="false" ht="15" hidden="false" customHeight="false" outlineLevel="0" collapsed="false">
      <c r="A5758" s="31" t="n">
        <v>42975.8333333333</v>
      </c>
      <c r="B5758" s="32" t="n">
        <v>191.905</v>
      </c>
      <c r="D5758" s="33" t="n">
        <f aca="false">WEEKDAY(A5758,2)</f>
        <v>1</v>
      </c>
      <c r="E5758" s="33" t="n">
        <f aca="false">HOUR(A5758)+MINUTE(A5758)/60</f>
        <v>20</v>
      </c>
      <c r="F5758" s="33" t="n">
        <f aca="false">IF(OR(D5758&gt;5,E5758&lt;8,E5758&gt;=18,COUNTIF($K$2:$K$10,INT(A5758))&gt;0),1,0)</f>
        <v>1</v>
      </c>
      <c r="G5758" s="34" t="n">
        <f aca="false">B5758/1</f>
        <v>191.905</v>
      </c>
      <c r="H5758" s="34" t="n">
        <f aca="false">IF(F5758=1,G5758,"")</f>
        <v>191.905</v>
      </c>
    </row>
    <row r="5759" customFormat="false" ht="15" hidden="false" customHeight="false" outlineLevel="0" collapsed="false">
      <c r="A5759" s="31" t="n">
        <v>42975.875</v>
      </c>
      <c r="B5759" s="32" t="n">
        <v>192.915</v>
      </c>
      <c r="D5759" s="33" t="n">
        <f aca="false">WEEKDAY(A5759,2)</f>
        <v>1</v>
      </c>
      <c r="E5759" s="33" t="n">
        <f aca="false">HOUR(A5759)+MINUTE(A5759)/60</f>
        <v>21</v>
      </c>
      <c r="F5759" s="33" t="n">
        <f aca="false">IF(OR(D5759&gt;5,E5759&lt;8,E5759&gt;=18,COUNTIF($K$2:$K$10,INT(A5759))&gt;0),1,0)</f>
        <v>1</v>
      </c>
      <c r="G5759" s="34" t="n">
        <f aca="false">B5759/1</f>
        <v>192.915</v>
      </c>
      <c r="H5759" s="34" t="n">
        <f aca="false">IF(F5759=1,G5759,"")</f>
        <v>192.915</v>
      </c>
    </row>
    <row r="5760" customFormat="false" ht="15" hidden="false" customHeight="false" outlineLevel="0" collapsed="false">
      <c r="A5760" s="31" t="n">
        <v>42975.9166666667</v>
      </c>
      <c r="B5760" s="32" t="n">
        <v>138.448</v>
      </c>
      <c r="D5760" s="33" t="n">
        <f aca="false">WEEKDAY(A5760,2)</f>
        <v>1</v>
      </c>
      <c r="E5760" s="33" t="n">
        <f aca="false">HOUR(A5760)+MINUTE(A5760)/60</f>
        <v>22</v>
      </c>
      <c r="F5760" s="33" t="n">
        <f aca="false">IF(OR(D5760&gt;5,E5760&lt;8,E5760&gt;=18,COUNTIF($K$2:$K$10,INT(A5760))&gt;0),1,0)</f>
        <v>1</v>
      </c>
      <c r="G5760" s="34" t="n">
        <f aca="false">B5760/1</f>
        <v>138.448</v>
      </c>
      <c r="H5760" s="34" t="n">
        <f aca="false">IF(F5760=1,G5760,"")</f>
        <v>138.448</v>
      </c>
    </row>
    <row r="5761" customFormat="false" ht="15" hidden="false" customHeight="false" outlineLevel="0" collapsed="false">
      <c r="A5761" s="31" t="n">
        <v>42975.9583333333</v>
      </c>
      <c r="B5761" s="32" t="n">
        <v>79.424</v>
      </c>
      <c r="D5761" s="33" t="n">
        <f aca="false">WEEKDAY(A5761,2)</f>
        <v>1</v>
      </c>
      <c r="E5761" s="33" t="n">
        <f aca="false">HOUR(A5761)+MINUTE(A5761)/60</f>
        <v>23</v>
      </c>
      <c r="F5761" s="33" t="n">
        <f aca="false">IF(OR(D5761&gt;5,E5761&lt;8,E5761&gt;=18,COUNTIF($K$2:$K$10,INT(A5761))&gt;0),1,0)</f>
        <v>1</v>
      </c>
      <c r="G5761" s="34" t="n">
        <f aca="false">B5761/1</f>
        <v>79.424</v>
      </c>
      <c r="H5761" s="34" t="n">
        <f aca="false">IF(F5761=1,G5761,"")</f>
        <v>79.424</v>
      </c>
    </row>
    <row r="5762" customFormat="false" ht="15" hidden="false" customHeight="false" outlineLevel="0" collapsed="false">
      <c r="A5762" s="31" t="n">
        <v>42976</v>
      </c>
      <c r="B5762" s="32" t="n">
        <v>77.095</v>
      </c>
      <c r="D5762" s="33" t="n">
        <f aca="false">WEEKDAY(A5762,2)</f>
        <v>2</v>
      </c>
      <c r="E5762" s="33" t="n">
        <f aca="false">HOUR(A5762)+MINUTE(A5762)/60</f>
        <v>0</v>
      </c>
      <c r="F5762" s="33" t="n">
        <f aca="false">IF(OR(D5762&gt;5,E5762&lt;8,E5762&gt;=18,COUNTIF($K$2:$K$10,INT(A5762))&gt;0),1,0)</f>
        <v>1</v>
      </c>
      <c r="G5762" s="34" t="n">
        <f aca="false">B5762/1</f>
        <v>77.095</v>
      </c>
      <c r="H5762" s="34" t="n">
        <f aca="false">IF(F5762=1,G5762,"")</f>
        <v>77.095</v>
      </c>
    </row>
    <row r="5763" customFormat="false" ht="15" hidden="false" customHeight="false" outlineLevel="0" collapsed="false">
      <c r="A5763" s="31" t="n">
        <v>42976.0416666667</v>
      </c>
      <c r="B5763" s="32" t="n">
        <v>77.035</v>
      </c>
      <c r="D5763" s="33" t="n">
        <f aca="false">WEEKDAY(A5763,2)</f>
        <v>2</v>
      </c>
      <c r="E5763" s="33" t="n">
        <f aca="false">HOUR(A5763)+MINUTE(A5763)/60</f>
        <v>1</v>
      </c>
      <c r="F5763" s="33" t="n">
        <f aca="false">IF(OR(D5763&gt;5,E5763&lt;8,E5763&gt;=18,COUNTIF($K$2:$K$10,INT(A5763))&gt;0),1,0)</f>
        <v>1</v>
      </c>
      <c r="G5763" s="34" t="n">
        <f aca="false">B5763/1</f>
        <v>77.035</v>
      </c>
      <c r="H5763" s="34" t="n">
        <f aca="false">IF(F5763=1,G5763,"")</f>
        <v>77.035</v>
      </c>
    </row>
    <row r="5764" customFormat="false" ht="15" hidden="false" customHeight="false" outlineLevel="0" collapsed="false">
      <c r="A5764" s="31" t="n">
        <v>42976.0833333333</v>
      </c>
      <c r="B5764" s="32" t="n">
        <v>76.817</v>
      </c>
      <c r="D5764" s="33" t="n">
        <f aca="false">WEEKDAY(A5764,2)</f>
        <v>2</v>
      </c>
      <c r="E5764" s="33" t="n">
        <f aca="false">HOUR(A5764)+MINUTE(A5764)/60</f>
        <v>2</v>
      </c>
      <c r="F5764" s="33" t="n">
        <f aca="false">IF(OR(D5764&gt;5,E5764&lt;8,E5764&gt;=18,COUNTIF($K$2:$K$10,INT(A5764))&gt;0),1,0)</f>
        <v>1</v>
      </c>
      <c r="G5764" s="34" t="n">
        <f aca="false">B5764/1</f>
        <v>76.817</v>
      </c>
      <c r="H5764" s="34" t="n">
        <f aca="false">IF(F5764=1,G5764,"")</f>
        <v>76.817</v>
      </c>
    </row>
    <row r="5765" customFormat="false" ht="15" hidden="false" customHeight="false" outlineLevel="0" collapsed="false">
      <c r="A5765" s="31" t="n">
        <v>42976.125</v>
      </c>
      <c r="B5765" s="32" t="n">
        <v>74.173</v>
      </c>
      <c r="D5765" s="33" t="n">
        <f aca="false">WEEKDAY(A5765,2)</f>
        <v>2</v>
      </c>
      <c r="E5765" s="33" t="n">
        <f aca="false">HOUR(A5765)+MINUTE(A5765)/60</f>
        <v>3</v>
      </c>
      <c r="F5765" s="33" t="n">
        <f aca="false">IF(OR(D5765&gt;5,E5765&lt;8,E5765&gt;=18,COUNTIF($K$2:$K$10,INT(A5765))&gt;0),1,0)</f>
        <v>1</v>
      </c>
      <c r="G5765" s="34" t="n">
        <f aca="false">B5765/1</f>
        <v>74.173</v>
      </c>
      <c r="H5765" s="34" t="n">
        <f aca="false">IF(F5765=1,G5765,"")</f>
        <v>74.173</v>
      </c>
    </row>
    <row r="5766" customFormat="false" ht="15" hidden="false" customHeight="false" outlineLevel="0" collapsed="false">
      <c r="A5766" s="31" t="n">
        <v>42976.1666666667</v>
      </c>
      <c r="B5766" s="32" t="n">
        <v>74.032</v>
      </c>
      <c r="D5766" s="33" t="n">
        <f aca="false">WEEKDAY(A5766,2)</f>
        <v>2</v>
      </c>
      <c r="E5766" s="33" t="n">
        <f aca="false">HOUR(A5766)+MINUTE(A5766)/60</f>
        <v>4</v>
      </c>
      <c r="F5766" s="33" t="n">
        <f aca="false">IF(OR(D5766&gt;5,E5766&lt;8,E5766&gt;=18,COUNTIF($K$2:$K$10,INT(A5766))&gt;0),1,0)</f>
        <v>1</v>
      </c>
      <c r="G5766" s="34" t="n">
        <f aca="false">B5766/1</f>
        <v>74.032</v>
      </c>
      <c r="H5766" s="34" t="n">
        <f aca="false">IF(F5766=1,G5766,"")</f>
        <v>74.032</v>
      </c>
    </row>
    <row r="5767" customFormat="false" ht="15" hidden="false" customHeight="false" outlineLevel="0" collapsed="false">
      <c r="A5767" s="31" t="n">
        <v>42976.2083333333</v>
      </c>
      <c r="B5767" s="32" t="n">
        <v>75.69</v>
      </c>
      <c r="D5767" s="33" t="n">
        <f aca="false">WEEKDAY(A5767,2)</f>
        <v>2</v>
      </c>
      <c r="E5767" s="33" t="n">
        <f aca="false">HOUR(A5767)+MINUTE(A5767)/60</f>
        <v>5</v>
      </c>
      <c r="F5767" s="33" t="n">
        <f aca="false">IF(OR(D5767&gt;5,E5767&lt;8,E5767&gt;=18,COUNTIF($K$2:$K$10,INT(A5767))&gt;0),1,0)</f>
        <v>1</v>
      </c>
      <c r="G5767" s="34" t="n">
        <f aca="false">B5767/1</f>
        <v>75.69</v>
      </c>
      <c r="H5767" s="34" t="n">
        <f aca="false">IF(F5767=1,G5767,"")</f>
        <v>75.69</v>
      </c>
    </row>
    <row r="5768" customFormat="false" ht="15" hidden="false" customHeight="false" outlineLevel="0" collapsed="false">
      <c r="A5768" s="31" t="n">
        <v>42976.25</v>
      </c>
      <c r="B5768" s="32" t="n">
        <v>75.875</v>
      </c>
      <c r="D5768" s="33" t="n">
        <f aca="false">WEEKDAY(A5768,2)</f>
        <v>2</v>
      </c>
      <c r="E5768" s="33" t="n">
        <f aca="false">HOUR(A5768)+MINUTE(A5768)/60</f>
        <v>6</v>
      </c>
      <c r="F5768" s="33" t="n">
        <f aca="false">IF(OR(D5768&gt;5,E5768&lt;8,E5768&gt;=18,COUNTIF($K$2:$K$10,INT(A5768))&gt;0),1,0)</f>
        <v>1</v>
      </c>
      <c r="G5768" s="34" t="n">
        <f aca="false">B5768/1</f>
        <v>75.875</v>
      </c>
      <c r="H5768" s="34" t="n">
        <f aca="false">IF(F5768=1,G5768,"")</f>
        <v>75.875</v>
      </c>
    </row>
    <row r="5769" customFormat="false" ht="15" hidden="false" customHeight="false" outlineLevel="0" collapsed="false">
      <c r="A5769" s="31" t="n">
        <v>42976.2916666667</v>
      </c>
      <c r="B5769" s="32" t="n">
        <v>79.547</v>
      </c>
      <c r="D5769" s="33" t="n">
        <f aca="false">WEEKDAY(A5769,2)</f>
        <v>2</v>
      </c>
      <c r="E5769" s="33" t="n">
        <f aca="false">HOUR(A5769)+MINUTE(A5769)/60</f>
        <v>7</v>
      </c>
      <c r="F5769" s="33" t="n">
        <f aca="false">IF(OR(D5769&gt;5,E5769&lt;8,E5769&gt;=18,COUNTIF($K$2:$K$10,INT(A5769))&gt;0),1,0)</f>
        <v>1</v>
      </c>
      <c r="G5769" s="34" t="n">
        <f aca="false">B5769/1</f>
        <v>79.547</v>
      </c>
      <c r="H5769" s="34" t="n">
        <f aca="false">IF(F5769=1,G5769,"")</f>
        <v>79.547</v>
      </c>
    </row>
    <row r="5770" customFormat="false" ht="15" hidden="false" customHeight="false" outlineLevel="0" collapsed="false">
      <c r="A5770" s="31" t="n">
        <v>42976.3333333333</v>
      </c>
      <c r="B5770" s="32" t="n">
        <v>183.615</v>
      </c>
      <c r="D5770" s="33" t="n">
        <f aca="false">WEEKDAY(A5770,2)</f>
        <v>2</v>
      </c>
      <c r="E5770" s="33" t="n">
        <f aca="false">HOUR(A5770)+MINUTE(A5770)/60</f>
        <v>8</v>
      </c>
      <c r="F5770" s="33" t="n">
        <f aca="false">IF(OR(D5770&gt;5,E5770&lt;8,E5770&gt;=18,COUNTIF($K$2:$K$10,INT(A5770))&gt;0),1,0)</f>
        <v>0</v>
      </c>
      <c r="G5770" s="34" t="n">
        <f aca="false">B5770/1</f>
        <v>183.615</v>
      </c>
      <c r="H5770" s="34" t="str">
        <f aca="false">IF(F5770=1,G5770,"")</f>
        <v/>
      </c>
    </row>
    <row r="5771" customFormat="false" ht="15" hidden="false" customHeight="false" outlineLevel="0" collapsed="false">
      <c r="A5771" s="31" t="n">
        <v>42976.375</v>
      </c>
      <c r="B5771" s="32" t="n">
        <v>208.955</v>
      </c>
      <c r="D5771" s="33" t="n">
        <f aca="false">WEEKDAY(A5771,2)</f>
        <v>2</v>
      </c>
      <c r="E5771" s="33" t="n">
        <f aca="false">HOUR(A5771)+MINUTE(A5771)/60</f>
        <v>9</v>
      </c>
      <c r="F5771" s="33" t="n">
        <f aca="false">IF(OR(D5771&gt;5,E5771&lt;8,E5771&gt;=18,COUNTIF($K$2:$K$10,INT(A5771))&gt;0),1,0)</f>
        <v>0</v>
      </c>
      <c r="G5771" s="34" t="n">
        <f aca="false">B5771/1</f>
        <v>208.955</v>
      </c>
      <c r="H5771" s="34" t="str">
        <f aca="false">IF(F5771=1,G5771,"")</f>
        <v/>
      </c>
    </row>
    <row r="5772" customFormat="false" ht="15" hidden="false" customHeight="false" outlineLevel="0" collapsed="false">
      <c r="A5772" s="31" t="n">
        <v>42976.4166666667</v>
      </c>
      <c r="B5772" s="32" t="n">
        <v>222.408</v>
      </c>
      <c r="D5772" s="33" t="n">
        <f aca="false">WEEKDAY(A5772,2)</f>
        <v>2</v>
      </c>
      <c r="E5772" s="33" t="n">
        <f aca="false">HOUR(A5772)+MINUTE(A5772)/60</f>
        <v>10</v>
      </c>
      <c r="F5772" s="33" t="n">
        <f aca="false">IF(OR(D5772&gt;5,E5772&lt;8,E5772&gt;=18,COUNTIF($K$2:$K$10,INT(A5772))&gt;0),1,0)</f>
        <v>0</v>
      </c>
      <c r="G5772" s="34" t="n">
        <f aca="false">B5772/1</f>
        <v>222.408</v>
      </c>
      <c r="H5772" s="34" t="str">
        <f aca="false">IF(F5772=1,G5772,"")</f>
        <v/>
      </c>
    </row>
    <row r="5773" customFormat="false" ht="15" hidden="false" customHeight="false" outlineLevel="0" collapsed="false">
      <c r="A5773" s="31" t="n">
        <v>42976.4583333333</v>
      </c>
      <c r="B5773" s="32" t="n">
        <v>229.279</v>
      </c>
      <c r="D5773" s="33" t="n">
        <f aca="false">WEEKDAY(A5773,2)</f>
        <v>2</v>
      </c>
      <c r="E5773" s="33" t="n">
        <f aca="false">HOUR(A5773)+MINUTE(A5773)/60</f>
        <v>11</v>
      </c>
      <c r="F5773" s="33" t="n">
        <f aca="false">IF(OR(D5773&gt;5,E5773&lt;8,E5773&gt;=18,COUNTIF($K$2:$K$10,INT(A5773))&gt;0),1,0)</f>
        <v>0</v>
      </c>
      <c r="G5773" s="34" t="n">
        <f aca="false">B5773/1</f>
        <v>229.279</v>
      </c>
      <c r="H5773" s="34" t="str">
        <f aca="false">IF(F5773=1,G5773,"")</f>
        <v/>
      </c>
    </row>
    <row r="5774" customFormat="false" ht="15" hidden="false" customHeight="false" outlineLevel="0" collapsed="false">
      <c r="A5774" s="31" t="n">
        <v>42976.5</v>
      </c>
      <c r="B5774" s="32" t="n">
        <v>228.778</v>
      </c>
      <c r="D5774" s="33" t="n">
        <f aca="false">WEEKDAY(A5774,2)</f>
        <v>2</v>
      </c>
      <c r="E5774" s="33" t="n">
        <f aca="false">HOUR(A5774)+MINUTE(A5774)/60</f>
        <v>12</v>
      </c>
      <c r="F5774" s="33" t="n">
        <f aca="false">IF(OR(D5774&gt;5,E5774&lt;8,E5774&gt;=18,COUNTIF($K$2:$K$10,INT(A5774))&gt;0),1,0)</f>
        <v>0</v>
      </c>
      <c r="G5774" s="34" t="n">
        <f aca="false">B5774/1</f>
        <v>228.778</v>
      </c>
      <c r="H5774" s="34" t="str">
        <f aca="false">IF(F5774=1,G5774,"")</f>
        <v/>
      </c>
    </row>
    <row r="5775" customFormat="false" ht="15" hidden="false" customHeight="false" outlineLevel="0" collapsed="false">
      <c r="A5775" s="31" t="n">
        <v>42976.5416666667</v>
      </c>
      <c r="B5775" s="32" t="n">
        <v>225.898</v>
      </c>
      <c r="D5775" s="33" t="n">
        <f aca="false">WEEKDAY(A5775,2)</f>
        <v>2</v>
      </c>
      <c r="E5775" s="33" t="n">
        <f aca="false">HOUR(A5775)+MINUTE(A5775)/60</f>
        <v>13</v>
      </c>
      <c r="F5775" s="33" t="n">
        <f aca="false">IF(OR(D5775&gt;5,E5775&lt;8,E5775&gt;=18,COUNTIF($K$2:$K$10,INT(A5775))&gt;0),1,0)</f>
        <v>0</v>
      </c>
      <c r="G5775" s="34" t="n">
        <f aca="false">B5775/1</f>
        <v>225.898</v>
      </c>
      <c r="H5775" s="34" t="str">
        <f aca="false">IF(F5775=1,G5775,"")</f>
        <v/>
      </c>
    </row>
    <row r="5776" customFormat="false" ht="15" hidden="false" customHeight="false" outlineLevel="0" collapsed="false">
      <c r="A5776" s="31" t="n">
        <v>42976.5833333333</v>
      </c>
      <c r="B5776" s="32" t="n">
        <v>225.65</v>
      </c>
      <c r="D5776" s="33" t="n">
        <f aca="false">WEEKDAY(A5776,2)</f>
        <v>2</v>
      </c>
      <c r="E5776" s="33" t="n">
        <f aca="false">HOUR(A5776)+MINUTE(A5776)/60</f>
        <v>14</v>
      </c>
      <c r="F5776" s="33" t="n">
        <f aca="false">IF(OR(D5776&gt;5,E5776&lt;8,E5776&gt;=18,COUNTIF($K$2:$K$10,INT(A5776))&gt;0),1,0)</f>
        <v>0</v>
      </c>
      <c r="G5776" s="34" t="n">
        <f aca="false">B5776/1</f>
        <v>225.65</v>
      </c>
      <c r="H5776" s="34" t="str">
        <f aca="false">IF(F5776=1,G5776,"")</f>
        <v/>
      </c>
    </row>
    <row r="5777" customFormat="false" ht="15" hidden="false" customHeight="false" outlineLevel="0" collapsed="false">
      <c r="A5777" s="31" t="n">
        <v>42976.625</v>
      </c>
      <c r="B5777" s="32" t="n">
        <v>226.286</v>
      </c>
      <c r="D5777" s="33" t="n">
        <f aca="false">WEEKDAY(A5777,2)</f>
        <v>2</v>
      </c>
      <c r="E5777" s="33" t="n">
        <f aca="false">HOUR(A5777)+MINUTE(A5777)/60</f>
        <v>15</v>
      </c>
      <c r="F5777" s="33" t="n">
        <f aca="false">IF(OR(D5777&gt;5,E5777&lt;8,E5777&gt;=18,COUNTIF($K$2:$K$10,INT(A5777))&gt;0),1,0)</f>
        <v>0</v>
      </c>
      <c r="G5777" s="34" t="n">
        <f aca="false">B5777/1</f>
        <v>226.286</v>
      </c>
      <c r="H5777" s="34" t="str">
        <f aca="false">IF(F5777=1,G5777,"")</f>
        <v/>
      </c>
    </row>
    <row r="5778" customFormat="false" ht="15" hidden="false" customHeight="false" outlineLevel="0" collapsed="false">
      <c r="A5778" s="31" t="n">
        <v>42976.6666666667</v>
      </c>
      <c r="B5778" s="32" t="n">
        <v>225.623</v>
      </c>
      <c r="D5778" s="33" t="n">
        <f aca="false">WEEKDAY(A5778,2)</f>
        <v>2</v>
      </c>
      <c r="E5778" s="33" t="n">
        <f aca="false">HOUR(A5778)+MINUTE(A5778)/60</f>
        <v>16</v>
      </c>
      <c r="F5778" s="33" t="n">
        <f aca="false">IF(OR(D5778&gt;5,E5778&lt;8,E5778&gt;=18,COUNTIF($K$2:$K$10,INT(A5778))&gt;0),1,0)</f>
        <v>0</v>
      </c>
      <c r="G5778" s="34" t="n">
        <f aca="false">B5778/1</f>
        <v>225.623</v>
      </c>
      <c r="H5778" s="34" t="str">
        <f aca="false">IF(F5778=1,G5778,"")</f>
        <v/>
      </c>
    </row>
    <row r="5779" customFormat="false" ht="15" hidden="false" customHeight="false" outlineLevel="0" collapsed="false">
      <c r="A5779" s="31" t="n">
        <v>42976.7083333333</v>
      </c>
      <c r="B5779" s="32" t="n">
        <v>216.859</v>
      </c>
      <c r="D5779" s="33" t="n">
        <f aca="false">WEEKDAY(A5779,2)</f>
        <v>2</v>
      </c>
      <c r="E5779" s="33" t="n">
        <f aca="false">HOUR(A5779)+MINUTE(A5779)/60</f>
        <v>17</v>
      </c>
      <c r="F5779" s="33" t="n">
        <f aca="false">IF(OR(D5779&gt;5,E5779&lt;8,E5779&gt;=18,COUNTIF($K$2:$K$10,INT(A5779))&gt;0),1,0)</f>
        <v>0</v>
      </c>
      <c r="G5779" s="34" t="n">
        <f aca="false">B5779/1</f>
        <v>216.859</v>
      </c>
      <c r="H5779" s="34" t="str">
        <f aca="false">IF(F5779=1,G5779,"")</f>
        <v/>
      </c>
    </row>
    <row r="5780" customFormat="false" ht="15" hidden="false" customHeight="false" outlineLevel="0" collapsed="false">
      <c r="A5780" s="31" t="n">
        <v>42976.75</v>
      </c>
      <c r="B5780" s="32" t="n">
        <v>200.849</v>
      </c>
      <c r="D5780" s="33" t="n">
        <f aca="false">WEEKDAY(A5780,2)</f>
        <v>2</v>
      </c>
      <c r="E5780" s="33" t="n">
        <f aca="false">HOUR(A5780)+MINUTE(A5780)/60</f>
        <v>18</v>
      </c>
      <c r="F5780" s="33" t="n">
        <f aca="false">IF(OR(D5780&gt;5,E5780&lt;8,E5780&gt;=18,COUNTIF($K$2:$K$10,INT(A5780))&gt;0),1,0)</f>
        <v>1</v>
      </c>
      <c r="G5780" s="34" t="n">
        <f aca="false">B5780/1</f>
        <v>200.849</v>
      </c>
      <c r="H5780" s="34" t="n">
        <f aca="false">IF(F5780=1,G5780,"")</f>
        <v>200.849</v>
      </c>
    </row>
    <row r="5781" customFormat="false" ht="15" hidden="false" customHeight="false" outlineLevel="0" collapsed="false">
      <c r="A5781" s="31" t="n">
        <v>42976.7916666667</v>
      </c>
      <c r="B5781" s="32" t="n">
        <v>194.755</v>
      </c>
      <c r="D5781" s="33" t="n">
        <f aca="false">WEEKDAY(A5781,2)</f>
        <v>2</v>
      </c>
      <c r="E5781" s="33" t="n">
        <f aca="false">HOUR(A5781)+MINUTE(A5781)/60</f>
        <v>19</v>
      </c>
      <c r="F5781" s="33" t="n">
        <f aca="false">IF(OR(D5781&gt;5,E5781&lt;8,E5781&gt;=18,COUNTIF($K$2:$K$10,INT(A5781))&gt;0),1,0)</f>
        <v>1</v>
      </c>
      <c r="G5781" s="34" t="n">
        <f aca="false">B5781/1</f>
        <v>194.755</v>
      </c>
      <c r="H5781" s="34" t="n">
        <f aca="false">IF(F5781=1,G5781,"")</f>
        <v>194.755</v>
      </c>
    </row>
    <row r="5782" customFormat="false" ht="15" hidden="false" customHeight="false" outlineLevel="0" collapsed="false">
      <c r="A5782" s="31" t="n">
        <v>42976.8333333333</v>
      </c>
      <c r="B5782" s="32" t="n">
        <v>193.249</v>
      </c>
      <c r="D5782" s="33" t="n">
        <f aca="false">WEEKDAY(A5782,2)</f>
        <v>2</v>
      </c>
      <c r="E5782" s="33" t="n">
        <f aca="false">HOUR(A5782)+MINUTE(A5782)/60</f>
        <v>20</v>
      </c>
      <c r="F5782" s="33" t="n">
        <f aca="false">IF(OR(D5782&gt;5,E5782&lt;8,E5782&gt;=18,COUNTIF($K$2:$K$10,INT(A5782))&gt;0),1,0)</f>
        <v>1</v>
      </c>
      <c r="G5782" s="34" t="n">
        <f aca="false">B5782/1</f>
        <v>193.249</v>
      </c>
      <c r="H5782" s="34" t="n">
        <f aca="false">IF(F5782=1,G5782,"")</f>
        <v>193.249</v>
      </c>
    </row>
    <row r="5783" customFormat="false" ht="15" hidden="false" customHeight="false" outlineLevel="0" collapsed="false">
      <c r="A5783" s="31" t="n">
        <v>42976.875</v>
      </c>
      <c r="B5783" s="32" t="n">
        <v>192.762</v>
      </c>
      <c r="D5783" s="33" t="n">
        <f aca="false">WEEKDAY(A5783,2)</f>
        <v>2</v>
      </c>
      <c r="E5783" s="33" t="n">
        <f aca="false">HOUR(A5783)+MINUTE(A5783)/60</f>
        <v>21</v>
      </c>
      <c r="F5783" s="33" t="n">
        <f aca="false">IF(OR(D5783&gt;5,E5783&lt;8,E5783&gt;=18,COUNTIF($K$2:$K$10,INT(A5783))&gt;0),1,0)</f>
        <v>1</v>
      </c>
      <c r="G5783" s="34" t="n">
        <f aca="false">B5783/1</f>
        <v>192.762</v>
      </c>
      <c r="H5783" s="34" t="n">
        <f aca="false">IF(F5783=1,G5783,"")</f>
        <v>192.762</v>
      </c>
    </row>
    <row r="5784" customFormat="false" ht="15" hidden="false" customHeight="false" outlineLevel="0" collapsed="false">
      <c r="A5784" s="31" t="n">
        <v>42976.9166666667</v>
      </c>
      <c r="B5784" s="32" t="n">
        <v>138.819</v>
      </c>
      <c r="D5784" s="33" t="n">
        <f aca="false">WEEKDAY(A5784,2)</f>
        <v>2</v>
      </c>
      <c r="E5784" s="33" t="n">
        <f aca="false">HOUR(A5784)+MINUTE(A5784)/60</f>
        <v>22</v>
      </c>
      <c r="F5784" s="33" t="n">
        <f aca="false">IF(OR(D5784&gt;5,E5784&lt;8,E5784&gt;=18,COUNTIF($K$2:$K$10,INT(A5784))&gt;0),1,0)</f>
        <v>1</v>
      </c>
      <c r="G5784" s="34" t="n">
        <f aca="false">B5784/1</f>
        <v>138.819</v>
      </c>
      <c r="H5784" s="34" t="n">
        <f aca="false">IF(F5784=1,G5784,"")</f>
        <v>138.819</v>
      </c>
    </row>
    <row r="5785" customFormat="false" ht="15" hidden="false" customHeight="false" outlineLevel="0" collapsed="false">
      <c r="A5785" s="31" t="n">
        <v>42976.9583333333</v>
      </c>
      <c r="B5785" s="32" t="n">
        <v>77.672</v>
      </c>
      <c r="D5785" s="33" t="n">
        <f aca="false">WEEKDAY(A5785,2)</f>
        <v>2</v>
      </c>
      <c r="E5785" s="33" t="n">
        <f aca="false">HOUR(A5785)+MINUTE(A5785)/60</f>
        <v>23</v>
      </c>
      <c r="F5785" s="33" t="n">
        <f aca="false">IF(OR(D5785&gt;5,E5785&lt;8,E5785&gt;=18,COUNTIF($K$2:$K$10,INT(A5785))&gt;0),1,0)</f>
        <v>1</v>
      </c>
      <c r="G5785" s="34" t="n">
        <f aca="false">B5785/1</f>
        <v>77.672</v>
      </c>
      <c r="H5785" s="34" t="n">
        <f aca="false">IF(F5785=1,G5785,"")</f>
        <v>77.672</v>
      </c>
    </row>
    <row r="5786" customFormat="false" ht="15" hidden="false" customHeight="false" outlineLevel="0" collapsed="false">
      <c r="A5786" s="31" t="n">
        <v>42977</v>
      </c>
      <c r="B5786" s="32" t="n">
        <v>75.586</v>
      </c>
      <c r="D5786" s="33" t="n">
        <f aca="false">WEEKDAY(A5786,2)</f>
        <v>3</v>
      </c>
      <c r="E5786" s="33" t="n">
        <f aca="false">HOUR(A5786)+MINUTE(A5786)/60</f>
        <v>0</v>
      </c>
      <c r="F5786" s="33" t="n">
        <f aca="false">IF(OR(D5786&gt;5,E5786&lt;8,E5786&gt;=18,COUNTIF($K$2:$K$10,INT(A5786))&gt;0),1,0)</f>
        <v>1</v>
      </c>
      <c r="G5786" s="34" t="n">
        <f aca="false">B5786/1</f>
        <v>75.586</v>
      </c>
      <c r="H5786" s="34" t="n">
        <f aca="false">IF(F5786=1,G5786,"")</f>
        <v>75.586</v>
      </c>
    </row>
    <row r="5787" customFormat="false" ht="15" hidden="false" customHeight="false" outlineLevel="0" collapsed="false">
      <c r="A5787" s="31" t="n">
        <v>42977.0416666667</v>
      </c>
      <c r="B5787" s="32" t="n">
        <v>74.302</v>
      </c>
      <c r="D5787" s="33" t="n">
        <f aca="false">WEEKDAY(A5787,2)</f>
        <v>3</v>
      </c>
      <c r="E5787" s="33" t="n">
        <f aca="false">HOUR(A5787)+MINUTE(A5787)/60</f>
        <v>1</v>
      </c>
      <c r="F5787" s="33" t="n">
        <f aca="false">IF(OR(D5787&gt;5,E5787&lt;8,E5787&gt;=18,COUNTIF($K$2:$K$10,INT(A5787))&gt;0),1,0)</f>
        <v>1</v>
      </c>
      <c r="G5787" s="34" t="n">
        <f aca="false">B5787/1</f>
        <v>74.302</v>
      </c>
      <c r="H5787" s="34" t="n">
        <f aca="false">IF(F5787=1,G5787,"")</f>
        <v>74.302</v>
      </c>
    </row>
    <row r="5788" customFormat="false" ht="15" hidden="false" customHeight="false" outlineLevel="0" collapsed="false">
      <c r="A5788" s="31" t="n">
        <v>42977.0833333333</v>
      </c>
      <c r="B5788" s="32" t="n">
        <v>72.495</v>
      </c>
      <c r="D5788" s="33" t="n">
        <f aca="false">WEEKDAY(A5788,2)</f>
        <v>3</v>
      </c>
      <c r="E5788" s="33" t="n">
        <f aca="false">HOUR(A5788)+MINUTE(A5788)/60</f>
        <v>2</v>
      </c>
      <c r="F5788" s="33" t="n">
        <f aca="false">IF(OR(D5788&gt;5,E5788&lt;8,E5788&gt;=18,COUNTIF($K$2:$K$10,INT(A5788))&gt;0),1,0)</f>
        <v>1</v>
      </c>
      <c r="G5788" s="34" t="n">
        <f aca="false">B5788/1</f>
        <v>72.495</v>
      </c>
      <c r="H5788" s="34" t="n">
        <f aca="false">IF(F5788=1,G5788,"")</f>
        <v>72.495</v>
      </c>
    </row>
    <row r="5789" customFormat="false" ht="15" hidden="false" customHeight="false" outlineLevel="0" collapsed="false">
      <c r="A5789" s="31" t="n">
        <v>42977.125</v>
      </c>
      <c r="B5789" s="32" t="n">
        <v>75.54</v>
      </c>
      <c r="D5789" s="33" t="n">
        <f aca="false">WEEKDAY(A5789,2)</f>
        <v>3</v>
      </c>
      <c r="E5789" s="33" t="n">
        <f aca="false">HOUR(A5789)+MINUTE(A5789)/60</f>
        <v>3</v>
      </c>
      <c r="F5789" s="33" t="n">
        <f aca="false">IF(OR(D5789&gt;5,E5789&lt;8,E5789&gt;=18,COUNTIF($K$2:$K$10,INT(A5789))&gt;0),1,0)</f>
        <v>1</v>
      </c>
      <c r="G5789" s="34" t="n">
        <f aca="false">B5789/1</f>
        <v>75.54</v>
      </c>
      <c r="H5789" s="34" t="n">
        <f aca="false">IF(F5789=1,G5789,"")</f>
        <v>75.54</v>
      </c>
    </row>
    <row r="5790" customFormat="false" ht="15" hidden="false" customHeight="false" outlineLevel="0" collapsed="false">
      <c r="A5790" s="31" t="n">
        <v>42977.1666666667</v>
      </c>
      <c r="B5790" s="32" t="n">
        <v>74.324</v>
      </c>
      <c r="D5790" s="33" t="n">
        <f aca="false">WEEKDAY(A5790,2)</f>
        <v>3</v>
      </c>
      <c r="E5790" s="33" t="n">
        <f aca="false">HOUR(A5790)+MINUTE(A5790)/60</f>
        <v>4</v>
      </c>
      <c r="F5790" s="33" t="n">
        <f aca="false">IF(OR(D5790&gt;5,E5790&lt;8,E5790&gt;=18,COUNTIF($K$2:$K$10,INT(A5790))&gt;0),1,0)</f>
        <v>1</v>
      </c>
      <c r="G5790" s="34" t="n">
        <f aca="false">B5790/1</f>
        <v>74.324</v>
      </c>
      <c r="H5790" s="34" t="n">
        <f aca="false">IF(F5790=1,G5790,"")</f>
        <v>74.324</v>
      </c>
    </row>
    <row r="5791" customFormat="false" ht="15" hidden="false" customHeight="false" outlineLevel="0" collapsed="false">
      <c r="A5791" s="31" t="n">
        <v>42977.2083333333</v>
      </c>
      <c r="B5791" s="32" t="n">
        <v>75.045</v>
      </c>
      <c r="D5791" s="33" t="n">
        <f aca="false">WEEKDAY(A5791,2)</f>
        <v>3</v>
      </c>
      <c r="E5791" s="33" t="n">
        <f aca="false">HOUR(A5791)+MINUTE(A5791)/60</f>
        <v>5</v>
      </c>
      <c r="F5791" s="33" t="n">
        <f aca="false">IF(OR(D5791&gt;5,E5791&lt;8,E5791&gt;=18,COUNTIF($K$2:$K$10,INT(A5791))&gt;0),1,0)</f>
        <v>1</v>
      </c>
      <c r="G5791" s="34" t="n">
        <f aca="false">B5791/1</f>
        <v>75.045</v>
      </c>
      <c r="H5791" s="34" t="n">
        <f aca="false">IF(F5791=1,G5791,"")</f>
        <v>75.045</v>
      </c>
    </row>
    <row r="5792" customFormat="false" ht="15" hidden="false" customHeight="false" outlineLevel="0" collapsed="false">
      <c r="A5792" s="31" t="n">
        <v>42977.25</v>
      </c>
      <c r="B5792" s="32" t="n">
        <v>75.168</v>
      </c>
      <c r="D5792" s="33" t="n">
        <f aca="false">WEEKDAY(A5792,2)</f>
        <v>3</v>
      </c>
      <c r="E5792" s="33" t="n">
        <f aca="false">HOUR(A5792)+MINUTE(A5792)/60</f>
        <v>6</v>
      </c>
      <c r="F5792" s="33" t="n">
        <f aca="false">IF(OR(D5792&gt;5,E5792&lt;8,E5792&gt;=18,COUNTIF($K$2:$K$10,INT(A5792))&gt;0),1,0)</f>
        <v>1</v>
      </c>
      <c r="G5792" s="34" t="n">
        <f aca="false">B5792/1</f>
        <v>75.168</v>
      </c>
      <c r="H5792" s="34" t="n">
        <f aca="false">IF(F5792=1,G5792,"")</f>
        <v>75.168</v>
      </c>
    </row>
    <row r="5793" customFormat="false" ht="15" hidden="false" customHeight="false" outlineLevel="0" collapsed="false">
      <c r="A5793" s="31" t="n">
        <v>42977.2916666667</v>
      </c>
      <c r="B5793" s="32" t="n">
        <v>79.658</v>
      </c>
      <c r="D5793" s="33" t="n">
        <f aca="false">WEEKDAY(A5793,2)</f>
        <v>3</v>
      </c>
      <c r="E5793" s="33" t="n">
        <f aca="false">HOUR(A5793)+MINUTE(A5793)/60</f>
        <v>7</v>
      </c>
      <c r="F5793" s="33" t="n">
        <f aca="false">IF(OR(D5793&gt;5,E5793&lt;8,E5793&gt;=18,COUNTIF($K$2:$K$10,INT(A5793))&gt;0),1,0)</f>
        <v>1</v>
      </c>
      <c r="G5793" s="34" t="n">
        <f aca="false">B5793/1</f>
        <v>79.658</v>
      </c>
      <c r="H5793" s="34" t="n">
        <f aca="false">IF(F5793=1,G5793,"")</f>
        <v>79.658</v>
      </c>
    </row>
    <row r="5794" customFormat="false" ht="15" hidden="false" customHeight="false" outlineLevel="0" collapsed="false">
      <c r="A5794" s="31" t="n">
        <v>42977.3333333333</v>
      </c>
      <c r="B5794" s="32" t="n">
        <v>187.554</v>
      </c>
      <c r="D5794" s="33" t="n">
        <f aca="false">WEEKDAY(A5794,2)</f>
        <v>3</v>
      </c>
      <c r="E5794" s="33" t="n">
        <f aca="false">HOUR(A5794)+MINUTE(A5794)/60</f>
        <v>8</v>
      </c>
      <c r="F5794" s="33" t="n">
        <f aca="false">IF(OR(D5794&gt;5,E5794&lt;8,E5794&gt;=18,COUNTIF($K$2:$K$10,INT(A5794))&gt;0),1,0)</f>
        <v>0</v>
      </c>
      <c r="G5794" s="34" t="n">
        <f aca="false">B5794/1</f>
        <v>187.554</v>
      </c>
      <c r="H5794" s="34" t="str">
        <f aca="false">IF(F5794=1,G5794,"")</f>
        <v/>
      </c>
    </row>
    <row r="5795" customFormat="false" ht="15" hidden="false" customHeight="false" outlineLevel="0" collapsed="false">
      <c r="A5795" s="31" t="n">
        <v>42977.375</v>
      </c>
      <c r="B5795" s="32" t="n">
        <v>211.473</v>
      </c>
      <c r="D5795" s="33" t="n">
        <f aca="false">WEEKDAY(A5795,2)</f>
        <v>3</v>
      </c>
      <c r="E5795" s="33" t="n">
        <f aca="false">HOUR(A5795)+MINUTE(A5795)/60</f>
        <v>9</v>
      </c>
      <c r="F5795" s="33" t="n">
        <f aca="false">IF(OR(D5795&gt;5,E5795&lt;8,E5795&gt;=18,COUNTIF($K$2:$K$10,INT(A5795))&gt;0),1,0)</f>
        <v>0</v>
      </c>
      <c r="G5795" s="34" t="n">
        <f aca="false">B5795/1</f>
        <v>211.473</v>
      </c>
      <c r="H5795" s="34" t="str">
        <f aca="false">IF(F5795=1,G5795,"")</f>
        <v/>
      </c>
    </row>
    <row r="5796" customFormat="false" ht="15" hidden="false" customHeight="false" outlineLevel="0" collapsed="false">
      <c r="A5796" s="31" t="n">
        <v>42977.4166666667</v>
      </c>
      <c r="B5796" s="32" t="n">
        <v>222.809</v>
      </c>
      <c r="D5796" s="33" t="n">
        <f aca="false">WEEKDAY(A5796,2)</f>
        <v>3</v>
      </c>
      <c r="E5796" s="33" t="n">
        <f aca="false">HOUR(A5796)+MINUTE(A5796)/60</f>
        <v>10</v>
      </c>
      <c r="F5796" s="33" t="n">
        <f aca="false">IF(OR(D5796&gt;5,E5796&lt;8,E5796&gt;=18,COUNTIF($K$2:$K$10,INT(A5796))&gt;0),1,0)</f>
        <v>0</v>
      </c>
      <c r="G5796" s="34" t="n">
        <f aca="false">B5796/1</f>
        <v>222.809</v>
      </c>
      <c r="H5796" s="34" t="str">
        <f aca="false">IF(F5796=1,G5796,"")</f>
        <v/>
      </c>
    </row>
    <row r="5797" customFormat="false" ht="15" hidden="false" customHeight="false" outlineLevel="0" collapsed="false">
      <c r="A5797" s="31" t="n">
        <v>42977.4583333333</v>
      </c>
      <c r="B5797" s="32" t="n">
        <v>232.934</v>
      </c>
      <c r="D5797" s="33" t="n">
        <f aca="false">WEEKDAY(A5797,2)</f>
        <v>3</v>
      </c>
      <c r="E5797" s="33" t="n">
        <f aca="false">HOUR(A5797)+MINUTE(A5797)/60</f>
        <v>11</v>
      </c>
      <c r="F5797" s="33" t="n">
        <f aca="false">IF(OR(D5797&gt;5,E5797&lt;8,E5797&gt;=18,COUNTIF($K$2:$K$10,INT(A5797))&gt;0),1,0)</f>
        <v>0</v>
      </c>
      <c r="G5797" s="34" t="n">
        <f aca="false">B5797/1</f>
        <v>232.934</v>
      </c>
      <c r="H5797" s="34" t="str">
        <f aca="false">IF(F5797=1,G5797,"")</f>
        <v/>
      </c>
    </row>
    <row r="5798" customFormat="false" ht="15" hidden="false" customHeight="false" outlineLevel="0" collapsed="false">
      <c r="A5798" s="31" t="n">
        <v>42977.5</v>
      </c>
      <c r="B5798" s="32" t="n">
        <v>240.381</v>
      </c>
      <c r="D5798" s="33" t="n">
        <f aca="false">WEEKDAY(A5798,2)</f>
        <v>3</v>
      </c>
      <c r="E5798" s="33" t="n">
        <f aca="false">HOUR(A5798)+MINUTE(A5798)/60</f>
        <v>12</v>
      </c>
      <c r="F5798" s="33" t="n">
        <f aca="false">IF(OR(D5798&gt;5,E5798&lt;8,E5798&gt;=18,COUNTIF($K$2:$K$10,INT(A5798))&gt;0),1,0)</f>
        <v>0</v>
      </c>
      <c r="G5798" s="34" t="n">
        <f aca="false">B5798/1</f>
        <v>240.381</v>
      </c>
      <c r="H5798" s="34" t="str">
        <f aca="false">IF(F5798=1,G5798,"")</f>
        <v/>
      </c>
    </row>
    <row r="5799" customFormat="false" ht="15" hidden="false" customHeight="false" outlineLevel="0" collapsed="false">
      <c r="A5799" s="31" t="n">
        <v>42977.5416666667</v>
      </c>
      <c r="B5799" s="32" t="n">
        <v>239.63</v>
      </c>
      <c r="D5799" s="33" t="n">
        <f aca="false">WEEKDAY(A5799,2)</f>
        <v>3</v>
      </c>
      <c r="E5799" s="33" t="n">
        <f aca="false">HOUR(A5799)+MINUTE(A5799)/60</f>
        <v>13</v>
      </c>
      <c r="F5799" s="33" t="n">
        <f aca="false">IF(OR(D5799&gt;5,E5799&lt;8,E5799&gt;=18,COUNTIF($K$2:$K$10,INT(A5799))&gt;0),1,0)</f>
        <v>0</v>
      </c>
      <c r="G5799" s="34" t="n">
        <f aca="false">B5799/1</f>
        <v>239.63</v>
      </c>
      <c r="H5799" s="34" t="str">
        <f aca="false">IF(F5799=1,G5799,"")</f>
        <v/>
      </c>
    </row>
    <row r="5800" customFormat="false" ht="15" hidden="false" customHeight="false" outlineLevel="0" collapsed="false">
      <c r="A5800" s="31" t="n">
        <v>42977.5833333333</v>
      </c>
      <c r="B5800" s="32" t="n">
        <v>237.208</v>
      </c>
      <c r="D5800" s="33" t="n">
        <f aca="false">WEEKDAY(A5800,2)</f>
        <v>3</v>
      </c>
      <c r="E5800" s="33" t="n">
        <f aca="false">HOUR(A5800)+MINUTE(A5800)/60</f>
        <v>14</v>
      </c>
      <c r="F5800" s="33" t="n">
        <f aca="false">IF(OR(D5800&gt;5,E5800&lt;8,E5800&gt;=18,COUNTIF($K$2:$K$10,INT(A5800))&gt;0),1,0)</f>
        <v>0</v>
      </c>
      <c r="G5800" s="34" t="n">
        <f aca="false">B5800/1</f>
        <v>237.208</v>
      </c>
      <c r="H5800" s="34" t="str">
        <f aca="false">IF(F5800=1,G5800,"")</f>
        <v/>
      </c>
    </row>
    <row r="5801" customFormat="false" ht="15" hidden="false" customHeight="false" outlineLevel="0" collapsed="false">
      <c r="A5801" s="31" t="n">
        <v>42977.625</v>
      </c>
      <c r="B5801" s="32" t="n">
        <v>239.981</v>
      </c>
      <c r="D5801" s="33" t="n">
        <f aca="false">WEEKDAY(A5801,2)</f>
        <v>3</v>
      </c>
      <c r="E5801" s="33" t="n">
        <f aca="false">HOUR(A5801)+MINUTE(A5801)/60</f>
        <v>15</v>
      </c>
      <c r="F5801" s="33" t="n">
        <f aca="false">IF(OR(D5801&gt;5,E5801&lt;8,E5801&gt;=18,COUNTIF($K$2:$K$10,INT(A5801))&gt;0),1,0)</f>
        <v>0</v>
      </c>
      <c r="G5801" s="34" t="n">
        <f aca="false">B5801/1</f>
        <v>239.981</v>
      </c>
      <c r="H5801" s="34" t="str">
        <f aca="false">IF(F5801=1,G5801,"")</f>
        <v/>
      </c>
    </row>
    <row r="5802" customFormat="false" ht="15" hidden="false" customHeight="false" outlineLevel="0" collapsed="false">
      <c r="A5802" s="31" t="n">
        <v>42977.6666666667</v>
      </c>
      <c r="B5802" s="32" t="n">
        <v>235.876</v>
      </c>
      <c r="D5802" s="33" t="n">
        <f aca="false">WEEKDAY(A5802,2)</f>
        <v>3</v>
      </c>
      <c r="E5802" s="33" t="n">
        <f aca="false">HOUR(A5802)+MINUTE(A5802)/60</f>
        <v>16</v>
      </c>
      <c r="F5802" s="33" t="n">
        <f aca="false">IF(OR(D5802&gt;5,E5802&lt;8,E5802&gt;=18,COUNTIF($K$2:$K$10,INT(A5802))&gt;0),1,0)</f>
        <v>0</v>
      </c>
      <c r="G5802" s="34" t="n">
        <f aca="false">B5802/1</f>
        <v>235.876</v>
      </c>
      <c r="H5802" s="34" t="str">
        <f aca="false">IF(F5802=1,G5802,"")</f>
        <v/>
      </c>
    </row>
    <row r="5803" customFormat="false" ht="15" hidden="false" customHeight="false" outlineLevel="0" collapsed="false">
      <c r="A5803" s="31" t="n">
        <v>42977.7083333333</v>
      </c>
      <c r="B5803" s="32" t="n">
        <v>230.533</v>
      </c>
      <c r="D5803" s="33" t="n">
        <f aca="false">WEEKDAY(A5803,2)</f>
        <v>3</v>
      </c>
      <c r="E5803" s="33" t="n">
        <f aca="false">HOUR(A5803)+MINUTE(A5803)/60</f>
        <v>17</v>
      </c>
      <c r="F5803" s="33" t="n">
        <f aca="false">IF(OR(D5803&gt;5,E5803&lt;8,E5803&gt;=18,COUNTIF($K$2:$K$10,INT(A5803))&gt;0),1,0)</f>
        <v>0</v>
      </c>
      <c r="G5803" s="34" t="n">
        <f aca="false">B5803/1</f>
        <v>230.533</v>
      </c>
      <c r="H5803" s="34" t="str">
        <f aca="false">IF(F5803=1,G5803,"")</f>
        <v/>
      </c>
    </row>
    <row r="5804" customFormat="false" ht="15" hidden="false" customHeight="false" outlineLevel="0" collapsed="false">
      <c r="A5804" s="31" t="n">
        <v>42977.75</v>
      </c>
      <c r="B5804" s="32" t="n">
        <v>209.585</v>
      </c>
      <c r="D5804" s="33" t="n">
        <f aca="false">WEEKDAY(A5804,2)</f>
        <v>3</v>
      </c>
      <c r="E5804" s="33" t="n">
        <f aca="false">HOUR(A5804)+MINUTE(A5804)/60</f>
        <v>18</v>
      </c>
      <c r="F5804" s="33" t="n">
        <f aca="false">IF(OR(D5804&gt;5,E5804&lt;8,E5804&gt;=18,COUNTIF($K$2:$K$10,INT(A5804))&gt;0),1,0)</f>
        <v>1</v>
      </c>
      <c r="G5804" s="34" t="n">
        <f aca="false">B5804/1</f>
        <v>209.585</v>
      </c>
      <c r="H5804" s="34" t="n">
        <f aca="false">IF(F5804=1,G5804,"")</f>
        <v>209.585</v>
      </c>
    </row>
    <row r="5805" customFormat="false" ht="15" hidden="false" customHeight="false" outlineLevel="0" collapsed="false">
      <c r="A5805" s="31" t="n">
        <v>42977.7916666667</v>
      </c>
      <c r="B5805" s="32" t="n">
        <v>202.46</v>
      </c>
      <c r="D5805" s="33" t="n">
        <f aca="false">WEEKDAY(A5805,2)</f>
        <v>3</v>
      </c>
      <c r="E5805" s="33" t="n">
        <f aca="false">HOUR(A5805)+MINUTE(A5805)/60</f>
        <v>19</v>
      </c>
      <c r="F5805" s="33" t="n">
        <f aca="false">IF(OR(D5805&gt;5,E5805&lt;8,E5805&gt;=18,COUNTIF($K$2:$K$10,INT(A5805))&gt;0),1,0)</f>
        <v>1</v>
      </c>
      <c r="G5805" s="34" t="n">
        <f aca="false">B5805/1</f>
        <v>202.46</v>
      </c>
      <c r="H5805" s="34" t="n">
        <f aca="false">IF(F5805=1,G5805,"")</f>
        <v>202.46</v>
      </c>
    </row>
    <row r="5806" customFormat="false" ht="15" hidden="false" customHeight="false" outlineLevel="0" collapsed="false">
      <c r="A5806" s="31" t="n">
        <v>42977.8333333333</v>
      </c>
      <c r="B5806" s="32" t="n">
        <v>196.852</v>
      </c>
      <c r="D5806" s="33" t="n">
        <f aca="false">WEEKDAY(A5806,2)</f>
        <v>3</v>
      </c>
      <c r="E5806" s="33" t="n">
        <f aca="false">HOUR(A5806)+MINUTE(A5806)/60</f>
        <v>20</v>
      </c>
      <c r="F5806" s="33" t="n">
        <f aca="false">IF(OR(D5806&gt;5,E5806&lt;8,E5806&gt;=18,COUNTIF($K$2:$K$10,INT(A5806))&gt;0),1,0)</f>
        <v>1</v>
      </c>
      <c r="G5806" s="34" t="n">
        <f aca="false">B5806/1</f>
        <v>196.852</v>
      </c>
      <c r="H5806" s="34" t="n">
        <f aca="false">IF(F5806=1,G5806,"")</f>
        <v>196.852</v>
      </c>
    </row>
    <row r="5807" customFormat="false" ht="15" hidden="false" customHeight="false" outlineLevel="0" collapsed="false">
      <c r="A5807" s="31" t="n">
        <v>42977.875</v>
      </c>
      <c r="B5807" s="32" t="n">
        <v>195.48</v>
      </c>
      <c r="D5807" s="33" t="n">
        <f aca="false">WEEKDAY(A5807,2)</f>
        <v>3</v>
      </c>
      <c r="E5807" s="33" t="n">
        <f aca="false">HOUR(A5807)+MINUTE(A5807)/60</f>
        <v>21</v>
      </c>
      <c r="F5807" s="33" t="n">
        <f aca="false">IF(OR(D5807&gt;5,E5807&lt;8,E5807&gt;=18,COUNTIF($K$2:$K$10,INT(A5807))&gt;0),1,0)</f>
        <v>1</v>
      </c>
      <c r="G5807" s="34" t="n">
        <f aca="false">B5807/1</f>
        <v>195.48</v>
      </c>
      <c r="H5807" s="34" t="n">
        <f aca="false">IF(F5807=1,G5807,"")</f>
        <v>195.48</v>
      </c>
    </row>
    <row r="5808" customFormat="false" ht="15" hidden="false" customHeight="false" outlineLevel="0" collapsed="false">
      <c r="A5808" s="31" t="n">
        <v>42977.9166666667</v>
      </c>
      <c r="B5808" s="32" t="n">
        <v>141.123</v>
      </c>
      <c r="D5808" s="33" t="n">
        <f aca="false">WEEKDAY(A5808,2)</f>
        <v>3</v>
      </c>
      <c r="E5808" s="33" t="n">
        <f aca="false">HOUR(A5808)+MINUTE(A5808)/60</f>
        <v>22</v>
      </c>
      <c r="F5808" s="33" t="n">
        <f aca="false">IF(OR(D5808&gt;5,E5808&lt;8,E5808&gt;=18,COUNTIF($K$2:$K$10,INT(A5808))&gt;0),1,0)</f>
        <v>1</v>
      </c>
      <c r="G5808" s="34" t="n">
        <f aca="false">B5808/1</f>
        <v>141.123</v>
      </c>
      <c r="H5808" s="34" t="n">
        <f aca="false">IF(F5808=1,G5808,"")</f>
        <v>141.123</v>
      </c>
    </row>
    <row r="5809" customFormat="false" ht="15" hidden="false" customHeight="false" outlineLevel="0" collapsed="false">
      <c r="A5809" s="31" t="n">
        <v>42977.9583333333</v>
      </c>
      <c r="B5809" s="32" t="n">
        <v>77.893</v>
      </c>
      <c r="D5809" s="33" t="n">
        <f aca="false">WEEKDAY(A5809,2)</f>
        <v>3</v>
      </c>
      <c r="E5809" s="33" t="n">
        <f aca="false">HOUR(A5809)+MINUTE(A5809)/60</f>
        <v>23</v>
      </c>
      <c r="F5809" s="33" t="n">
        <f aca="false">IF(OR(D5809&gt;5,E5809&lt;8,E5809&gt;=18,COUNTIF($K$2:$K$10,INT(A5809))&gt;0),1,0)</f>
        <v>1</v>
      </c>
      <c r="G5809" s="34" t="n">
        <f aca="false">B5809/1</f>
        <v>77.893</v>
      </c>
      <c r="H5809" s="34" t="n">
        <f aca="false">IF(F5809=1,G5809,"")</f>
        <v>77.893</v>
      </c>
    </row>
    <row r="5810" customFormat="false" ht="15" hidden="false" customHeight="false" outlineLevel="0" collapsed="false">
      <c r="A5810" s="31" t="n">
        <v>42978</v>
      </c>
      <c r="B5810" s="32" t="n">
        <v>75.24</v>
      </c>
      <c r="D5810" s="33" t="n">
        <f aca="false">WEEKDAY(A5810,2)</f>
        <v>4</v>
      </c>
      <c r="E5810" s="33" t="n">
        <f aca="false">HOUR(A5810)+MINUTE(A5810)/60</f>
        <v>0</v>
      </c>
      <c r="F5810" s="33" t="n">
        <f aca="false">IF(OR(D5810&gt;5,E5810&lt;8,E5810&gt;=18,COUNTIF($K$2:$K$10,INT(A5810))&gt;0),1,0)</f>
        <v>1</v>
      </c>
      <c r="G5810" s="34" t="n">
        <f aca="false">B5810/1</f>
        <v>75.24</v>
      </c>
      <c r="H5810" s="34" t="n">
        <f aca="false">IF(F5810=1,G5810,"")</f>
        <v>75.24</v>
      </c>
    </row>
    <row r="5811" customFormat="false" ht="15" hidden="false" customHeight="false" outlineLevel="0" collapsed="false">
      <c r="A5811" s="31" t="n">
        <v>42978.0416666667</v>
      </c>
      <c r="B5811" s="32" t="n">
        <v>71.172</v>
      </c>
      <c r="D5811" s="33" t="n">
        <f aca="false">WEEKDAY(A5811,2)</f>
        <v>4</v>
      </c>
      <c r="E5811" s="33" t="n">
        <f aca="false">HOUR(A5811)+MINUTE(A5811)/60</f>
        <v>1</v>
      </c>
      <c r="F5811" s="33" t="n">
        <f aca="false">IF(OR(D5811&gt;5,E5811&lt;8,E5811&gt;=18,COUNTIF($K$2:$K$10,INT(A5811))&gt;0),1,0)</f>
        <v>1</v>
      </c>
      <c r="G5811" s="34" t="n">
        <f aca="false">B5811/1</f>
        <v>71.172</v>
      </c>
      <c r="H5811" s="34" t="n">
        <f aca="false">IF(F5811=1,G5811,"")</f>
        <v>71.172</v>
      </c>
    </row>
    <row r="5812" customFormat="false" ht="15" hidden="false" customHeight="false" outlineLevel="0" collapsed="false">
      <c r="A5812" s="31" t="n">
        <v>42978.0833333333</v>
      </c>
      <c r="B5812" s="32" t="n">
        <v>68.876</v>
      </c>
      <c r="D5812" s="33" t="n">
        <f aca="false">WEEKDAY(A5812,2)</f>
        <v>4</v>
      </c>
      <c r="E5812" s="33" t="n">
        <f aca="false">HOUR(A5812)+MINUTE(A5812)/60</f>
        <v>2</v>
      </c>
      <c r="F5812" s="33" t="n">
        <f aca="false">IF(OR(D5812&gt;5,E5812&lt;8,E5812&gt;=18,COUNTIF($K$2:$K$10,INT(A5812))&gt;0),1,0)</f>
        <v>1</v>
      </c>
      <c r="G5812" s="34" t="n">
        <f aca="false">B5812/1</f>
        <v>68.876</v>
      </c>
      <c r="H5812" s="34" t="n">
        <f aca="false">IF(F5812=1,G5812,"")</f>
        <v>68.876</v>
      </c>
    </row>
    <row r="5813" customFormat="false" ht="15" hidden="false" customHeight="false" outlineLevel="0" collapsed="false">
      <c r="A5813" s="31" t="n">
        <v>42978.125</v>
      </c>
      <c r="B5813" s="32" t="n">
        <v>68.027</v>
      </c>
      <c r="D5813" s="33" t="n">
        <f aca="false">WEEKDAY(A5813,2)</f>
        <v>4</v>
      </c>
      <c r="E5813" s="33" t="n">
        <f aca="false">HOUR(A5813)+MINUTE(A5813)/60</f>
        <v>3</v>
      </c>
      <c r="F5813" s="33" t="n">
        <f aca="false">IF(OR(D5813&gt;5,E5813&lt;8,E5813&gt;=18,COUNTIF($K$2:$K$10,INT(A5813))&gt;0),1,0)</f>
        <v>1</v>
      </c>
      <c r="G5813" s="34" t="n">
        <f aca="false">B5813/1</f>
        <v>68.027</v>
      </c>
      <c r="H5813" s="34" t="n">
        <f aca="false">IF(F5813=1,G5813,"")</f>
        <v>68.027</v>
      </c>
    </row>
    <row r="5814" customFormat="false" ht="15" hidden="false" customHeight="false" outlineLevel="0" collapsed="false">
      <c r="A5814" s="31" t="n">
        <v>42978.1666666667</v>
      </c>
      <c r="B5814" s="32" t="n">
        <v>64.743</v>
      </c>
      <c r="D5814" s="33" t="n">
        <f aca="false">WEEKDAY(A5814,2)</f>
        <v>4</v>
      </c>
      <c r="E5814" s="33" t="n">
        <f aca="false">HOUR(A5814)+MINUTE(A5814)/60</f>
        <v>4</v>
      </c>
      <c r="F5814" s="33" t="n">
        <f aca="false">IF(OR(D5814&gt;5,E5814&lt;8,E5814&gt;=18,COUNTIF($K$2:$K$10,INT(A5814))&gt;0),1,0)</f>
        <v>1</v>
      </c>
      <c r="G5814" s="34" t="n">
        <f aca="false">B5814/1</f>
        <v>64.743</v>
      </c>
      <c r="H5814" s="34" t="n">
        <f aca="false">IF(F5814=1,G5814,"")</f>
        <v>64.743</v>
      </c>
    </row>
    <row r="5815" customFormat="false" ht="15" hidden="false" customHeight="false" outlineLevel="0" collapsed="false">
      <c r="A5815" s="31" t="n">
        <v>42978.2083333333</v>
      </c>
      <c r="B5815" s="32" t="n">
        <v>64.557</v>
      </c>
      <c r="D5815" s="33" t="n">
        <f aca="false">WEEKDAY(A5815,2)</f>
        <v>4</v>
      </c>
      <c r="E5815" s="33" t="n">
        <f aca="false">HOUR(A5815)+MINUTE(A5815)/60</f>
        <v>5</v>
      </c>
      <c r="F5815" s="33" t="n">
        <f aca="false">IF(OR(D5815&gt;5,E5815&lt;8,E5815&gt;=18,COUNTIF($K$2:$K$10,INT(A5815))&gt;0),1,0)</f>
        <v>1</v>
      </c>
      <c r="G5815" s="34" t="n">
        <f aca="false">B5815/1</f>
        <v>64.557</v>
      </c>
      <c r="H5815" s="34" t="n">
        <f aca="false">IF(F5815=1,G5815,"")</f>
        <v>64.557</v>
      </c>
    </row>
    <row r="5816" customFormat="false" ht="15" hidden="false" customHeight="false" outlineLevel="0" collapsed="false">
      <c r="A5816" s="31" t="n">
        <v>42978.25</v>
      </c>
      <c r="B5816" s="32" t="n">
        <v>65.055</v>
      </c>
      <c r="D5816" s="33" t="n">
        <f aca="false">WEEKDAY(A5816,2)</f>
        <v>4</v>
      </c>
      <c r="E5816" s="33" t="n">
        <f aca="false">HOUR(A5816)+MINUTE(A5816)/60</f>
        <v>6</v>
      </c>
      <c r="F5816" s="33" t="n">
        <f aca="false">IF(OR(D5816&gt;5,E5816&lt;8,E5816&gt;=18,COUNTIF($K$2:$K$10,INT(A5816))&gt;0),1,0)</f>
        <v>1</v>
      </c>
      <c r="G5816" s="34" t="n">
        <f aca="false">B5816/1</f>
        <v>65.055</v>
      </c>
      <c r="H5816" s="34" t="n">
        <f aca="false">IF(F5816=1,G5816,"")</f>
        <v>65.055</v>
      </c>
    </row>
    <row r="5817" customFormat="false" ht="15" hidden="false" customHeight="false" outlineLevel="0" collapsed="false">
      <c r="A5817" s="31" t="n">
        <v>42978.2916666667</v>
      </c>
      <c r="B5817" s="32" t="n">
        <v>56.549</v>
      </c>
      <c r="D5817" s="33" t="n">
        <f aca="false">WEEKDAY(A5817,2)</f>
        <v>4</v>
      </c>
      <c r="E5817" s="33" t="n">
        <f aca="false">HOUR(A5817)+MINUTE(A5817)/60</f>
        <v>7</v>
      </c>
      <c r="F5817" s="33" t="n">
        <f aca="false">IF(OR(D5817&gt;5,E5817&lt;8,E5817&gt;=18,COUNTIF($K$2:$K$10,INT(A5817))&gt;0),1,0)</f>
        <v>1</v>
      </c>
      <c r="G5817" s="34" t="n">
        <f aca="false">B5817/1</f>
        <v>56.549</v>
      </c>
      <c r="H5817" s="34" t="n">
        <f aca="false">IF(F5817=1,G5817,"")</f>
        <v>56.549</v>
      </c>
    </row>
    <row r="5818" customFormat="false" ht="15" hidden="false" customHeight="false" outlineLevel="0" collapsed="false">
      <c r="A5818" s="31" t="n">
        <v>42978.3333333333</v>
      </c>
      <c r="B5818" s="32" t="n">
        <v>160.007</v>
      </c>
      <c r="D5818" s="33" t="n">
        <f aca="false">WEEKDAY(A5818,2)</f>
        <v>4</v>
      </c>
      <c r="E5818" s="33" t="n">
        <f aca="false">HOUR(A5818)+MINUTE(A5818)/60</f>
        <v>8</v>
      </c>
      <c r="F5818" s="33" t="n">
        <f aca="false">IF(OR(D5818&gt;5,E5818&lt;8,E5818&gt;=18,COUNTIF($K$2:$K$10,INT(A5818))&gt;0),1,0)</f>
        <v>0</v>
      </c>
      <c r="G5818" s="34" t="n">
        <f aca="false">B5818/1</f>
        <v>160.007</v>
      </c>
      <c r="H5818" s="34" t="str">
        <f aca="false">IF(F5818=1,G5818,"")</f>
        <v/>
      </c>
    </row>
    <row r="5819" customFormat="false" ht="15" hidden="false" customHeight="false" outlineLevel="0" collapsed="false">
      <c r="A5819" s="31" t="n">
        <v>42978.375</v>
      </c>
      <c r="B5819" s="32" t="n">
        <v>186.22</v>
      </c>
      <c r="D5819" s="33" t="n">
        <f aca="false">WEEKDAY(A5819,2)</f>
        <v>4</v>
      </c>
      <c r="E5819" s="33" t="n">
        <f aca="false">HOUR(A5819)+MINUTE(A5819)/60</f>
        <v>9</v>
      </c>
      <c r="F5819" s="33" t="n">
        <f aca="false">IF(OR(D5819&gt;5,E5819&lt;8,E5819&gt;=18,COUNTIF($K$2:$K$10,INT(A5819))&gt;0),1,0)</f>
        <v>0</v>
      </c>
      <c r="G5819" s="34" t="n">
        <f aca="false">B5819/1</f>
        <v>186.22</v>
      </c>
      <c r="H5819" s="34" t="str">
        <f aca="false">IF(F5819=1,G5819,"")</f>
        <v/>
      </c>
    </row>
    <row r="5820" customFormat="false" ht="15" hidden="false" customHeight="false" outlineLevel="0" collapsed="false">
      <c r="A5820" s="31" t="n">
        <v>42978.4166666667</v>
      </c>
      <c r="B5820" s="32" t="n">
        <v>204.67</v>
      </c>
      <c r="D5820" s="33" t="n">
        <f aca="false">WEEKDAY(A5820,2)</f>
        <v>4</v>
      </c>
      <c r="E5820" s="33" t="n">
        <f aca="false">HOUR(A5820)+MINUTE(A5820)/60</f>
        <v>10</v>
      </c>
      <c r="F5820" s="33" t="n">
        <f aca="false">IF(OR(D5820&gt;5,E5820&lt;8,E5820&gt;=18,COUNTIF($K$2:$K$10,INT(A5820))&gt;0),1,0)</f>
        <v>0</v>
      </c>
      <c r="G5820" s="34" t="n">
        <f aca="false">B5820/1</f>
        <v>204.67</v>
      </c>
      <c r="H5820" s="34" t="str">
        <f aca="false">IF(F5820=1,G5820,"")</f>
        <v/>
      </c>
    </row>
    <row r="5821" customFormat="false" ht="15" hidden="false" customHeight="false" outlineLevel="0" collapsed="false">
      <c r="A5821" s="31" t="n">
        <v>42978.4583333333</v>
      </c>
      <c r="B5821" s="32" t="n">
        <v>212.5</v>
      </c>
      <c r="D5821" s="33" t="n">
        <f aca="false">WEEKDAY(A5821,2)</f>
        <v>4</v>
      </c>
      <c r="E5821" s="33" t="n">
        <f aca="false">HOUR(A5821)+MINUTE(A5821)/60</f>
        <v>11</v>
      </c>
      <c r="F5821" s="33" t="n">
        <f aca="false">IF(OR(D5821&gt;5,E5821&lt;8,E5821&gt;=18,COUNTIF($K$2:$K$10,INT(A5821))&gt;0),1,0)</f>
        <v>0</v>
      </c>
      <c r="G5821" s="34" t="n">
        <f aca="false">B5821/1</f>
        <v>212.5</v>
      </c>
      <c r="H5821" s="34" t="str">
        <f aca="false">IF(F5821=1,G5821,"")</f>
        <v/>
      </c>
    </row>
    <row r="5822" customFormat="false" ht="15" hidden="false" customHeight="false" outlineLevel="0" collapsed="false">
      <c r="A5822" s="31" t="n">
        <v>42978.5</v>
      </c>
      <c r="B5822" s="32" t="n">
        <v>222.431</v>
      </c>
      <c r="D5822" s="33" t="n">
        <f aca="false">WEEKDAY(A5822,2)</f>
        <v>4</v>
      </c>
      <c r="E5822" s="33" t="n">
        <f aca="false">HOUR(A5822)+MINUTE(A5822)/60</f>
        <v>12</v>
      </c>
      <c r="F5822" s="33" t="n">
        <f aca="false">IF(OR(D5822&gt;5,E5822&lt;8,E5822&gt;=18,COUNTIF($K$2:$K$10,INT(A5822))&gt;0),1,0)</f>
        <v>0</v>
      </c>
      <c r="G5822" s="34" t="n">
        <f aca="false">B5822/1</f>
        <v>222.431</v>
      </c>
      <c r="H5822" s="34" t="str">
        <f aca="false">IF(F5822=1,G5822,"")</f>
        <v/>
      </c>
    </row>
    <row r="5823" customFormat="false" ht="15" hidden="false" customHeight="false" outlineLevel="0" collapsed="false">
      <c r="A5823" s="31" t="n">
        <v>42978.5416666667</v>
      </c>
      <c r="B5823" s="32" t="n">
        <v>216.26</v>
      </c>
      <c r="D5823" s="33" t="n">
        <f aca="false">WEEKDAY(A5823,2)</f>
        <v>4</v>
      </c>
      <c r="E5823" s="33" t="n">
        <f aca="false">HOUR(A5823)+MINUTE(A5823)/60</f>
        <v>13</v>
      </c>
      <c r="F5823" s="33" t="n">
        <f aca="false">IF(OR(D5823&gt;5,E5823&lt;8,E5823&gt;=18,COUNTIF($K$2:$K$10,INT(A5823))&gt;0),1,0)</f>
        <v>0</v>
      </c>
      <c r="G5823" s="34" t="n">
        <f aca="false">B5823/1</f>
        <v>216.26</v>
      </c>
      <c r="H5823" s="34" t="str">
        <f aca="false">IF(F5823=1,G5823,"")</f>
        <v/>
      </c>
    </row>
    <row r="5824" customFormat="false" ht="15" hidden="false" customHeight="false" outlineLevel="0" collapsed="false">
      <c r="A5824" s="31" t="n">
        <v>42978.5833333333</v>
      </c>
      <c r="B5824" s="32" t="n">
        <v>217.045</v>
      </c>
      <c r="D5824" s="33" t="n">
        <f aca="false">WEEKDAY(A5824,2)</f>
        <v>4</v>
      </c>
      <c r="E5824" s="33" t="n">
        <f aca="false">HOUR(A5824)+MINUTE(A5824)/60</f>
        <v>14</v>
      </c>
      <c r="F5824" s="33" t="n">
        <f aca="false">IF(OR(D5824&gt;5,E5824&lt;8,E5824&gt;=18,COUNTIF($K$2:$K$10,INT(A5824))&gt;0),1,0)</f>
        <v>0</v>
      </c>
      <c r="G5824" s="34" t="n">
        <f aca="false">B5824/1</f>
        <v>217.045</v>
      </c>
      <c r="H5824" s="34" t="str">
        <f aca="false">IF(F5824=1,G5824,"")</f>
        <v/>
      </c>
    </row>
    <row r="5825" customFormat="false" ht="15" hidden="false" customHeight="false" outlineLevel="0" collapsed="false">
      <c r="A5825" s="31" t="n">
        <v>42978.625</v>
      </c>
      <c r="B5825" s="32" t="n">
        <v>208.094</v>
      </c>
      <c r="D5825" s="33" t="n">
        <f aca="false">WEEKDAY(A5825,2)</f>
        <v>4</v>
      </c>
      <c r="E5825" s="33" t="n">
        <f aca="false">HOUR(A5825)+MINUTE(A5825)/60</f>
        <v>15</v>
      </c>
      <c r="F5825" s="33" t="n">
        <f aca="false">IF(OR(D5825&gt;5,E5825&lt;8,E5825&gt;=18,COUNTIF($K$2:$K$10,INT(A5825))&gt;0),1,0)</f>
        <v>0</v>
      </c>
      <c r="G5825" s="34" t="n">
        <f aca="false">B5825/1</f>
        <v>208.094</v>
      </c>
      <c r="H5825" s="34" t="str">
        <f aca="false">IF(F5825=1,G5825,"")</f>
        <v/>
      </c>
    </row>
    <row r="5826" customFormat="false" ht="15" hidden="false" customHeight="false" outlineLevel="0" collapsed="false">
      <c r="A5826" s="31" t="n">
        <v>42978.6666666667</v>
      </c>
      <c r="B5826" s="32" t="n">
        <v>208.753</v>
      </c>
      <c r="D5826" s="33" t="n">
        <f aca="false">WEEKDAY(A5826,2)</f>
        <v>4</v>
      </c>
      <c r="E5826" s="33" t="n">
        <f aca="false">HOUR(A5826)+MINUTE(A5826)/60</f>
        <v>16</v>
      </c>
      <c r="F5826" s="33" t="n">
        <f aca="false">IF(OR(D5826&gt;5,E5826&lt;8,E5826&gt;=18,COUNTIF($K$2:$K$10,INT(A5826))&gt;0),1,0)</f>
        <v>0</v>
      </c>
      <c r="G5826" s="34" t="n">
        <f aca="false">B5826/1</f>
        <v>208.753</v>
      </c>
      <c r="H5826" s="34" t="str">
        <f aca="false">IF(F5826=1,G5826,"")</f>
        <v/>
      </c>
    </row>
    <row r="5827" customFormat="false" ht="15" hidden="false" customHeight="false" outlineLevel="0" collapsed="false">
      <c r="A5827" s="31" t="n">
        <v>42978.7083333333</v>
      </c>
      <c r="B5827" s="32" t="n">
        <v>193.106</v>
      </c>
      <c r="D5827" s="33" t="n">
        <f aca="false">WEEKDAY(A5827,2)</f>
        <v>4</v>
      </c>
      <c r="E5827" s="33" t="n">
        <f aca="false">HOUR(A5827)+MINUTE(A5827)/60</f>
        <v>17</v>
      </c>
      <c r="F5827" s="33" t="n">
        <f aca="false">IF(OR(D5827&gt;5,E5827&lt;8,E5827&gt;=18,COUNTIF($K$2:$K$10,INT(A5827))&gt;0),1,0)</f>
        <v>0</v>
      </c>
      <c r="G5827" s="34" t="n">
        <f aca="false">B5827/1</f>
        <v>193.106</v>
      </c>
      <c r="H5827" s="34" t="str">
        <f aca="false">IF(F5827=1,G5827,"")</f>
        <v/>
      </c>
    </row>
    <row r="5828" customFormat="false" ht="15" hidden="false" customHeight="false" outlineLevel="0" collapsed="false">
      <c r="A5828" s="31" t="n">
        <v>42978.75</v>
      </c>
      <c r="B5828" s="32" t="n">
        <v>179.341</v>
      </c>
      <c r="D5828" s="33" t="n">
        <f aca="false">WEEKDAY(A5828,2)</f>
        <v>4</v>
      </c>
      <c r="E5828" s="33" t="n">
        <f aca="false">HOUR(A5828)+MINUTE(A5828)/60</f>
        <v>18</v>
      </c>
      <c r="F5828" s="33" t="n">
        <f aca="false">IF(OR(D5828&gt;5,E5828&lt;8,E5828&gt;=18,COUNTIF($K$2:$K$10,INT(A5828))&gt;0),1,0)</f>
        <v>1</v>
      </c>
      <c r="G5828" s="34" t="n">
        <f aca="false">B5828/1</f>
        <v>179.341</v>
      </c>
      <c r="H5828" s="34" t="n">
        <f aca="false">IF(F5828=1,G5828,"")</f>
        <v>179.341</v>
      </c>
    </row>
    <row r="5829" customFormat="false" ht="15" hidden="false" customHeight="false" outlineLevel="0" collapsed="false">
      <c r="A5829" s="31" t="n">
        <v>42978.7916666667</v>
      </c>
      <c r="B5829" s="32" t="n">
        <v>170.094</v>
      </c>
      <c r="D5829" s="33" t="n">
        <f aca="false">WEEKDAY(A5829,2)</f>
        <v>4</v>
      </c>
      <c r="E5829" s="33" t="n">
        <f aca="false">HOUR(A5829)+MINUTE(A5829)/60</f>
        <v>19</v>
      </c>
      <c r="F5829" s="33" t="n">
        <f aca="false">IF(OR(D5829&gt;5,E5829&lt;8,E5829&gt;=18,COUNTIF($K$2:$K$10,INT(A5829))&gt;0),1,0)</f>
        <v>1</v>
      </c>
      <c r="G5829" s="34" t="n">
        <f aca="false">B5829/1</f>
        <v>170.094</v>
      </c>
      <c r="H5829" s="34" t="n">
        <f aca="false">IF(F5829=1,G5829,"")</f>
        <v>170.094</v>
      </c>
    </row>
    <row r="5830" customFormat="false" ht="15" hidden="false" customHeight="false" outlineLevel="0" collapsed="false">
      <c r="A5830" s="31" t="n">
        <v>42978.8333333333</v>
      </c>
      <c r="B5830" s="32" t="n">
        <v>166.629</v>
      </c>
      <c r="D5830" s="33" t="n">
        <f aca="false">WEEKDAY(A5830,2)</f>
        <v>4</v>
      </c>
      <c r="E5830" s="33" t="n">
        <f aca="false">HOUR(A5830)+MINUTE(A5830)/60</f>
        <v>20</v>
      </c>
      <c r="F5830" s="33" t="n">
        <f aca="false">IF(OR(D5830&gt;5,E5830&lt;8,E5830&gt;=18,COUNTIF($K$2:$K$10,INT(A5830))&gt;0),1,0)</f>
        <v>1</v>
      </c>
      <c r="G5830" s="34" t="n">
        <f aca="false">B5830/1</f>
        <v>166.629</v>
      </c>
      <c r="H5830" s="34" t="n">
        <f aca="false">IF(F5830=1,G5830,"")</f>
        <v>166.629</v>
      </c>
    </row>
    <row r="5831" customFormat="false" ht="15" hidden="false" customHeight="false" outlineLevel="0" collapsed="false">
      <c r="A5831" s="31" t="n">
        <v>42978.875</v>
      </c>
      <c r="B5831" s="32" t="n">
        <v>167.915</v>
      </c>
      <c r="D5831" s="33" t="n">
        <f aca="false">WEEKDAY(A5831,2)</f>
        <v>4</v>
      </c>
      <c r="E5831" s="33" t="n">
        <f aca="false">HOUR(A5831)+MINUTE(A5831)/60</f>
        <v>21</v>
      </c>
      <c r="F5831" s="33" t="n">
        <f aca="false">IF(OR(D5831&gt;5,E5831&lt;8,E5831&gt;=18,COUNTIF($K$2:$K$10,INT(A5831))&gt;0),1,0)</f>
        <v>1</v>
      </c>
      <c r="G5831" s="34" t="n">
        <f aca="false">B5831/1</f>
        <v>167.915</v>
      </c>
      <c r="H5831" s="34" t="n">
        <f aca="false">IF(F5831=1,G5831,"")</f>
        <v>167.915</v>
      </c>
    </row>
    <row r="5832" customFormat="false" ht="15" hidden="false" customHeight="false" outlineLevel="0" collapsed="false">
      <c r="A5832" s="31" t="n">
        <v>42978.9166666667</v>
      </c>
      <c r="B5832" s="32" t="n">
        <v>114.886</v>
      </c>
      <c r="D5832" s="33" t="n">
        <f aca="false">WEEKDAY(A5832,2)</f>
        <v>4</v>
      </c>
      <c r="E5832" s="33" t="n">
        <f aca="false">HOUR(A5832)+MINUTE(A5832)/60</f>
        <v>22</v>
      </c>
      <c r="F5832" s="33" t="n">
        <f aca="false">IF(OR(D5832&gt;5,E5832&lt;8,E5832&gt;=18,COUNTIF($K$2:$K$10,INT(A5832))&gt;0),1,0)</f>
        <v>1</v>
      </c>
      <c r="G5832" s="34" t="n">
        <f aca="false">B5832/1</f>
        <v>114.886</v>
      </c>
      <c r="H5832" s="34" t="n">
        <f aca="false">IF(F5832=1,G5832,"")</f>
        <v>114.886</v>
      </c>
    </row>
    <row r="5833" customFormat="false" ht="15" hidden="false" customHeight="false" outlineLevel="0" collapsed="false">
      <c r="A5833" s="31" t="n">
        <v>42978.9583333333</v>
      </c>
      <c r="B5833" s="32" t="n">
        <v>51.731</v>
      </c>
      <c r="D5833" s="33" t="n">
        <f aca="false">WEEKDAY(A5833,2)</f>
        <v>4</v>
      </c>
      <c r="E5833" s="33" t="n">
        <f aca="false">HOUR(A5833)+MINUTE(A5833)/60</f>
        <v>23</v>
      </c>
      <c r="F5833" s="33" t="n">
        <f aca="false">IF(OR(D5833&gt;5,E5833&lt;8,E5833&gt;=18,COUNTIF($K$2:$K$10,INT(A5833))&gt;0),1,0)</f>
        <v>1</v>
      </c>
      <c r="G5833" s="34" t="n">
        <f aca="false">B5833/1</f>
        <v>51.731</v>
      </c>
      <c r="H5833" s="34" t="n">
        <f aca="false">IF(F5833=1,G5833,"")</f>
        <v>51.731</v>
      </c>
    </row>
    <row r="5834" customFormat="false" ht="15" hidden="false" customHeight="false" outlineLevel="0" collapsed="false">
      <c r="A5834" s="31" t="n">
        <v>42979</v>
      </c>
      <c r="B5834" s="32" t="n">
        <v>48.655</v>
      </c>
      <c r="D5834" s="33" t="n">
        <f aca="false">WEEKDAY(A5834,2)</f>
        <v>5</v>
      </c>
      <c r="E5834" s="33" t="n">
        <f aca="false">HOUR(A5834)+MINUTE(A5834)/60</f>
        <v>0</v>
      </c>
      <c r="F5834" s="33" t="n">
        <f aca="false">IF(OR(D5834&gt;5,E5834&lt;8,E5834&gt;=18,COUNTIF($K$2:$K$10,INT(A5834))&gt;0),1,0)</f>
        <v>1</v>
      </c>
      <c r="G5834" s="34" t="n">
        <f aca="false">B5834/1</f>
        <v>48.655</v>
      </c>
      <c r="H5834" s="34" t="n">
        <f aca="false">IF(F5834=1,G5834,"")</f>
        <v>48.655</v>
      </c>
    </row>
    <row r="5835" customFormat="false" ht="15" hidden="false" customHeight="false" outlineLevel="0" collapsed="false">
      <c r="A5835" s="31" t="n">
        <v>42979.0416666667</v>
      </c>
      <c r="B5835" s="32" t="n">
        <v>47.434</v>
      </c>
      <c r="D5835" s="33" t="n">
        <f aca="false">WEEKDAY(A5835,2)</f>
        <v>5</v>
      </c>
      <c r="E5835" s="33" t="n">
        <f aca="false">HOUR(A5835)+MINUTE(A5835)/60</f>
        <v>1</v>
      </c>
      <c r="F5835" s="33" t="n">
        <f aca="false">IF(OR(D5835&gt;5,E5835&lt;8,E5835&gt;=18,COUNTIF($K$2:$K$10,INT(A5835))&gt;0),1,0)</f>
        <v>1</v>
      </c>
      <c r="G5835" s="34" t="n">
        <f aca="false">B5835/1</f>
        <v>47.434</v>
      </c>
      <c r="H5835" s="34" t="n">
        <f aca="false">IF(F5835=1,G5835,"")</f>
        <v>47.434</v>
      </c>
    </row>
    <row r="5836" customFormat="false" ht="15" hidden="false" customHeight="false" outlineLevel="0" collapsed="false">
      <c r="A5836" s="31" t="n">
        <v>42979.0833333333</v>
      </c>
      <c r="B5836" s="32" t="n">
        <v>46.998</v>
      </c>
      <c r="D5836" s="33" t="n">
        <f aca="false">WEEKDAY(A5836,2)</f>
        <v>5</v>
      </c>
      <c r="E5836" s="33" t="n">
        <f aca="false">HOUR(A5836)+MINUTE(A5836)/60</f>
        <v>2</v>
      </c>
      <c r="F5836" s="33" t="n">
        <f aca="false">IF(OR(D5836&gt;5,E5836&lt;8,E5836&gt;=18,COUNTIF($K$2:$K$10,INT(A5836))&gt;0),1,0)</f>
        <v>1</v>
      </c>
      <c r="G5836" s="34" t="n">
        <f aca="false">B5836/1</f>
        <v>46.998</v>
      </c>
      <c r="H5836" s="34" t="n">
        <f aca="false">IF(F5836=1,G5836,"")</f>
        <v>46.998</v>
      </c>
    </row>
    <row r="5837" customFormat="false" ht="15" hidden="false" customHeight="false" outlineLevel="0" collapsed="false">
      <c r="A5837" s="31" t="n">
        <v>42979.125</v>
      </c>
      <c r="B5837" s="32" t="n">
        <v>46.733</v>
      </c>
      <c r="D5837" s="33" t="n">
        <f aca="false">WEEKDAY(A5837,2)</f>
        <v>5</v>
      </c>
      <c r="E5837" s="33" t="n">
        <f aca="false">HOUR(A5837)+MINUTE(A5837)/60</f>
        <v>3</v>
      </c>
      <c r="F5837" s="33" t="n">
        <f aca="false">IF(OR(D5837&gt;5,E5837&lt;8,E5837&gt;=18,COUNTIF($K$2:$K$10,INT(A5837))&gt;0),1,0)</f>
        <v>1</v>
      </c>
      <c r="G5837" s="34" t="n">
        <f aca="false">B5837/1</f>
        <v>46.733</v>
      </c>
      <c r="H5837" s="34" t="n">
        <f aca="false">IF(F5837=1,G5837,"")</f>
        <v>46.733</v>
      </c>
    </row>
    <row r="5838" customFormat="false" ht="15" hidden="false" customHeight="false" outlineLevel="0" collapsed="false">
      <c r="A5838" s="31" t="n">
        <v>42979.1666666667</v>
      </c>
      <c r="B5838" s="32" t="n">
        <v>46.66</v>
      </c>
      <c r="D5838" s="33" t="n">
        <f aca="false">WEEKDAY(A5838,2)</f>
        <v>5</v>
      </c>
      <c r="E5838" s="33" t="n">
        <f aca="false">HOUR(A5838)+MINUTE(A5838)/60</f>
        <v>4</v>
      </c>
      <c r="F5838" s="33" t="n">
        <f aca="false">IF(OR(D5838&gt;5,E5838&lt;8,E5838&gt;=18,COUNTIF($K$2:$K$10,INT(A5838))&gt;0),1,0)</f>
        <v>1</v>
      </c>
      <c r="G5838" s="34" t="n">
        <f aca="false">B5838/1</f>
        <v>46.66</v>
      </c>
      <c r="H5838" s="34" t="n">
        <f aca="false">IF(F5838=1,G5838,"")</f>
        <v>46.66</v>
      </c>
    </row>
    <row r="5839" customFormat="false" ht="15" hidden="false" customHeight="false" outlineLevel="0" collapsed="false">
      <c r="A5839" s="31" t="n">
        <v>42979.2083333333</v>
      </c>
      <c r="B5839" s="32" t="n">
        <v>47.225</v>
      </c>
      <c r="D5839" s="33" t="n">
        <f aca="false">WEEKDAY(A5839,2)</f>
        <v>5</v>
      </c>
      <c r="E5839" s="33" t="n">
        <f aca="false">HOUR(A5839)+MINUTE(A5839)/60</f>
        <v>5</v>
      </c>
      <c r="F5839" s="33" t="n">
        <f aca="false">IF(OR(D5839&gt;5,E5839&lt;8,E5839&gt;=18,COUNTIF($K$2:$K$10,INT(A5839))&gt;0),1,0)</f>
        <v>1</v>
      </c>
      <c r="G5839" s="34" t="n">
        <f aca="false">B5839/1</f>
        <v>47.225</v>
      </c>
      <c r="H5839" s="34" t="n">
        <f aca="false">IF(F5839=1,G5839,"")</f>
        <v>47.225</v>
      </c>
    </row>
    <row r="5840" customFormat="false" ht="15" hidden="false" customHeight="false" outlineLevel="0" collapsed="false">
      <c r="A5840" s="31" t="n">
        <v>42979.25</v>
      </c>
      <c r="B5840" s="32" t="n">
        <v>49.4</v>
      </c>
      <c r="D5840" s="33" t="n">
        <f aca="false">WEEKDAY(A5840,2)</f>
        <v>5</v>
      </c>
      <c r="E5840" s="33" t="n">
        <f aca="false">HOUR(A5840)+MINUTE(A5840)/60</f>
        <v>6</v>
      </c>
      <c r="F5840" s="33" t="n">
        <f aca="false">IF(OR(D5840&gt;5,E5840&lt;8,E5840&gt;=18,COUNTIF($K$2:$K$10,INT(A5840))&gt;0),1,0)</f>
        <v>1</v>
      </c>
      <c r="G5840" s="34" t="n">
        <f aca="false">B5840/1</f>
        <v>49.4</v>
      </c>
      <c r="H5840" s="34" t="n">
        <f aca="false">IF(F5840=1,G5840,"")</f>
        <v>49.4</v>
      </c>
    </row>
    <row r="5841" customFormat="false" ht="15" hidden="false" customHeight="false" outlineLevel="0" collapsed="false">
      <c r="A5841" s="31" t="n">
        <v>42979.2916666667</v>
      </c>
      <c r="B5841" s="32" t="n">
        <v>55.171</v>
      </c>
      <c r="D5841" s="33" t="n">
        <f aca="false">WEEKDAY(A5841,2)</f>
        <v>5</v>
      </c>
      <c r="E5841" s="33" t="n">
        <f aca="false">HOUR(A5841)+MINUTE(A5841)/60</f>
        <v>7</v>
      </c>
      <c r="F5841" s="33" t="n">
        <f aca="false">IF(OR(D5841&gt;5,E5841&lt;8,E5841&gt;=18,COUNTIF($K$2:$K$10,INT(A5841))&gt;0),1,0)</f>
        <v>1</v>
      </c>
      <c r="G5841" s="34" t="n">
        <f aca="false">B5841/1</f>
        <v>55.171</v>
      </c>
      <c r="H5841" s="34" t="n">
        <f aca="false">IF(F5841=1,G5841,"")</f>
        <v>55.171</v>
      </c>
    </row>
    <row r="5842" customFormat="false" ht="15" hidden="false" customHeight="false" outlineLevel="0" collapsed="false">
      <c r="A5842" s="31" t="n">
        <v>42979.3333333333</v>
      </c>
      <c r="B5842" s="32" t="n">
        <v>157.672</v>
      </c>
      <c r="D5842" s="33" t="n">
        <f aca="false">WEEKDAY(A5842,2)</f>
        <v>5</v>
      </c>
      <c r="E5842" s="33" t="n">
        <f aca="false">HOUR(A5842)+MINUTE(A5842)/60</f>
        <v>8</v>
      </c>
      <c r="F5842" s="33" t="n">
        <f aca="false">IF(OR(D5842&gt;5,E5842&lt;8,E5842&gt;=18,COUNTIF($K$2:$K$10,INT(A5842))&gt;0),1,0)</f>
        <v>0</v>
      </c>
      <c r="G5842" s="34" t="n">
        <f aca="false">B5842/1</f>
        <v>157.672</v>
      </c>
      <c r="H5842" s="34" t="str">
        <f aca="false">IF(F5842=1,G5842,"")</f>
        <v/>
      </c>
    </row>
    <row r="5843" customFormat="false" ht="15" hidden="false" customHeight="false" outlineLevel="0" collapsed="false">
      <c r="A5843" s="31" t="n">
        <v>42979.375</v>
      </c>
      <c r="B5843" s="32" t="n">
        <v>189.995</v>
      </c>
      <c r="D5843" s="33" t="n">
        <f aca="false">WEEKDAY(A5843,2)</f>
        <v>5</v>
      </c>
      <c r="E5843" s="33" t="n">
        <f aca="false">HOUR(A5843)+MINUTE(A5843)/60</f>
        <v>9</v>
      </c>
      <c r="F5843" s="33" t="n">
        <f aca="false">IF(OR(D5843&gt;5,E5843&lt;8,E5843&gt;=18,COUNTIF($K$2:$K$10,INT(A5843))&gt;0),1,0)</f>
        <v>0</v>
      </c>
      <c r="G5843" s="34" t="n">
        <f aca="false">B5843/1</f>
        <v>189.995</v>
      </c>
      <c r="H5843" s="34" t="str">
        <f aca="false">IF(F5843=1,G5843,"")</f>
        <v/>
      </c>
    </row>
    <row r="5844" customFormat="false" ht="15" hidden="false" customHeight="false" outlineLevel="0" collapsed="false">
      <c r="A5844" s="31" t="n">
        <v>42979.4166666667</v>
      </c>
      <c r="B5844" s="32" t="n">
        <v>203.641</v>
      </c>
      <c r="D5844" s="33" t="n">
        <f aca="false">WEEKDAY(A5844,2)</f>
        <v>5</v>
      </c>
      <c r="E5844" s="33" t="n">
        <f aca="false">HOUR(A5844)+MINUTE(A5844)/60</f>
        <v>10</v>
      </c>
      <c r="F5844" s="33" t="n">
        <f aca="false">IF(OR(D5844&gt;5,E5844&lt;8,E5844&gt;=18,COUNTIF($K$2:$K$10,INT(A5844))&gt;0),1,0)</f>
        <v>0</v>
      </c>
      <c r="G5844" s="34" t="n">
        <f aca="false">B5844/1</f>
        <v>203.641</v>
      </c>
      <c r="H5844" s="34" t="str">
        <f aca="false">IF(F5844=1,G5844,"")</f>
        <v/>
      </c>
    </row>
    <row r="5845" customFormat="false" ht="15" hidden="false" customHeight="false" outlineLevel="0" collapsed="false">
      <c r="A5845" s="31" t="n">
        <v>42979.4583333333</v>
      </c>
      <c r="B5845" s="32" t="n">
        <v>212.942</v>
      </c>
      <c r="D5845" s="33" t="n">
        <f aca="false">WEEKDAY(A5845,2)</f>
        <v>5</v>
      </c>
      <c r="E5845" s="33" t="n">
        <f aca="false">HOUR(A5845)+MINUTE(A5845)/60</f>
        <v>11</v>
      </c>
      <c r="F5845" s="33" t="n">
        <f aca="false">IF(OR(D5845&gt;5,E5845&lt;8,E5845&gt;=18,COUNTIF($K$2:$K$10,INT(A5845))&gt;0),1,0)</f>
        <v>0</v>
      </c>
      <c r="G5845" s="34" t="n">
        <f aca="false">B5845/1</f>
        <v>212.942</v>
      </c>
      <c r="H5845" s="34" t="str">
        <f aca="false">IF(F5845=1,G5845,"")</f>
        <v/>
      </c>
    </row>
    <row r="5846" customFormat="false" ht="15" hidden="false" customHeight="false" outlineLevel="0" collapsed="false">
      <c r="A5846" s="31" t="n">
        <v>42979.5</v>
      </c>
      <c r="B5846" s="32" t="n">
        <v>210.462</v>
      </c>
      <c r="D5846" s="33" t="n">
        <f aca="false">WEEKDAY(A5846,2)</f>
        <v>5</v>
      </c>
      <c r="E5846" s="33" t="n">
        <f aca="false">HOUR(A5846)+MINUTE(A5846)/60</f>
        <v>12</v>
      </c>
      <c r="F5846" s="33" t="n">
        <f aca="false">IF(OR(D5846&gt;5,E5846&lt;8,E5846&gt;=18,COUNTIF($K$2:$K$10,INT(A5846))&gt;0),1,0)</f>
        <v>0</v>
      </c>
      <c r="G5846" s="34" t="n">
        <f aca="false">B5846/1</f>
        <v>210.462</v>
      </c>
      <c r="H5846" s="34" t="str">
        <f aca="false">IF(F5846=1,G5846,"")</f>
        <v/>
      </c>
    </row>
    <row r="5847" customFormat="false" ht="15" hidden="false" customHeight="false" outlineLevel="0" collapsed="false">
      <c r="A5847" s="31" t="n">
        <v>42979.5416666667</v>
      </c>
      <c r="B5847" s="32" t="n">
        <v>211.906</v>
      </c>
      <c r="D5847" s="33" t="n">
        <f aca="false">WEEKDAY(A5847,2)</f>
        <v>5</v>
      </c>
      <c r="E5847" s="33" t="n">
        <f aca="false">HOUR(A5847)+MINUTE(A5847)/60</f>
        <v>13</v>
      </c>
      <c r="F5847" s="33" t="n">
        <f aca="false">IF(OR(D5847&gt;5,E5847&lt;8,E5847&gt;=18,COUNTIF($K$2:$K$10,INT(A5847))&gt;0),1,0)</f>
        <v>0</v>
      </c>
      <c r="G5847" s="34" t="n">
        <f aca="false">B5847/1</f>
        <v>211.906</v>
      </c>
      <c r="H5847" s="34" t="str">
        <f aca="false">IF(F5847=1,G5847,"")</f>
        <v/>
      </c>
    </row>
    <row r="5848" customFormat="false" ht="15" hidden="false" customHeight="false" outlineLevel="0" collapsed="false">
      <c r="A5848" s="31" t="n">
        <v>42979.5833333333</v>
      </c>
      <c r="B5848" s="32" t="n">
        <v>214.454</v>
      </c>
      <c r="D5848" s="33" t="n">
        <f aca="false">WEEKDAY(A5848,2)</f>
        <v>5</v>
      </c>
      <c r="E5848" s="33" t="n">
        <f aca="false">HOUR(A5848)+MINUTE(A5848)/60</f>
        <v>14</v>
      </c>
      <c r="F5848" s="33" t="n">
        <f aca="false">IF(OR(D5848&gt;5,E5848&lt;8,E5848&gt;=18,COUNTIF($K$2:$K$10,INT(A5848))&gt;0),1,0)</f>
        <v>0</v>
      </c>
      <c r="G5848" s="34" t="n">
        <f aca="false">B5848/1</f>
        <v>214.454</v>
      </c>
      <c r="H5848" s="34" t="str">
        <f aca="false">IF(F5848=1,G5848,"")</f>
        <v/>
      </c>
    </row>
    <row r="5849" customFormat="false" ht="15" hidden="false" customHeight="false" outlineLevel="0" collapsed="false">
      <c r="A5849" s="31" t="n">
        <v>42979.625</v>
      </c>
      <c r="B5849" s="32" t="n">
        <v>209.452</v>
      </c>
      <c r="D5849" s="33" t="n">
        <f aca="false">WEEKDAY(A5849,2)</f>
        <v>5</v>
      </c>
      <c r="E5849" s="33" t="n">
        <f aca="false">HOUR(A5849)+MINUTE(A5849)/60</f>
        <v>15</v>
      </c>
      <c r="F5849" s="33" t="n">
        <f aca="false">IF(OR(D5849&gt;5,E5849&lt;8,E5849&gt;=18,COUNTIF($K$2:$K$10,INT(A5849))&gt;0),1,0)</f>
        <v>0</v>
      </c>
      <c r="G5849" s="34" t="n">
        <f aca="false">B5849/1</f>
        <v>209.452</v>
      </c>
      <c r="H5849" s="34" t="str">
        <f aca="false">IF(F5849=1,G5849,"")</f>
        <v/>
      </c>
    </row>
    <row r="5850" customFormat="false" ht="15" hidden="false" customHeight="false" outlineLevel="0" collapsed="false">
      <c r="A5850" s="31" t="n">
        <v>42979.6666666667</v>
      </c>
      <c r="B5850" s="32" t="n">
        <v>200.654</v>
      </c>
      <c r="D5850" s="33" t="n">
        <f aca="false">WEEKDAY(A5850,2)</f>
        <v>5</v>
      </c>
      <c r="E5850" s="33" t="n">
        <f aca="false">HOUR(A5850)+MINUTE(A5850)/60</f>
        <v>16</v>
      </c>
      <c r="F5850" s="33" t="n">
        <f aca="false">IF(OR(D5850&gt;5,E5850&lt;8,E5850&gt;=18,COUNTIF($K$2:$K$10,INT(A5850))&gt;0),1,0)</f>
        <v>0</v>
      </c>
      <c r="G5850" s="34" t="n">
        <f aca="false">B5850/1</f>
        <v>200.654</v>
      </c>
      <c r="H5850" s="34" t="str">
        <f aca="false">IF(F5850=1,G5850,"")</f>
        <v/>
      </c>
    </row>
    <row r="5851" customFormat="false" ht="15" hidden="false" customHeight="false" outlineLevel="0" collapsed="false">
      <c r="A5851" s="31" t="n">
        <v>42979.7083333333</v>
      </c>
      <c r="B5851" s="32" t="n">
        <v>186.224</v>
      </c>
      <c r="D5851" s="33" t="n">
        <f aca="false">WEEKDAY(A5851,2)</f>
        <v>5</v>
      </c>
      <c r="E5851" s="33" t="n">
        <f aca="false">HOUR(A5851)+MINUTE(A5851)/60</f>
        <v>17</v>
      </c>
      <c r="F5851" s="33" t="n">
        <f aca="false">IF(OR(D5851&gt;5,E5851&lt;8,E5851&gt;=18,COUNTIF($K$2:$K$10,INT(A5851))&gt;0),1,0)</f>
        <v>0</v>
      </c>
      <c r="G5851" s="34" t="n">
        <f aca="false">B5851/1</f>
        <v>186.224</v>
      </c>
      <c r="H5851" s="34" t="str">
        <f aca="false">IF(F5851=1,G5851,"")</f>
        <v/>
      </c>
    </row>
    <row r="5852" customFormat="false" ht="15" hidden="false" customHeight="false" outlineLevel="0" collapsed="false">
      <c r="A5852" s="31" t="n">
        <v>42979.75</v>
      </c>
      <c r="B5852" s="32" t="n">
        <v>174.808</v>
      </c>
      <c r="D5852" s="33" t="n">
        <f aca="false">WEEKDAY(A5852,2)</f>
        <v>5</v>
      </c>
      <c r="E5852" s="33" t="n">
        <f aca="false">HOUR(A5852)+MINUTE(A5852)/60</f>
        <v>18</v>
      </c>
      <c r="F5852" s="33" t="n">
        <f aca="false">IF(OR(D5852&gt;5,E5852&lt;8,E5852&gt;=18,COUNTIF($K$2:$K$10,INT(A5852))&gt;0),1,0)</f>
        <v>1</v>
      </c>
      <c r="G5852" s="34" t="n">
        <f aca="false">B5852/1</f>
        <v>174.808</v>
      </c>
      <c r="H5852" s="34" t="n">
        <f aca="false">IF(F5852=1,G5852,"")</f>
        <v>174.808</v>
      </c>
    </row>
    <row r="5853" customFormat="false" ht="15" hidden="false" customHeight="false" outlineLevel="0" collapsed="false">
      <c r="A5853" s="31" t="n">
        <v>42979.7916666667</v>
      </c>
      <c r="B5853" s="32" t="n">
        <v>170.524</v>
      </c>
      <c r="D5853" s="33" t="n">
        <f aca="false">WEEKDAY(A5853,2)</f>
        <v>5</v>
      </c>
      <c r="E5853" s="33" t="n">
        <f aca="false">HOUR(A5853)+MINUTE(A5853)/60</f>
        <v>19</v>
      </c>
      <c r="F5853" s="33" t="n">
        <f aca="false">IF(OR(D5853&gt;5,E5853&lt;8,E5853&gt;=18,COUNTIF($K$2:$K$10,INT(A5853))&gt;0),1,0)</f>
        <v>1</v>
      </c>
      <c r="G5853" s="34" t="n">
        <f aca="false">B5853/1</f>
        <v>170.524</v>
      </c>
      <c r="H5853" s="34" t="n">
        <f aca="false">IF(F5853=1,G5853,"")</f>
        <v>170.524</v>
      </c>
    </row>
    <row r="5854" customFormat="false" ht="15" hidden="false" customHeight="false" outlineLevel="0" collapsed="false">
      <c r="A5854" s="31" t="n">
        <v>42979.8333333333</v>
      </c>
      <c r="B5854" s="32" t="n">
        <v>163.589</v>
      </c>
      <c r="D5854" s="33" t="n">
        <f aca="false">WEEKDAY(A5854,2)</f>
        <v>5</v>
      </c>
      <c r="E5854" s="33" t="n">
        <f aca="false">HOUR(A5854)+MINUTE(A5854)/60</f>
        <v>20</v>
      </c>
      <c r="F5854" s="33" t="n">
        <f aca="false">IF(OR(D5854&gt;5,E5854&lt;8,E5854&gt;=18,COUNTIF($K$2:$K$10,INT(A5854))&gt;0),1,0)</f>
        <v>1</v>
      </c>
      <c r="G5854" s="34" t="n">
        <f aca="false">B5854/1</f>
        <v>163.589</v>
      </c>
      <c r="H5854" s="34" t="n">
        <f aca="false">IF(F5854=1,G5854,"")</f>
        <v>163.589</v>
      </c>
    </row>
    <row r="5855" customFormat="false" ht="15" hidden="false" customHeight="false" outlineLevel="0" collapsed="false">
      <c r="A5855" s="31" t="n">
        <v>42979.875</v>
      </c>
      <c r="B5855" s="32" t="n">
        <v>164.228</v>
      </c>
      <c r="D5855" s="33" t="n">
        <f aca="false">WEEKDAY(A5855,2)</f>
        <v>5</v>
      </c>
      <c r="E5855" s="33" t="n">
        <f aca="false">HOUR(A5855)+MINUTE(A5855)/60</f>
        <v>21</v>
      </c>
      <c r="F5855" s="33" t="n">
        <f aca="false">IF(OR(D5855&gt;5,E5855&lt;8,E5855&gt;=18,COUNTIF($K$2:$K$10,INT(A5855))&gt;0),1,0)</f>
        <v>1</v>
      </c>
      <c r="G5855" s="34" t="n">
        <f aca="false">B5855/1</f>
        <v>164.228</v>
      </c>
      <c r="H5855" s="34" t="n">
        <f aca="false">IF(F5855=1,G5855,"")</f>
        <v>164.228</v>
      </c>
    </row>
    <row r="5856" customFormat="false" ht="15" hidden="false" customHeight="false" outlineLevel="0" collapsed="false">
      <c r="A5856" s="31" t="n">
        <v>42979.9166666667</v>
      </c>
      <c r="B5856" s="32" t="n">
        <v>110.319</v>
      </c>
      <c r="D5856" s="33" t="n">
        <f aca="false">WEEKDAY(A5856,2)</f>
        <v>5</v>
      </c>
      <c r="E5856" s="33" t="n">
        <f aca="false">HOUR(A5856)+MINUTE(A5856)/60</f>
        <v>22</v>
      </c>
      <c r="F5856" s="33" t="n">
        <f aca="false">IF(OR(D5856&gt;5,E5856&lt;8,E5856&gt;=18,COUNTIF($K$2:$K$10,INT(A5856))&gt;0),1,0)</f>
        <v>1</v>
      </c>
      <c r="G5856" s="34" t="n">
        <f aca="false">B5856/1</f>
        <v>110.319</v>
      </c>
      <c r="H5856" s="34" t="n">
        <f aca="false">IF(F5856=1,G5856,"")</f>
        <v>110.319</v>
      </c>
    </row>
    <row r="5857" customFormat="false" ht="15" hidden="false" customHeight="false" outlineLevel="0" collapsed="false">
      <c r="A5857" s="31" t="n">
        <v>42979.9583333333</v>
      </c>
      <c r="B5857" s="32" t="n">
        <v>51.157</v>
      </c>
      <c r="D5857" s="33" t="n">
        <f aca="false">WEEKDAY(A5857,2)</f>
        <v>5</v>
      </c>
      <c r="E5857" s="33" t="n">
        <f aca="false">HOUR(A5857)+MINUTE(A5857)/60</f>
        <v>23</v>
      </c>
      <c r="F5857" s="33" t="n">
        <f aca="false">IF(OR(D5857&gt;5,E5857&lt;8,E5857&gt;=18,COUNTIF($K$2:$K$10,INT(A5857))&gt;0),1,0)</f>
        <v>1</v>
      </c>
      <c r="G5857" s="34" t="n">
        <f aca="false">B5857/1</f>
        <v>51.157</v>
      </c>
      <c r="H5857" s="34" t="n">
        <f aca="false">IF(F5857=1,G5857,"")</f>
        <v>51.157</v>
      </c>
    </row>
    <row r="5858" customFormat="false" ht="15" hidden="false" customHeight="false" outlineLevel="0" collapsed="false">
      <c r="A5858" s="31" t="n">
        <v>42980</v>
      </c>
      <c r="B5858" s="32" t="n">
        <v>49.548</v>
      </c>
      <c r="D5858" s="33" t="n">
        <f aca="false">WEEKDAY(A5858,2)</f>
        <v>6</v>
      </c>
      <c r="E5858" s="33" t="n">
        <f aca="false">HOUR(A5858)+MINUTE(A5858)/60</f>
        <v>0</v>
      </c>
      <c r="F5858" s="33" t="n">
        <f aca="false">IF(OR(D5858&gt;5,E5858&lt;8,E5858&gt;=18,COUNTIF($K$2:$K$10,INT(A5858))&gt;0),1,0)</f>
        <v>1</v>
      </c>
      <c r="G5858" s="34" t="n">
        <f aca="false">B5858/1</f>
        <v>49.548</v>
      </c>
      <c r="H5858" s="34" t="n">
        <f aca="false">IF(F5858=1,G5858,"")</f>
        <v>49.548</v>
      </c>
    </row>
    <row r="5859" customFormat="false" ht="15" hidden="false" customHeight="false" outlineLevel="0" collapsed="false">
      <c r="A5859" s="31" t="n">
        <v>42980.0416666667</v>
      </c>
      <c r="B5859" s="32" t="n">
        <v>48.109</v>
      </c>
      <c r="D5859" s="33" t="n">
        <f aca="false">WEEKDAY(A5859,2)</f>
        <v>6</v>
      </c>
      <c r="E5859" s="33" t="n">
        <f aca="false">HOUR(A5859)+MINUTE(A5859)/60</f>
        <v>1</v>
      </c>
      <c r="F5859" s="33" t="n">
        <f aca="false">IF(OR(D5859&gt;5,E5859&lt;8,E5859&gt;=18,COUNTIF($K$2:$K$10,INT(A5859))&gt;0),1,0)</f>
        <v>1</v>
      </c>
      <c r="G5859" s="34" t="n">
        <f aca="false">B5859/1</f>
        <v>48.109</v>
      </c>
      <c r="H5859" s="34" t="n">
        <f aca="false">IF(F5859=1,G5859,"")</f>
        <v>48.109</v>
      </c>
    </row>
    <row r="5860" customFormat="false" ht="15" hidden="false" customHeight="false" outlineLevel="0" collapsed="false">
      <c r="A5860" s="31" t="n">
        <v>42980.0833333333</v>
      </c>
      <c r="B5860" s="32" t="n">
        <v>47.63</v>
      </c>
      <c r="D5860" s="33" t="n">
        <f aca="false">WEEKDAY(A5860,2)</f>
        <v>6</v>
      </c>
      <c r="E5860" s="33" t="n">
        <f aca="false">HOUR(A5860)+MINUTE(A5860)/60</f>
        <v>2</v>
      </c>
      <c r="F5860" s="33" t="n">
        <f aca="false">IF(OR(D5860&gt;5,E5860&lt;8,E5860&gt;=18,COUNTIF($K$2:$K$10,INT(A5860))&gt;0),1,0)</f>
        <v>1</v>
      </c>
      <c r="G5860" s="34" t="n">
        <f aca="false">B5860/1</f>
        <v>47.63</v>
      </c>
      <c r="H5860" s="34" t="n">
        <f aca="false">IF(F5860=1,G5860,"")</f>
        <v>47.63</v>
      </c>
    </row>
    <row r="5861" customFormat="false" ht="15" hidden="false" customHeight="false" outlineLevel="0" collapsed="false">
      <c r="A5861" s="31" t="n">
        <v>42980.125</v>
      </c>
      <c r="B5861" s="32" t="n">
        <v>48.593</v>
      </c>
      <c r="D5861" s="33" t="n">
        <f aca="false">WEEKDAY(A5861,2)</f>
        <v>6</v>
      </c>
      <c r="E5861" s="33" t="n">
        <f aca="false">HOUR(A5861)+MINUTE(A5861)/60</f>
        <v>3</v>
      </c>
      <c r="F5861" s="33" t="n">
        <f aca="false">IF(OR(D5861&gt;5,E5861&lt;8,E5861&gt;=18,COUNTIF($K$2:$K$10,INT(A5861))&gt;0),1,0)</f>
        <v>1</v>
      </c>
      <c r="G5861" s="34" t="n">
        <f aca="false">B5861/1</f>
        <v>48.593</v>
      </c>
      <c r="H5861" s="34" t="n">
        <f aca="false">IF(F5861=1,G5861,"")</f>
        <v>48.593</v>
      </c>
    </row>
    <row r="5862" customFormat="false" ht="15" hidden="false" customHeight="false" outlineLevel="0" collapsed="false">
      <c r="A5862" s="31" t="n">
        <v>42980.1666666667</v>
      </c>
      <c r="B5862" s="32" t="n">
        <v>48.384</v>
      </c>
      <c r="D5862" s="33" t="n">
        <f aca="false">WEEKDAY(A5862,2)</f>
        <v>6</v>
      </c>
      <c r="E5862" s="33" t="n">
        <f aca="false">HOUR(A5862)+MINUTE(A5862)/60</f>
        <v>4</v>
      </c>
      <c r="F5862" s="33" t="n">
        <f aca="false">IF(OR(D5862&gt;5,E5862&lt;8,E5862&gt;=18,COUNTIF($K$2:$K$10,INT(A5862))&gt;0),1,0)</f>
        <v>1</v>
      </c>
      <c r="G5862" s="34" t="n">
        <f aca="false">B5862/1</f>
        <v>48.384</v>
      </c>
      <c r="H5862" s="34" t="n">
        <f aca="false">IF(F5862=1,G5862,"")</f>
        <v>48.384</v>
      </c>
    </row>
    <row r="5863" customFormat="false" ht="15" hidden="false" customHeight="false" outlineLevel="0" collapsed="false">
      <c r="A5863" s="31" t="n">
        <v>42980.2083333333</v>
      </c>
      <c r="B5863" s="32" t="n">
        <v>47.884</v>
      </c>
      <c r="D5863" s="33" t="n">
        <f aca="false">WEEKDAY(A5863,2)</f>
        <v>6</v>
      </c>
      <c r="E5863" s="33" t="n">
        <f aca="false">HOUR(A5863)+MINUTE(A5863)/60</f>
        <v>5</v>
      </c>
      <c r="F5863" s="33" t="n">
        <f aca="false">IF(OR(D5863&gt;5,E5863&lt;8,E5863&gt;=18,COUNTIF($K$2:$K$10,INT(A5863))&gt;0),1,0)</f>
        <v>1</v>
      </c>
      <c r="G5863" s="34" t="n">
        <f aca="false">B5863/1</f>
        <v>47.884</v>
      </c>
      <c r="H5863" s="34" t="n">
        <f aca="false">IF(F5863=1,G5863,"")</f>
        <v>47.884</v>
      </c>
    </row>
    <row r="5864" customFormat="false" ht="15" hidden="false" customHeight="false" outlineLevel="0" collapsed="false">
      <c r="A5864" s="31" t="n">
        <v>42980.25</v>
      </c>
      <c r="B5864" s="32" t="n">
        <v>48.092</v>
      </c>
      <c r="D5864" s="33" t="n">
        <f aca="false">WEEKDAY(A5864,2)</f>
        <v>6</v>
      </c>
      <c r="E5864" s="33" t="n">
        <f aca="false">HOUR(A5864)+MINUTE(A5864)/60</f>
        <v>6</v>
      </c>
      <c r="F5864" s="33" t="n">
        <f aca="false">IF(OR(D5864&gt;5,E5864&lt;8,E5864&gt;=18,COUNTIF($K$2:$K$10,INT(A5864))&gt;0),1,0)</f>
        <v>1</v>
      </c>
      <c r="G5864" s="34" t="n">
        <f aca="false">B5864/1</f>
        <v>48.092</v>
      </c>
      <c r="H5864" s="34" t="n">
        <f aca="false">IF(F5864=1,G5864,"")</f>
        <v>48.092</v>
      </c>
    </row>
    <row r="5865" customFormat="false" ht="15" hidden="false" customHeight="false" outlineLevel="0" collapsed="false">
      <c r="A5865" s="31" t="n">
        <v>42980.2916666667</v>
      </c>
      <c r="B5865" s="32" t="n">
        <v>47.864</v>
      </c>
      <c r="D5865" s="33" t="n">
        <f aca="false">WEEKDAY(A5865,2)</f>
        <v>6</v>
      </c>
      <c r="E5865" s="33" t="n">
        <f aca="false">HOUR(A5865)+MINUTE(A5865)/60</f>
        <v>7</v>
      </c>
      <c r="F5865" s="33" t="n">
        <f aca="false">IF(OR(D5865&gt;5,E5865&lt;8,E5865&gt;=18,COUNTIF($K$2:$K$10,INT(A5865))&gt;0),1,0)</f>
        <v>1</v>
      </c>
      <c r="G5865" s="34" t="n">
        <f aca="false">B5865/1</f>
        <v>47.864</v>
      </c>
      <c r="H5865" s="34" t="n">
        <f aca="false">IF(F5865=1,G5865,"")</f>
        <v>47.864</v>
      </c>
    </row>
    <row r="5866" customFormat="false" ht="15" hidden="false" customHeight="false" outlineLevel="0" collapsed="false">
      <c r="A5866" s="31" t="n">
        <v>42980.3333333333</v>
      </c>
      <c r="B5866" s="32" t="n">
        <v>114.123</v>
      </c>
      <c r="D5866" s="33" t="n">
        <f aca="false">WEEKDAY(A5866,2)</f>
        <v>6</v>
      </c>
      <c r="E5866" s="33" t="n">
        <f aca="false">HOUR(A5866)+MINUTE(A5866)/60</f>
        <v>8</v>
      </c>
      <c r="F5866" s="33" t="n">
        <f aca="false">IF(OR(D5866&gt;5,E5866&lt;8,E5866&gt;=18,COUNTIF($K$2:$K$10,INT(A5866))&gt;0),1,0)</f>
        <v>1</v>
      </c>
      <c r="G5866" s="34" t="n">
        <f aca="false">B5866/1</f>
        <v>114.123</v>
      </c>
      <c r="H5866" s="34" t="n">
        <f aca="false">IF(F5866=1,G5866,"")</f>
        <v>114.123</v>
      </c>
    </row>
    <row r="5867" customFormat="false" ht="15" hidden="false" customHeight="false" outlineLevel="0" collapsed="false">
      <c r="A5867" s="31" t="n">
        <v>42980.375</v>
      </c>
      <c r="B5867" s="32" t="n">
        <v>156.295</v>
      </c>
      <c r="D5867" s="33" t="n">
        <f aca="false">WEEKDAY(A5867,2)</f>
        <v>6</v>
      </c>
      <c r="E5867" s="33" t="n">
        <f aca="false">HOUR(A5867)+MINUTE(A5867)/60</f>
        <v>9</v>
      </c>
      <c r="F5867" s="33" t="n">
        <f aca="false">IF(OR(D5867&gt;5,E5867&lt;8,E5867&gt;=18,COUNTIF($K$2:$K$10,INT(A5867))&gt;0),1,0)</f>
        <v>1</v>
      </c>
      <c r="G5867" s="34" t="n">
        <f aca="false">B5867/1</f>
        <v>156.295</v>
      </c>
      <c r="H5867" s="34" t="n">
        <f aca="false">IF(F5867=1,G5867,"")</f>
        <v>156.295</v>
      </c>
    </row>
    <row r="5868" customFormat="false" ht="15" hidden="false" customHeight="false" outlineLevel="0" collapsed="false">
      <c r="A5868" s="31" t="n">
        <v>42980.4166666667</v>
      </c>
      <c r="B5868" s="32" t="n">
        <v>158.588</v>
      </c>
      <c r="D5868" s="33" t="n">
        <f aca="false">WEEKDAY(A5868,2)</f>
        <v>6</v>
      </c>
      <c r="E5868" s="33" t="n">
        <f aca="false">HOUR(A5868)+MINUTE(A5868)/60</f>
        <v>10</v>
      </c>
      <c r="F5868" s="33" t="n">
        <f aca="false">IF(OR(D5868&gt;5,E5868&lt;8,E5868&gt;=18,COUNTIF($K$2:$K$10,INT(A5868))&gt;0),1,0)</f>
        <v>1</v>
      </c>
      <c r="G5868" s="34" t="n">
        <f aca="false">B5868/1</f>
        <v>158.588</v>
      </c>
      <c r="H5868" s="34" t="n">
        <f aca="false">IF(F5868=1,G5868,"")</f>
        <v>158.588</v>
      </c>
    </row>
    <row r="5869" customFormat="false" ht="15" hidden="false" customHeight="false" outlineLevel="0" collapsed="false">
      <c r="A5869" s="31" t="n">
        <v>42980.4583333333</v>
      </c>
      <c r="B5869" s="32" t="n">
        <v>159.475</v>
      </c>
      <c r="D5869" s="33" t="n">
        <f aca="false">WEEKDAY(A5869,2)</f>
        <v>6</v>
      </c>
      <c r="E5869" s="33" t="n">
        <f aca="false">HOUR(A5869)+MINUTE(A5869)/60</f>
        <v>11</v>
      </c>
      <c r="F5869" s="33" t="n">
        <f aca="false">IF(OR(D5869&gt;5,E5869&lt;8,E5869&gt;=18,COUNTIF($K$2:$K$10,INT(A5869))&gt;0),1,0)</f>
        <v>1</v>
      </c>
      <c r="G5869" s="34" t="n">
        <f aca="false">B5869/1</f>
        <v>159.475</v>
      </c>
      <c r="H5869" s="34" t="n">
        <f aca="false">IF(F5869=1,G5869,"")</f>
        <v>159.475</v>
      </c>
    </row>
    <row r="5870" customFormat="false" ht="15" hidden="false" customHeight="false" outlineLevel="0" collapsed="false">
      <c r="A5870" s="31" t="n">
        <v>42980.5</v>
      </c>
      <c r="B5870" s="32" t="n">
        <v>180.733</v>
      </c>
      <c r="D5870" s="33" t="n">
        <f aca="false">WEEKDAY(A5870,2)</f>
        <v>6</v>
      </c>
      <c r="E5870" s="33" t="n">
        <f aca="false">HOUR(A5870)+MINUTE(A5870)/60</f>
        <v>12</v>
      </c>
      <c r="F5870" s="33" t="n">
        <f aca="false">IF(OR(D5870&gt;5,E5870&lt;8,E5870&gt;=18,COUNTIF($K$2:$K$10,INT(A5870))&gt;0),1,0)</f>
        <v>1</v>
      </c>
      <c r="G5870" s="34" t="n">
        <f aca="false">B5870/1</f>
        <v>180.733</v>
      </c>
      <c r="H5870" s="34" t="n">
        <f aca="false">IF(F5870=1,G5870,"")</f>
        <v>180.733</v>
      </c>
    </row>
    <row r="5871" customFormat="false" ht="15" hidden="false" customHeight="false" outlineLevel="0" collapsed="false">
      <c r="A5871" s="31" t="n">
        <v>42980.5416666667</v>
      </c>
      <c r="B5871" s="32" t="n">
        <v>188.425</v>
      </c>
      <c r="D5871" s="33" t="n">
        <f aca="false">WEEKDAY(A5871,2)</f>
        <v>6</v>
      </c>
      <c r="E5871" s="33" t="n">
        <f aca="false">HOUR(A5871)+MINUTE(A5871)/60</f>
        <v>13</v>
      </c>
      <c r="F5871" s="33" t="n">
        <f aca="false">IF(OR(D5871&gt;5,E5871&lt;8,E5871&gt;=18,COUNTIF($K$2:$K$10,INT(A5871))&gt;0),1,0)</f>
        <v>1</v>
      </c>
      <c r="G5871" s="34" t="n">
        <f aca="false">B5871/1</f>
        <v>188.425</v>
      </c>
      <c r="H5871" s="34" t="n">
        <f aca="false">IF(F5871=1,G5871,"")</f>
        <v>188.425</v>
      </c>
    </row>
    <row r="5872" customFormat="false" ht="15" hidden="false" customHeight="false" outlineLevel="0" collapsed="false">
      <c r="A5872" s="31" t="n">
        <v>42980.5833333333</v>
      </c>
      <c r="B5872" s="32" t="n">
        <v>188.244</v>
      </c>
      <c r="D5872" s="33" t="n">
        <f aca="false">WEEKDAY(A5872,2)</f>
        <v>6</v>
      </c>
      <c r="E5872" s="33" t="n">
        <f aca="false">HOUR(A5872)+MINUTE(A5872)/60</f>
        <v>14</v>
      </c>
      <c r="F5872" s="33" t="n">
        <f aca="false">IF(OR(D5872&gt;5,E5872&lt;8,E5872&gt;=18,COUNTIF($K$2:$K$10,INT(A5872))&gt;0),1,0)</f>
        <v>1</v>
      </c>
      <c r="G5872" s="34" t="n">
        <f aca="false">B5872/1</f>
        <v>188.244</v>
      </c>
      <c r="H5872" s="34" t="n">
        <f aca="false">IF(F5872=1,G5872,"")</f>
        <v>188.244</v>
      </c>
    </row>
    <row r="5873" customFormat="false" ht="15" hidden="false" customHeight="false" outlineLevel="0" collapsed="false">
      <c r="A5873" s="31" t="n">
        <v>42980.625</v>
      </c>
      <c r="B5873" s="32" t="n">
        <v>189.403</v>
      </c>
      <c r="D5873" s="33" t="n">
        <f aca="false">WEEKDAY(A5873,2)</f>
        <v>6</v>
      </c>
      <c r="E5873" s="33" t="n">
        <f aca="false">HOUR(A5873)+MINUTE(A5873)/60</f>
        <v>15</v>
      </c>
      <c r="F5873" s="33" t="n">
        <f aca="false">IF(OR(D5873&gt;5,E5873&lt;8,E5873&gt;=18,COUNTIF($K$2:$K$10,INT(A5873))&gt;0),1,0)</f>
        <v>1</v>
      </c>
      <c r="G5873" s="34" t="n">
        <f aca="false">B5873/1</f>
        <v>189.403</v>
      </c>
      <c r="H5873" s="34" t="n">
        <f aca="false">IF(F5873=1,G5873,"")</f>
        <v>189.403</v>
      </c>
    </row>
    <row r="5874" customFormat="false" ht="15" hidden="false" customHeight="false" outlineLevel="0" collapsed="false">
      <c r="A5874" s="31" t="n">
        <v>42980.6666666667</v>
      </c>
      <c r="B5874" s="32" t="n">
        <v>189.157</v>
      </c>
      <c r="D5874" s="33" t="n">
        <f aca="false">WEEKDAY(A5874,2)</f>
        <v>6</v>
      </c>
      <c r="E5874" s="33" t="n">
        <f aca="false">HOUR(A5874)+MINUTE(A5874)/60</f>
        <v>16</v>
      </c>
      <c r="F5874" s="33" t="n">
        <f aca="false">IF(OR(D5874&gt;5,E5874&lt;8,E5874&gt;=18,COUNTIF($K$2:$K$10,INT(A5874))&gt;0),1,0)</f>
        <v>1</v>
      </c>
      <c r="G5874" s="34" t="n">
        <f aca="false">B5874/1</f>
        <v>189.157</v>
      </c>
      <c r="H5874" s="34" t="n">
        <f aca="false">IF(F5874=1,G5874,"")</f>
        <v>189.157</v>
      </c>
    </row>
    <row r="5875" customFormat="false" ht="15" hidden="false" customHeight="false" outlineLevel="0" collapsed="false">
      <c r="A5875" s="31" t="n">
        <v>42980.7083333333</v>
      </c>
      <c r="B5875" s="32" t="n">
        <v>178.505</v>
      </c>
      <c r="D5875" s="33" t="n">
        <f aca="false">WEEKDAY(A5875,2)</f>
        <v>6</v>
      </c>
      <c r="E5875" s="33" t="n">
        <f aca="false">HOUR(A5875)+MINUTE(A5875)/60</f>
        <v>17</v>
      </c>
      <c r="F5875" s="33" t="n">
        <f aca="false">IF(OR(D5875&gt;5,E5875&lt;8,E5875&gt;=18,COUNTIF($K$2:$K$10,INT(A5875))&gt;0),1,0)</f>
        <v>1</v>
      </c>
      <c r="G5875" s="34" t="n">
        <f aca="false">B5875/1</f>
        <v>178.505</v>
      </c>
      <c r="H5875" s="34" t="n">
        <f aca="false">IF(F5875=1,G5875,"")</f>
        <v>178.505</v>
      </c>
    </row>
    <row r="5876" customFormat="false" ht="15" hidden="false" customHeight="false" outlineLevel="0" collapsed="false">
      <c r="A5876" s="31" t="n">
        <v>42980.75</v>
      </c>
      <c r="B5876" s="32" t="n">
        <v>81.573</v>
      </c>
      <c r="D5876" s="33" t="n">
        <f aca="false">WEEKDAY(A5876,2)</f>
        <v>6</v>
      </c>
      <c r="E5876" s="33" t="n">
        <f aca="false">HOUR(A5876)+MINUTE(A5876)/60</f>
        <v>18</v>
      </c>
      <c r="F5876" s="33" t="n">
        <f aca="false">IF(OR(D5876&gt;5,E5876&lt;8,E5876&gt;=18,COUNTIF($K$2:$K$10,INT(A5876))&gt;0),1,0)</f>
        <v>1</v>
      </c>
      <c r="G5876" s="34" t="n">
        <f aca="false">B5876/1</f>
        <v>81.573</v>
      </c>
      <c r="H5876" s="34" t="n">
        <f aca="false">IF(F5876=1,G5876,"")</f>
        <v>81.573</v>
      </c>
    </row>
    <row r="5877" customFormat="false" ht="15" hidden="false" customHeight="false" outlineLevel="0" collapsed="false">
      <c r="A5877" s="31" t="n">
        <v>42980.7916666667</v>
      </c>
      <c r="B5877" s="32" t="n">
        <v>62.322</v>
      </c>
      <c r="D5877" s="33" t="n">
        <f aca="false">WEEKDAY(A5877,2)</f>
        <v>6</v>
      </c>
      <c r="E5877" s="33" t="n">
        <f aca="false">HOUR(A5877)+MINUTE(A5877)/60</f>
        <v>19</v>
      </c>
      <c r="F5877" s="33" t="n">
        <f aca="false">IF(OR(D5877&gt;5,E5877&lt;8,E5877&gt;=18,COUNTIF($K$2:$K$10,INT(A5877))&gt;0),1,0)</f>
        <v>1</v>
      </c>
      <c r="G5877" s="34" t="n">
        <f aca="false">B5877/1</f>
        <v>62.322</v>
      </c>
      <c r="H5877" s="34" t="n">
        <f aca="false">IF(F5877=1,G5877,"")</f>
        <v>62.322</v>
      </c>
    </row>
    <row r="5878" customFormat="false" ht="15" hidden="false" customHeight="false" outlineLevel="0" collapsed="false">
      <c r="A5878" s="31" t="n">
        <v>42980.8333333333</v>
      </c>
      <c r="B5878" s="32" t="n">
        <v>60.91</v>
      </c>
      <c r="D5878" s="33" t="n">
        <f aca="false">WEEKDAY(A5878,2)</f>
        <v>6</v>
      </c>
      <c r="E5878" s="33" t="n">
        <f aca="false">HOUR(A5878)+MINUTE(A5878)/60</f>
        <v>20</v>
      </c>
      <c r="F5878" s="33" t="n">
        <f aca="false">IF(OR(D5878&gt;5,E5878&lt;8,E5878&gt;=18,COUNTIF($K$2:$K$10,INT(A5878))&gt;0),1,0)</f>
        <v>1</v>
      </c>
      <c r="G5878" s="34" t="n">
        <f aca="false">B5878/1</f>
        <v>60.91</v>
      </c>
      <c r="H5878" s="34" t="n">
        <f aca="false">IF(F5878=1,G5878,"")</f>
        <v>60.91</v>
      </c>
    </row>
    <row r="5879" customFormat="false" ht="15" hidden="false" customHeight="false" outlineLevel="0" collapsed="false">
      <c r="A5879" s="31" t="n">
        <v>42980.875</v>
      </c>
      <c r="B5879" s="32" t="n">
        <v>51.961</v>
      </c>
      <c r="D5879" s="33" t="n">
        <f aca="false">WEEKDAY(A5879,2)</f>
        <v>6</v>
      </c>
      <c r="E5879" s="33" t="n">
        <f aca="false">HOUR(A5879)+MINUTE(A5879)/60</f>
        <v>21</v>
      </c>
      <c r="F5879" s="33" t="n">
        <f aca="false">IF(OR(D5879&gt;5,E5879&lt;8,E5879&gt;=18,COUNTIF($K$2:$K$10,INT(A5879))&gt;0),1,0)</f>
        <v>1</v>
      </c>
      <c r="G5879" s="34" t="n">
        <f aca="false">B5879/1</f>
        <v>51.961</v>
      </c>
      <c r="H5879" s="34" t="n">
        <f aca="false">IF(F5879=1,G5879,"")</f>
        <v>51.961</v>
      </c>
    </row>
    <row r="5880" customFormat="false" ht="15" hidden="false" customHeight="false" outlineLevel="0" collapsed="false">
      <c r="A5880" s="31" t="n">
        <v>42980.9166666667</v>
      </c>
      <c r="B5880" s="32" t="n">
        <v>48.361</v>
      </c>
      <c r="D5880" s="33" t="n">
        <f aca="false">WEEKDAY(A5880,2)</f>
        <v>6</v>
      </c>
      <c r="E5880" s="33" t="n">
        <f aca="false">HOUR(A5880)+MINUTE(A5880)/60</f>
        <v>22</v>
      </c>
      <c r="F5880" s="33" t="n">
        <f aca="false">IF(OR(D5880&gt;5,E5880&lt;8,E5880&gt;=18,COUNTIF($K$2:$K$10,INT(A5880))&gt;0),1,0)</f>
        <v>1</v>
      </c>
      <c r="G5880" s="34" t="n">
        <f aca="false">B5880/1</f>
        <v>48.361</v>
      </c>
      <c r="H5880" s="34" t="n">
        <f aca="false">IF(F5880=1,G5880,"")</f>
        <v>48.361</v>
      </c>
    </row>
    <row r="5881" customFormat="false" ht="15" hidden="false" customHeight="false" outlineLevel="0" collapsed="false">
      <c r="A5881" s="31" t="n">
        <v>42980.9583333333</v>
      </c>
      <c r="B5881" s="32" t="n">
        <v>47.623</v>
      </c>
      <c r="D5881" s="33" t="n">
        <f aca="false">WEEKDAY(A5881,2)</f>
        <v>6</v>
      </c>
      <c r="E5881" s="33" t="n">
        <f aca="false">HOUR(A5881)+MINUTE(A5881)/60</f>
        <v>23</v>
      </c>
      <c r="F5881" s="33" t="n">
        <f aca="false">IF(OR(D5881&gt;5,E5881&lt;8,E5881&gt;=18,COUNTIF($K$2:$K$10,INT(A5881))&gt;0),1,0)</f>
        <v>1</v>
      </c>
      <c r="G5881" s="34" t="n">
        <f aca="false">B5881/1</f>
        <v>47.623</v>
      </c>
      <c r="H5881" s="34" t="n">
        <f aca="false">IF(F5881=1,G5881,"")</f>
        <v>47.623</v>
      </c>
    </row>
    <row r="5882" customFormat="false" ht="15" hidden="false" customHeight="false" outlineLevel="0" collapsed="false">
      <c r="A5882" s="31" t="n">
        <v>42981</v>
      </c>
      <c r="B5882" s="32" t="n">
        <v>47.832</v>
      </c>
      <c r="D5882" s="33" t="n">
        <f aca="false">WEEKDAY(A5882,2)</f>
        <v>7</v>
      </c>
      <c r="E5882" s="33" t="n">
        <f aca="false">HOUR(A5882)+MINUTE(A5882)/60</f>
        <v>0</v>
      </c>
      <c r="F5882" s="33" t="n">
        <f aca="false">IF(OR(D5882&gt;5,E5882&lt;8,E5882&gt;=18,COUNTIF($K$2:$K$10,INT(A5882))&gt;0),1,0)</f>
        <v>1</v>
      </c>
      <c r="G5882" s="34" t="n">
        <f aca="false">B5882/1</f>
        <v>47.832</v>
      </c>
      <c r="H5882" s="34" t="n">
        <f aca="false">IF(F5882=1,G5882,"")</f>
        <v>47.832</v>
      </c>
    </row>
    <row r="5883" customFormat="false" ht="15" hidden="false" customHeight="false" outlineLevel="0" collapsed="false">
      <c r="A5883" s="31" t="n">
        <v>42981.0416666667</v>
      </c>
      <c r="B5883" s="32" t="n">
        <v>48.282</v>
      </c>
      <c r="D5883" s="33" t="n">
        <f aca="false">WEEKDAY(A5883,2)</f>
        <v>7</v>
      </c>
      <c r="E5883" s="33" t="n">
        <f aca="false">HOUR(A5883)+MINUTE(A5883)/60</f>
        <v>1</v>
      </c>
      <c r="F5883" s="33" t="n">
        <f aca="false">IF(OR(D5883&gt;5,E5883&lt;8,E5883&gt;=18,COUNTIF($K$2:$K$10,INT(A5883))&gt;0),1,0)</f>
        <v>1</v>
      </c>
      <c r="G5883" s="34" t="n">
        <f aca="false">B5883/1</f>
        <v>48.282</v>
      </c>
      <c r="H5883" s="34" t="n">
        <f aca="false">IF(F5883=1,G5883,"")</f>
        <v>48.282</v>
      </c>
    </row>
    <row r="5884" customFormat="false" ht="15" hidden="false" customHeight="false" outlineLevel="0" collapsed="false">
      <c r="A5884" s="31" t="n">
        <v>42981.0833333333</v>
      </c>
      <c r="B5884" s="32" t="n">
        <v>48.497</v>
      </c>
      <c r="D5884" s="33" t="n">
        <f aca="false">WEEKDAY(A5884,2)</f>
        <v>7</v>
      </c>
      <c r="E5884" s="33" t="n">
        <f aca="false">HOUR(A5884)+MINUTE(A5884)/60</f>
        <v>2</v>
      </c>
      <c r="F5884" s="33" t="n">
        <f aca="false">IF(OR(D5884&gt;5,E5884&lt;8,E5884&gt;=18,COUNTIF($K$2:$K$10,INT(A5884))&gt;0),1,0)</f>
        <v>1</v>
      </c>
      <c r="G5884" s="34" t="n">
        <f aca="false">B5884/1</f>
        <v>48.497</v>
      </c>
      <c r="H5884" s="34" t="n">
        <f aca="false">IF(F5884=1,G5884,"")</f>
        <v>48.497</v>
      </c>
    </row>
    <row r="5885" customFormat="false" ht="15" hidden="false" customHeight="false" outlineLevel="0" collapsed="false">
      <c r="A5885" s="31" t="n">
        <v>42981.125</v>
      </c>
      <c r="B5885" s="32" t="n">
        <v>47.699</v>
      </c>
      <c r="D5885" s="33" t="n">
        <f aca="false">WEEKDAY(A5885,2)</f>
        <v>7</v>
      </c>
      <c r="E5885" s="33" t="n">
        <f aca="false">HOUR(A5885)+MINUTE(A5885)/60</f>
        <v>3</v>
      </c>
      <c r="F5885" s="33" t="n">
        <f aca="false">IF(OR(D5885&gt;5,E5885&lt;8,E5885&gt;=18,COUNTIF($K$2:$K$10,INT(A5885))&gt;0),1,0)</f>
        <v>1</v>
      </c>
      <c r="G5885" s="34" t="n">
        <f aca="false">B5885/1</f>
        <v>47.699</v>
      </c>
      <c r="H5885" s="34" t="n">
        <f aca="false">IF(F5885=1,G5885,"")</f>
        <v>47.699</v>
      </c>
    </row>
    <row r="5886" customFormat="false" ht="15" hidden="false" customHeight="false" outlineLevel="0" collapsed="false">
      <c r="A5886" s="31" t="n">
        <v>42981.1666666667</v>
      </c>
      <c r="B5886" s="32" t="n">
        <v>48.555</v>
      </c>
      <c r="D5886" s="33" t="n">
        <f aca="false">WEEKDAY(A5886,2)</f>
        <v>7</v>
      </c>
      <c r="E5886" s="33" t="n">
        <f aca="false">HOUR(A5886)+MINUTE(A5886)/60</f>
        <v>4</v>
      </c>
      <c r="F5886" s="33" t="n">
        <f aca="false">IF(OR(D5886&gt;5,E5886&lt;8,E5886&gt;=18,COUNTIF($K$2:$K$10,INT(A5886))&gt;0),1,0)</f>
        <v>1</v>
      </c>
      <c r="G5886" s="34" t="n">
        <f aca="false">B5886/1</f>
        <v>48.555</v>
      </c>
      <c r="H5886" s="34" t="n">
        <f aca="false">IF(F5886=1,G5886,"")</f>
        <v>48.555</v>
      </c>
    </row>
    <row r="5887" customFormat="false" ht="15" hidden="false" customHeight="false" outlineLevel="0" collapsed="false">
      <c r="A5887" s="31" t="n">
        <v>42981.2083333333</v>
      </c>
      <c r="B5887" s="32" t="n">
        <v>48.699</v>
      </c>
      <c r="D5887" s="33" t="n">
        <f aca="false">WEEKDAY(A5887,2)</f>
        <v>7</v>
      </c>
      <c r="E5887" s="33" t="n">
        <f aca="false">HOUR(A5887)+MINUTE(A5887)/60</f>
        <v>5</v>
      </c>
      <c r="F5887" s="33" t="n">
        <f aca="false">IF(OR(D5887&gt;5,E5887&lt;8,E5887&gt;=18,COUNTIF($K$2:$K$10,INT(A5887))&gt;0),1,0)</f>
        <v>1</v>
      </c>
      <c r="G5887" s="34" t="n">
        <f aca="false">B5887/1</f>
        <v>48.699</v>
      </c>
      <c r="H5887" s="34" t="n">
        <f aca="false">IF(F5887=1,G5887,"")</f>
        <v>48.699</v>
      </c>
    </row>
    <row r="5888" customFormat="false" ht="15" hidden="false" customHeight="false" outlineLevel="0" collapsed="false">
      <c r="A5888" s="31" t="n">
        <v>42981.25</v>
      </c>
      <c r="B5888" s="32" t="n">
        <v>47.671</v>
      </c>
      <c r="D5888" s="33" t="n">
        <f aca="false">WEEKDAY(A5888,2)</f>
        <v>7</v>
      </c>
      <c r="E5888" s="33" t="n">
        <f aca="false">HOUR(A5888)+MINUTE(A5888)/60</f>
        <v>6</v>
      </c>
      <c r="F5888" s="33" t="n">
        <f aca="false">IF(OR(D5888&gt;5,E5888&lt;8,E5888&gt;=18,COUNTIF($K$2:$K$10,INT(A5888))&gt;0),1,0)</f>
        <v>1</v>
      </c>
      <c r="G5888" s="34" t="n">
        <f aca="false">B5888/1</f>
        <v>47.671</v>
      </c>
      <c r="H5888" s="34" t="n">
        <f aca="false">IF(F5888=1,G5888,"")</f>
        <v>47.671</v>
      </c>
    </row>
    <row r="5889" customFormat="false" ht="15" hidden="false" customHeight="false" outlineLevel="0" collapsed="false">
      <c r="A5889" s="31" t="n">
        <v>42981.2916666667</v>
      </c>
      <c r="B5889" s="32" t="n">
        <v>49.367</v>
      </c>
      <c r="D5889" s="33" t="n">
        <f aca="false">WEEKDAY(A5889,2)</f>
        <v>7</v>
      </c>
      <c r="E5889" s="33" t="n">
        <f aca="false">HOUR(A5889)+MINUTE(A5889)/60</f>
        <v>7</v>
      </c>
      <c r="F5889" s="33" t="n">
        <f aca="false">IF(OR(D5889&gt;5,E5889&lt;8,E5889&gt;=18,COUNTIF($K$2:$K$10,INT(A5889))&gt;0),1,0)</f>
        <v>1</v>
      </c>
      <c r="G5889" s="34" t="n">
        <f aca="false">B5889/1</f>
        <v>49.367</v>
      </c>
      <c r="H5889" s="34" t="n">
        <f aca="false">IF(F5889=1,G5889,"")</f>
        <v>49.367</v>
      </c>
    </row>
    <row r="5890" customFormat="false" ht="15" hidden="false" customHeight="false" outlineLevel="0" collapsed="false">
      <c r="A5890" s="31" t="n">
        <v>42981.3333333333</v>
      </c>
      <c r="B5890" s="32" t="n">
        <v>45.963</v>
      </c>
      <c r="D5890" s="33" t="n">
        <f aca="false">WEEKDAY(A5890,2)</f>
        <v>7</v>
      </c>
      <c r="E5890" s="33" t="n">
        <f aca="false">HOUR(A5890)+MINUTE(A5890)/60</f>
        <v>8</v>
      </c>
      <c r="F5890" s="33" t="n">
        <f aca="false">IF(OR(D5890&gt;5,E5890&lt;8,E5890&gt;=18,COUNTIF($K$2:$K$10,INT(A5890))&gt;0),1,0)</f>
        <v>1</v>
      </c>
      <c r="G5890" s="34" t="n">
        <f aca="false">B5890/1</f>
        <v>45.963</v>
      </c>
      <c r="H5890" s="34" t="n">
        <f aca="false">IF(F5890=1,G5890,"")</f>
        <v>45.963</v>
      </c>
    </row>
    <row r="5891" customFormat="false" ht="15" hidden="false" customHeight="false" outlineLevel="0" collapsed="false">
      <c r="A5891" s="31" t="n">
        <v>42981.375</v>
      </c>
      <c r="B5891" s="32" t="n">
        <v>46.437</v>
      </c>
      <c r="D5891" s="33" t="n">
        <f aca="false">WEEKDAY(A5891,2)</f>
        <v>7</v>
      </c>
      <c r="E5891" s="33" t="n">
        <f aca="false">HOUR(A5891)+MINUTE(A5891)/60</f>
        <v>9</v>
      </c>
      <c r="F5891" s="33" t="n">
        <f aca="false">IF(OR(D5891&gt;5,E5891&lt;8,E5891&gt;=18,COUNTIF($K$2:$K$10,INT(A5891))&gt;0),1,0)</f>
        <v>1</v>
      </c>
      <c r="G5891" s="34" t="n">
        <f aca="false">B5891/1</f>
        <v>46.437</v>
      </c>
      <c r="H5891" s="34" t="n">
        <f aca="false">IF(F5891=1,G5891,"")</f>
        <v>46.437</v>
      </c>
    </row>
    <row r="5892" customFormat="false" ht="15" hidden="false" customHeight="false" outlineLevel="0" collapsed="false">
      <c r="A5892" s="31" t="n">
        <v>42981.4166666667</v>
      </c>
      <c r="B5892" s="32" t="n">
        <v>48.161</v>
      </c>
      <c r="D5892" s="33" t="n">
        <f aca="false">WEEKDAY(A5892,2)</f>
        <v>7</v>
      </c>
      <c r="E5892" s="33" t="n">
        <f aca="false">HOUR(A5892)+MINUTE(A5892)/60</f>
        <v>10</v>
      </c>
      <c r="F5892" s="33" t="n">
        <f aca="false">IF(OR(D5892&gt;5,E5892&lt;8,E5892&gt;=18,COUNTIF($K$2:$K$10,INT(A5892))&gt;0),1,0)</f>
        <v>1</v>
      </c>
      <c r="G5892" s="34" t="n">
        <f aca="false">B5892/1</f>
        <v>48.161</v>
      </c>
      <c r="H5892" s="34" t="n">
        <f aca="false">IF(F5892=1,G5892,"")</f>
        <v>48.161</v>
      </c>
    </row>
    <row r="5893" customFormat="false" ht="15" hidden="false" customHeight="false" outlineLevel="0" collapsed="false">
      <c r="A5893" s="31" t="n">
        <v>42981.4583333333</v>
      </c>
      <c r="B5893" s="32" t="n">
        <v>47.224</v>
      </c>
      <c r="D5893" s="33" t="n">
        <f aca="false">WEEKDAY(A5893,2)</f>
        <v>7</v>
      </c>
      <c r="E5893" s="33" t="n">
        <f aca="false">HOUR(A5893)+MINUTE(A5893)/60</f>
        <v>11</v>
      </c>
      <c r="F5893" s="33" t="n">
        <f aca="false">IF(OR(D5893&gt;5,E5893&lt;8,E5893&gt;=18,COUNTIF($K$2:$K$10,INT(A5893))&gt;0),1,0)</f>
        <v>1</v>
      </c>
      <c r="G5893" s="34" t="n">
        <f aca="false">B5893/1</f>
        <v>47.224</v>
      </c>
      <c r="H5893" s="34" t="n">
        <f aca="false">IF(F5893=1,G5893,"")</f>
        <v>47.224</v>
      </c>
    </row>
    <row r="5894" customFormat="false" ht="15" hidden="false" customHeight="false" outlineLevel="0" collapsed="false">
      <c r="A5894" s="31" t="n">
        <v>42981.5</v>
      </c>
      <c r="B5894" s="32" t="n">
        <v>48.774</v>
      </c>
      <c r="D5894" s="33" t="n">
        <f aca="false">WEEKDAY(A5894,2)</f>
        <v>7</v>
      </c>
      <c r="E5894" s="33" t="n">
        <f aca="false">HOUR(A5894)+MINUTE(A5894)/60</f>
        <v>12</v>
      </c>
      <c r="F5894" s="33" t="n">
        <f aca="false">IF(OR(D5894&gt;5,E5894&lt;8,E5894&gt;=18,COUNTIF($K$2:$K$10,INT(A5894))&gt;0),1,0)</f>
        <v>1</v>
      </c>
      <c r="G5894" s="34" t="n">
        <f aca="false">B5894/1</f>
        <v>48.774</v>
      </c>
      <c r="H5894" s="34" t="n">
        <f aca="false">IF(F5894=1,G5894,"")</f>
        <v>48.774</v>
      </c>
    </row>
    <row r="5895" customFormat="false" ht="15" hidden="false" customHeight="false" outlineLevel="0" collapsed="false">
      <c r="A5895" s="31" t="n">
        <v>42981.5416666667</v>
      </c>
      <c r="B5895" s="32" t="n">
        <v>104.607</v>
      </c>
      <c r="D5895" s="33" t="n">
        <f aca="false">WEEKDAY(A5895,2)</f>
        <v>7</v>
      </c>
      <c r="E5895" s="33" t="n">
        <f aca="false">HOUR(A5895)+MINUTE(A5895)/60</f>
        <v>13</v>
      </c>
      <c r="F5895" s="33" t="n">
        <f aca="false">IF(OR(D5895&gt;5,E5895&lt;8,E5895&gt;=18,COUNTIF($K$2:$K$10,INT(A5895))&gt;0),1,0)</f>
        <v>1</v>
      </c>
      <c r="G5895" s="34" t="n">
        <f aca="false">B5895/1</f>
        <v>104.607</v>
      </c>
      <c r="H5895" s="34" t="n">
        <f aca="false">IF(F5895=1,G5895,"")</f>
        <v>104.607</v>
      </c>
    </row>
    <row r="5896" customFormat="false" ht="15" hidden="false" customHeight="false" outlineLevel="0" collapsed="false">
      <c r="A5896" s="31" t="n">
        <v>42981.5833333333</v>
      </c>
      <c r="B5896" s="32" t="n">
        <v>132.656</v>
      </c>
      <c r="D5896" s="33" t="n">
        <f aca="false">WEEKDAY(A5896,2)</f>
        <v>7</v>
      </c>
      <c r="E5896" s="33" t="n">
        <f aca="false">HOUR(A5896)+MINUTE(A5896)/60</f>
        <v>14</v>
      </c>
      <c r="F5896" s="33" t="n">
        <f aca="false">IF(OR(D5896&gt;5,E5896&lt;8,E5896&gt;=18,COUNTIF($K$2:$K$10,INT(A5896))&gt;0),1,0)</f>
        <v>1</v>
      </c>
      <c r="G5896" s="34" t="n">
        <f aca="false">B5896/1</f>
        <v>132.656</v>
      </c>
      <c r="H5896" s="34" t="n">
        <f aca="false">IF(F5896=1,G5896,"")</f>
        <v>132.656</v>
      </c>
    </row>
    <row r="5897" customFormat="false" ht="15" hidden="false" customHeight="false" outlineLevel="0" collapsed="false">
      <c r="A5897" s="31" t="n">
        <v>42981.625</v>
      </c>
      <c r="B5897" s="32" t="n">
        <v>135.836</v>
      </c>
      <c r="D5897" s="33" t="n">
        <f aca="false">WEEKDAY(A5897,2)</f>
        <v>7</v>
      </c>
      <c r="E5897" s="33" t="n">
        <f aca="false">HOUR(A5897)+MINUTE(A5897)/60</f>
        <v>15</v>
      </c>
      <c r="F5897" s="33" t="n">
        <f aca="false">IF(OR(D5897&gt;5,E5897&lt;8,E5897&gt;=18,COUNTIF($K$2:$K$10,INT(A5897))&gt;0),1,0)</f>
        <v>1</v>
      </c>
      <c r="G5897" s="34" t="n">
        <f aca="false">B5897/1</f>
        <v>135.836</v>
      </c>
      <c r="H5897" s="34" t="n">
        <f aca="false">IF(F5897=1,G5897,"")</f>
        <v>135.836</v>
      </c>
    </row>
    <row r="5898" customFormat="false" ht="15" hidden="false" customHeight="false" outlineLevel="0" collapsed="false">
      <c r="A5898" s="31" t="n">
        <v>42981.6666666667</v>
      </c>
      <c r="B5898" s="32" t="n">
        <v>133.557</v>
      </c>
      <c r="D5898" s="33" t="n">
        <f aca="false">WEEKDAY(A5898,2)</f>
        <v>7</v>
      </c>
      <c r="E5898" s="33" t="n">
        <f aca="false">HOUR(A5898)+MINUTE(A5898)/60</f>
        <v>16</v>
      </c>
      <c r="F5898" s="33" t="n">
        <f aca="false">IF(OR(D5898&gt;5,E5898&lt;8,E5898&gt;=18,COUNTIF($K$2:$K$10,INT(A5898))&gt;0),1,0)</f>
        <v>1</v>
      </c>
      <c r="G5898" s="34" t="n">
        <f aca="false">B5898/1</f>
        <v>133.557</v>
      </c>
      <c r="H5898" s="34" t="n">
        <f aca="false">IF(F5898=1,G5898,"")</f>
        <v>133.557</v>
      </c>
    </row>
    <row r="5899" customFormat="false" ht="15" hidden="false" customHeight="false" outlineLevel="0" collapsed="false">
      <c r="A5899" s="31" t="n">
        <v>42981.7083333333</v>
      </c>
      <c r="B5899" s="32" t="n">
        <v>131.303</v>
      </c>
      <c r="D5899" s="33" t="n">
        <f aca="false">WEEKDAY(A5899,2)</f>
        <v>7</v>
      </c>
      <c r="E5899" s="33" t="n">
        <f aca="false">HOUR(A5899)+MINUTE(A5899)/60</f>
        <v>17</v>
      </c>
      <c r="F5899" s="33" t="n">
        <f aca="false">IF(OR(D5899&gt;5,E5899&lt;8,E5899&gt;=18,COUNTIF($K$2:$K$10,INT(A5899))&gt;0),1,0)</f>
        <v>1</v>
      </c>
      <c r="G5899" s="34" t="n">
        <f aca="false">B5899/1</f>
        <v>131.303</v>
      </c>
      <c r="H5899" s="34" t="n">
        <f aca="false">IF(F5899=1,G5899,"")</f>
        <v>131.303</v>
      </c>
    </row>
    <row r="5900" customFormat="false" ht="15" hidden="false" customHeight="false" outlineLevel="0" collapsed="false">
      <c r="A5900" s="31" t="n">
        <v>42981.75</v>
      </c>
      <c r="B5900" s="32" t="n">
        <v>55.525</v>
      </c>
      <c r="D5900" s="33" t="n">
        <f aca="false">WEEKDAY(A5900,2)</f>
        <v>7</v>
      </c>
      <c r="E5900" s="33" t="n">
        <f aca="false">HOUR(A5900)+MINUTE(A5900)/60</f>
        <v>18</v>
      </c>
      <c r="F5900" s="33" t="n">
        <f aca="false">IF(OR(D5900&gt;5,E5900&lt;8,E5900&gt;=18,COUNTIF($K$2:$K$10,INT(A5900))&gt;0),1,0)</f>
        <v>1</v>
      </c>
      <c r="G5900" s="34" t="n">
        <f aca="false">B5900/1</f>
        <v>55.525</v>
      </c>
      <c r="H5900" s="34" t="n">
        <f aca="false">IF(F5900=1,G5900,"")</f>
        <v>55.525</v>
      </c>
    </row>
    <row r="5901" customFormat="false" ht="15" hidden="false" customHeight="false" outlineLevel="0" collapsed="false">
      <c r="A5901" s="31" t="n">
        <v>42981.7916666667</v>
      </c>
      <c r="B5901" s="32" t="n">
        <v>56.931</v>
      </c>
      <c r="D5901" s="33" t="n">
        <f aca="false">WEEKDAY(A5901,2)</f>
        <v>7</v>
      </c>
      <c r="E5901" s="33" t="n">
        <f aca="false">HOUR(A5901)+MINUTE(A5901)/60</f>
        <v>19</v>
      </c>
      <c r="F5901" s="33" t="n">
        <f aca="false">IF(OR(D5901&gt;5,E5901&lt;8,E5901&gt;=18,COUNTIF($K$2:$K$10,INT(A5901))&gt;0),1,0)</f>
        <v>1</v>
      </c>
      <c r="G5901" s="34" t="n">
        <f aca="false">B5901/1</f>
        <v>56.931</v>
      </c>
      <c r="H5901" s="34" t="n">
        <f aca="false">IF(F5901=1,G5901,"")</f>
        <v>56.931</v>
      </c>
    </row>
    <row r="5902" customFormat="false" ht="15" hidden="false" customHeight="false" outlineLevel="0" collapsed="false">
      <c r="A5902" s="31" t="n">
        <v>42981.8333333333</v>
      </c>
      <c r="B5902" s="32" t="n">
        <v>51.043</v>
      </c>
      <c r="D5902" s="33" t="n">
        <f aca="false">WEEKDAY(A5902,2)</f>
        <v>7</v>
      </c>
      <c r="E5902" s="33" t="n">
        <f aca="false">HOUR(A5902)+MINUTE(A5902)/60</f>
        <v>20</v>
      </c>
      <c r="F5902" s="33" t="n">
        <f aca="false">IF(OR(D5902&gt;5,E5902&lt;8,E5902&gt;=18,COUNTIF($K$2:$K$10,INT(A5902))&gt;0),1,0)</f>
        <v>1</v>
      </c>
      <c r="G5902" s="34" t="n">
        <f aca="false">B5902/1</f>
        <v>51.043</v>
      </c>
      <c r="H5902" s="34" t="n">
        <f aca="false">IF(F5902=1,G5902,"")</f>
        <v>51.043</v>
      </c>
    </row>
    <row r="5903" customFormat="false" ht="15" hidden="false" customHeight="false" outlineLevel="0" collapsed="false">
      <c r="A5903" s="31" t="n">
        <v>42981.875</v>
      </c>
      <c r="B5903" s="32" t="n">
        <v>65.098</v>
      </c>
      <c r="D5903" s="33" t="n">
        <f aca="false">WEEKDAY(A5903,2)</f>
        <v>7</v>
      </c>
      <c r="E5903" s="33" t="n">
        <f aca="false">HOUR(A5903)+MINUTE(A5903)/60</f>
        <v>21</v>
      </c>
      <c r="F5903" s="33" t="n">
        <f aca="false">IF(OR(D5903&gt;5,E5903&lt;8,E5903&gt;=18,COUNTIF($K$2:$K$10,INT(A5903))&gt;0),1,0)</f>
        <v>1</v>
      </c>
      <c r="G5903" s="34" t="n">
        <f aca="false">B5903/1</f>
        <v>65.098</v>
      </c>
      <c r="H5903" s="34" t="n">
        <f aca="false">IF(F5903=1,G5903,"")</f>
        <v>65.098</v>
      </c>
    </row>
    <row r="5904" customFormat="false" ht="15" hidden="false" customHeight="false" outlineLevel="0" collapsed="false">
      <c r="A5904" s="31" t="n">
        <v>42981.9166666667</v>
      </c>
      <c r="B5904" s="32" t="n">
        <v>64.94</v>
      </c>
      <c r="D5904" s="33" t="n">
        <f aca="false">WEEKDAY(A5904,2)</f>
        <v>7</v>
      </c>
      <c r="E5904" s="33" t="n">
        <f aca="false">HOUR(A5904)+MINUTE(A5904)/60</f>
        <v>22</v>
      </c>
      <c r="F5904" s="33" t="n">
        <f aca="false">IF(OR(D5904&gt;5,E5904&lt;8,E5904&gt;=18,COUNTIF($K$2:$K$10,INT(A5904))&gt;0),1,0)</f>
        <v>1</v>
      </c>
      <c r="G5904" s="34" t="n">
        <f aca="false">B5904/1</f>
        <v>64.94</v>
      </c>
      <c r="H5904" s="34" t="n">
        <f aca="false">IF(F5904=1,G5904,"")</f>
        <v>64.94</v>
      </c>
    </row>
    <row r="5905" customFormat="false" ht="15" hidden="false" customHeight="false" outlineLevel="0" collapsed="false">
      <c r="A5905" s="31" t="n">
        <v>42981.9583333333</v>
      </c>
      <c r="B5905" s="32" t="n">
        <v>62.471</v>
      </c>
      <c r="D5905" s="33" t="n">
        <f aca="false">WEEKDAY(A5905,2)</f>
        <v>7</v>
      </c>
      <c r="E5905" s="33" t="n">
        <f aca="false">HOUR(A5905)+MINUTE(A5905)/60</f>
        <v>23</v>
      </c>
      <c r="F5905" s="33" t="n">
        <f aca="false">IF(OR(D5905&gt;5,E5905&lt;8,E5905&gt;=18,COUNTIF($K$2:$K$10,INT(A5905))&gt;0),1,0)</f>
        <v>1</v>
      </c>
      <c r="G5905" s="34" t="n">
        <f aca="false">B5905/1</f>
        <v>62.471</v>
      </c>
      <c r="H5905" s="34" t="n">
        <f aca="false">IF(F5905=1,G5905,"")</f>
        <v>62.471</v>
      </c>
    </row>
    <row r="5906" customFormat="false" ht="15" hidden="false" customHeight="false" outlineLevel="0" collapsed="false">
      <c r="A5906" s="31" t="n">
        <v>42982</v>
      </c>
      <c r="B5906" s="32" t="n">
        <v>70.661</v>
      </c>
      <c r="D5906" s="33" t="n">
        <f aca="false">WEEKDAY(A5906,2)</f>
        <v>1</v>
      </c>
      <c r="E5906" s="33" t="n">
        <f aca="false">HOUR(A5906)+MINUTE(A5906)/60</f>
        <v>0</v>
      </c>
      <c r="F5906" s="33" t="n">
        <f aca="false">IF(OR(D5906&gt;5,E5906&lt;8,E5906&gt;=18,COUNTIF($K$2:$K$10,INT(A5906))&gt;0),1,0)</f>
        <v>1</v>
      </c>
      <c r="G5906" s="34" t="n">
        <f aca="false">B5906/1</f>
        <v>70.661</v>
      </c>
      <c r="H5906" s="34" t="n">
        <f aca="false">IF(F5906=1,G5906,"")</f>
        <v>70.661</v>
      </c>
    </row>
    <row r="5907" customFormat="false" ht="15" hidden="false" customHeight="false" outlineLevel="0" collapsed="false">
      <c r="A5907" s="31" t="n">
        <v>42982.0416666667</v>
      </c>
      <c r="B5907" s="32" t="n">
        <v>72.3</v>
      </c>
      <c r="D5907" s="33" t="n">
        <f aca="false">WEEKDAY(A5907,2)</f>
        <v>1</v>
      </c>
      <c r="E5907" s="33" t="n">
        <f aca="false">HOUR(A5907)+MINUTE(A5907)/60</f>
        <v>1</v>
      </c>
      <c r="F5907" s="33" t="n">
        <f aca="false">IF(OR(D5907&gt;5,E5907&lt;8,E5907&gt;=18,COUNTIF($K$2:$K$10,INT(A5907))&gt;0),1,0)</f>
        <v>1</v>
      </c>
      <c r="G5907" s="34" t="n">
        <f aca="false">B5907/1</f>
        <v>72.3</v>
      </c>
      <c r="H5907" s="34" t="n">
        <f aca="false">IF(F5907=1,G5907,"")</f>
        <v>72.3</v>
      </c>
    </row>
    <row r="5908" customFormat="false" ht="15" hidden="false" customHeight="false" outlineLevel="0" collapsed="false">
      <c r="A5908" s="31" t="n">
        <v>42982.0833333333</v>
      </c>
      <c r="B5908" s="32" t="n">
        <v>72.507</v>
      </c>
      <c r="D5908" s="33" t="n">
        <f aca="false">WEEKDAY(A5908,2)</f>
        <v>1</v>
      </c>
      <c r="E5908" s="33" t="n">
        <f aca="false">HOUR(A5908)+MINUTE(A5908)/60</f>
        <v>2</v>
      </c>
      <c r="F5908" s="33" t="n">
        <f aca="false">IF(OR(D5908&gt;5,E5908&lt;8,E5908&gt;=18,COUNTIF($K$2:$K$10,INT(A5908))&gt;0),1,0)</f>
        <v>1</v>
      </c>
      <c r="G5908" s="34" t="n">
        <f aca="false">B5908/1</f>
        <v>72.507</v>
      </c>
      <c r="H5908" s="34" t="n">
        <f aca="false">IF(F5908=1,G5908,"")</f>
        <v>72.507</v>
      </c>
    </row>
    <row r="5909" customFormat="false" ht="15" hidden="false" customHeight="false" outlineLevel="0" collapsed="false">
      <c r="A5909" s="31" t="n">
        <v>42982.125</v>
      </c>
      <c r="B5909" s="32" t="n">
        <v>72.017</v>
      </c>
      <c r="D5909" s="33" t="n">
        <f aca="false">WEEKDAY(A5909,2)</f>
        <v>1</v>
      </c>
      <c r="E5909" s="33" t="n">
        <f aca="false">HOUR(A5909)+MINUTE(A5909)/60</f>
        <v>3</v>
      </c>
      <c r="F5909" s="33" t="n">
        <f aca="false">IF(OR(D5909&gt;5,E5909&lt;8,E5909&gt;=18,COUNTIF($K$2:$K$10,INT(A5909))&gt;0),1,0)</f>
        <v>1</v>
      </c>
      <c r="G5909" s="34" t="n">
        <f aca="false">B5909/1</f>
        <v>72.017</v>
      </c>
      <c r="H5909" s="34" t="n">
        <f aca="false">IF(F5909=1,G5909,"")</f>
        <v>72.017</v>
      </c>
    </row>
    <row r="5910" customFormat="false" ht="15" hidden="false" customHeight="false" outlineLevel="0" collapsed="false">
      <c r="A5910" s="31" t="n">
        <v>42982.1666666667</v>
      </c>
      <c r="B5910" s="32" t="n">
        <v>74.289</v>
      </c>
      <c r="D5910" s="33" t="n">
        <f aca="false">WEEKDAY(A5910,2)</f>
        <v>1</v>
      </c>
      <c r="E5910" s="33" t="n">
        <f aca="false">HOUR(A5910)+MINUTE(A5910)/60</f>
        <v>4</v>
      </c>
      <c r="F5910" s="33" t="n">
        <f aca="false">IF(OR(D5910&gt;5,E5910&lt;8,E5910&gt;=18,COUNTIF($K$2:$K$10,INT(A5910))&gt;0),1,0)</f>
        <v>1</v>
      </c>
      <c r="G5910" s="34" t="n">
        <f aca="false">B5910/1</f>
        <v>74.289</v>
      </c>
      <c r="H5910" s="34" t="n">
        <f aca="false">IF(F5910=1,G5910,"")</f>
        <v>74.289</v>
      </c>
    </row>
    <row r="5911" customFormat="false" ht="15" hidden="false" customHeight="false" outlineLevel="0" collapsed="false">
      <c r="A5911" s="31" t="n">
        <v>42982.2083333333</v>
      </c>
      <c r="B5911" s="32" t="n">
        <v>74.081</v>
      </c>
      <c r="D5911" s="33" t="n">
        <f aca="false">WEEKDAY(A5911,2)</f>
        <v>1</v>
      </c>
      <c r="E5911" s="33" t="n">
        <f aca="false">HOUR(A5911)+MINUTE(A5911)/60</f>
        <v>5</v>
      </c>
      <c r="F5911" s="33" t="n">
        <f aca="false">IF(OR(D5911&gt;5,E5911&lt;8,E5911&gt;=18,COUNTIF($K$2:$K$10,INT(A5911))&gt;0),1,0)</f>
        <v>1</v>
      </c>
      <c r="G5911" s="34" t="n">
        <f aca="false">B5911/1</f>
        <v>74.081</v>
      </c>
      <c r="H5911" s="34" t="n">
        <f aca="false">IF(F5911=1,G5911,"")</f>
        <v>74.081</v>
      </c>
    </row>
    <row r="5912" customFormat="false" ht="15" hidden="false" customHeight="false" outlineLevel="0" collapsed="false">
      <c r="A5912" s="31" t="n">
        <v>42982.25</v>
      </c>
      <c r="B5912" s="32" t="n">
        <v>73.461</v>
      </c>
      <c r="D5912" s="33" t="n">
        <f aca="false">WEEKDAY(A5912,2)</f>
        <v>1</v>
      </c>
      <c r="E5912" s="33" t="n">
        <f aca="false">HOUR(A5912)+MINUTE(A5912)/60</f>
        <v>6</v>
      </c>
      <c r="F5912" s="33" t="n">
        <f aca="false">IF(OR(D5912&gt;5,E5912&lt;8,E5912&gt;=18,COUNTIF($K$2:$K$10,INT(A5912))&gt;0),1,0)</f>
        <v>1</v>
      </c>
      <c r="G5912" s="34" t="n">
        <f aca="false">B5912/1</f>
        <v>73.461</v>
      </c>
      <c r="H5912" s="34" t="n">
        <f aca="false">IF(F5912=1,G5912,"")</f>
        <v>73.461</v>
      </c>
    </row>
    <row r="5913" customFormat="false" ht="15" hidden="false" customHeight="false" outlineLevel="0" collapsed="false">
      <c r="A5913" s="31" t="n">
        <v>42982.2916666667</v>
      </c>
      <c r="B5913" s="32" t="n">
        <v>103.778</v>
      </c>
      <c r="D5913" s="33" t="n">
        <f aca="false">WEEKDAY(A5913,2)</f>
        <v>1</v>
      </c>
      <c r="E5913" s="33" t="n">
        <f aca="false">HOUR(A5913)+MINUTE(A5913)/60</f>
        <v>7</v>
      </c>
      <c r="F5913" s="33" t="n">
        <f aca="false">IF(OR(D5913&gt;5,E5913&lt;8,E5913&gt;=18,COUNTIF($K$2:$K$10,INT(A5913))&gt;0),1,0)</f>
        <v>1</v>
      </c>
      <c r="G5913" s="34" t="n">
        <f aca="false">B5913/1</f>
        <v>103.778</v>
      </c>
      <c r="H5913" s="34" t="n">
        <f aca="false">IF(F5913=1,G5913,"")</f>
        <v>103.778</v>
      </c>
    </row>
    <row r="5914" customFormat="false" ht="15" hidden="false" customHeight="false" outlineLevel="0" collapsed="false">
      <c r="A5914" s="31" t="n">
        <v>42982.3333333333</v>
      </c>
      <c r="B5914" s="32" t="n">
        <v>180.326</v>
      </c>
      <c r="D5914" s="33" t="n">
        <f aca="false">WEEKDAY(A5914,2)</f>
        <v>1</v>
      </c>
      <c r="E5914" s="33" t="n">
        <f aca="false">HOUR(A5914)+MINUTE(A5914)/60</f>
        <v>8</v>
      </c>
      <c r="F5914" s="33" t="n">
        <f aca="false">IF(OR(D5914&gt;5,E5914&lt;8,E5914&gt;=18,COUNTIF($K$2:$K$10,INT(A5914))&gt;0),1,0)</f>
        <v>1</v>
      </c>
      <c r="G5914" s="34" t="n">
        <f aca="false">B5914/1</f>
        <v>180.326</v>
      </c>
      <c r="H5914" s="34" t="n">
        <f aca="false">IF(F5914=1,G5914,"")</f>
        <v>180.326</v>
      </c>
    </row>
    <row r="5915" customFormat="false" ht="15" hidden="false" customHeight="false" outlineLevel="0" collapsed="false">
      <c r="A5915" s="31" t="n">
        <v>42982.375</v>
      </c>
      <c r="B5915" s="32" t="n">
        <v>183.594</v>
      </c>
      <c r="D5915" s="33" t="n">
        <f aca="false">WEEKDAY(A5915,2)</f>
        <v>1</v>
      </c>
      <c r="E5915" s="33" t="n">
        <f aca="false">HOUR(A5915)+MINUTE(A5915)/60</f>
        <v>9</v>
      </c>
      <c r="F5915" s="33" t="n">
        <f aca="false">IF(OR(D5915&gt;5,E5915&lt;8,E5915&gt;=18,COUNTIF($K$2:$K$10,INT(A5915))&gt;0),1,0)</f>
        <v>1</v>
      </c>
      <c r="G5915" s="34" t="n">
        <f aca="false">B5915/1</f>
        <v>183.594</v>
      </c>
      <c r="H5915" s="34" t="n">
        <f aca="false">IF(F5915=1,G5915,"")</f>
        <v>183.594</v>
      </c>
    </row>
    <row r="5916" customFormat="false" ht="15" hidden="false" customHeight="false" outlineLevel="0" collapsed="false">
      <c r="A5916" s="31" t="n">
        <v>42982.4166666667</v>
      </c>
      <c r="B5916" s="32" t="n">
        <v>170.202</v>
      </c>
      <c r="D5916" s="33" t="n">
        <f aca="false">WEEKDAY(A5916,2)</f>
        <v>1</v>
      </c>
      <c r="E5916" s="33" t="n">
        <f aca="false">HOUR(A5916)+MINUTE(A5916)/60</f>
        <v>10</v>
      </c>
      <c r="F5916" s="33" t="n">
        <f aca="false">IF(OR(D5916&gt;5,E5916&lt;8,E5916&gt;=18,COUNTIF($K$2:$K$10,INT(A5916))&gt;0),1,0)</f>
        <v>1</v>
      </c>
      <c r="G5916" s="34" t="n">
        <f aca="false">B5916/1</f>
        <v>170.202</v>
      </c>
      <c r="H5916" s="34" t="n">
        <f aca="false">IF(F5916=1,G5916,"")</f>
        <v>170.202</v>
      </c>
    </row>
    <row r="5917" customFormat="false" ht="15" hidden="false" customHeight="false" outlineLevel="0" collapsed="false">
      <c r="A5917" s="31" t="n">
        <v>42982.4583333333</v>
      </c>
      <c r="B5917" s="32" t="n">
        <v>165.286</v>
      </c>
      <c r="D5917" s="33" t="n">
        <f aca="false">WEEKDAY(A5917,2)</f>
        <v>1</v>
      </c>
      <c r="E5917" s="33" t="n">
        <f aca="false">HOUR(A5917)+MINUTE(A5917)/60</f>
        <v>11</v>
      </c>
      <c r="F5917" s="33" t="n">
        <f aca="false">IF(OR(D5917&gt;5,E5917&lt;8,E5917&gt;=18,COUNTIF($K$2:$K$10,INT(A5917))&gt;0),1,0)</f>
        <v>1</v>
      </c>
      <c r="G5917" s="34" t="n">
        <f aca="false">B5917/1</f>
        <v>165.286</v>
      </c>
      <c r="H5917" s="34" t="n">
        <f aca="false">IF(F5917=1,G5917,"")</f>
        <v>165.286</v>
      </c>
    </row>
    <row r="5918" customFormat="false" ht="15" hidden="false" customHeight="false" outlineLevel="0" collapsed="false">
      <c r="A5918" s="31" t="n">
        <v>42982.5</v>
      </c>
      <c r="B5918" s="32" t="n">
        <v>163.948</v>
      </c>
      <c r="D5918" s="33" t="n">
        <f aca="false">WEEKDAY(A5918,2)</f>
        <v>1</v>
      </c>
      <c r="E5918" s="33" t="n">
        <f aca="false">HOUR(A5918)+MINUTE(A5918)/60</f>
        <v>12</v>
      </c>
      <c r="F5918" s="33" t="n">
        <f aca="false">IF(OR(D5918&gt;5,E5918&lt;8,E5918&gt;=18,COUNTIF($K$2:$K$10,INT(A5918))&gt;0),1,0)</f>
        <v>1</v>
      </c>
      <c r="G5918" s="34" t="n">
        <f aca="false">B5918/1</f>
        <v>163.948</v>
      </c>
      <c r="H5918" s="34" t="n">
        <f aca="false">IF(F5918=1,G5918,"")</f>
        <v>163.948</v>
      </c>
    </row>
    <row r="5919" customFormat="false" ht="15" hidden="false" customHeight="false" outlineLevel="0" collapsed="false">
      <c r="A5919" s="31" t="n">
        <v>42982.5416666667</v>
      </c>
      <c r="B5919" s="32" t="n">
        <v>160.722</v>
      </c>
      <c r="D5919" s="33" t="n">
        <f aca="false">WEEKDAY(A5919,2)</f>
        <v>1</v>
      </c>
      <c r="E5919" s="33" t="n">
        <f aca="false">HOUR(A5919)+MINUTE(A5919)/60</f>
        <v>13</v>
      </c>
      <c r="F5919" s="33" t="n">
        <f aca="false">IF(OR(D5919&gt;5,E5919&lt;8,E5919&gt;=18,COUNTIF($K$2:$K$10,INT(A5919))&gt;0),1,0)</f>
        <v>1</v>
      </c>
      <c r="G5919" s="34" t="n">
        <f aca="false">B5919/1</f>
        <v>160.722</v>
      </c>
      <c r="H5919" s="34" t="n">
        <f aca="false">IF(F5919=1,G5919,"")</f>
        <v>160.722</v>
      </c>
    </row>
    <row r="5920" customFormat="false" ht="15" hidden="false" customHeight="false" outlineLevel="0" collapsed="false">
      <c r="A5920" s="31" t="n">
        <v>42982.5833333333</v>
      </c>
      <c r="B5920" s="32" t="n">
        <v>161.155</v>
      </c>
      <c r="D5920" s="33" t="n">
        <f aca="false">WEEKDAY(A5920,2)</f>
        <v>1</v>
      </c>
      <c r="E5920" s="33" t="n">
        <f aca="false">HOUR(A5920)+MINUTE(A5920)/60</f>
        <v>14</v>
      </c>
      <c r="F5920" s="33" t="n">
        <f aca="false">IF(OR(D5920&gt;5,E5920&lt;8,E5920&gt;=18,COUNTIF($K$2:$K$10,INT(A5920))&gt;0),1,0)</f>
        <v>1</v>
      </c>
      <c r="G5920" s="34" t="n">
        <f aca="false">B5920/1</f>
        <v>161.155</v>
      </c>
      <c r="H5920" s="34" t="n">
        <f aca="false">IF(F5920=1,G5920,"")</f>
        <v>161.155</v>
      </c>
    </row>
    <row r="5921" customFormat="false" ht="15" hidden="false" customHeight="false" outlineLevel="0" collapsed="false">
      <c r="A5921" s="31" t="n">
        <v>42982.625</v>
      </c>
      <c r="B5921" s="32" t="n">
        <v>161</v>
      </c>
      <c r="D5921" s="33" t="n">
        <f aca="false">WEEKDAY(A5921,2)</f>
        <v>1</v>
      </c>
      <c r="E5921" s="33" t="n">
        <f aca="false">HOUR(A5921)+MINUTE(A5921)/60</f>
        <v>15</v>
      </c>
      <c r="F5921" s="33" t="n">
        <f aca="false">IF(OR(D5921&gt;5,E5921&lt;8,E5921&gt;=18,COUNTIF($K$2:$K$10,INT(A5921))&gt;0),1,0)</f>
        <v>1</v>
      </c>
      <c r="G5921" s="34" t="n">
        <f aca="false">B5921/1</f>
        <v>161</v>
      </c>
      <c r="H5921" s="34" t="n">
        <f aca="false">IF(F5921=1,G5921,"")</f>
        <v>161</v>
      </c>
    </row>
    <row r="5922" customFormat="false" ht="15" hidden="false" customHeight="false" outlineLevel="0" collapsed="false">
      <c r="A5922" s="31" t="n">
        <v>42982.6666666667</v>
      </c>
      <c r="B5922" s="32" t="n">
        <v>164.465</v>
      </c>
      <c r="D5922" s="33" t="n">
        <f aca="false">WEEKDAY(A5922,2)</f>
        <v>1</v>
      </c>
      <c r="E5922" s="33" t="n">
        <f aca="false">HOUR(A5922)+MINUTE(A5922)/60</f>
        <v>16</v>
      </c>
      <c r="F5922" s="33" t="n">
        <f aca="false">IF(OR(D5922&gt;5,E5922&lt;8,E5922&gt;=18,COUNTIF($K$2:$K$10,INT(A5922))&gt;0),1,0)</f>
        <v>1</v>
      </c>
      <c r="G5922" s="34" t="n">
        <f aca="false">B5922/1</f>
        <v>164.465</v>
      </c>
      <c r="H5922" s="34" t="n">
        <f aca="false">IF(F5922=1,G5922,"")</f>
        <v>164.465</v>
      </c>
    </row>
    <row r="5923" customFormat="false" ht="15" hidden="false" customHeight="false" outlineLevel="0" collapsed="false">
      <c r="A5923" s="31" t="n">
        <v>42982.7083333333</v>
      </c>
      <c r="B5923" s="32" t="n">
        <v>165.533</v>
      </c>
      <c r="D5923" s="33" t="n">
        <f aca="false">WEEKDAY(A5923,2)</f>
        <v>1</v>
      </c>
      <c r="E5923" s="33" t="n">
        <f aca="false">HOUR(A5923)+MINUTE(A5923)/60</f>
        <v>17</v>
      </c>
      <c r="F5923" s="33" t="n">
        <f aca="false">IF(OR(D5923&gt;5,E5923&lt;8,E5923&gt;=18,COUNTIF($K$2:$K$10,INT(A5923))&gt;0),1,0)</f>
        <v>1</v>
      </c>
      <c r="G5923" s="34" t="n">
        <f aca="false">B5923/1</f>
        <v>165.533</v>
      </c>
      <c r="H5923" s="34" t="n">
        <f aca="false">IF(F5923=1,G5923,"")</f>
        <v>165.533</v>
      </c>
    </row>
    <row r="5924" customFormat="false" ht="15" hidden="false" customHeight="false" outlineLevel="0" collapsed="false">
      <c r="A5924" s="31" t="n">
        <v>42982.75</v>
      </c>
      <c r="B5924" s="32" t="n">
        <v>163.823</v>
      </c>
      <c r="D5924" s="33" t="n">
        <f aca="false">WEEKDAY(A5924,2)</f>
        <v>1</v>
      </c>
      <c r="E5924" s="33" t="n">
        <f aca="false">HOUR(A5924)+MINUTE(A5924)/60</f>
        <v>18</v>
      </c>
      <c r="F5924" s="33" t="n">
        <f aca="false">IF(OR(D5924&gt;5,E5924&lt;8,E5924&gt;=18,COUNTIF($K$2:$K$10,INT(A5924))&gt;0),1,0)</f>
        <v>1</v>
      </c>
      <c r="G5924" s="34" t="n">
        <f aca="false">B5924/1</f>
        <v>163.823</v>
      </c>
      <c r="H5924" s="34" t="n">
        <f aca="false">IF(F5924=1,G5924,"")</f>
        <v>163.823</v>
      </c>
    </row>
    <row r="5925" customFormat="false" ht="15" hidden="false" customHeight="false" outlineLevel="0" collapsed="false">
      <c r="A5925" s="31" t="n">
        <v>42982.7916666667</v>
      </c>
      <c r="B5925" s="32" t="n">
        <v>161.281</v>
      </c>
      <c r="D5925" s="33" t="n">
        <f aca="false">WEEKDAY(A5925,2)</f>
        <v>1</v>
      </c>
      <c r="E5925" s="33" t="n">
        <f aca="false">HOUR(A5925)+MINUTE(A5925)/60</f>
        <v>19</v>
      </c>
      <c r="F5925" s="33" t="n">
        <f aca="false">IF(OR(D5925&gt;5,E5925&lt;8,E5925&gt;=18,COUNTIF($K$2:$K$10,INT(A5925))&gt;0),1,0)</f>
        <v>1</v>
      </c>
      <c r="G5925" s="34" t="n">
        <f aca="false">B5925/1</f>
        <v>161.281</v>
      </c>
      <c r="H5925" s="34" t="n">
        <f aca="false">IF(F5925=1,G5925,"")</f>
        <v>161.281</v>
      </c>
    </row>
    <row r="5926" customFormat="false" ht="15" hidden="false" customHeight="false" outlineLevel="0" collapsed="false">
      <c r="A5926" s="31" t="n">
        <v>42982.8333333333</v>
      </c>
      <c r="B5926" s="32" t="n">
        <v>160.857</v>
      </c>
      <c r="D5926" s="33" t="n">
        <f aca="false">WEEKDAY(A5926,2)</f>
        <v>1</v>
      </c>
      <c r="E5926" s="33" t="n">
        <f aca="false">HOUR(A5926)+MINUTE(A5926)/60</f>
        <v>20</v>
      </c>
      <c r="F5926" s="33" t="n">
        <f aca="false">IF(OR(D5926&gt;5,E5926&lt;8,E5926&gt;=18,COUNTIF($K$2:$K$10,INT(A5926))&gt;0),1,0)</f>
        <v>1</v>
      </c>
      <c r="G5926" s="34" t="n">
        <f aca="false">B5926/1</f>
        <v>160.857</v>
      </c>
      <c r="H5926" s="34" t="n">
        <f aca="false">IF(F5926=1,G5926,"")</f>
        <v>160.857</v>
      </c>
    </row>
    <row r="5927" customFormat="false" ht="15" hidden="false" customHeight="false" outlineLevel="0" collapsed="false">
      <c r="A5927" s="31" t="n">
        <v>42982.875</v>
      </c>
      <c r="B5927" s="32" t="n">
        <v>162.797</v>
      </c>
      <c r="D5927" s="33" t="n">
        <f aca="false">WEEKDAY(A5927,2)</f>
        <v>1</v>
      </c>
      <c r="E5927" s="33" t="n">
        <f aca="false">HOUR(A5927)+MINUTE(A5927)/60</f>
        <v>21</v>
      </c>
      <c r="F5927" s="33" t="n">
        <f aca="false">IF(OR(D5927&gt;5,E5927&lt;8,E5927&gt;=18,COUNTIF($K$2:$K$10,INT(A5927))&gt;0),1,0)</f>
        <v>1</v>
      </c>
      <c r="G5927" s="34" t="n">
        <f aca="false">B5927/1</f>
        <v>162.797</v>
      </c>
      <c r="H5927" s="34" t="n">
        <f aca="false">IF(F5927=1,G5927,"")</f>
        <v>162.797</v>
      </c>
    </row>
    <row r="5928" customFormat="false" ht="15" hidden="false" customHeight="false" outlineLevel="0" collapsed="false">
      <c r="A5928" s="31" t="n">
        <v>42982.9166666667</v>
      </c>
      <c r="B5928" s="32" t="n">
        <v>109.743</v>
      </c>
      <c r="D5928" s="33" t="n">
        <f aca="false">WEEKDAY(A5928,2)</f>
        <v>1</v>
      </c>
      <c r="E5928" s="33" t="n">
        <f aca="false">HOUR(A5928)+MINUTE(A5928)/60</f>
        <v>22</v>
      </c>
      <c r="F5928" s="33" t="n">
        <f aca="false">IF(OR(D5928&gt;5,E5928&lt;8,E5928&gt;=18,COUNTIF($K$2:$K$10,INT(A5928))&gt;0),1,0)</f>
        <v>1</v>
      </c>
      <c r="G5928" s="34" t="n">
        <f aca="false">B5928/1</f>
        <v>109.743</v>
      </c>
      <c r="H5928" s="34" t="n">
        <f aca="false">IF(F5928=1,G5928,"")</f>
        <v>109.743</v>
      </c>
    </row>
    <row r="5929" customFormat="false" ht="15" hidden="false" customHeight="false" outlineLevel="0" collapsed="false">
      <c r="A5929" s="31" t="n">
        <v>42982.9583333333</v>
      </c>
      <c r="B5929" s="32" t="n">
        <v>49.246</v>
      </c>
      <c r="D5929" s="33" t="n">
        <f aca="false">WEEKDAY(A5929,2)</f>
        <v>1</v>
      </c>
      <c r="E5929" s="33" t="n">
        <f aca="false">HOUR(A5929)+MINUTE(A5929)/60</f>
        <v>23</v>
      </c>
      <c r="F5929" s="33" t="n">
        <f aca="false">IF(OR(D5929&gt;5,E5929&lt;8,E5929&gt;=18,COUNTIF($K$2:$K$10,INT(A5929))&gt;0),1,0)</f>
        <v>1</v>
      </c>
      <c r="G5929" s="34" t="n">
        <f aca="false">B5929/1</f>
        <v>49.246</v>
      </c>
      <c r="H5929" s="34" t="n">
        <f aca="false">IF(F5929=1,G5929,"")</f>
        <v>49.246</v>
      </c>
    </row>
    <row r="5930" customFormat="false" ht="15" hidden="false" customHeight="false" outlineLevel="0" collapsed="false">
      <c r="A5930" s="31" t="n">
        <v>42983</v>
      </c>
      <c r="B5930" s="32" t="n">
        <v>48.126</v>
      </c>
      <c r="D5930" s="33" t="n">
        <f aca="false">WEEKDAY(A5930,2)</f>
        <v>2</v>
      </c>
      <c r="E5930" s="33" t="n">
        <f aca="false">HOUR(A5930)+MINUTE(A5930)/60</f>
        <v>0</v>
      </c>
      <c r="F5930" s="33" t="n">
        <f aca="false">IF(OR(D5930&gt;5,E5930&lt;8,E5930&gt;=18,COUNTIF($K$2:$K$10,INT(A5930))&gt;0),1,0)</f>
        <v>1</v>
      </c>
      <c r="G5930" s="34" t="n">
        <f aca="false">B5930/1</f>
        <v>48.126</v>
      </c>
      <c r="H5930" s="34" t="n">
        <f aca="false">IF(F5930=1,G5930,"")</f>
        <v>48.126</v>
      </c>
    </row>
    <row r="5931" customFormat="false" ht="15" hidden="false" customHeight="false" outlineLevel="0" collapsed="false">
      <c r="A5931" s="31" t="n">
        <v>42983.0416666667</v>
      </c>
      <c r="B5931" s="32" t="n">
        <v>49.186</v>
      </c>
      <c r="D5931" s="33" t="n">
        <f aca="false">WEEKDAY(A5931,2)</f>
        <v>2</v>
      </c>
      <c r="E5931" s="33" t="n">
        <f aca="false">HOUR(A5931)+MINUTE(A5931)/60</f>
        <v>1</v>
      </c>
      <c r="F5931" s="33" t="n">
        <f aca="false">IF(OR(D5931&gt;5,E5931&lt;8,E5931&gt;=18,COUNTIF($K$2:$K$10,INT(A5931))&gt;0),1,0)</f>
        <v>1</v>
      </c>
      <c r="G5931" s="34" t="n">
        <f aca="false">B5931/1</f>
        <v>49.186</v>
      </c>
      <c r="H5931" s="34" t="n">
        <f aca="false">IF(F5931=1,G5931,"")</f>
        <v>49.186</v>
      </c>
    </row>
    <row r="5932" customFormat="false" ht="15" hidden="false" customHeight="false" outlineLevel="0" collapsed="false">
      <c r="A5932" s="31" t="n">
        <v>42983.0833333333</v>
      </c>
      <c r="B5932" s="32" t="n">
        <v>48.694</v>
      </c>
      <c r="D5932" s="33" t="n">
        <f aca="false">WEEKDAY(A5932,2)</f>
        <v>2</v>
      </c>
      <c r="E5932" s="33" t="n">
        <f aca="false">HOUR(A5932)+MINUTE(A5932)/60</f>
        <v>2</v>
      </c>
      <c r="F5932" s="33" t="n">
        <f aca="false">IF(OR(D5932&gt;5,E5932&lt;8,E5932&gt;=18,COUNTIF($K$2:$K$10,INT(A5932))&gt;0),1,0)</f>
        <v>1</v>
      </c>
      <c r="G5932" s="34" t="n">
        <f aca="false">B5932/1</f>
        <v>48.694</v>
      </c>
      <c r="H5932" s="34" t="n">
        <f aca="false">IF(F5932=1,G5932,"")</f>
        <v>48.694</v>
      </c>
    </row>
    <row r="5933" customFormat="false" ht="15" hidden="false" customHeight="false" outlineLevel="0" collapsed="false">
      <c r="A5933" s="31" t="n">
        <v>42983.125</v>
      </c>
      <c r="B5933" s="32" t="n">
        <v>48.765</v>
      </c>
      <c r="D5933" s="33" t="n">
        <f aca="false">WEEKDAY(A5933,2)</f>
        <v>2</v>
      </c>
      <c r="E5933" s="33" t="n">
        <f aca="false">HOUR(A5933)+MINUTE(A5933)/60</f>
        <v>3</v>
      </c>
      <c r="F5933" s="33" t="n">
        <f aca="false">IF(OR(D5933&gt;5,E5933&lt;8,E5933&gt;=18,COUNTIF($K$2:$K$10,INT(A5933))&gt;0),1,0)</f>
        <v>1</v>
      </c>
      <c r="G5933" s="34" t="n">
        <f aca="false">B5933/1</f>
        <v>48.765</v>
      </c>
      <c r="H5933" s="34" t="n">
        <f aca="false">IF(F5933=1,G5933,"")</f>
        <v>48.765</v>
      </c>
    </row>
    <row r="5934" customFormat="false" ht="15" hidden="false" customHeight="false" outlineLevel="0" collapsed="false">
      <c r="A5934" s="31" t="n">
        <v>42983.1666666667</v>
      </c>
      <c r="B5934" s="32" t="n">
        <v>48.397</v>
      </c>
      <c r="D5934" s="33" t="n">
        <f aca="false">WEEKDAY(A5934,2)</f>
        <v>2</v>
      </c>
      <c r="E5934" s="33" t="n">
        <f aca="false">HOUR(A5934)+MINUTE(A5934)/60</f>
        <v>4</v>
      </c>
      <c r="F5934" s="33" t="n">
        <f aca="false">IF(OR(D5934&gt;5,E5934&lt;8,E5934&gt;=18,COUNTIF($K$2:$K$10,INT(A5934))&gt;0),1,0)</f>
        <v>1</v>
      </c>
      <c r="G5934" s="34" t="n">
        <f aca="false">B5934/1</f>
        <v>48.397</v>
      </c>
      <c r="H5934" s="34" t="n">
        <f aca="false">IF(F5934=1,G5934,"")</f>
        <v>48.397</v>
      </c>
    </row>
    <row r="5935" customFormat="false" ht="15" hidden="false" customHeight="false" outlineLevel="0" collapsed="false">
      <c r="A5935" s="31" t="n">
        <v>42983.2083333333</v>
      </c>
      <c r="B5935" s="32" t="n">
        <v>48.069</v>
      </c>
      <c r="D5935" s="33" t="n">
        <f aca="false">WEEKDAY(A5935,2)</f>
        <v>2</v>
      </c>
      <c r="E5935" s="33" t="n">
        <f aca="false">HOUR(A5935)+MINUTE(A5935)/60</f>
        <v>5</v>
      </c>
      <c r="F5935" s="33" t="n">
        <f aca="false">IF(OR(D5935&gt;5,E5935&lt;8,E5935&gt;=18,COUNTIF($K$2:$K$10,INT(A5935))&gt;0),1,0)</f>
        <v>1</v>
      </c>
      <c r="G5935" s="34" t="n">
        <f aca="false">B5935/1</f>
        <v>48.069</v>
      </c>
      <c r="H5935" s="34" t="n">
        <f aca="false">IF(F5935=1,G5935,"")</f>
        <v>48.069</v>
      </c>
    </row>
    <row r="5936" customFormat="false" ht="15" hidden="false" customHeight="false" outlineLevel="0" collapsed="false">
      <c r="A5936" s="31" t="n">
        <v>42983.25</v>
      </c>
      <c r="B5936" s="32" t="n">
        <v>49.476</v>
      </c>
      <c r="D5936" s="33" t="n">
        <f aca="false">WEEKDAY(A5936,2)</f>
        <v>2</v>
      </c>
      <c r="E5936" s="33" t="n">
        <f aca="false">HOUR(A5936)+MINUTE(A5936)/60</f>
        <v>6</v>
      </c>
      <c r="F5936" s="33" t="n">
        <f aca="false">IF(OR(D5936&gt;5,E5936&lt;8,E5936&gt;=18,COUNTIF($K$2:$K$10,INT(A5936))&gt;0),1,0)</f>
        <v>1</v>
      </c>
      <c r="G5936" s="34" t="n">
        <f aca="false">B5936/1</f>
        <v>49.476</v>
      </c>
      <c r="H5936" s="34" t="n">
        <f aca="false">IF(F5936=1,G5936,"")</f>
        <v>49.476</v>
      </c>
    </row>
    <row r="5937" customFormat="false" ht="15" hidden="false" customHeight="false" outlineLevel="0" collapsed="false">
      <c r="A5937" s="31" t="n">
        <v>42983.2916666667</v>
      </c>
      <c r="B5937" s="32" t="n">
        <v>56.214</v>
      </c>
      <c r="D5937" s="33" t="n">
        <f aca="false">WEEKDAY(A5937,2)</f>
        <v>2</v>
      </c>
      <c r="E5937" s="33" t="n">
        <f aca="false">HOUR(A5937)+MINUTE(A5937)/60</f>
        <v>7</v>
      </c>
      <c r="F5937" s="33" t="n">
        <f aca="false">IF(OR(D5937&gt;5,E5937&lt;8,E5937&gt;=18,COUNTIF($K$2:$K$10,INT(A5937))&gt;0),1,0)</f>
        <v>1</v>
      </c>
      <c r="G5937" s="34" t="n">
        <f aca="false">B5937/1</f>
        <v>56.214</v>
      </c>
      <c r="H5937" s="34" t="n">
        <f aca="false">IF(F5937=1,G5937,"")</f>
        <v>56.214</v>
      </c>
    </row>
    <row r="5938" customFormat="false" ht="15" hidden="false" customHeight="false" outlineLevel="0" collapsed="false">
      <c r="A5938" s="31" t="n">
        <v>42983.3333333333</v>
      </c>
      <c r="B5938" s="32" t="n">
        <v>166.877</v>
      </c>
      <c r="D5938" s="33" t="n">
        <f aca="false">WEEKDAY(A5938,2)</f>
        <v>2</v>
      </c>
      <c r="E5938" s="33" t="n">
        <f aca="false">HOUR(A5938)+MINUTE(A5938)/60</f>
        <v>8</v>
      </c>
      <c r="F5938" s="33" t="n">
        <f aca="false">IF(OR(D5938&gt;5,E5938&lt;8,E5938&gt;=18,COUNTIF($K$2:$K$10,INT(A5938))&gt;0),1,0)</f>
        <v>0</v>
      </c>
      <c r="G5938" s="34" t="n">
        <f aca="false">B5938/1</f>
        <v>166.877</v>
      </c>
      <c r="H5938" s="34" t="str">
        <f aca="false">IF(F5938=1,G5938,"")</f>
        <v/>
      </c>
    </row>
    <row r="5939" customFormat="false" ht="15" hidden="false" customHeight="false" outlineLevel="0" collapsed="false">
      <c r="A5939" s="31" t="n">
        <v>42983.375</v>
      </c>
      <c r="B5939" s="32" t="n">
        <v>213.919</v>
      </c>
      <c r="D5939" s="33" t="n">
        <f aca="false">WEEKDAY(A5939,2)</f>
        <v>2</v>
      </c>
      <c r="E5939" s="33" t="n">
        <f aca="false">HOUR(A5939)+MINUTE(A5939)/60</f>
        <v>9</v>
      </c>
      <c r="F5939" s="33" t="n">
        <f aca="false">IF(OR(D5939&gt;5,E5939&lt;8,E5939&gt;=18,COUNTIF($K$2:$K$10,INT(A5939))&gt;0),1,0)</f>
        <v>0</v>
      </c>
      <c r="G5939" s="34" t="n">
        <f aca="false">B5939/1</f>
        <v>213.919</v>
      </c>
      <c r="H5939" s="34" t="str">
        <f aca="false">IF(F5939=1,G5939,"")</f>
        <v/>
      </c>
    </row>
    <row r="5940" customFormat="false" ht="15" hidden="false" customHeight="false" outlineLevel="0" collapsed="false">
      <c r="A5940" s="31" t="n">
        <v>42983.4166666667</v>
      </c>
      <c r="B5940" s="32" t="n">
        <v>242.138</v>
      </c>
      <c r="D5940" s="33" t="n">
        <f aca="false">WEEKDAY(A5940,2)</f>
        <v>2</v>
      </c>
      <c r="E5940" s="33" t="n">
        <f aca="false">HOUR(A5940)+MINUTE(A5940)/60</f>
        <v>10</v>
      </c>
      <c r="F5940" s="33" t="n">
        <f aca="false">IF(OR(D5940&gt;5,E5940&lt;8,E5940&gt;=18,COUNTIF($K$2:$K$10,INT(A5940))&gt;0),1,0)</f>
        <v>0</v>
      </c>
      <c r="G5940" s="34" t="n">
        <f aca="false">B5940/1</f>
        <v>242.138</v>
      </c>
      <c r="H5940" s="34" t="str">
        <f aca="false">IF(F5940=1,G5940,"")</f>
        <v/>
      </c>
    </row>
    <row r="5941" customFormat="false" ht="15" hidden="false" customHeight="false" outlineLevel="0" collapsed="false">
      <c r="A5941" s="31" t="n">
        <v>42983.4583333333</v>
      </c>
      <c r="B5941" s="32" t="n">
        <v>254.877</v>
      </c>
      <c r="D5941" s="33" t="n">
        <f aca="false">WEEKDAY(A5941,2)</f>
        <v>2</v>
      </c>
      <c r="E5941" s="33" t="n">
        <f aca="false">HOUR(A5941)+MINUTE(A5941)/60</f>
        <v>11</v>
      </c>
      <c r="F5941" s="33" t="n">
        <f aca="false">IF(OR(D5941&gt;5,E5941&lt;8,E5941&gt;=18,COUNTIF($K$2:$K$10,INT(A5941))&gt;0),1,0)</f>
        <v>0</v>
      </c>
      <c r="G5941" s="34" t="n">
        <f aca="false">B5941/1</f>
        <v>254.877</v>
      </c>
      <c r="H5941" s="34" t="str">
        <f aca="false">IF(F5941=1,G5941,"")</f>
        <v/>
      </c>
    </row>
    <row r="5942" customFormat="false" ht="15" hidden="false" customHeight="false" outlineLevel="0" collapsed="false">
      <c r="A5942" s="31" t="n">
        <v>42983.5</v>
      </c>
      <c r="B5942" s="32" t="n">
        <v>268.071</v>
      </c>
      <c r="D5942" s="33" t="n">
        <f aca="false">WEEKDAY(A5942,2)</f>
        <v>2</v>
      </c>
      <c r="E5942" s="33" t="n">
        <f aca="false">HOUR(A5942)+MINUTE(A5942)/60</f>
        <v>12</v>
      </c>
      <c r="F5942" s="33" t="n">
        <f aca="false">IF(OR(D5942&gt;5,E5942&lt;8,E5942&gt;=18,COUNTIF($K$2:$K$10,INT(A5942))&gt;0),1,0)</f>
        <v>0</v>
      </c>
      <c r="G5942" s="34" t="n">
        <f aca="false">B5942/1</f>
        <v>268.071</v>
      </c>
      <c r="H5942" s="34" t="str">
        <f aca="false">IF(F5942=1,G5942,"")</f>
        <v/>
      </c>
    </row>
    <row r="5943" customFormat="false" ht="15" hidden="false" customHeight="false" outlineLevel="0" collapsed="false">
      <c r="A5943" s="31" t="n">
        <v>42983.5416666667</v>
      </c>
      <c r="B5943" s="32" t="n">
        <v>256.772</v>
      </c>
      <c r="D5943" s="33" t="n">
        <f aca="false">WEEKDAY(A5943,2)</f>
        <v>2</v>
      </c>
      <c r="E5943" s="33" t="n">
        <f aca="false">HOUR(A5943)+MINUTE(A5943)/60</f>
        <v>13</v>
      </c>
      <c r="F5943" s="33" t="n">
        <f aca="false">IF(OR(D5943&gt;5,E5943&lt;8,E5943&gt;=18,COUNTIF($K$2:$K$10,INT(A5943))&gt;0),1,0)</f>
        <v>0</v>
      </c>
      <c r="G5943" s="34" t="n">
        <f aca="false">B5943/1</f>
        <v>256.772</v>
      </c>
      <c r="H5943" s="34" t="str">
        <f aca="false">IF(F5943=1,G5943,"")</f>
        <v/>
      </c>
    </row>
    <row r="5944" customFormat="false" ht="15" hidden="false" customHeight="false" outlineLevel="0" collapsed="false">
      <c r="A5944" s="31" t="n">
        <v>42983.5833333333</v>
      </c>
      <c r="B5944" s="32" t="n">
        <v>269.253</v>
      </c>
      <c r="D5944" s="33" t="n">
        <f aca="false">WEEKDAY(A5944,2)</f>
        <v>2</v>
      </c>
      <c r="E5944" s="33" t="n">
        <f aca="false">HOUR(A5944)+MINUTE(A5944)/60</f>
        <v>14</v>
      </c>
      <c r="F5944" s="33" t="n">
        <f aca="false">IF(OR(D5944&gt;5,E5944&lt;8,E5944&gt;=18,COUNTIF($K$2:$K$10,INT(A5944))&gt;0),1,0)</f>
        <v>0</v>
      </c>
      <c r="G5944" s="34" t="n">
        <f aca="false">B5944/1</f>
        <v>269.253</v>
      </c>
      <c r="H5944" s="34" t="str">
        <f aca="false">IF(F5944=1,G5944,"")</f>
        <v/>
      </c>
    </row>
    <row r="5945" customFormat="false" ht="15" hidden="false" customHeight="false" outlineLevel="0" collapsed="false">
      <c r="A5945" s="31" t="n">
        <v>42983.625</v>
      </c>
      <c r="B5945" s="32" t="n">
        <v>265.829</v>
      </c>
      <c r="D5945" s="33" t="n">
        <f aca="false">WEEKDAY(A5945,2)</f>
        <v>2</v>
      </c>
      <c r="E5945" s="33" t="n">
        <f aca="false">HOUR(A5945)+MINUTE(A5945)/60</f>
        <v>15</v>
      </c>
      <c r="F5945" s="33" t="n">
        <f aca="false">IF(OR(D5945&gt;5,E5945&lt;8,E5945&gt;=18,COUNTIF($K$2:$K$10,INT(A5945))&gt;0),1,0)</f>
        <v>0</v>
      </c>
      <c r="G5945" s="34" t="n">
        <f aca="false">B5945/1</f>
        <v>265.829</v>
      </c>
      <c r="H5945" s="34" t="str">
        <f aca="false">IF(F5945=1,G5945,"")</f>
        <v/>
      </c>
    </row>
    <row r="5946" customFormat="false" ht="15" hidden="false" customHeight="false" outlineLevel="0" collapsed="false">
      <c r="A5946" s="31" t="n">
        <v>42983.6666666667</v>
      </c>
      <c r="B5946" s="32" t="n">
        <v>257.488</v>
      </c>
      <c r="D5946" s="33" t="n">
        <f aca="false">WEEKDAY(A5946,2)</f>
        <v>2</v>
      </c>
      <c r="E5946" s="33" t="n">
        <f aca="false">HOUR(A5946)+MINUTE(A5946)/60</f>
        <v>16</v>
      </c>
      <c r="F5946" s="33" t="n">
        <f aca="false">IF(OR(D5946&gt;5,E5946&lt;8,E5946&gt;=18,COUNTIF($K$2:$K$10,INT(A5946))&gt;0),1,0)</f>
        <v>0</v>
      </c>
      <c r="G5946" s="34" t="n">
        <f aca="false">B5946/1</f>
        <v>257.488</v>
      </c>
      <c r="H5946" s="34" t="str">
        <f aca="false">IF(F5946=1,G5946,"")</f>
        <v/>
      </c>
    </row>
    <row r="5947" customFormat="false" ht="15" hidden="false" customHeight="false" outlineLevel="0" collapsed="false">
      <c r="A5947" s="31" t="n">
        <v>42983.7083333333</v>
      </c>
      <c r="B5947" s="32" t="n">
        <v>240.701</v>
      </c>
      <c r="D5947" s="33" t="n">
        <f aca="false">WEEKDAY(A5947,2)</f>
        <v>2</v>
      </c>
      <c r="E5947" s="33" t="n">
        <f aca="false">HOUR(A5947)+MINUTE(A5947)/60</f>
        <v>17</v>
      </c>
      <c r="F5947" s="33" t="n">
        <f aca="false">IF(OR(D5947&gt;5,E5947&lt;8,E5947&gt;=18,COUNTIF($K$2:$K$10,INT(A5947))&gt;0),1,0)</f>
        <v>0</v>
      </c>
      <c r="G5947" s="34" t="n">
        <f aca="false">B5947/1</f>
        <v>240.701</v>
      </c>
      <c r="H5947" s="34" t="str">
        <f aca="false">IF(F5947=1,G5947,"")</f>
        <v/>
      </c>
    </row>
    <row r="5948" customFormat="false" ht="15" hidden="false" customHeight="false" outlineLevel="0" collapsed="false">
      <c r="A5948" s="31" t="n">
        <v>42983.75</v>
      </c>
      <c r="B5948" s="32" t="n">
        <v>221.327</v>
      </c>
      <c r="D5948" s="33" t="n">
        <f aca="false">WEEKDAY(A5948,2)</f>
        <v>2</v>
      </c>
      <c r="E5948" s="33" t="n">
        <f aca="false">HOUR(A5948)+MINUTE(A5948)/60</f>
        <v>18</v>
      </c>
      <c r="F5948" s="33" t="n">
        <f aca="false">IF(OR(D5948&gt;5,E5948&lt;8,E5948&gt;=18,COUNTIF($K$2:$K$10,INT(A5948))&gt;0),1,0)</f>
        <v>1</v>
      </c>
      <c r="G5948" s="34" t="n">
        <f aca="false">B5948/1</f>
        <v>221.327</v>
      </c>
      <c r="H5948" s="34" t="n">
        <f aca="false">IF(F5948=1,G5948,"")</f>
        <v>221.327</v>
      </c>
    </row>
    <row r="5949" customFormat="false" ht="15" hidden="false" customHeight="false" outlineLevel="0" collapsed="false">
      <c r="A5949" s="31" t="n">
        <v>42983.7916666667</v>
      </c>
      <c r="B5949" s="32" t="n">
        <v>205.856</v>
      </c>
      <c r="D5949" s="33" t="n">
        <f aca="false">WEEKDAY(A5949,2)</f>
        <v>2</v>
      </c>
      <c r="E5949" s="33" t="n">
        <f aca="false">HOUR(A5949)+MINUTE(A5949)/60</f>
        <v>19</v>
      </c>
      <c r="F5949" s="33" t="n">
        <f aca="false">IF(OR(D5949&gt;5,E5949&lt;8,E5949&gt;=18,COUNTIF($K$2:$K$10,INT(A5949))&gt;0),1,0)</f>
        <v>1</v>
      </c>
      <c r="G5949" s="34" t="n">
        <f aca="false">B5949/1</f>
        <v>205.856</v>
      </c>
      <c r="H5949" s="34" t="n">
        <f aca="false">IF(F5949=1,G5949,"")</f>
        <v>205.856</v>
      </c>
    </row>
    <row r="5950" customFormat="false" ht="15" hidden="false" customHeight="false" outlineLevel="0" collapsed="false">
      <c r="A5950" s="31" t="n">
        <v>42983.8333333333</v>
      </c>
      <c r="B5950" s="32" t="n">
        <v>194.296</v>
      </c>
      <c r="D5950" s="33" t="n">
        <f aca="false">WEEKDAY(A5950,2)</f>
        <v>2</v>
      </c>
      <c r="E5950" s="33" t="n">
        <f aca="false">HOUR(A5950)+MINUTE(A5950)/60</f>
        <v>20</v>
      </c>
      <c r="F5950" s="33" t="n">
        <f aca="false">IF(OR(D5950&gt;5,E5950&lt;8,E5950&gt;=18,COUNTIF($K$2:$K$10,INT(A5950))&gt;0),1,0)</f>
        <v>1</v>
      </c>
      <c r="G5950" s="34" t="n">
        <f aca="false">B5950/1</f>
        <v>194.296</v>
      </c>
      <c r="H5950" s="34" t="n">
        <f aca="false">IF(F5950=1,G5950,"")</f>
        <v>194.296</v>
      </c>
    </row>
    <row r="5951" customFormat="false" ht="15" hidden="false" customHeight="false" outlineLevel="0" collapsed="false">
      <c r="A5951" s="31" t="n">
        <v>42983.875</v>
      </c>
      <c r="B5951" s="32" t="n">
        <v>189.201</v>
      </c>
      <c r="D5951" s="33" t="n">
        <f aca="false">WEEKDAY(A5951,2)</f>
        <v>2</v>
      </c>
      <c r="E5951" s="33" t="n">
        <f aca="false">HOUR(A5951)+MINUTE(A5951)/60</f>
        <v>21</v>
      </c>
      <c r="F5951" s="33" t="n">
        <f aca="false">IF(OR(D5951&gt;5,E5951&lt;8,E5951&gt;=18,COUNTIF($K$2:$K$10,INT(A5951))&gt;0),1,0)</f>
        <v>1</v>
      </c>
      <c r="G5951" s="34" t="n">
        <f aca="false">B5951/1</f>
        <v>189.201</v>
      </c>
      <c r="H5951" s="34" t="n">
        <f aca="false">IF(F5951=1,G5951,"")</f>
        <v>189.201</v>
      </c>
    </row>
    <row r="5952" customFormat="false" ht="15" hidden="false" customHeight="false" outlineLevel="0" collapsed="false">
      <c r="A5952" s="31" t="n">
        <v>42983.9166666667</v>
      </c>
      <c r="B5952" s="32" t="n">
        <v>130.831</v>
      </c>
      <c r="D5952" s="33" t="n">
        <f aca="false">WEEKDAY(A5952,2)</f>
        <v>2</v>
      </c>
      <c r="E5952" s="33" t="n">
        <f aca="false">HOUR(A5952)+MINUTE(A5952)/60</f>
        <v>22</v>
      </c>
      <c r="F5952" s="33" t="n">
        <f aca="false">IF(OR(D5952&gt;5,E5952&lt;8,E5952&gt;=18,COUNTIF($K$2:$K$10,INT(A5952))&gt;0),1,0)</f>
        <v>1</v>
      </c>
      <c r="G5952" s="34" t="n">
        <f aca="false">B5952/1</f>
        <v>130.831</v>
      </c>
      <c r="H5952" s="34" t="n">
        <f aca="false">IF(F5952=1,G5952,"")</f>
        <v>130.831</v>
      </c>
    </row>
    <row r="5953" customFormat="false" ht="15" hidden="false" customHeight="false" outlineLevel="0" collapsed="false">
      <c r="A5953" s="31" t="n">
        <v>42983.9583333333</v>
      </c>
      <c r="B5953" s="32" t="n">
        <v>62.974</v>
      </c>
      <c r="D5953" s="33" t="n">
        <f aca="false">WEEKDAY(A5953,2)</f>
        <v>2</v>
      </c>
      <c r="E5953" s="33" t="n">
        <f aca="false">HOUR(A5953)+MINUTE(A5953)/60</f>
        <v>23</v>
      </c>
      <c r="F5953" s="33" t="n">
        <f aca="false">IF(OR(D5953&gt;5,E5953&lt;8,E5953&gt;=18,COUNTIF($K$2:$K$10,INT(A5953))&gt;0),1,0)</f>
        <v>1</v>
      </c>
      <c r="G5953" s="34" t="n">
        <f aca="false">B5953/1</f>
        <v>62.974</v>
      </c>
      <c r="H5953" s="34" t="n">
        <f aca="false">IF(F5953=1,G5953,"")</f>
        <v>62.974</v>
      </c>
    </row>
    <row r="5954" customFormat="false" ht="15" hidden="false" customHeight="false" outlineLevel="0" collapsed="false">
      <c r="A5954" s="31" t="n">
        <v>42984</v>
      </c>
      <c r="B5954" s="32" t="n">
        <v>54.16</v>
      </c>
      <c r="D5954" s="33" t="n">
        <f aca="false">WEEKDAY(A5954,2)</f>
        <v>3</v>
      </c>
      <c r="E5954" s="33" t="n">
        <f aca="false">HOUR(A5954)+MINUTE(A5954)/60</f>
        <v>0</v>
      </c>
      <c r="F5954" s="33" t="n">
        <f aca="false">IF(OR(D5954&gt;5,E5954&lt;8,E5954&gt;=18,COUNTIF($K$2:$K$10,INT(A5954))&gt;0),1,0)</f>
        <v>1</v>
      </c>
      <c r="G5954" s="34" t="n">
        <f aca="false">B5954/1</f>
        <v>54.16</v>
      </c>
      <c r="H5954" s="34" t="n">
        <f aca="false">IF(F5954=1,G5954,"")</f>
        <v>54.16</v>
      </c>
    </row>
    <row r="5955" customFormat="false" ht="15" hidden="false" customHeight="false" outlineLevel="0" collapsed="false">
      <c r="A5955" s="31" t="n">
        <v>42984.0416666667</v>
      </c>
      <c r="B5955" s="32" t="n">
        <v>50.802</v>
      </c>
      <c r="D5955" s="33" t="n">
        <f aca="false">WEEKDAY(A5955,2)</f>
        <v>3</v>
      </c>
      <c r="E5955" s="33" t="n">
        <f aca="false">HOUR(A5955)+MINUTE(A5955)/60</f>
        <v>1</v>
      </c>
      <c r="F5955" s="33" t="n">
        <f aca="false">IF(OR(D5955&gt;5,E5955&lt;8,E5955&gt;=18,COUNTIF($K$2:$K$10,INT(A5955))&gt;0),1,0)</f>
        <v>1</v>
      </c>
      <c r="G5955" s="34" t="n">
        <f aca="false">B5955/1</f>
        <v>50.802</v>
      </c>
      <c r="H5955" s="34" t="n">
        <f aca="false">IF(F5955=1,G5955,"")</f>
        <v>50.802</v>
      </c>
    </row>
    <row r="5956" customFormat="false" ht="15" hidden="false" customHeight="false" outlineLevel="0" collapsed="false">
      <c r="A5956" s="31" t="n">
        <v>42984.0833333333</v>
      </c>
      <c r="B5956" s="32" t="n">
        <v>48.76</v>
      </c>
      <c r="D5956" s="33" t="n">
        <f aca="false">WEEKDAY(A5956,2)</f>
        <v>3</v>
      </c>
      <c r="E5956" s="33" t="n">
        <f aca="false">HOUR(A5956)+MINUTE(A5956)/60</f>
        <v>2</v>
      </c>
      <c r="F5956" s="33" t="n">
        <f aca="false">IF(OR(D5956&gt;5,E5956&lt;8,E5956&gt;=18,COUNTIF($K$2:$K$10,INT(A5956))&gt;0),1,0)</f>
        <v>1</v>
      </c>
      <c r="G5956" s="34" t="n">
        <f aca="false">B5956/1</f>
        <v>48.76</v>
      </c>
      <c r="H5956" s="34" t="n">
        <f aca="false">IF(F5956=1,G5956,"")</f>
        <v>48.76</v>
      </c>
    </row>
    <row r="5957" customFormat="false" ht="15" hidden="false" customHeight="false" outlineLevel="0" collapsed="false">
      <c r="A5957" s="31" t="n">
        <v>42984.125</v>
      </c>
      <c r="B5957" s="32" t="n">
        <v>50.789</v>
      </c>
      <c r="D5957" s="33" t="n">
        <f aca="false">WEEKDAY(A5957,2)</f>
        <v>3</v>
      </c>
      <c r="E5957" s="33" t="n">
        <f aca="false">HOUR(A5957)+MINUTE(A5957)/60</f>
        <v>3</v>
      </c>
      <c r="F5957" s="33" t="n">
        <f aca="false">IF(OR(D5957&gt;5,E5957&lt;8,E5957&gt;=18,COUNTIF($K$2:$K$10,INT(A5957))&gt;0),1,0)</f>
        <v>1</v>
      </c>
      <c r="G5957" s="34" t="n">
        <f aca="false">B5957/1</f>
        <v>50.789</v>
      </c>
      <c r="H5957" s="34" t="n">
        <f aca="false">IF(F5957=1,G5957,"")</f>
        <v>50.789</v>
      </c>
    </row>
    <row r="5958" customFormat="false" ht="15" hidden="false" customHeight="false" outlineLevel="0" collapsed="false">
      <c r="A5958" s="31" t="n">
        <v>42984.1666666667</v>
      </c>
      <c r="B5958" s="32" t="n">
        <v>49.24</v>
      </c>
      <c r="D5958" s="33" t="n">
        <f aca="false">WEEKDAY(A5958,2)</f>
        <v>3</v>
      </c>
      <c r="E5958" s="33" t="n">
        <f aca="false">HOUR(A5958)+MINUTE(A5958)/60</f>
        <v>4</v>
      </c>
      <c r="F5958" s="33" t="n">
        <f aca="false">IF(OR(D5958&gt;5,E5958&lt;8,E5958&gt;=18,COUNTIF($K$2:$K$10,INT(A5958))&gt;0),1,0)</f>
        <v>1</v>
      </c>
      <c r="G5958" s="34" t="n">
        <f aca="false">B5958/1</f>
        <v>49.24</v>
      </c>
      <c r="H5958" s="34" t="n">
        <f aca="false">IF(F5958=1,G5958,"")</f>
        <v>49.24</v>
      </c>
    </row>
    <row r="5959" customFormat="false" ht="15" hidden="false" customHeight="false" outlineLevel="0" collapsed="false">
      <c r="A5959" s="31" t="n">
        <v>42984.2083333333</v>
      </c>
      <c r="B5959" s="32" t="n">
        <v>50.703</v>
      </c>
      <c r="D5959" s="33" t="n">
        <f aca="false">WEEKDAY(A5959,2)</f>
        <v>3</v>
      </c>
      <c r="E5959" s="33" t="n">
        <f aca="false">HOUR(A5959)+MINUTE(A5959)/60</f>
        <v>5</v>
      </c>
      <c r="F5959" s="33" t="n">
        <f aca="false">IF(OR(D5959&gt;5,E5959&lt;8,E5959&gt;=18,COUNTIF($K$2:$K$10,INT(A5959))&gt;0),1,0)</f>
        <v>1</v>
      </c>
      <c r="G5959" s="34" t="n">
        <f aca="false">B5959/1</f>
        <v>50.703</v>
      </c>
      <c r="H5959" s="34" t="n">
        <f aca="false">IF(F5959=1,G5959,"")</f>
        <v>50.703</v>
      </c>
    </row>
    <row r="5960" customFormat="false" ht="15" hidden="false" customHeight="false" outlineLevel="0" collapsed="false">
      <c r="A5960" s="31" t="n">
        <v>42984.25</v>
      </c>
      <c r="B5960" s="32" t="n">
        <v>51.922</v>
      </c>
      <c r="D5960" s="33" t="n">
        <f aca="false">WEEKDAY(A5960,2)</f>
        <v>3</v>
      </c>
      <c r="E5960" s="33" t="n">
        <f aca="false">HOUR(A5960)+MINUTE(A5960)/60</f>
        <v>6</v>
      </c>
      <c r="F5960" s="33" t="n">
        <f aca="false">IF(OR(D5960&gt;5,E5960&lt;8,E5960&gt;=18,COUNTIF($K$2:$K$10,INT(A5960))&gt;0),1,0)</f>
        <v>1</v>
      </c>
      <c r="G5960" s="34" t="n">
        <f aca="false">B5960/1</f>
        <v>51.922</v>
      </c>
      <c r="H5960" s="34" t="n">
        <f aca="false">IF(F5960=1,G5960,"")</f>
        <v>51.922</v>
      </c>
    </row>
    <row r="5961" customFormat="false" ht="15" hidden="false" customHeight="false" outlineLevel="0" collapsed="false">
      <c r="A5961" s="31" t="n">
        <v>42984.2916666667</v>
      </c>
      <c r="B5961" s="32" t="n">
        <v>54.75</v>
      </c>
      <c r="D5961" s="33" t="n">
        <f aca="false">WEEKDAY(A5961,2)</f>
        <v>3</v>
      </c>
      <c r="E5961" s="33" t="n">
        <f aca="false">HOUR(A5961)+MINUTE(A5961)/60</f>
        <v>7</v>
      </c>
      <c r="F5961" s="33" t="n">
        <f aca="false">IF(OR(D5961&gt;5,E5961&lt;8,E5961&gt;=18,COUNTIF($K$2:$K$10,INT(A5961))&gt;0),1,0)</f>
        <v>1</v>
      </c>
      <c r="G5961" s="34" t="n">
        <f aca="false">B5961/1</f>
        <v>54.75</v>
      </c>
      <c r="H5961" s="34" t="n">
        <f aca="false">IF(F5961=1,G5961,"")</f>
        <v>54.75</v>
      </c>
    </row>
    <row r="5962" customFormat="false" ht="15" hidden="false" customHeight="false" outlineLevel="0" collapsed="false">
      <c r="A5962" s="31" t="n">
        <v>42984.3333333333</v>
      </c>
      <c r="B5962" s="32" t="n">
        <v>164.582</v>
      </c>
      <c r="D5962" s="33" t="n">
        <f aca="false">WEEKDAY(A5962,2)</f>
        <v>3</v>
      </c>
      <c r="E5962" s="33" t="n">
        <f aca="false">HOUR(A5962)+MINUTE(A5962)/60</f>
        <v>8</v>
      </c>
      <c r="F5962" s="33" t="n">
        <f aca="false">IF(OR(D5962&gt;5,E5962&lt;8,E5962&gt;=18,COUNTIF($K$2:$K$10,INT(A5962))&gt;0),1,0)</f>
        <v>0</v>
      </c>
      <c r="G5962" s="34" t="n">
        <f aca="false">B5962/1</f>
        <v>164.582</v>
      </c>
      <c r="H5962" s="34" t="str">
        <f aca="false">IF(F5962=1,G5962,"")</f>
        <v/>
      </c>
    </row>
    <row r="5963" customFormat="false" ht="15" hidden="false" customHeight="false" outlineLevel="0" collapsed="false">
      <c r="A5963" s="31" t="n">
        <v>42984.375</v>
      </c>
      <c r="B5963" s="32" t="n">
        <v>214.899</v>
      </c>
      <c r="D5963" s="33" t="n">
        <f aca="false">WEEKDAY(A5963,2)</f>
        <v>3</v>
      </c>
      <c r="E5963" s="33" t="n">
        <f aca="false">HOUR(A5963)+MINUTE(A5963)/60</f>
        <v>9</v>
      </c>
      <c r="F5963" s="33" t="n">
        <f aca="false">IF(OR(D5963&gt;5,E5963&lt;8,E5963&gt;=18,COUNTIF($K$2:$K$10,INT(A5963))&gt;0),1,0)</f>
        <v>0</v>
      </c>
      <c r="G5963" s="34" t="n">
        <f aca="false">B5963/1</f>
        <v>214.899</v>
      </c>
      <c r="H5963" s="34" t="str">
        <f aca="false">IF(F5963=1,G5963,"")</f>
        <v/>
      </c>
    </row>
    <row r="5964" customFormat="false" ht="15" hidden="false" customHeight="false" outlineLevel="0" collapsed="false">
      <c r="A5964" s="31" t="n">
        <v>42984.4166666667</v>
      </c>
      <c r="B5964" s="32" t="n">
        <v>238.806</v>
      </c>
      <c r="D5964" s="33" t="n">
        <f aca="false">WEEKDAY(A5964,2)</f>
        <v>3</v>
      </c>
      <c r="E5964" s="33" t="n">
        <f aca="false">HOUR(A5964)+MINUTE(A5964)/60</f>
        <v>10</v>
      </c>
      <c r="F5964" s="33" t="n">
        <f aca="false">IF(OR(D5964&gt;5,E5964&lt;8,E5964&gt;=18,COUNTIF($K$2:$K$10,INT(A5964))&gt;0),1,0)</f>
        <v>0</v>
      </c>
      <c r="G5964" s="34" t="n">
        <f aca="false">B5964/1</f>
        <v>238.806</v>
      </c>
      <c r="H5964" s="34" t="str">
        <f aca="false">IF(F5964=1,G5964,"")</f>
        <v/>
      </c>
    </row>
    <row r="5965" customFormat="false" ht="15" hidden="false" customHeight="false" outlineLevel="0" collapsed="false">
      <c r="A5965" s="31" t="n">
        <v>42984.4583333333</v>
      </c>
      <c r="B5965" s="32" t="n">
        <v>246.294</v>
      </c>
      <c r="D5965" s="33" t="n">
        <f aca="false">WEEKDAY(A5965,2)</f>
        <v>3</v>
      </c>
      <c r="E5965" s="33" t="n">
        <f aca="false">HOUR(A5965)+MINUTE(A5965)/60</f>
        <v>11</v>
      </c>
      <c r="F5965" s="33" t="n">
        <f aca="false">IF(OR(D5965&gt;5,E5965&lt;8,E5965&gt;=18,COUNTIF($K$2:$K$10,INT(A5965))&gt;0),1,0)</f>
        <v>0</v>
      </c>
      <c r="G5965" s="34" t="n">
        <f aca="false">B5965/1</f>
        <v>246.294</v>
      </c>
      <c r="H5965" s="34" t="str">
        <f aca="false">IF(F5965=1,G5965,"")</f>
        <v/>
      </c>
    </row>
    <row r="5966" customFormat="false" ht="15" hidden="false" customHeight="false" outlineLevel="0" collapsed="false">
      <c r="A5966" s="31" t="n">
        <v>42984.5</v>
      </c>
      <c r="B5966" s="32" t="n">
        <v>248.481</v>
      </c>
      <c r="D5966" s="33" t="n">
        <f aca="false">WEEKDAY(A5966,2)</f>
        <v>3</v>
      </c>
      <c r="E5966" s="33" t="n">
        <f aca="false">HOUR(A5966)+MINUTE(A5966)/60</f>
        <v>12</v>
      </c>
      <c r="F5966" s="33" t="n">
        <f aca="false">IF(OR(D5966&gt;5,E5966&lt;8,E5966&gt;=18,COUNTIF($K$2:$K$10,INT(A5966))&gt;0),1,0)</f>
        <v>0</v>
      </c>
      <c r="G5966" s="34" t="n">
        <f aca="false">B5966/1</f>
        <v>248.481</v>
      </c>
      <c r="H5966" s="34" t="str">
        <f aca="false">IF(F5966=1,G5966,"")</f>
        <v/>
      </c>
    </row>
    <row r="5967" customFormat="false" ht="15" hidden="false" customHeight="false" outlineLevel="0" collapsed="false">
      <c r="A5967" s="31" t="n">
        <v>42984.5416666667</v>
      </c>
      <c r="B5967" s="32" t="n">
        <v>249.854</v>
      </c>
      <c r="D5967" s="33" t="n">
        <f aca="false">WEEKDAY(A5967,2)</f>
        <v>3</v>
      </c>
      <c r="E5967" s="33" t="n">
        <f aca="false">HOUR(A5967)+MINUTE(A5967)/60</f>
        <v>13</v>
      </c>
      <c r="F5967" s="33" t="n">
        <f aca="false">IF(OR(D5967&gt;5,E5967&lt;8,E5967&gt;=18,COUNTIF($K$2:$K$10,INT(A5967))&gt;0),1,0)</f>
        <v>0</v>
      </c>
      <c r="G5967" s="34" t="n">
        <f aca="false">B5967/1</f>
        <v>249.854</v>
      </c>
      <c r="H5967" s="34" t="str">
        <f aca="false">IF(F5967=1,G5967,"")</f>
        <v/>
      </c>
    </row>
    <row r="5968" customFormat="false" ht="15" hidden="false" customHeight="false" outlineLevel="0" collapsed="false">
      <c r="A5968" s="31" t="n">
        <v>42984.5833333333</v>
      </c>
      <c r="B5968" s="32" t="n">
        <v>245.651</v>
      </c>
      <c r="D5968" s="33" t="n">
        <f aca="false">WEEKDAY(A5968,2)</f>
        <v>3</v>
      </c>
      <c r="E5968" s="33" t="n">
        <f aca="false">HOUR(A5968)+MINUTE(A5968)/60</f>
        <v>14</v>
      </c>
      <c r="F5968" s="33" t="n">
        <f aca="false">IF(OR(D5968&gt;5,E5968&lt;8,E5968&gt;=18,COUNTIF($K$2:$K$10,INT(A5968))&gt;0),1,0)</f>
        <v>0</v>
      </c>
      <c r="G5968" s="34" t="n">
        <f aca="false">B5968/1</f>
        <v>245.651</v>
      </c>
      <c r="H5968" s="34" t="str">
        <f aca="false">IF(F5968=1,G5968,"")</f>
        <v/>
      </c>
    </row>
    <row r="5969" customFormat="false" ht="15" hidden="false" customHeight="false" outlineLevel="0" collapsed="false">
      <c r="A5969" s="31" t="n">
        <v>42984.625</v>
      </c>
      <c r="B5969" s="32" t="n">
        <v>245.005</v>
      </c>
      <c r="D5969" s="33" t="n">
        <f aca="false">WEEKDAY(A5969,2)</f>
        <v>3</v>
      </c>
      <c r="E5969" s="33" t="n">
        <f aca="false">HOUR(A5969)+MINUTE(A5969)/60</f>
        <v>15</v>
      </c>
      <c r="F5969" s="33" t="n">
        <f aca="false">IF(OR(D5969&gt;5,E5969&lt;8,E5969&gt;=18,COUNTIF($K$2:$K$10,INT(A5969))&gt;0),1,0)</f>
        <v>0</v>
      </c>
      <c r="G5969" s="34" t="n">
        <f aca="false">B5969/1</f>
        <v>245.005</v>
      </c>
      <c r="H5969" s="34" t="str">
        <f aca="false">IF(F5969=1,G5969,"")</f>
        <v/>
      </c>
    </row>
    <row r="5970" customFormat="false" ht="15" hidden="false" customHeight="false" outlineLevel="0" collapsed="false">
      <c r="A5970" s="31" t="n">
        <v>42984.6666666667</v>
      </c>
      <c r="B5970" s="32" t="n">
        <v>242.22</v>
      </c>
      <c r="D5970" s="33" t="n">
        <f aca="false">WEEKDAY(A5970,2)</f>
        <v>3</v>
      </c>
      <c r="E5970" s="33" t="n">
        <f aca="false">HOUR(A5970)+MINUTE(A5970)/60</f>
        <v>16</v>
      </c>
      <c r="F5970" s="33" t="n">
        <f aca="false">IF(OR(D5970&gt;5,E5970&lt;8,E5970&gt;=18,COUNTIF($K$2:$K$10,INT(A5970))&gt;0),1,0)</f>
        <v>0</v>
      </c>
      <c r="G5970" s="34" t="n">
        <f aca="false">B5970/1</f>
        <v>242.22</v>
      </c>
      <c r="H5970" s="34" t="str">
        <f aca="false">IF(F5970=1,G5970,"")</f>
        <v/>
      </c>
    </row>
    <row r="5971" customFormat="false" ht="15" hidden="false" customHeight="false" outlineLevel="0" collapsed="false">
      <c r="A5971" s="31" t="n">
        <v>42984.7083333333</v>
      </c>
      <c r="B5971" s="32" t="n">
        <v>231.667</v>
      </c>
      <c r="D5971" s="33" t="n">
        <f aca="false">WEEKDAY(A5971,2)</f>
        <v>3</v>
      </c>
      <c r="E5971" s="33" t="n">
        <f aca="false">HOUR(A5971)+MINUTE(A5971)/60</f>
        <v>17</v>
      </c>
      <c r="F5971" s="33" t="n">
        <f aca="false">IF(OR(D5971&gt;5,E5971&lt;8,E5971&gt;=18,COUNTIF($K$2:$K$10,INT(A5971))&gt;0),1,0)</f>
        <v>0</v>
      </c>
      <c r="G5971" s="34" t="n">
        <f aca="false">B5971/1</f>
        <v>231.667</v>
      </c>
      <c r="H5971" s="34" t="str">
        <f aca="false">IF(F5971=1,G5971,"")</f>
        <v/>
      </c>
    </row>
    <row r="5972" customFormat="false" ht="15" hidden="false" customHeight="false" outlineLevel="0" collapsed="false">
      <c r="A5972" s="31" t="n">
        <v>42984.75</v>
      </c>
      <c r="B5972" s="32" t="n">
        <v>212.418</v>
      </c>
      <c r="D5972" s="33" t="n">
        <f aca="false">WEEKDAY(A5972,2)</f>
        <v>3</v>
      </c>
      <c r="E5972" s="33" t="n">
        <f aca="false">HOUR(A5972)+MINUTE(A5972)/60</f>
        <v>18</v>
      </c>
      <c r="F5972" s="33" t="n">
        <f aca="false">IF(OR(D5972&gt;5,E5972&lt;8,E5972&gt;=18,COUNTIF($K$2:$K$10,INT(A5972))&gt;0),1,0)</f>
        <v>1</v>
      </c>
      <c r="G5972" s="34" t="n">
        <f aca="false">B5972/1</f>
        <v>212.418</v>
      </c>
      <c r="H5972" s="34" t="n">
        <f aca="false">IF(F5972=1,G5972,"")</f>
        <v>212.418</v>
      </c>
    </row>
    <row r="5973" customFormat="false" ht="15" hidden="false" customHeight="false" outlineLevel="0" collapsed="false">
      <c r="A5973" s="31" t="n">
        <v>42984.7916666667</v>
      </c>
      <c r="B5973" s="32" t="n">
        <v>202.255</v>
      </c>
      <c r="D5973" s="33" t="n">
        <f aca="false">WEEKDAY(A5973,2)</f>
        <v>3</v>
      </c>
      <c r="E5973" s="33" t="n">
        <f aca="false">HOUR(A5973)+MINUTE(A5973)/60</f>
        <v>19</v>
      </c>
      <c r="F5973" s="33" t="n">
        <f aca="false">IF(OR(D5973&gt;5,E5973&lt;8,E5973&gt;=18,COUNTIF($K$2:$K$10,INT(A5973))&gt;0),1,0)</f>
        <v>1</v>
      </c>
      <c r="G5973" s="34" t="n">
        <f aca="false">B5973/1</f>
        <v>202.255</v>
      </c>
      <c r="H5973" s="34" t="n">
        <f aca="false">IF(F5973=1,G5973,"")</f>
        <v>202.255</v>
      </c>
    </row>
    <row r="5974" customFormat="false" ht="15" hidden="false" customHeight="false" outlineLevel="0" collapsed="false">
      <c r="A5974" s="31" t="n">
        <v>42984.8333333333</v>
      </c>
      <c r="B5974" s="32" t="n">
        <v>195.645</v>
      </c>
      <c r="D5974" s="33" t="n">
        <f aca="false">WEEKDAY(A5974,2)</f>
        <v>3</v>
      </c>
      <c r="E5974" s="33" t="n">
        <f aca="false">HOUR(A5974)+MINUTE(A5974)/60</f>
        <v>20</v>
      </c>
      <c r="F5974" s="33" t="n">
        <f aca="false">IF(OR(D5974&gt;5,E5974&lt;8,E5974&gt;=18,COUNTIF($K$2:$K$10,INT(A5974))&gt;0),1,0)</f>
        <v>1</v>
      </c>
      <c r="G5974" s="34" t="n">
        <f aca="false">B5974/1</f>
        <v>195.645</v>
      </c>
      <c r="H5974" s="34" t="n">
        <f aca="false">IF(F5974=1,G5974,"")</f>
        <v>195.645</v>
      </c>
    </row>
    <row r="5975" customFormat="false" ht="15" hidden="false" customHeight="false" outlineLevel="0" collapsed="false">
      <c r="A5975" s="31" t="n">
        <v>42984.875</v>
      </c>
      <c r="B5975" s="32" t="n">
        <v>184.133</v>
      </c>
      <c r="D5975" s="33" t="n">
        <f aca="false">WEEKDAY(A5975,2)</f>
        <v>3</v>
      </c>
      <c r="E5975" s="33" t="n">
        <f aca="false">HOUR(A5975)+MINUTE(A5975)/60</f>
        <v>21</v>
      </c>
      <c r="F5975" s="33" t="n">
        <f aca="false">IF(OR(D5975&gt;5,E5975&lt;8,E5975&gt;=18,COUNTIF($K$2:$K$10,INT(A5975))&gt;0),1,0)</f>
        <v>1</v>
      </c>
      <c r="G5975" s="34" t="n">
        <f aca="false">B5975/1</f>
        <v>184.133</v>
      </c>
      <c r="H5975" s="34" t="n">
        <f aca="false">IF(F5975=1,G5975,"")</f>
        <v>184.133</v>
      </c>
    </row>
    <row r="5976" customFormat="false" ht="15" hidden="false" customHeight="false" outlineLevel="0" collapsed="false">
      <c r="A5976" s="31" t="n">
        <v>42984.9166666667</v>
      </c>
      <c r="B5976" s="32" t="n">
        <v>127.62</v>
      </c>
      <c r="D5976" s="33" t="n">
        <f aca="false">WEEKDAY(A5976,2)</f>
        <v>3</v>
      </c>
      <c r="E5976" s="33" t="n">
        <f aca="false">HOUR(A5976)+MINUTE(A5976)/60</f>
        <v>22</v>
      </c>
      <c r="F5976" s="33" t="n">
        <f aca="false">IF(OR(D5976&gt;5,E5976&lt;8,E5976&gt;=18,COUNTIF($K$2:$K$10,INT(A5976))&gt;0),1,0)</f>
        <v>1</v>
      </c>
      <c r="G5976" s="34" t="n">
        <f aca="false">B5976/1</f>
        <v>127.62</v>
      </c>
      <c r="H5976" s="34" t="n">
        <f aca="false">IF(F5976=1,G5976,"")</f>
        <v>127.62</v>
      </c>
    </row>
    <row r="5977" customFormat="false" ht="15" hidden="false" customHeight="false" outlineLevel="0" collapsed="false">
      <c r="A5977" s="31" t="n">
        <v>42984.9583333333</v>
      </c>
      <c r="B5977" s="32" t="n">
        <v>56.611</v>
      </c>
      <c r="D5977" s="33" t="n">
        <f aca="false">WEEKDAY(A5977,2)</f>
        <v>3</v>
      </c>
      <c r="E5977" s="33" t="n">
        <f aca="false">HOUR(A5977)+MINUTE(A5977)/60</f>
        <v>23</v>
      </c>
      <c r="F5977" s="33" t="n">
        <f aca="false">IF(OR(D5977&gt;5,E5977&lt;8,E5977&gt;=18,COUNTIF($K$2:$K$10,INT(A5977))&gt;0),1,0)</f>
        <v>1</v>
      </c>
      <c r="G5977" s="34" t="n">
        <f aca="false">B5977/1</f>
        <v>56.611</v>
      </c>
      <c r="H5977" s="34" t="n">
        <f aca="false">IF(F5977=1,G5977,"")</f>
        <v>56.611</v>
      </c>
    </row>
    <row r="5978" customFormat="false" ht="15" hidden="false" customHeight="false" outlineLevel="0" collapsed="false">
      <c r="A5978" s="31" t="n">
        <v>42985</v>
      </c>
      <c r="B5978" s="32" t="n">
        <v>51.905</v>
      </c>
      <c r="D5978" s="33" t="n">
        <f aca="false">WEEKDAY(A5978,2)</f>
        <v>4</v>
      </c>
      <c r="E5978" s="33" t="n">
        <f aca="false">HOUR(A5978)+MINUTE(A5978)/60</f>
        <v>0</v>
      </c>
      <c r="F5978" s="33" t="n">
        <f aca="false">IF(OR(D5978&gt;5,E5978&lt;8,E5978&gt;=18,COUNTIF($K$2:$K$10,INT(A5978))&gt;0),1,0)</f>
        <v>1</v>
      </c>
      <c r="G5978" s="34" t="n">
        <f aca="false">B5978/1</f>
        <v>51.905</v>
      </c>
      <c r="H5978" s="34" t="n">
        <f aca="false">IF(F5978=1,G5978,"")</f>
        <v>51.905</v>
      </c>
    </row>
    <row r="5979" customFormat="false" ht="15" hidden="false" customHeight="false" outlineLevel="0" collapsed="false">
      <c r="A5979" s="31" t="n">
        <v>42985.0416666667</v>
      </c>
      <c r="B5979" s="32" t="n">
        <v>49.726</v>
      </c>
      <c r="D5979" s="33" t="n">
        <f aca="false">WEEKDAY(A5979,2)</f>
        <v>4</v>
      </c>
      <c r="E5979" s="33" t="n">
        <f aca="false">HOUR(A5979)+MINUTE(A5979)/60</f>
        <v>1</v>
      </c>
      <c r="F5979" s="33" t="n">
        <f aca="false">IF(OR(D5979&gt;5,E5979&lt;8,E5979&gt;=18,COUNTIF($K$2:$K$10,INT(A5979))&gt;0),1,0)</f>
        <v>1</v>
      </c>
      <c r="G5979" s="34" t="n">
        <f aca="false">B5979/1</f>
        <v>49.726</v>
      </c>
      <c r="H5979" s="34" t="n">
        <f aca="false">IF(F5979=1,G5979,"")</f>
        <v>49.726</v>
      </c>
    </row>
    <row r="5980" customFormat="false" ht="15" hidden="false" customHeight="false" outlineLevel="0" collapsed="false">
      <c r="A5980" s="31" t="n">
        <v>42985.0833333333</v>
      </c>
      <c r="B5980" s="32" t="n">
        <v>49.394</v>
      </c>
      <c r="D5980" s="33" t="n">
        <f aca="false">WEEKDAY(A5980,2)</f>
        <v>4</v>
      </c>
      <c r="E5980" s="33" t="n">
        <f aca="false">HOUR(A5980)+MINUTE(A5980)/60</f>
        <v>2</v>
      </c>
      <c r="F5980" s="33" t="n">
        <f aca="false">IF(OR(D5980&gt;5,E5980&lt;8,E5980&gt;=18,COUNTIF($K$2:$K$10,INT(A5980))&gt;0),1,0)</f>
        <v>1</v>
      </c>
      <c r="G5980" s="34" t="n">
        <f aca="false">B5980/1</f>
        <v>49.394</v>
      </c>
      <c r="H5980" s="34" t="n">
        <f aca="false">IF(F5980=1,G5980,"")</f>
        <v>49.394</v>
      </c>
    </row>
    <row r="5981" customFormat="false" ht="15" hidden="false" customHeight="false" outlineLevel="0" collapsed="false">
      <c r="A5981" s="31" t="n">
        <v>42985.125</v>
      </c>
      <c r="B5981" s="32" t="n">
        <v>49.274</v>
      </c>
      <c r="D5981" s="33" t="n">
        <f aca="false">WEEKDAY(A5981,2)</f>
        <v>4</v>
      </c>
      <c r="E5981" s="33" t="n">
        <f aca="false">HOUR(A5981)+MINUTE(A5981)/60</f>
        <v>3</v>
      </c>
      <c r="F5981" s="33" t="n">
        <f aca="false">IF(OR(D5981&gt;5,E5981&lt;8,E5981&gt;=18,COUNTIF($K$2:$K$10,INT(A5981))&gt;0),1,0)</f>
        <v>1</v>
      </c>
      <c r="G5981" s="34" t="n">
        <f aca="false">B5981/1</f>
        <v>49.274</v>
      </c>
      <c r="H5981" s="34" t="n">
        <f aca="false">IF(F5981=1,G5981,"")</f>
        <v>49.274</v>
      </c>
    </row>
    <row r="5982" customFormat="false" ht="15" hidden="false" customHeight="false" outlineLevel="0" collapsed="false">
      <c r="A5982" s="31" t="n">
        <v>42985.1666666667</v>
      </c>
      <c r="B5982" s="32" t="n">
        <v>48.17</v>
      </c>
      <c r="D5982" s="33" t="n">
        <f aca="false">WEEKDAY(A5982,2)</f>
        <v>4</v>
      </c>
      <c r="E5982" s="33" t="n">
        <f aca="false">HOUR(A5982)+MINUTE(A5982)/60</f>
        <v>4</v>
      </c>
      <c r="F5982" s="33" t="n">
        <f aca="false">IF(OR(D5982&gt;5,E5982&lt;8,E5982&gt;=18,COUNTIF($K$2:$K$10,INT(A5982))&gt;0),1,0)</f>
        <v>1</v>
      </c>
      <c r="G5982" s="34" t="n">
        <f aca="false">B5982/1</f>
        <v>48.17</v>
      </c>
      <c r="H5982" s="34" t="n">
        <f aca="false">IF(F5982=1,G5982,"")</f>
        <v>48.17</v>
      </c>
    </row>
    <row r="5983" customFormat="false" ht="15" hidden="false" customHeight="false" outlineLevel="0" collapsed="false">
      <c r="A5983" s="31" t="n">
        <v>42985.2083333333</v>
      </c>
      <c r="B5983" s="32" t="n">
        <v>47.396</v>
      </c>
      <c r="D5983" s="33" t="n">
        <f aca="false">WEEKDAY(A5983,2)</f>
        <v>4</v>
      </c>
      <c r="E5983" s="33" t="n">
        <f aca="false">HOUR(A5983)+MINUTE(A5983)/60</f>
        <v>5</v>
      </c>
      <c r="F5983" s="33" t="n">
        <f aca="false">IF(OR(D5983&gt;5,E5983&lt;8,E5983&gt;=18,COUNTIF($K$2:$K$10,INT(A5983))&gt;0),1,0)</f>
        <v>1</v>
      </c>
      <c r="G5983" s="34" t="n">
        <f aca="false">B5983/1</f>
        <v>47.396</v>
      </c>
      <c r="H5983" s="34" t="n">
        <f aca="false">IF(F5983=1,G5983,"")</f>
        <v>47.396</v>
      </c>
    </row>
    <row r="5984" customFormat="false" ht="15" hidden="false" customHeight="false" outlineLevel="0" collapsed="false">
      <c r="A5984" s="31" t="n">
        <v>42985.25</v>
      </c>
      <c r="B5984" s="32" t="n">
        <v>49.175</v>
      </c>
      <c r="D5984" s="33" t="n">
        <f aca="false">WEEKDAY(A5984,2)</f>
        <v>4</v>
      </c>
      <c r="E5984" s="33" t="n">
        <f aca="false">HOUR(A5984)+MINUTE(A5984)/60</f>
        <v>6</v>
      </c>
      <c r="F5984" s="33" t="n">
        <f aca="false">IF(OR(D5984&gt;5,E5984&lt;8,E5984&gt;=18,COUNTIF($K$2:$K$10,INT(A5984))&gt;0),1,0)</f>
        <v>1</v>
      </c>
      <c r="G5984" s="34" t="n">
        <f aca="false">B5984/1</f>
        <v>49.175</v>
      </c>
      <c r="H5984" s="34" t="n">
        <f aca="false">IF(F5984=1,G5984,"")</f>
        <v>49.175</v>
      </c>
    </row>
    <row r="5985" customFormat="false" ht="15" hidden="false" customHeight="false" outlineLevel="0" collapsed="false">
      <c r="A5985" s="31" t="n">
        <v>42985.2916666667</v>
      </c>
      <c r="B5985" s="32" t="n">
        <v>54.027</v>
      </c>
      <c r="D5985" s="33" t="n">
        <f aca="false">WEEKDAY(A5985,2)</f>
        <v>4</v>
      </c>
      <c r="E5985" s="33" t="n">
        <f aca="false">HOUR(A5985)+MINUTE(A5985)/60</f>
        <v>7</v>
      </c>
      <c r="F5985" s="33" t="n">
        <f aca="false">IF(OR(D5985&gt;5,E5985&lt;8,E5985&gt;=18,COUNTIF($K$2:$K$10,INT(A5985))&gt;0),1,0)</f>
        <v>1</v>
      </c>
      <c r="G5985" s="34" t="n">
        <f aca="false">B5985/1</f>
        <v>54.027</v>
      </c>
      <c r="H5985" s="34" t="n">
        <f aca="false">IF(F5985=1,G5985,"")</f>
        <v>54.027</v>
      </c>
    </row>
    <row r="5986" customFormat="false" ht="15" hidden="false" customHeight="false" outlineLevel="0" collapsed="false">
      <c r="A5986" s="31" t="n">
        <v>42985.3333333333</v>
      </c>
      <c r="B5986" s="32" t="n">
        <v>165.039</v>
      </c>
      <c r="D5986" s="33" t="n">
        <f aca="false">WEEKDAY(A5986,2)</f>
        <v>4</v>
      </c>
      <c r="E5986" s="33" t="n">
        <f aca="false">HOUR(A5986)+MINUTE(A5986)/60</f>
        <v>8</v>
      </c>
      <c r="F5986" s="33" t="n">
        <f aca="false">IF(OR(D5986&gt;5,E5986&lt;8,E5986&gt;=18,COUNTIF($K$2:$K$10,INT(A5986))&gt;0),1,0)</f>
        <v>0</v>
      </c>
      <c r="G5986" s="34" t="n">
        <f aca="false">B5986/1</f>
        <v>165.039</v>
      </c>
      <c r="H5986" s="34" t="str">
        <f aca="false">IF(F5986=1,G5986,"")</f>
        <v/>
      </c>
    </row>
    <row r="5987" customFormat="false" ht="15" hidden="false" customHeight="false" outlineLevel="0" collapsed="false">
      <c r="A5987" s="31" t="n">
        <v>42985.375</v>
      </c>
      <c r="B5987" s="32" t="n">
        <v>215.04</v>
      </c>
      <c r="D5987" s="33" t="n">
        <f aca="false">WEEKDAY(A5987,2)</f>
        <v>4</v>
      </c>
      <c r="E5987" s="33" t="n">
        <f aca="false">HOUR(A5987)+MINUTE(A5987)/60</f>
        <v>9</v>
      </c>
      <c r="F5987" s="33" t="n">
        <f aca="false">IF(OR(D5987&gt;5,E5987&lt;8,E5987&gt;=18,COUNTIF($K$2:$K$10,INT(A5987))&gt;0),1,0)</f>
        <v>0</v>
      </c>
      <c r="G5987" s="34" t="n">
        <f aca="false">B5987/1</f>
        <v>215.04</v>
      </c>
      <c r="H5987" s="34" t="str">
        <f aca="false">IF(F5987=1,G5987,"")</f>
        <v/>
      </c>
    </row>
    <row r="5988" customFormat="false" ht="15" hidden="false" customHeight="false" outlineLevel="0" collapsed="false">
      <c r="A5988" s="31" t="n">
        <v>42985.4166666667</v>
      </c>
      <c r="B5988" s="32" t="n">
        <v>232.199</v>
      </c>
      <c r="D5988" s="33" t="n">
        <f aca="false">WEEKDAY(A5988,2)</f>
        <v>4</v>
      </c>
      <c r="E5988" s="33" t="n">
        <f aca="false">HOUR(A5988)+MINUTE(A5988)/60</f>
        <v>10</v>
      </c>
      <c r="F5988" s="33" t="n">
        <f aca="false">IF(OR(D5988&gt;5,E5988&lt;8,E5988&gt;=18,COUNTIF($K$2:$K$10,INT(A5988))&gt;0),1,0)</f>
        <v>0</v>
      </c>
      <c r="G5988" s="34" t="n">
        <f aca="false">B5988/1</f>
        <v>232.199</v>
      </c>
      <c r="H5988" s="34" t="str">
        <f aca="false">IF(F5988=1,G5988,"")</f>
        <v/>
      </c>
    </row>
    <row r="5989" customFormat="false" ht="15" hidden="false" customHeight="false" outlineLevel="0" collapsed="false">
      <c r="A5989" s="31" t="n">
        <v>42985.4583333333</v>
      </c>
      <c r="B5989" s="32" t="n">
        <v>246.606</v>
      </c>
      <c r="D5989" s="33" t="n">
        <f aca="false">WEEKDAY(A5989,2)</f>
        <v>4</v>
      </c>
      <c r="E5989" s="33" t="n">
        <f aca="false">HOUR(A5989)+MINUTE(A5989)/60</f>
        <v>11</v>
      </c>
      <c r="F5989" s="33" t="n">
        <f aca="false">IF(OR(D5989&gt;5,E5989&lt;8,E5989&gt;=18,COUNTIF($K$2:$K$10,INT(A5989))&gt;0),1,0)</f>
        <v>0</v>
      </c>
      <c r="G5989" s="34" t="n">
        <f aca="false">B5989/1</f>
        <v>246.606</v>
      </c>
      <c r="H5989" s="34" t="str">
        <f aca="false">IF(F5989=1,G5989,"")</f>
        <v/>
      </c>
    </row>
    <row r="5990" customFormat="false" ht="15" hidden="false" customHeight="false" outlineLevel="0" collapsed="false">
      <c r="A5990" s="31" t="n">
        <v>42985.5</v>
      </c>
      <c r="B5990" s="32" t="n">
        <v>265.648</v>
      </c>
      <c r="D5990" s="33" t="n">
        <f aca="false">WEEKDAY(A5990,2)</f>
        <v>4</v>
      </c>
      <c r="E5990" s="33" t="n">
        <f aca="false">HOUR(A5990)+MINUTE(A5990)/60</f>
        <v>12</v>
      </c>
      <c r="F5990" s="33" t="n">
        <f aca="false">IF(OR(D5990&gt;5,E5990&lt;8,E5990&gt;=18,COUNTIF($K$2:$K$10,INT(A5990))&gt;0),1,0)</f>
        <v>0</v>
      </c>
      <c r="G5990" s="34" t="n">
        <f aca="false">B5990/1</f>
        <v>265.648</v>
      </c>
      <c r="H5990" s="34" t="str">
        <f aca="false">IF(F5990=1,G5990,"")</f>
        <v/>
      </c>
    </row>
    <row r="5991" customFormat="false" ht="15" hidden="false" customHeight="false" outlineLevel="0" collapsed="false">
      <c r="A5991" s="31" t="n">
        <v>42985.5416666667</v>
      </c>
      <c r="B5991" s="32" t="n">
        <v>255.852</v>
      </c>
      <c r="D5991" s="33" t="n">
        <f aca="false">WEEKDAY(A5991,2)</f>
        <v>4</v>
      </c>
      <c r="E5991" s="33" t="n">
        <f aca="false">HOUR(A5991)+MINUTE(A5991)/60</f>
        <v>13</v>
      </c>
      <c r="F5991" s="33" t="n">
        <f aca="false">IF(OR(D5991&gt;5,E5991&lt;8,E5991&gt;=18,COUNTIF($K$2:$K$10,INT(A5991))&gt;0),1,0)</f>
        <v>0</v>
      </c>
      <c r="G5991" s="34" t="n">
        <f aca="false">B5991/1</f>
        <v>255.852</v>
      </c>
      <c r="H5991" s="34" t="str">
        <f aca="false">IF(F5991=1,G5991,"")</f>
        <v/>
      </c>
    </row>
    <row r="5992" customFormat="false" ht="15" hidden="false" customHeight="false" outlineLevel="0" collapsed="false">
      <c r="A5992" s="31" t="n">
        <v>42985.5833333333</v>
      </c>
      <c r="B5992" s="32" t="n">
        <v>265.222</v>
      </c>
      <c r="D5992" s="33" t="n">
        <f aca="false">WEEKDAY(A5992,2)</f>
        <v>4</v>
      </c>
      <c r="E5992" s="33" t="n">
        <f aca="false">HOUR(A5992)+MINUTE(A5992)/60</f>
        <v>14</v>
      </c>
      <c r="F5992" s="33" t="n">
        <f aca="false">IF(OR(D5992&gt;5,E5992&lt;8,E5992&gt;=18,COUNTIF($K$2:$K$10,INT(A5992))&gt;0),1,0)</f>
        <v>0</v>
      </c>
      <c r="G5992" s="34" t="n">
        <f aca="false">B5992/1</f>
        <v>265.222</v>
      </c>
      <c r="H5992" s="34" t="str">
        <f aca="false">IF(F5992=1,G5992,"")</f>
        <v/>
      </c>
    </row>
    <row r="5993" customFormat="false" ht="15" hidden="false" customHeight="false" outlineLevel="0" collapsed="false">
      <c r="A5993" s="31" t="n">
        <v>42985.625</v>
      </c>
      <c r="B5993" s="32" t="n">
        <v>257.256</v>
      </c>
      <c r="D5993" s="33" t="n">
        <f aca="false">WEEKDAY(A5993,2)</f>
        <v>4</v>
      </c>
      <c r="E5993" s="33" t="n">
        <f aca="false">HOUR(A5993)+MINUTE(A5993)/60</f>
        <v>15</v>
      </c>
      <c r="F5993" s="33" t="n">
        <f aca="false">IF(OR(D5993&gt;5,E5993&lt;8,E5993&gt;=18,COUNTIF($K$2:$K$10,INT(A5993))&gt;0),1,0)</f>
        <v>0</v>
      </c>
      <c r="G5993" s="34" t="n">
        <f aca="false">B5993/1</f>
        <v>257.256</v>
      </c>
      <c r="H5993" s="34" t="str">
        <f aca="false">IF(F5993=1,G5993,"")</f>
        <v/>
      </c>
    </row>
    <row r="5994" customFormat="false" ht="15" hidden="false" customHeight="false" outlineLevel="0" collapsed="false">
      <c r="A5994" s="31" t="n">
        <v>42985.6666666667</v>
      </c>
      <c r="B5994" s="32" t="n">
        <v>244.792</v>
      </c>
      <c r="D5994" s="33" t="n">
        <f aca="false">WEEKDAY(A5994,2)</f>
        <v>4</v>
      </c>
      <c r="E5994" s="33" t="n">
        <f aca="false">HOUR(A5994)+MINUTE(A5994)/60</f>
        <v>16</v>
      </c>
      <c r="F5994" s="33" t="n">
        <f aca="false">IF(OR(D5994&gt;5,E5994&lt;8,E5994&gt;=18,COUNTIF($K$2:$K$10,INT(A5994))&gt;0),1,0)</f>
        <v>0</v>
      </c>
      <c r="G5994" s="34" t="n">
        <f aca="false">B5994/1</f>
        <v>244.792</v>
      </c>
      <c r="H5994" s="34" t="str">
        <f aca="false">IF(F5994=1,G5994,"")</f>
        <v/>
      </c>
    </row>
    <row r="5995" customFormat="false" ht="15" hidden="false" customHeight="false" outlineLevel="0" collapsed="false">
      <c r="A5995" s="31" t="n">
        <v>42985.7083333333</v>
      </c>
      <c r="B5995" s="32" t="n">
        <v>233.924</v>
      </c>
      <c r="D5995" s="33" t="n">
        <f aca="false">WEEKDAY(A5995,2)</f>
        <v>4</v>
      </c>
      <c r="E5995" s="33" t="n">
        <f aca="false">HOUR(A5995)+MINUTE(A5995)/60</f>
        <v>17</v>
      </c>
      <c r="F5995" s="33" t="n">
        <f aca="false">IF(OR(D5995&gt;5,E5995&lt;8,E5995&gt;=18,COUNTIF($K$2:$K$10,INT(A5995))&gt;0),1,0)</f>
        <v>0</v>
      </c>
      <c r="G5995" s="34" t="n">
        <f aca="false">B5995/1</f>
        <v>233.924</v>
      </c>
      <c r="H5995" s="34" t="str">
        <f aca="false">IF(F5995=1,G5995,"")</f>
        <v/>
      </c>
    </row>
    <row r="5996" customFormat="false" ht="15" hidden="false" customHeight="false" outlineLevel="0" collapsed="false">
      <c r="A5996" s="31" t="n">
        <v>42985.75</v>
      </c>
      <c r="B5996" s="32" t="n">
        <v>211.015</v>
      </c>
      <c r="D5996" s="33" t="n">
        <f aca="false">WEEKDAY(A5996,2)</f>
        <v>4</v>
      </c>
      <c r="E5996" s="33" t="n">
        <f aca="false">HOUR(A5996)+MINUTE(A5996)/60</f>
        <v>18</v>
      </c>
      <c r="F5996" s="33" t="n">
        <f aca="false">IF(OR(D5996&gt;5,E5996&lt;8,E5996&gt;=18,COUNTIF($K$2:$K$10,INT(A5996))&gt;0),1,0)</f>
        <v>1</v>
      </c>
      <c r="G5996" s="34" t="n">
        <f aca="false">B5996/1</f>
        <v>211.015</v>
      </c>
      <c r="H5996" s="34" t="n">
        <f aca="false">IF(F5996=1,G5996,"")</f>
        <v>211.015</v>
      </c>
    </row>
    <row r="5997" customFormat="false" ht="15" hidden="false" customHeight="false" outlineLevel="0" collapsed="false">
      <c r="A5997" s="31" t="n">
        <v>42985.7916666667</v>
      </c>
      <c r="B5997" s="32" t="n">
        <v>195.17</v>
      </c>
      <c r="D5997" s="33" t="n">
        <f aca="false">WEEKDAY(A5997,2)</f>
        <v>4</v>
      </c>
      <c r="E5997" s="33" t="n">
        <f aca="false">HOUR(A5997)+MINUTE(A5997)/60</f>
        <v>19</v>
      </c>
      <c r="F5997" s="33" t="n">
        <f aca="false">IF(OR(D5997&gt;5,E5997&lt;8,E5997&gt;=18,COUNTIF($K$2:$K$10,INT(A5997))&gt;0),1,0)</f>
        <v>1</v>
      </c>
      <c r="G5997" s="34" t="n">
        <f aca="false">B5997/1</f>
        <v>195.17</v>
      </c>
      <c r="H5997" s="34" t="n">
        <f aca="false">IF(F5997=1,G5997,"")</f>
        <v>195.17</v>
      </c>
    </row>
    <row r="5998" customFormat="false" ht="15" hidden="false" customHeight="false" outlineLevel="0" collapsed="false">
      <c r="A5998" s="31" t="n">
        <v>42985.8333333333</v>
      </c>
      <c r="B5998" s="32" t="n">
        <v>181.28</v>
      </c>
      <c r="D5998" s="33" t="n">
        <f aca="false">WEEKDAY(A5998,2)</f>
        <v>4</v>
      </c>
      <c r="E5998" s="33" t="n">
        <f aca="false">HOUR(A5998)+MINUTE(A5998)/60</f>
        <v>20</v>
      </c>
      <c r="F5998" s="33" t="n">
        <f aca="false">IF(OR(D5998&gt;5,E5998&lt;8,E5998&gt;=18,COUNTIF($K$2:$K$10,INT(A5998))&gt;0),1,0)</f>
        <v>1</v>
      </c>
      <c r="G5998" s="34" t="n">
        <f aca="false">B5998/1</f>
        <v>181.28</v>
      </c>
      <c r="H5998" s="34" t="n">
        <f aca="false">IF(F5998=1,G5998,"")</f>
        <v>181.28</v>
      </c>
    </row>
    <row r="5999" customFormat="false" ht="15" hidden="false" customHeight="false" outlineLevel="0" collapsed="false">
      <c r="A5999" s="31" t="n">
        <v>42985.875</v>
      </c>
      <c r="B5999" s="32" t="n">
        <v>179.169</v>
      </c>
      <c r="D5999" s="33" t="n">
        <f aca="false">WEEKDAY(A5999,2)</f>
        <v>4</v>
      </c>
      <c r="E5999" s="33" t="n">
        <f aca="false">HOUR(A5999)+MINUTE(A5999)/60</f>
        <v>21</v>
      </c>
      <c r="F5999" s="33" t="n">
        <f aca="false">IF(OR(D5999&gt;5,E5999&lt;8,E5999&gt;=18,COUNTIF($K$2:$K$10,INT(A5999))&gt;0),1,0)</f>
        <v>1</v>
      </c>
      <c r="G5999" s="34" t="n">
        <f aca="false">B5999/1</f>
        <v>179.169</v>
      </c>
      <c r="H5999" s="34" t="n">
        <f aca="false">IF(F5999=1,G5999,"")</f>
        <v>179.169</v>
      </c>
    </row>
    <row r="6000" customFormat="false" ht="15" hidden="false" customHeight="false" outlineLevel="0" collapsed="false">
      <c r="A6000" s="31" t="n">
        <v>42985.9166666667</v>
      </c>
      <c r="B6000" s="32" t="n">
        <v>119.286</v>
      </c>
      <c r="D6000" s="33" t="n">
        <f aca="false">WEEKDAY(A6000,2)</f>
        <v>4</v>
      </c>
      <c r="E6000" s="33" t="n">
        <f aca="false">HOUR(A6000)+MINUTE(A6000)/60</f>
        <v>22</v>
      </c>
      <c r="F6000" s="33" t="n">
        <f aca="false">IF(OR(D6000&gt;5,E6000&lt;8,E6000&gt;=18,COUNTIF($K$2:$K$10,INT(A6000))&gt;0),1,0)</f>
        <v>1</v>
      </c>
      <c r="G6000" s="34" t="n">
        <f aca="false">B6000/1</f>
        <v>119.286</v>
      </c>
      <c r="H6000" s="34" t="n">
        <f aca="false">IF(F6000=1,G6000,"")</f>
        <v>119.286</v>
      </c>
    </row>
    <row r="6001" customFormat="false" ht="15" hidden="false" customHeight="false" outlineLevel="0" collapsed="false">
      <c r="A6001" s="31" t="n">
        <v>42985.9583333333</v>
      </c>
      <c r="B6001" s="32" t="n">
        <v>51.042</v>
      </c>
      <c r="D6001" s="33" t="n">
        <f aca="false">WEEKDAY(A6001,2)</f>
        <v>4</v>
      </c>
      <c r="E6001" s="33" t="n">
        <f aca="false">HOUR(A6001)+MINUTE(A6001)/60</f>
        <v>23</v>
      </c>
      <c r="F6001" s="33" t="n">
        <f aca="false">IF(OR(D6001&gt;5,E6001&lt;8,E6001&gt;=18,COUNTIF($K$2:$K$10,INT(A6001))&gt;0),1,0)</f>
        <v>1</v>
      </c>
      <c r="G6001" s="34" t="n">
        <f aca="false">B6001/1</f>
        <v>51.042</v>
      </c>
      <c r="H6001" s="34" t="n">
        <f aca="false">IF(F6001=1,G6001,"")</f>
        <v>51.042</v>
      </c>
    </row>
    <row r="6002" customFormat="false" ht="15" hidden="false" customHeight="false" outlineLevel="0" collapsed="false">
      <c r="A6002" s="31" t="n">
        <v>42986</v>
      </c>
      <c r="B6002" s="32" t="n">
        <v>49.626</v>
      </c>
      <c r="D6002" s="33" t="n">
        <f aca="false">WEEKDAY(A6002,2)</f>
        <v>5</v>
      </c>
      <c r="E6002" s="33" t="n">
        <f aca="false">HOUR(A6002)+MINUTE(A6002)/60</f>
        <v>0</v>
      </c>
      <c r="F6002" s="33" t="n">
        <f aca="false">IF(OR(D6002&gt;5,E6002&lt;8,E6002&gt;=18,COUNTIF($K$2:$K$10,INT(A6002))&gt;0),1,0)</f>
        <v>1</v>
      </c>
      <c r="G6002" s="34" t="n">
        <f aca="false">B6002/1</f>
        <v>49.626</v>
      </c>
      <c r="H6002" s="34" t="n">
        <f aca="false">IF(F6002=1,G6002,"")</f>
        <v>49.626</v>
      </c>
    </row>
    <row r="6003" customFormat="false" ht="15" hidden="false" customHeight="false" outlineLevel="0" collapsed="false">
      <c r="A6003" s="31" t="n">
        <v>42986.0416666667</v>
      </c>
      <c r="B6003" s="32" t="n">
        <v>47.649</v>
      </c>
      <c r="D6003" s="33" t="n">
        <f aca="false">WEEKDAY(A6003,2)</f>
        <v>5</v>
      </c>
      <c r="E6003" s="33" t="n">
        <f aca="false">HOUR(A6003)+MINUTE(A6003)/60</f>
        <v>1</v>
      </c>
      <c r="F6003" s="33" t="n">
        <f aca="false">IF(OR(D6003&gt;5,E6003&lt;8,E6003&gt;=18,COUNTIF($K$2:$K$10,INT(A6003))&gt;0),1,0)</f>
        <v>1</v>
      </c>
      <c r="G6003" s="34" t="n">
        <f aca="false">B6003/1</f>
        <v>47.649</v>
      </c>
      <c r="H6003" s="34" t="n">
        <f aca="false">IF(F6003=1,G6003,"")</f>
        <v>47.649</v>
      </c>
    </row>
    <row r="6004" customFormat="false" ht="15" hidden="false" customHeight="false" outlineLevel="0" collapsed="false">
      <c r="A6004" s="31" t="n">
        <v>42986.0833333333</v>
      </c>
      <c r="B6004" s="32" t="n">
        <v>47.329</v>
      </c>
      <c r="D6004" s="33" t="n">
        <f aca="false">WEEKDAY(A6004,2)</f>
        <v>5</v>
      </c>
      <c r="E6004" s="33" t="n">
        <f aca="false">HOUR(A6004)+MINUTE(A6004)/60</f>
        <v>2</v>
      </c>
      <c r="F6004" s="33" t="n">
        <f aca="false">IF(OR(D6004&gt;5,E6004&lt;8,E6004&gt;=18,COUNTIF($K$2:$K$10,INT(A6004))&gt;0),1,0)</f>
        <v>1</v>
      </c>
      <c r="G6004" s="34" t="n">
        <f aca="false">B6004/1</f>
        <v>47.329</v>
      </c>
      <c r="H6004" s="34" t="n">
        <f aca="false">IF(F6004=1,G6004,"")</f>
        <v>47.329</v>
      </c>
    </row>
    <row r="6005" customFormat="false" ht="15" hidden="false" customHeight="false" outlineLevel="0" collapsed="false">
      <c r="A6005" s="31" t="n">
        <v>42986.125</v>
      </c>
      <c r="B6005" s="32" t="n">
        <v>47.252</v>
      </c>
      <c r="D6005" s="33" t="n">
        <f aca="false">WEEKDAY(A6005,2)</f>
        <v>5</v>
      </c>
      <c r="E6005" s="33" t="n">
        <f aca="false">HOUR(A6005)+MINUTE(A6005)/60</f>
        <v>3</v>
      </c>
      <c r="F6005" s="33" t="n">
        <f aca="false">IF(OR(D6005&gt;5,E6005&lt;8,E6005&gt;=18,COUNTIF($K$2:$K$10,INT(A6005))&gt;0),1,0)</f>
        <v>1</v>
      </c>
      <c r="G6005" s="34" t="n">
        <f aca="false">B6005/1</f>
        <v>47.252</v>
      </c>
      <c r="H6005" s="34" t="n">
        <f aca="false">IF(F6005=1,G6005,"")</f>
        <v>47.252</v>
      </c>
    </row>
    <row r="6006" customFormat="false" ht="15" hidden="false" customHeight="false" outlineLevel="0" collapsed="false">
      <c r="A6006" s="31" t="n">
        <v>42986.1666666667</v>
      </c>
      <c r="B6006" s="32" t="n">
        <v>48.232</v>
      </c>
      <c r="D6006" s="33" t="n">
        <f aca="false">WEEKDAY(A6006,2)</f>
        <v>5</v>
      </c>
      <c r="E6006" s="33" t="n">
        <f aca="false">HOUR(A6006)+MINUTE(A6006)/60</f>
        <v>4</v>
      </c>
      <c r="F6006" s="33" t="n">
        <f aca="false">IF(OR(D6006&gt;5,E6006&lt;8,E6006&gt;=18,COUNTIF($K$2:$K$10,INT(A6006))&gt;0),1,0)</f>
        <v>1</v>
      </c>
      <c r="G6006" s="34" t="n">
        <f aca="false">B6006/1</f>
        <v>48.232</v>
      </c>
      <c r="H6006" s="34" t="n">
        <f aca="false">IF(F6006=1,G6006,"")</f>
        <v>48.232</v>
      </c>
    </row>
    <row r="6007" customFormat="false" ht="15" hidden="false" customHeight="false" outlineLevel="0" collapsed="false">
      <c r="A6007" s="31" t="n">
        <v>42986.2083333333</v>
      </c>
      <c r="B6007" s="32" t="n">
        <v>47.309</v>
      </c>
      <c r="D6007" s="33" t="n">
        <f aca="false">WEEKDAY(A6007,2)</f>
        <v>5</v>
      </c>
      <c r="E6007" s="33" t="n">
        <f aca="false">HOUR(A6007)+MINUTE(A6007)/60</f>
        <v>5</v>
      </c>
      <c r="F6007" s="33" t="n">
        <f aca="false">IF(OR(D6007&gt;5,E6007&lt;8,E6007&gt;=18,COUNTIF($K$2:$K$10,INT(A6007))&gt;0),1,0)</f>
        <v>1</v>
      </c>
      <c r="G6007" s="34" t="n">
        <f aca="false">B6007/1</f>
        <v>47.309</v>
      </c>
      <c r="H6007" s="34" t="n">
        <f aca="false">IF(F6007=1,G6007,"")</f>
        <v>47.309</v>
      </c>
    </row>
    <row r="6008" customFormat="false" ht="15" hidden="false" customHeight="false" outlineLevel="0" collapsed="false">
      <c r="A6008" s="31" t="n">
        <v>42986.25</v>
      </c>
      <c r="B6008" s="32" t="n">
        <v>51.442</v>
      </c>
      <c r="D6008" s="33" t="n">
        <f aca="false">WEEKDAY(A6008,2)</f>
        <v>5</v>
      </c>
      <c r="E6008" s="33" t="n">
        <f aca="false">HOUR(A6008)+MINUTE(A6008)/60</f>
        <v>6</v>
      </c>
      <c r="F6008" s="33" t="n">
        <f aca="false">IF(OR(D6008&gt;5,E6008&lt;8,E6008&gt;=18,COUNTIF($K$2:$K$10,INT(A6008))&gt;0),1,0)</f>
        <v>1</v>
      </c>
      <c r="G6008" s="34" t="n">
        <f aca="false">B6008/1</f>
        <v>51.442</v>
      </c>
      <c r="H6008" s="34" t="n">
        <f aca="false">IF(F6008=1,G6008,"")</f>
        <v>51.442</v>
      </c>
    </row>
    <row r="6009" customFormat="false" ht="15" hidden="false" customHeight="false" outlineLevel="0" collapsed="false">
      <c r="A6009" s="31" t="n">
        <v>42986.2916666667</v>
      </c>
      <c r="B6009" s="32" t="n">
        <v>53.981</v>
      </c>
      <c r="D6009" s="33" t="n">
        <f aca="false">WEEKDAY(A6009,2)</f>
        <v>5</v>
      </c>
      <c r="E6009" s="33" t="n">
        <f aca="false">HOUR(A6009)+MINUTE(A6009)/60</f>
        <v>7</v>
      </c>
      <c r="F6009" s="33" t="n">
        <f aca="false">IF(OR(D6009&gt;5,E6009&lt;8,E6009&gt;=18,COUNTIF($K$2:$K$10,INT(A6009))&gt;0),1,0)</f>
        <v>1</v>
      </c>
      <c r="G6009" s="34" t="n">
        <f aca="false">B6009/1</f>
        <v>53.981</v>
      </c>
      <c r="H6009" s="34" t="n">
        <f aca="false">IF(F6009=1,G6009,"")</f>
        <v>53.981</v>
      </c>
    </row>
    <row r="6010" customFormat="false" ht="15" hidden="false" customHeight="false" outlineLevel="0" collapsed="false">
      <c r="A6010" s="31" t="n">
        <v>42986.3333333333</v>
      </c>
      <c r="B6010" s="32" t="n">
        <v>166.504</v>
      </c>
      <c r="D6010" s="33" t="n">
        <f aca="false">WEEKDAY(A6010,2)</f>
        <v>5</v>
      </c>
      <c r="E6010" s="33" t="n">
        <f aca="false">HOUR(A6010)+MINUTE(A6010)/60</f>
        <v>8</v>
      </c>
      <c r="F6010" s="33" t="n">
        <f aca="false">IF(OR(D6010&gt;5,E6010&lt;8,E6010&gt;=18,COUNTIF($K$2:$K$10,INT(A6010))&gt;0),1,0)</f>
        <v>0</v>
      </c>
      <c r="G6010" s="34" t="n">
        <f aca="false">B6010/1</f>
        <v>166.504</v>
      </c>
      <c r="H6010" s="34" t="str">
        <f aca="false">IF(F6010=1,G6010,"")</f>
        <v/>
      </c>
    </row>
    <row r="6011" customFormat="false" ht="15" hidden="false" customHeight="false" outlineLevel="0" collapsed="false">
      <c r="A6011" s="31" t="n">
        <v>42986.375</v>
      </c>
      <c r="B6011" s="32" t="n">
        <v>211.091</v>
      </c>
      <c r="D6011" s="33" t="n">
        <f aca="false">WEEKDAY(A6011,2)</f>
        <v>5</v>
      </c>
      <c r="E6011" s="33" t="n">
        <f aca="false">HOUR(A6011)+MINUTE(A6011)/60</f>
        <v>9</v>
      </c>
      <c r="F6011" s="33" t="n">
        <f aca="false">IF(OR(D6011&gt;5,E6011&lt;8,E6011&gt;=18,COUNTIF($K$2:$K$10,INT(A6011))&gt;0),1,0)</f>
        <v>0</v>
      </c>
      <c r="G6011" s="34" t="n">
        <f aca="false">B6011/1</f>
        <v>211.091</v>
      </c>
      <c r="H6011" s="34" t="str">
        <f aca="false">IF(F6011=1,G6011,"")</f>
        <v/>
      </c>
    </row>
    <row r="6012" customFormat="false" ht="15" hidden="false" customHeight="false" outlineLevel="0" collapsed="false">
      <c r="A6012" s="31" t="n">
        <v>42986.4166666667</v>
      </c>
      <c r="B6012" s="32" t="n">
        <v>226.783</v>
      </c>
      <c r="D6012" s="33" t="n">
        <f aca="false">WEEKDAY(A6012,2)</f>
        <v>5</v>
      </c>
      <c r="E6012" s="33" t="n">
        <f aca="false">HOUR(A6012)+MINUTE(A6012)/60</f>
        <v>10</v>
      </c>
      <c r="F6012" s="33" t="n">
        <f aca="false">IF(OR(D6012&gt;5,E6012&lt;8,E6012&gt;=18,COUNTIF($K$2:$K$10,INT(A6012))&gt;0),1,0)</f>
        <v>0</v>
      </c>
      <c r="G6012" s="34" t="n">
        <f aca="false">B6012/1</f>
        <v>226.783</v>
      </c>
      <c r="H6012" s="34" t="str">
        <f aca="false">IF(F6012=1,G6012,"")</f>
        <v/>
      </c>
    </row>
    <row r="6013" customFormat="false" ht="15" hidden="false" customHeight="false" outlineLevel="0" collapsed="false">
      <c r="A6013" s="31" t="n">
        <v>42986.4583333333</v>
      </c>
      <c r="B6013" s="32" t="n">
        <v>235.713</v>
      </c>
      <c r="D6013" s="33" t="n">
        <f aca="false">WEEKDAY(A6013,2)</f>
        <v>5</v>
      </c>
      <c r="E6013" s="33" t="n">
        <f aca="false">HOUR(A6013)+MINUTE(A6013)/60</f>
        <v>11</v>
      </c>
      <c r="F6013" s="33" t="n">
        <f aca="false">IF(OR(D6013&gt;5,E6013&lt;8,E6013&gt;=18,COUNTIF($K$2:$K$10,INT(A6013))&gt;0),1,0)</f>
        <v>0</v>
      </c>
      <c r="G6013" s="34" t="n">
        <f aca="false">B6013/1</f>
        <v>235.713</v>
      </c>
      <c r="H6013" s="34" t="str">
        <f aca="false">IF(F6013=1,G6013,"")</f>
        <v/>
      </c>
    </row>
    <row r="6014" customFormat="false" ht="15" hidden="false" customHeight="false" outlineLevel="0" collapsed="false">
      <c r="A6014" s="31" t="n">
        <v>42986.5</v>
      </c>
      <c r="B6014" s="32" t="n">
        <v>228.111</v>
      </c>
      <c r="D6014" s="33" t="n">
        <f aca="false">WEEKDAY(A6014,2)</f>
        <v>5</v>
      </c>
      <c r="E6014" s="33" t="n">
        <f aca="false">HOUR(A6014)+MINUTE(A6014)/60</f>
        <v>12</v>
      </c>
      <c r="F6014" s="33" t="n">
        <f aca="false">IF(OR(D6014&gt;5,E6014&lt;8,E6014&gt;=18,COUNTIF($K$2:$K$10,INT(A6014))&gt;0),1,0)</f>
        <v>0</v>
      </c>
      <c r="G6014" s="34" t="n">
        <f aca="false">B6014/1</f>
        <v>228.111</v>
      </c>
      <c r="H6014" s="34" t="str">
        <f aca="false">IF(F6014=1,G6014,"")</f>
        <v/>
      </c>
    </row>
    <row r="6015" customFormat="false" ht="15" hidden="false" customHeight="false" outlineLevel="0" collapsed="false">
      <c r="A6015" s="31" t="n">
        <v>42986.5416666667</v>
      </c>
      <c r="B6015" s="32" t="n">
        <v>229.329</v>
      </c>
      <c r="D6015" s="33" t="n">
        <f aca="false">WEEKDAY(A6015,2)</f>
        <v>5</v>
      </c>
      <c r="E6015" s="33" t="n">
        <f aca="false">HOUR(A6015)+MINUTE(A6015)/60</f>
        <v>13</v>
      </c>
      <c r="F6015" s="33" t="n">
        <f aca="false">IF(OR(D6015&gt;5,E6015&lt;8,E6015&gt;=18,COUNTIF($K$2:$K$10,INT(A6015))&gt;0),1,0)</f>
        <v>0</v>
      </c>
      <c r="G6015" s="34" t="n">
        <f aca="false">B6015/1</f>
        <v>229.329</v>
      </c>
      <c r="H6015" s="34" t="str">
        <f aca="false">IF(F6015=1,G6015,"")</f>
        <v/>
      </c>
    </row>
    <row r="6016" customFormat="false" ht="15" hidden="false" customHeight="false" outlineLevel="0" collapsed="false">
      <c r="A6016" s="31" t="n">
        <v>42986.5833333333</v>
      </c>
      <c r="B6016" s="32" t="n">
        <v>230.632</v>
      </c>
      <c r="D6016" s="33" t="n">
        <f aca="false">WEEKDAY(A6016,2)</f>
        <v>5</v>
      </c>
      <c r="E6016" s="33" t="n">
        <f aca="false">HOUR(A6016)+MINUTE(A6016)/60</f>
        <v>14</v>
      </c>
      <c r="F6016" s="33" t="n">
        <f aca="false">IF(OR(D6016&gt;5,E6016&lt;8,E6016&gt;=18,COUNTIF($K$2:$K$10,INT(A6016))&gt;0),1,0)</f>
        <v>0</v>
      </c>
      <c r="G6016" s="34" t="n">
        <f aca="false">B6016/1</f>
        <v>230.632</v>
      </c>
      <c r="H6016" s="34" t="str">
        <f aca="false">IF(F6016=1,G6016,"")</f>
        <v/>
      </c>
    </row>
    <row r="6017" customFormat="false" ht="15" hidden="false" customHeight="false" outlineLevel="0" collapsed="false">
      <c r="A6017" s="31" t="n">
        <v>42986.625</v>
      </c>
      <c r="B6017" s="32" t="n">
        <v>221.349</v>
      </c>
      <c r="D6017" s="33" t="n">
        <f aca="false">WEEKDAY(A6017,2)</f>
        <v>5</v>
      </c>
      <c r="E6017" s="33" t="n">
        <f aca="false">HOUR(A6017)+MINUTE(A6017)/60</f>
        <v>15</v>
      </c>
      <c r="F6017" s="33" t="n">
        <f aca="false">IF(OR(D6017&gt;5,E6017&lt;8,E6017&gt;=18,COUNTIF($K$2:$K$10,INT(A6017))&gt;0),1,0)</f>
        <v>0</v>
      </c>
      <c r="G6017" s="34" t="n">
        <f aca="false">B6017/1</f>
        <v>221.349</v>
      </c>
      <c r="H6017" s="34" t="str">
        <f aca="false">IF(F6017=1,G6017,"")</f>
        <v/>
      </c>
    </row>
    <row r="6018" customFormat="false" ht="15" hidden="false" customHeight="false" outlineLevel="0" collapsed="false">
      <c r="A6018" s="31" t="n">
        <v>42986.6666666667</v>
      </c>
      <c r="B6018" s="32" t="n">
        <v>217.922</v>
      </c>
      <c r="D6018" s="33" t="n">
        <f aca="false">WEEKDAY(A6018,2)</f>
        <v>5</v>
      </c>
      <c r="E6018" s="33" t="n">
        <f aca="false">HOUR(A6018)+MINUTE(A6018)/60</f>
        <v>16</v>
      </c>
      <c r="F6018" s="33" t="n">
        <f aca="false">IF(OR(D6018&gt;5,E6018&lt;8,E6018&gt;=18,COUNTIF($K$2:$K$10,INT(A6018))&gt;0),1,0)</f>
        <v>0</v>
      </c>
      <c r="G6018" s="34" t="n">
        <f aca="false">B6018/1</f>
        <v>217.922</v>
      </c>
      <c r="H6018" s="34" t="str">
        <f aca="false">IF(F6018=1,G6018,"")</f>
        <v/>
      </c>
    </row>
    <row r="6019" customFormat="false" ht="15" hidden="false" customHeight="false" outlineLevel="0" collapsed="false">
      <c r="A6019" s="31" t="n">
        <v>42986.7083333333</v>
      </c>
      <c r="B6019" s="32" t="n">
        <v>207.887</v>
      </c>
      <c r="D6019" s="33" t="n">
        <f aca="false">WEEKDAY(A6019,2)</f>
        <v>5</v>
      </c>
      <c r="E6019" s="33" t="n">
        <f aca="false">HOUR(A6019)+MINUTE(A6019)/60</f>
        <v>17</v>
      </c>
      <c r="F6019" s="33" t="n">
        <f aca="false">IF(OR(D6019&gt;5,E6019&lt;8,E6019&gt;=18,COUNTIF($K$2:$K$10,INT(A6019))&gt;0),1,0)</f>
        <v>0</v>
      </c>
      <c r="G6019" s="34" t="n">
        <f aca="false">B6019/1</f>
        <v>207.887</v>
      </c>
      <c r="H6019" s="34" t="str">
        <f aca="false">IF(F6019=1,G6019,"")</f>
        <v/>
      </c>
    </row>
    <row r="6020" customFormat="false" ht="15" hidden="false" customHeight="false" outlineLevel="0" collapsed="false">
      <c r="A6020" s="31" t="n">
        <v>42986.75</v>
      </c>
      <c r="B6020" s="32" t="n">
        <v>189.02</v>
      </c>
      <c r="D6020" s="33" t="n">
        <f aca="false">WEEKDAY(A6020,2)</f>
        <v>5</v>
      </c>
      <c r="E6020" s="33" t="n">
        <f aca="false">HOUR(A6020)+MINUTE(A6020)/60</f>
        <v>18</v>
      </c>
      <c r="F6020" s="33" t="n">
        <f aca="false">IF(OR(D6020&gt;5,E6020&lt;8,E6020&gt;=18,COUNTIF($K$2:$K$10,INT(A6020))&gt;0),1,0)</f>
        <v>1</v>
      </c>
      <c r="G6020" s="34" t="n">
        <f aca="false">B6020/1</f>
        <v>189.02</v>
      </c>
      <c r="H6020" s="34" t="n">
        <f aca="false">IF(F6020=1,G6020,"")</f>
        <v>189.02</v>
      </c>
    </row>
    <row r="6021" customFormat="false" ht="15" hidden="false" customHeight="false" outlineLevel="0" collapsed="false">
      <c r="A6021" s="31" t="n">
        <v>42986.7916666667</v>
      </c>
      <c r="B6021" s="32" t="n">
        <v>180.03</v>
      </c>
      <c r="D6021" s="33" t="n">
        <f aca="false">WEEKDAY(A6021,2)</f>
        <v>5</v>
      </c>
      <c r="E6021" s="33" t="n">
        <f aca="false">HOUR(A6021)+MINUTE(A6021)/60</f>
        <v>19</v>
      </c>
      <c r="F6021" s="33" t="n">
        <f aca="false">IF(OR(D6021&gt;5,E6021&lt;8,E6021&gt;=18,COUNTIF($K$2:$K$10,INT(A6021))&gt;0),1,0)</f>
        <v>1</v>
      </c>
      <c r="G6021" s="34" t="n">
        <f aca="false">B6021/1</f>
        <v>180.03</v>
      </c>
      <c r="H6021" s="34" t="n">
        <f aca="false">IF(F6021=1,G6021,"")</f>
        <v>180.03</v>
      </c>
    </row>
    <row r="6022" customFormat="false" ht="15" hidden="false" customHeight="false" outlineLevel="0" collapsed="false">
      <c r="A6022" s="31" t="n">
        <v>42986.8333333333</v>
      </c>
      <c r="B6022" s="32" t="n">
        <v>179.095</v>
      </c>
      <c r="D6022" s="33" t="n">
        <f aca="false">WEEKDAY(A6022,2)</f>
        <v>5</v>
      </c>
      <c r="E6022" s="33" t="n">
        <f aca="false">HOUR(A6022)+MINUTE(A6022)/60</f>
        <v>20</v>
      </c>
      <c r="F6022" s="33" t="n">
        <f aca="false">IF(OR(D6022&gt;5,E6022&lt;8,E6022&gt;=18,COUNTIF($K$2:$K$10,INT(A6022))&gt;0),1,0)</f>
        <v>1</v>
      </c>
      <c r="G6022" s="34" t="n">
        <f aca="false">B6022/1</f>
        <v>179.095</v>
      </c>
      <c r="H6022" s="34" t="n">
        <f aca="false">IF(F6022=1,G6022,"")</f>
        <v>179.095</v>
      </c>
    </row>
    <row r="6023" customFormat="false" ht="15" hidden="false" customHeight="false" outlineLevel="0" collapsed="false">
      <c r="A6023" s="31" t="n">
        <v>42986.875</v>
      </c>
      <c r="B6023" s="32" t="n">
        <v>175.151</v>
      </c>
      <c r="D6023" s="33" t="n">
        <f aca="false">WEEKDAY(A6023,2)</f>
        <v>5</v>
      </c>
      <c r="E6023" s="33" t="n">
        <f aca="false">HOUR(A6023)+MINUTE(A6023)/60</f>
        <v>21</v>
      </c>
      <c r="F6023" s="33" t="n">
        <f aca="false">IF(OR(D6023&gt;5,E6023&lt;8,E6023&gt;=18,COUNTIF($K$2:$K$10,INT(A6023))&gt;0),1,0)</f>
        <v>1</v>
      </c>
      <c r="G6023" s="34" t="n">
        <f aca="false">B6023/1</f>
        <v>175.151</v>
      </c>
      <c r="H6023" s="34" t="n">
        <f aca="false">IF(F6023=1,G6023,"")</f>
        <v>175.151</v>
      </c>
    </row>
    <row r="6024" customFormat="false" ht="15" hidden="false" customHeight="false" outlineLevel="0" collapsed="false">
      <c r="A6024" s="31" t="n">
        <v>42986.9166666667</v>
      </c>
      <c r="B6024" s="32" t="n">
        <v>117.353</v>
      </c>
      <c r="D6024" s="33" t="n">
        <f aca="false">WEEKDAY(A6024,2)</f>
        <v>5</v>
      </c>
      <c r="E6024" s="33" t="n">
        <f aca="false">HOUR(A6024)+MINUTE(A6024)/60</f>
        <v>22</v>
      </c>
      <c r="F6024" s="33" t="n">
        <f aca="false">IF(OR(D6024&gt;5,E6024&lt;8,E6024&gt;=18,COUNTIF($K$2:$K$10,INT(A6024))&gt;0),1,0)</f>
        <v>1</v>
      </c>
      <c r="G6024" s="34" t="n">
        <f aca="false">B6024/1</f>
        <v>117.353</v>
      </c>
      <c r="H6024" s="34" t="n">
        <f aca="false">IF(F6024=1,G6024,"")</f>
        <v>117.353</v>
      </c>
    </row>
    <row r="6025" customFormat="false" ht="15" hidden="false" customHeight="false" outlineLevel="0" collapsed="false">
      <c r="A6025" s="31" t="n">
        <v>42986.9583333333</v>
      </c>
      <c r="B6025" s="32" t="n">
        <v>54.904</v>
      </c>
      <c r="D6025" s="33" t="n">
        <f aca="false">WEEKDAY(A6025,2)</f>
        <v>5</v>
      </c>
      <c r="E6025" s="33" t="n">
        <f aca="false">HOUR(A6025)+MINUTE(A6025)/60</f>
        <v>23</v>
      </c>
      <c r="F6025" s="33" t="n">
        <f aca="false">IF(OR(D6025&gt;5,E6025&lt;8,E6025&gt;=18,COUNTIF($K$2:$K$10,INT(A6025))&gt;0),1,0)</f>
        <v>1</v>
      </c>
      <c r="G6025" s="34" t="n">
        <f aca="false">B6025/1</f>
        <v>54.904</v>
      </c>
      <c r="H6025" s="34" t="n">
        <f aca="false">IF(F6025=1,G6025,"")</f>
        <v>54.904</v>
      </c>
    </row>
    <row r="6026" customFormat="false" ht="15" hidden="false" customHeight="false" outlineLevel="0" collapsed="false">
      <c r="A6026" s="31" t="n">
        <v>42987</v>
      </c>
      <c r="B6026" s="32" t="n">
        <v>50.746</v>
      </c>
      <c r="D6026" s="33" t="n">
        <f aca="false">WEEKDAY(A6026,2)</f>
        <v>6</v>
      </c>
      <c r="E6026" s="33" t="n">
        <f aca="false">HOUR(A6026)+MINUTE(A6026)/60</f>
        <v>0</v>
      </c>
      <c r="F6026" s="33" t="n">
        <f aca="false">IF(OR(D6026&gt;5,E6026&lt;8,E6026&gt;=18,COUNTIF($K$2:$K$10,INT(A6026))&gt;0),1,0)</f>
        <v>1</v>
      </c>
      <c r="G6026" s="34" t="n">
        <f aca="false">B6026/1</f>
        <v>50.746</v>
      </c>
      <c r="H6026" s="34" t="n">
        <f aca="false">IF(F6026=1,G6026,"")</f>
        <v>50.746</v>
      </c>
    </row>
    <row r="6027" customFormat="false" ht="15" hidden="false" customHeight="false" outlineLevel="0" collapsed="false">
      <c r="A6027" s="31" t="n">
        <v>42987.0416666667</v>
      </c>
      <c r="B6027" s="32" t="n">
        <v>48.27</v>
      </c>
      <c r="D6027" s="33" t="n">
        <f aca="false">WEEKDAY(A6027,2)</f>
        <v>6</v>
      </c>
      <c r="E6027" s="33" t="n">
        <f aca="false">HOUR(A6027)+MINUTE(A6027)/60</f>
        <v>1</v>
      </c>
      <c r="F6027" s="33" t="n">
        <f aca="false">IF(OR(D6027&gt;5,E6027&lt;8,E6027&gt;=18,COUNTIF($K$2:$K$10,INT(A6027))&gt;0),1,0)</f>
        <v>1</v>
      </c>
      <c r="G6027" s="34" t="n">
        <f aca="false">B6027/1</f>
        <v>48.27</v>
      </c>
      <c r="H6027" s="34" t="n">
        <f aca="false">IF(F6027=1,G6027,"")</f>
        <v>48.27</v>
      </c>
    </row>
    <row r="6028" customFormat="false" ht="15" hidden="false" customHeight="false" outlineLevel="0" collapsed="false">
      <c r="A6028" s="31" t="n">
        <v>42987.0833333333</v>
      </c>
      <c r="B6028" s="32" t="n">
        <v>48.498</v>
      </c>
      <c r="D6028" s="33" t="n">
        <f aca="false">WEEKDAY(A6028,2)</f>
        <v>6</v>
      </c>
      <c r="E6028" s="33" t="n">
        <f aca="false">HOUR(A6028)+MINUTE(A6028)/60</f>
        <v>2</v>
      </c>
      <c r="F6028" s="33" t="n">
        <f aca="false">IF(OR(D6028&gt;5,E6028&lt;8,E6028&gt;=18,COUNTIF($K$2:$K$10,INT(A6028))&gt;0),1,0)</f>
        <v>1</v>
      </c>
      <c r="G6028" s="34" t="n">
        <f aca="false">B6028/1</f>
        <v>48.498</v>
      </c>
      <c r="H6028" s="34" t="n">
        <f aca="false">IF(F6028=1,G6028,"")</f>
        <v>48.498</v>
      </c>
    </row>
    <row r="6029" customFormat="false" ht="15" hidden="false" customHeight="false" outlineLevel="0" collapsed="false">
      <c r="A6029" s="31" t="n">
        <v>42987.125</v>
      </c>
      <c r="B6029" s="32" t="n">
        <v>47.527</v>
      </c>
      <c r="D6029" s="33" t="n">
        <f aca="false">WEEKDAY(A6029,2)</f>
        <v>6</v>
      </c>
      <c r="E6029" s="33" t="n">
        <f aca="false">HOUR(A6029)+MINUTE(A6029)/60</f>
        <v>3</v>
      </c>
      <c r="F6029" s="33" t="n">
        <f aca="false">IF(OR(D6029&gt;5,E6029&lt;8,E6029&gt;=18,COUNTIF($K$2:$K$10,INT(A6029))&gt;0),1,0)</f>
        <v>1</v>
      </c>
      <c r="G6029" s="34" t="n">
        <f aca="false">B6029/1</f>
        <v>47.527</v>
      </c>
      <c r="H6029" s="34" t="n">
        <f aca="false">IF(F6029=1,G6029,"")</f>
        <v>47.527</v>
      </c>
    </row>
    <row r="6030" customFormat="false" ht="15" hidden="false" customHeight="false" outlineLevel="0" collapsed="false">
      <c r="A6030" s="31" t="n">
        <v>42987.1666666667</v>
      </c>
      <c r="B6030" s="32" t="n">
        <v>49.853</v>
      </c>
      <c r="D6030" s="33" t="n">
        <f aca="false">WEEKDAY(A6030,2)</f>
        <v>6</v>
      </c>
      <c r="E6030" s="33" t="n">
        <f aca="false">HOUR(A6030)+MINUTE(A6030)/60</f>
        <v>4</v>
      </c>
      <c r="F6030" s="33" t="n">
        <f aca="false">IF(OR(D6030&gt;5,E6030&lt;8,E6030&gt;=18,COUNTIF($K$2:$K$10,INT(A6030))&gt;0),1,0)</f>
        <v>1</v>
      </c>
      <c r="G6030" s="34" t="n">
        <f aca="false">B6030/1</f>
        <v>49.853</v>
      </c>
      <c r="H6030" s="34" t="n">
        <f aca="false">IF(F6030=1,G6030,"")</f>
        <v>49.853</v>
      </c>
    </row>
    <row r="6031" customFormat="false" ht="15" hidden="false" customHeight="false" outlineLevel="0" collapsed="false">
      <c r="A6031" s="31" t="n">
        <v>42987.2083333333</v>
      </c>
      <c r="B6031" s="32" t="n">
        <v>46.4</v>
      </c>
      <c r="D6031" s="33" t="n">
        <f aca="false">WEEKDAY(A6031,2)</f>
        <v>6</v>
      </c>
      <c r="E6031" s="33" t="n">
        <f aca="false">HOUR(A6031)+MINUTE(A6031)/60</f>
        <v>5</v>
      </c>
      <c r="F6031" s="33" t="n">
        <f aca="false">IF(OR(D6031&gt;5,E6031&lt;8,E6031&gt;=18,COUNTIF($K$2:$K$10,INT(A6031))&gt;0),1,0)</f>
        <v>1</v>
      </c>
      <c r="G6031" s="34" t="n">
        <f aca="false">B6031/1</f>
        <v>46.4</v>
      </c>
      <c r="H6031" s="34" t="n">
        <f aca="false">IF(F6031=1,G6031,"")</f>
        <v>46.4</v>
      </c>
    </row>
    <row r="6032" customFormat="false" ht="15" hidden="false" customHeight="false" outlineLevel="0" collapsed="false">
      <c r="A6032" s="31" t="n">
        <v>42987.25</v>
      </c>
      <c r="B6032" s="32" t="n">
        <v>49.959</v>
      </c>
      <c r="D6032" s="33" t="n">
        <f aca="false">WEEKDAY(A6032,2)</f>
        <v>6</v>
      </c>
      <c r="E6032" s="33" t="n">
        <f aca="false">HOUR(A6032)+MINUTE(A6032)/60</f>
        <v>6</v>
      </c>
      <c r="F6032" s="33" t="n">
        <f aca="false">IF(OR(D6032&gt;5,E6032&lt;8,E6032&gt;=18,COUNTIF($K$2:$K$10,INT(A6032))&gt;0),1,0)</f>
        <v>1</v>
      </c>
      <c r="G6032" s="34" t="n">
        <f aca="false">B6032/1</f>
        <v>49.959</v>
      </c>
      <c r="H6032" s="34" t="n">
        <f aca="false">IF(F6032=1,G6032,"")</f>
        <v>49.959</v>
      </c>
    </row>
    <row r="6033" customFormat="false" ht="15" hidden="false" customHeight="false" outlineLevel="0" collapsed="false">
      <c r="A6033" s="31" t="n">
        <v>42987.2916666667</v>
      </c>
      <c r="B6033" s="32" t="n">
        <v>48.802</v>
      </c>
      <c r="D6033" s="33" t="n">
        <f aca="false">WEEKDAY(A6033,2)</f>
        <v>6</v>
      </c>
      <c r="E6033" s="33" t="n">
        <f aca="false">HOUR(A6033)+MINUTE(A6033)/60</f>
        <v>7</v>
      </c>
      <c r="F6033" s="33" t="n">
        <f aca="false">IF(OR(D6033&gt;5,E6033&lt;8,E6033&gt;=18,COUNTIF($K$2:$K$10,INT(A6033))&gt;0),1,0)</f>
        <v>1</v>
      </c>
      <c r="G6033" s="34" t="n">
        <f aca="false">B6033/1</f>
        <v>48.802</v>
      </c>
      <c r="H6033" s="34" t="n">
        <f aca="false">IF(F6033=1,G6033,"")</f>
        <v>48.802</v>
      </c>
    </row>
    <row r="6034" customFormat="false" ht="15" hidden="false" customHeight="false" outlineLevel="0" collapsed="false">
      <c r="A6034" s="31" t="n">
        <v>42987.3333333333</v>
      </c>
      <c r="B6034" s="32" t="n">
        <v>112.498</v>
      </c>
      <c r="D6034" s="33" t="n">
        <f aca="false">WEEKDAY(A6034,2)</f>
        <v>6</v>
      </c>
      <c r="E6034" s="33" t="n">
        <f aca="false">HOUR(A6034)+MINUTE(A6034)/60</f>
        <v>8</v>
      </c>
      <c r="F6034" s="33" t="n">
        <f aca="false">IF(OR(D6034&gt;5,E6034&lt;8,E6034&gt;=18,COUNTIF($K$2:$K$10,INT(A6034))&gt;0),1,0)</f>
        <v>1</v>
      </c>
      <c r="G6034" s="34" t="n">
        <f aca="false">B6034/1</f>
        <v>112.498</v>
      </c>
      <c r="H6034" s="34" t="n">
        <f aca="false">IF(F6034=1,G6034,"")</f>
        <v>112.498</v>
      </c>
    </row>
    <row r="6035" customFormat="false" ht="15" hidden="false" customHeight="false" outlineLevel="0" collapsed="false">
      <c r="A6035" s="31" t="n">
        <v>42987.375</v>
      </c>
      <c r="B6035" s="32" t="n">
        <v>156.432</v>
      </c>
      <c r="D6035" s="33" t="n">
        <f aca="false">WEEKDAY(A6035,2)</f>
        <v>6</v>
      </c>
      <c r="E6035" s="33" t="n">
        <f aca="false">HOUR(A6035)+MINUTE(A6035)/60</f>
        <v>9</v>
      </c>
      <c r="F6035" s="33" t="n">
        <f aca="false">IF(OR(D6035&gt;5,E6035&lt;8,E6035&gt;=18,COUNTIF($K$2:$K$10,INT(A6035))&gt;0),1,0)</f>
        <v>1</v>
      </c>
      <c r="G6035" s="34" t="n">
        <f aca="false">B6035/1</f>
        <v>156.432</v>
      </c>
      <c r="H6035" s="34" t="n">
        <f aca="false">IF(F6035=1,G6035,"")</f>
        <v>156.432</v>
      </c>
    </row>
    <row r="6036" customFormat="false" ht="15" hidden="false" customHeight="false" outlineLevel="0" collapsed="false">
      <c r="A6036" s="31" t="n">
        <v>42987.4166666667</v>
      </c>
      <c r="B6036" s="32" t="n">
        <v>164.39</v>
      </c>
      <c r="D6036" s="33" t="n">
        <f aca="false">WEEKDAY(A6036,2)</f>
        <v>6</v>
      </c>
      <c r="E6036" s="33" t="n">
        <f aca="false">HOUR(A6036)+MINUTE(A6036)/60</f>
        <v>10</v>
      </c>
      <c r="F6036" s="33" t="n">
        <f aca="false">IF(OR(D6036&gt;5,E6036&lt;8,E6036&gt;=18,COUNTIF($K$2:$K$10,INT(A6036))&gt;0),1,0)</f>
        <v>1</v>
      </c>
      <c r="G6036" s="34" t="n">
        <f aca="false">B6036/1</f>
        <v>164.39</v>
      </c>
      <c r="H6036" s="34" t="n">
        <f aca="false">IF(F6036=1,G6036,"")</f>
        <v>164.39</v>
      </c>
    </row>
    <row r="6037" customFormat="false" ht="15" hidden="false" customHeight="false" outlineLevel="0" collapsed="false">
      <c r="A6037" s="31" t="n">
        <v>42987.4583333333</v>
      </c>
      <c r="B6037" s="32" t="n">
        <v>167.229</v>
      </c>
      <c r="D6037" s="33" t="n">
        <f aca="false">WEEKDAY(A6037,2)</f>
        <v>6</v>
      </c>
      <c r="E6037" s="33" t="n">
        <f aca="false">HOUR(A6037)+MINUTE(A6037)/60</f>
        <v>11</v>
      </c>
      <c r="F6037" s="33" t="n">
        <f aca="false">IF(OR(D6037&gt;5,E6037&lt;8,E6037&gt;=18,COUNTIF($K$2:$K$10,INT(A6037))&gt;0),1,0)</f>
        <v>1</v>
      </c>
      <c r="G6037" s="34" t="n">
        <f aca="false">B6037/1</f>
        <v>167.229</v>
      </c>
      <c r="H6037" s="34" t="n">
        <f aca="false">IF(F6037=1,G6037,"")</f>
        <v>167.229</v>
      </c>
    </row>
    <row r="6038" customFormat="false" ht="15" hidden="false" customHeight="false" outlineLevel="0" collapsed="false">
      <c r="A6038" s="31" t="n">
        <v>42987.5</v>
      </c>
      <c r="B6038" s="32" t="n">
        <v>162.444</v>
      </c>
      <c r="D6038" s="33" t="n">
        <f aca="false">WEEKDAY(A6038,2)</f>
        <v>6</v>
      </c>
      <c r="E6038" s="33" t="n">
        <f aca="false">HOUR(A6038)+MINUTE(A6038)/60</f>
        <v>12</v>
      </c>
      <c r="F6038" s="33" t="n">
        <f aca="false">IF(OR(D6038&gt;5,E6038&lt;8,E6038&gt;=18,COUNTIF($K$2:$K$10,INT(A6038))&gt;0),1,0)</f>
        <v>1</v>
      </c>
      <c r="G6038" s="34" t="n">
        <f aca="false">B6038/1</f>
        <v>162.444</v>
      </c>
      <c r="H6038" s="34" t="n">
        <f aca="false">IF(F6038=1,G6038,"")</f>
        <v>162.444</v>
      </c>
    </row>
    <row r="6039" customFormat="false" ht="15" hidden="false" customHeight="false" outlineLevel="0" collapsed="false">
      <c r="A6039" s="31" t="n">
        <v>42987.5416666667</v>
      </c>
      <c r="B6039" s="32" t="n">
        <v>161.55</v>
      </c>
      <c r="D6039" s="33" t="n">
        <f aca="false">WEEKDAY(A6039,2)</f>
        <v>6</v>
      </c>
      <c r="E6039" s="33" t="n">
        <f aca="false">HOUR(A6039)+MINUTE(A6039)/60</f>
        <v>13</v>
      </c>
      <c r="F6039" s="33" t="n">
        <f aca="false">IF(OR(D6039&gt;5,E6039&lt;8,E6039&gt;=18,COUNTIF($K$2:$K$10,INT(A6039))&gt;0),1,0)</f>
        <v>1</v>
      </c>
      <c r="G6039" s="34" t="n">
        <f aca="false">B6039/1</f>
        <v>161.55</v>
      </c>
      <c r="H6039" s="34" t="n">
        <f aca="false">IF(F6039=1,G6039,"")</f>
        <v>161.55</v>
      </c>
    </row>
    <row r="6040" customFormat="false" ht="15" hidden="false" customHeight="false" outlineLevel="0" collapsed="false">
      <c r="A6040" s="31" t="n">
        <v>42987.5833333333</v>
      </c>
      <c r="B6040" s="32" t="n">
        <v>161.298</v>
      </c>
      <c r="D6040" s="33" t="n">
        <f aca="false">WEEKDAY(A6040,2)</f>
        <v>6</v>
      </c>
      <c r="E6040" s="33" t="n">
        <f aca="false">HOUR(A6040)+MINUTE(A6040)/60</f>
        <v>14</v>
      </c>
      <c r="F6040" s="33" t="n">
        <f aca="false">IF(OR(D6040&gt;5,E6040&lt;8,E6040&gt;=18,COUNTIF($K$2:$K$10,INT(A6040))&gt;0),1,0)</f>
        <v>1</v>
      </c>
      <c r="G6040" s="34" t="n">
        <f aca="false">B6040/1</f>
        <v>161.298</v>
      </c>
      <c r="H6040" s="34" t="n">
        <f aca="false">IF(F6040=1,G6040,"")</f>
        <v>161.298</v>
      </c>
    </row>
    <row r="6041" customFormat="false" ht="15" hidden="false" customHeight="false" outlineLevel="0" collapsed="false">
      <c r="A6041" s="31" t="n">
        <v>42987.625</v>
      </c>
      <c r="B6041" s="32" t="n">
        <v>161.773</v>
      </c>
      <c r="D6041" s="33" t="n">
        <f aca="false">WEEKDAY(A6041,2)</f>
        <v>6</v>
      </c>
      <c r="E6041" s="33" t="n">
        <f aca="false">HOUR(A6041)+MINUTE(A6041)/60</f>
        <v>15</v>
      </c>
      <c r="F6041" s="33" t="n">
        <f aca="false">IF(OR(D6041&gt;5,E6041&lt;8,E6041&gt;=18,COUNTIF($K$2:$K$10,INT(A6041))&gt;0),1,0)</f>
        <v>1</v>
      </c>
      <c r="G6041" s="34" t="n">
        <f aca="false">B6041/1</f>
        <v>161.773</v>
      </c>
      <c r="H6041" s="34" t="n">
        <f aca="false">IF(F6041=1,G6041,"")</f>
        <v>161.773</v>
      </c>
    </row>
    <row r="6042" customFormat="false" ht="15" hidden="false" customHeight="false" outlineLevel="0" collapsed="false">
      <c r="A6042" s="31" t="n">
        <v>42987.6666666667</v>
      </c>
      <c r="B6042" s="32" t="n">
        <v>162.567</v>
      </c>
      <c r="D6042" s="33" t="n">
        <f aca="false">WEEKDAY(A6042,2)</f>
        <v>6</v>
      </c>
      <c r="E6042" s="33" t="n">
        <f aca="false">HOUR(A6042)+MINUTE(A6042)/60</f>
        <v>16</v>
      </c>
      <c r="F6042" s="33" t="n">
        <f aca="false">IF(OR(D6042&gt;5,E6042&lt;8,E6042&gt;=18,COUNTIF($K$2:$K$10,INT(A6042))&gt;0),1,0)</f>
        <v>1</v>
      </c>
      <c r="G6042" s="34" t="n">
        <f aca="false">B6042/1</f>
        <v>162.567</v>
      </c>
      <c r="H6042" s="34" t="n">
        <f aca="false">IF(F6042=1,G6042,"")</f>
        <v>162.567</v>
      </c>
    </row>
    <row r="6043" customFormat="false" ht="15" hidden="false" customHeight="false" outlineLevel="0" collapsed="false">
      <c r="A6043" s="31" t="n">
        <v>42987.7083333333</v>
      </c>
      <c r="B6043" s="32" t="n">
        <v>155.534</v>
      </c>
      <c r="D6043" s="33" t="n">
        <f aca="false">WEEKDAY(A6043,2)</f>
        <v>6</v>
      </c>
      <c r="E6043" s="33" t="n">
        <f aca="false">HOUR(A6043)+MINUTE(A6043)/60</f>
        <v>17</v>
      </c>
      <c r="F6043" s="33" t="n">
        <f aca="false">IF(OR(D6043&gt;5,E6043&lt;8,E6043&gt;=18,COUNTIF($K$2:$K$10,INT(A6043))&gt;0),1,0)</f>
        <v>1</v>
      </c>
      <c r="G6043" s="34" t="n">
        <f aca="false">B6043/1</f>
        <v>155.534</v>
      </c>
      <c r="H6043" s="34" t="n">
        <f aca="false">IF(F6043=1,G6043,"")</f>
        <v>155.534</v>
      </c>
    </row>
    <row r="6044" customFormat="false" ht="15" hidden="false" customHeight="false" outlineLevel="0" collapsed="false">
      <c r="A6044" s="31" t="n">
        <v>42987.75</v>
      </c>
      <c r="B6044" s="32" t="n">
        <v>66.868</v>
      </c>
      <c r="D6044" s="33" t="n">
        <f aca="false">WEEKDAY(A6044,2)</f>
        <v>6</v>
      </c>
      <c r="E6044" s="33" t="n">
        <f aca="false">HOUR(A6044)+MINUTE(A6044)/60</f>
        <v>18</v>
      </c>
      <c r="F6044" s="33" t="n">
        <f aca="false">IF(OR(D6044&gt;5,E6044&lt;8,E6044&gt;=18,COUNTIF($K$2:$K$10,INT(A6044))&gt;0),1,0)</f>
        <v>1</v>
      </c>
      <c r="G6044" s="34" t="n">
        <f aca="false">B6044/1</f>
        <v>66.868</v>
      </c>
      <c r="H6044" s="34" t="n">
        <f aca="false">IF(F6044=1,G6044,"")</f>
        <v>66.868</v>
      </c>
    </row>
    <row r="6045" customFormat="false" ht="15" hidden="false" customHeight="false" outlineLevel="0" collapsed="false">
      <c r="A6045" s="31" t="n">
        <v>42987.7916666667</v>
      </c>
      <c r="B6045" s="32" t="n">
        <v>47.828</v>
      </c>
      <c r="D6045" s="33" t="n">
        <f aca="false">WEEKDAY(A6045,2)</f>
        <v>6</v>
      </c>
      <c r="E6045" s="33" t="n">
        <f aca="false">HOUR(A6045)+MINUTE(A6045)/60</f>
        <v>19</v>
      </c>
      <c r="F6045" s="33" t="n">
        <f aca="false">IF(OR(D6045&gt;5,E6045&lt;8,E6045&gt;=18,COUNTIF($K$2:$K$10,INT(A6045))&gt;0),1,0)</f>
        <v>1</v>
      </c>
      <c r="G6045" s="34" t="n">
        <f aca="false">B6045/1</f>
        <v>47.828</v>
      </c>
      <c r="H6045" s="34" t="n">
        <f aca="false">IF(F6045=1,G6045,"")</f>
        <v>47.828</v>
      </c>
    </row>
    <row r="6046" customFormat="false" ht="15" hidden="false" customHeight="false" outlineLevel="0" collapsed="false">
      <c r="A6046" s="31" t="n">
        <v>42987.8333333333</v>
      </c>
      <c r="B6046" s="32" t="n">
        <v>46.554</v>
      </c>
      <c r="D6046" s="33" t="n">
        <f aca="false">WEEKDAY(A6046,2)</f>
        <v>6</v>
      </c>
      <c r="E6046" s="33" t="n">
        <f aca="false">HOUR(A6046)+MINUTE(A6046)/60</f>
        <v>20</v>
      </c>
      <c r="F6046" s="33" t="n">
        <f aca="false">IF(OR(D6046&gt;5,E6046&lt;8,E6046&gt;=18,COUNTIF($K$2:$K$10,INT(A6046))&gt;0),1,0)</f>
        <v>1</v>
      </c>
      <c r="G6046" s="34" t="n">
        <f aca="false">B6046/1</f>
        <v>46.554</v>
      </c>
      <c r="H6046" s="34" t="n">
        <f aca="false">IF(F6046=1,G6046,"")</f>
        <v>46.554</v>
      </c>
    </row>
    <row r="6047" customFormat="false" ht="15" hidden="false" customHeight="false" outlineLevel="0" collapsed="false">
      <c r="A6047" s="31" t="n">
        <v>42987.875</v>
      </c>
      <c r="B6047" s="32" t="n">
        <v>49.857</v>
      </c>
      <c r="D6047" s="33" t="n">
        <f aca="false">WEEKDAY(A6047,2)</f>
        <v>6</v>
      </c>
      <c r="E6047" s="33" t="n">
        <f aca="false">HOUR(A6047)+MINUTE(A6047)/60</f>
        <v>21</v>
      </c>
      <c r="F6047" s="33" t="n">
        <f aca="false">IF(OR(D6047&gt;5,E6047&lt;8,E6047&gt;=18,COUNTIF($K$2:$K$10,INT(A6047))&gt;0),1,0)</f>
        <v>1</v>
      </c>
      <c r="G6047" s="34" t="n">
        <f aca="false">B6047/1</f>
        <v>49.857</v>
      </c>
      <c r="H6047" s="34" t="n">
        <f aca="false">IF(F6047=1,G6047,"")</f>
        <v>49.857</v>
      </c>
    </row>
    <row r="6048" customFormat="false" ht="15" hidden="false" customHeight="false" outlineLevel="0" collapsed="false">
      <c r="A6048" s="31" t="n">
        <v>42987.9166666667</v>
      </c>
      <c r="B6048" s="32" t="n">
        <v>49.547</v>
      </c>
      <c r="D6048" s="33" t="n">
        <f aca="false">WEEKDAY(A6048,2)</f>
        <v>6</v>
      </c>
      <c r="E6048" s="33" t="n">
        <f aca="false">HOUR(A6048)+MINUTE(A6048)/60</f>
        <v>22</v>
      </c>
      <c r="F6048" s="33" t="n">
        <f aca="false">IF(OR(D6048&gt;5,E6048&lt;8,E6048&gt;=18,COUNTIF($K$2:$K$10,INT(A6048))&gt;0),1,0)</f>
        <v>1</v>
      </c>
      <c r="G6048" s="34" t="n">
        <f aca="false">B6048/1</f>
        <v>49.547</v>
      </c>
      <c r="H6048" s="34" t="n">
        <f aca="false">IF(F6048=1,G6048,"")</f>
        <v>49.547</v>
      </c>
    </row>
    <row r="6049" customFormat="false" ht="15" hidden="false" customHeight="false" outlineLevel="0" collapsed="false">
      <c r="A6049" s="31" t="n">
        <v>42987.9583333333</v>
      </c>
      <c r="B6049" s="32" t="n">
        <v>49.144</v>
      </c>
      <c r="D6049" s="33" t="n">
        <f aca="false">WEEKDAY(A6049,2)</f>
        <v>6</v>
      </c>
      <c r="E6049" s="33" t="n">
        <f aca="false">HOUR(A6049)+MINUTE(A6049)/60</f>
        <v>23</v>
      </c>
      <c r="F6049" s="33" t="n">
        <f aca="false">IF(OR(D6049&gt;5,E6049&lt;8,E6049&gt;=18,COUNTIF($K$2:$K$10,INT(A6049))&gt;0),1,0)</f>
        <v>1</v>
      </c>
      <c r="G6049" s="34" t="n">
        <f aca="false">B6049/1</f>
        <v>49.144</v>
      </c>
      <c r="H6049" s="34" t="n">
        <f aca="false">IF(F6049=1,G6049,"")</f>
        <v>49.144</v>
      </c>
    </row>
    <row r="6050" customFormat="false" ht="15" hidden="false" customHeight="false" outlineLevel="0" collapsed="false">
      <c r="A6050" s="31" t="n">
        <v>42988</v>
      </c>
      <c r="B6050" s="32" t="n">
        <v>47.347</v>
      </c>
      <c r="D6050" s="33" t="n">
        <f aca="false">WEEKDAY(A6050,2)</f>
        <v>7</v>
      </c>
      <c r="E6050" s="33" t="n">
        <f aca="false">HOUR(A6050)+MINUTE(A6050)/60</f>
        <v>0</v>
      </c>
      <c r="F6050" s="33" t="n">
        <f aca="false">IF(OR(D6050&gt;5,E6050&lt;8,E6050&gt;=18,COUNTIF($K$2:$K$10,INT(A6050))&gt;0),1,0)</f>
        <v>1</v>
      </c>
      <c r="G6050" s="34" t="n">
        <f aca="false">B6050/1</f>
        <v>47.347</v>
      </c>
      <c r="H6050" s="34" t="n">
        <f aca="false">IF(F6050=1,G6050,"")</f>
        <v>47.347</v>
      </c>
    </row>
    <row r="6051" customFormat="false" ht="15" hidden="false" customHeight="false" outlineLevel="0" collapsed="false">
      <c r="A6051" s="31" t="n">
        <v>42988.0416666667</v>
      </c>
      <c r="B6051" s="32" t="n">
        <v>46.719</v>
      </c>
      <c r="D6051" s="33" t="n">
        <f aca="false">WEEKDAY(A6051,2)</f>
        <v>7</v>
      </c>
      <c r="E6051" s="33" t="n">
        <f aca="false">HOUR(A6051)+MINUTE(A6051)/60</f>
        <v>1</v>
      </c>
      <c r="F6051" s="33" t="n">
        <f aca="false">IF(OR(D6051&gt;5,E6051&lt;8,E6051&gt;=18,COUNTIF($K$2:$K$10,INT(A6051))&gt;0),1,0)</f>
        <v>1</v>
      </c>
      <c r="G6051" s="34" t="n">
        <f aca="false">B6051/1</f>
        <v>46.719</v>
      </c>
      <c r="H6051" s="34" t="n">
        <f aca="false">IF(F6051=1,G6051,"")</f>
        <v>46.719</v>
      </c>
    </row>
    <row r="6052" customFormat="false" ht="15" hidden="false" customHeight="false" outlineLevel="0" collapsed="false">
      <c r="A6052" s="31" t="n">
        <v>42988.0833333333</v>
      </c>
      <c r="B6052" s="32" t="n">
        <v>46.897</v>
      </c>
      <c r="D6052" s="33" t="n">
        <f aca="false">WEEKDAY(A6052,2)</f>
        <v>7</v>
      </c>
      <c r="E6052" s="33" t="n">
        <f aca="false">HOUR(A6052)+MINUTE(A6052)/60</f>
        <v>2</v>
      </c>
      <c r="F6052" s="33" t="n">
        <f aca="false">IF(OR(D6052&gt;5,E6052&lt;8,E6052&gt;=18,COUNTIF($K$2:$K$10,INT(A6052))&gt;0),1,0)</f>
        <v>1</v>
      </c>
      <c r="G6052" s="34" t="n">
        <f aca="false">B6052/1</f>
        <v>46.897</v>
      </c>
      <c r="H6052" s="34" t="n">
        <f aca="false">IF(F6052=1,G6052,"")</f>
        <v>46.897</v>
      </c>
    </row>
    <row r="6053" customFormat="false" ht="15" hidden="false" customHeight="false" outlineLevel="0" collapsed="false">
      <c r="A6053" s="31" t="n">
        <v>42988.125</v>
      </c>
      <c r="B6053" s="32" t="n">
        <v>46.84</v>
      </c>
      <c r="D6053" s="33" t="n">
        <f aca="false">WEEKDAY(A6053,2)</f>
        <v>7</v>
      </c>
      <c r="E6053" s="33" t="n">
        <f aca="false">HOUR(A6053)+MINUTE(A6053)/60</f>
        <v>3</v>
      </c>
      <c r="F6053" s="33" t="n">
        <f aca="false">IF(OR(D6053&gt;5,E6053&lt;8,E6053&gt;=18,COUNTIF($K$2:$K$10,INT(A6053))&gt;0),1,0)</f>
        <v>1</v>
      </c>
      <c r="G6053" s="34" t="n">
        <f aca="false">B6053/1</f>
        <v>46.84</v>
      </c>
      <c r="H6053" s="34" t="n">
        <f aca="false">IF(F6053=1,G6053,"")</f>
        <v>46.84</v>
      </c>
    </row>
    <row r="6054" customFormat="false" ht="15" hidden="false" customHeight="false" outlineLevel="0" collapsed="false">
      <c r="A6054" s="31" t="n">
        <v>42988.1666666667</v>
      </c>
      <c r="B6054" s="32" t="n">
        <v>47.176</v>
      </c>
      <c r="D6054" s="33" t="n">
        <f aca="false">WEEKDAY(A6054,2)</f>
        <v>7</v>
      </c>
      <c r="E6054" s="33" t="n">
        <f aca="false">HOUR(A6054)+MINUTE(A6054)/60</f>
        <v>4</v>
      </c>
      <c r="F6054" s="33" t="n">
        <f aca="false">IF(OR(D6054&gt;5,E6054&lt;8,E6054&gt;=18,COUNTIF($K$2:$K$10,INT(A6054))&gt;0),1,0)</f>
        <v>1</v>
      </c>
      <c r="G6054" s="34" t="n">
        <f aca="false">B6054/1</f>
        <v>47.176</v>
      </c>
      <c r="H6054" s="34" t="n">
        <f aca="false">IF(F6054=1,G6054,"")</f>
        <v>47.176</v>
      </c>
    </row>
    <row r="6055" customFormat="false" ht="15" hidden="false" customHeight="false" outlineLevel="0" collapsed="false">
      <c r="A6055" s="31" t="n">
        <v>42988.2083333333</v>
      </c>
      <c r="B6055" s="32" t="n">
        <v>47.328</v>
      </c>
      <c r="D6055" s="33" t="n">
        <f aca="false">WEEKDAY(A6055,2)</f>
        <v>7</v>
      </c>
      <c r="E6055" s="33" t="n">
        <f aca="false">HOUR(A6055)+MINUTE(A6055)/60</f>
        <v>5</v>
      </c>
      <c r="F6055" s="33" t="n">
        <f aca="false">IF(OR(D6055&gt;5,E6055&lt;8,E6055&gt;=18,COUNTIF($K$2:$K$10,INT(A6055))&gt;0),1,0)</f>
        <v>1</v>
      </c>
      <c r="G6055" s="34" t="n">
        <f aca="false">B6055/1</f>
        <v>47.328</v>
      </c>
      <c r="H6055" s="34" t="n">
        <f aca="false">IF(F6055=1,G6055,"")</f>
        <v>47.328</v>
      </c>
    </row>
    <row r="6056" customFormat="false" ht="15" hidden="false" customHeight="false" outlineLevel="0" collapsed="false">
      <c r="A6056" s="31" t="n">
        <v>42988.25</v>
      </c>
      <c r="B6056" s="32" t="n">
        <v>46.555</v>
      </c>
      <c r="D6056" s="33" t="n">
        <f aca="false">WEEKDAY(A6056,2)</f>
        <v>7</v>
      </c>
      <c r="E6056" s="33" t="n">
        <f aca="false">HOUR(A6056)+MINUTE(A6056)/60</f>
        <v>6</v>
      </c>
      <c r="F6056" s="33" t="n">
        <f aca="false">IF(OR(D6056&gt;5,E6056&lt;8,E6056&gt;=18,COUNTIF($K$2:$K$10,INT(A6056))&gt;0),1,0)</f>
        <v>1</v>
      </c>
      <c r="G6056" s="34" t="n">
        <f aca="false">B6056/1</f>
        <v>46.555</v>
      </c>
      <c r="H6056" s="34" t="n">
        <f aca="false">IF(F6056=1,G6056,"")</f>
        <v>46.555</v>
      </c>
    </row>
    <row r="6057" customFormat="false" ht="15" hidden="false" customHeight="false" outlineLevel="0" collapsed="false">
      <c r="A6057" s="31" t="n">
        <v>42988.2916666667</v>
      </c>
      <c r="B6057" s="32" t="n">
        <v>47.362</v>
      </c>
      <c r="D6057" s="33" t="n">
        <f aca="false">WEEKDAY(A6057,2)</f>
        <v>7</v>
      </c>
      <c r="E6057" s="33" t="n">
        <f aca="false">HOUR(A6057)+MINUTE(A6057)/60</f>
        <v>7</v>
      </c>
      <c r="F6057" s="33" t="n">
        <f aca="false">IF(OR(D6057&gt;5,E6057&lt;8,E6057&gt;=18,COUNTIF($K$2:$K$10,INT(A6057))&gt;0),1,0)</f>
        <v>1</v>
      </c>
      <c r="G6057" s="34" t="n">
        <f aca="false">B6057/1</f>
        <v>47.362</v>
      </c>
      <c r="H6057" s="34" t="n">
        <f aca="false">IF(F6057=1,G6057,"")</f>
        <v>47.362</v>
      </c>
    </row>
    <row r="6058" customFormat="false" ht="15" hidden="false" customHeight="false" outlineLevel="0" collapsed="false">
      <c r="A6058" s="31" t="n">
        <v>42988.3333333333</v>
      </c>
      <c r="B6058" s="32" t="n">
        <v>47.136</v>
      </c>
      <c r="D6058" s="33" t="n">
        <f aca="false">WEEKDAY(A6058,2)</f>
        <v>7</v>
      </c>
      <c r="E6058" s="33" t="n">
        <f aca="false">HOUR(A6058)+MINUTE(A6058)/60</f>
        <v>8</v>
      </c>
      <c r="F6058" s="33" t="n">
        <f aca="false">IF(OR(D6058&gt;5,E6058&lt;8,E6058&gt;=18,COUNTIF($K$2:$K$10,INT(A6058))&gt;0),1,0)</f>
        <v>1</v>
      </c>
      <c r="G6058" s="34" t="n">
        <f aca="false">B6058/1</f>
        <v>47.136</v>
      </c>
      <c r="H6058" s="34" t="n">
        <f aca="false">IF(F6058=1,G6058,"")</f>
        <v>47.136</v>
      </c>
    </row>
    <row r="6059" customFormat="false" ht="15" hidden="false" customHeight="false" outlineLevel="0" collapsed="false">
      <c r="A6059" s="31" t="n">
        <v>42988.375</v>
      </c>
      <c r="B6059" s="32" t="n">
        <v>44.57</v>
      </c>
      <c r="D6059" s="33" t="n">
        <f aca="false">WEEKDAY(A6059,2)</f>
        <v>7</v>
      </c>
      <c r="E6059" s="33" t="n">
        <f aca="false">HOUR(A6059)+MINUTE(A6059)/60</f>
        <v>9</v>
      </c>
      <c r="F6059" s="33" t="n">
        <f aca="false">IF(OR(D6059&gt;5,E6059&lt;8,E6059&gt;=18,COUNTIF($K$2:$K$10,INT(A6059))&gt;0),1,0)</f>
        <v>1</v>
      </c>
      <c r="G6059" s="34" t="n">
        <f aca="false">B6059/1</f>
        <v>44.57</v>
      </c>
      <c r="H6059" s="34" t="n">
        <f aca="false">IF(F6059=1,G6059,"")</f>
        <v>44.57</v>
      </c>
    </row>
    <row r="6060" customFormat="false" ht="15" hidden="false" customHeight="false" outlineLevel="0" collapsed="false">
      <c r="A6060" s="31" t="n">
        <v>42988.4166666667</v>
      </c>
      <c r="B6060" s="32" t="n">
        <v>45.752</v>
      </c>
      <c r="D6060" s="33" t="n">
        <f aca="false">WEEKDAY(A6060,2)</f>
        <v>7</v>
      </c>
      <c r="E6060" s="33" t="n">
        <f aca="false">HOUR(A6060)+MINUTE(A6060)/60</f>
        <v>10</v>
      </c>
      <c r="F6060" s="33" t="n">
        <f aca="false">IF(OR(D6060&gt;5,E6060&lt;8,E6060&gt;=18,COUNTIF($K$2:$K$10,INT(A6060))&gt;0),1,0)</f>
        <v>1</v>
      </c>
      <c r="G6060" s="34" t="n">
        <f aca="false">B6060/1</f>
        <v>45.752</v>
      </c>
      <c r="H6060" s="34" t="n">
        <f aca="false">IF(F6060=1,G6060,"")</f>
        <v>45.752</v>
      </c>
    </row>
    <row r="6061" customFormat="false" ht="15" hidden="false" customHeight="false" outlineLevel="0" collapsed="false">
      <c r="A6061" s="31" t="n">
        <v>42988.4583333333</v>
      </c>
      <c r="B6061" s="32" t="n">
        <v>47.069</v>
      </c>
      <c r="D6061" s="33" t="n">
        <f aca="false">WEEKDAY(A6061,2)</f>
        <v>7</v>
      </c>
      <c r="E6061" s="33" t="n">
        <f aca="false">HOUR(A6061)+MINUTE(A6061)/60</f>
        <v>11</v>
      </c>
      <c r="F6061" s="33" t="n">
        <f aca="false">IF(OR(D6061&gt;5,E6061&lt;8,E6061&gt;=18,COUNTIF($K$2:$K$10,INT(A6061))&gt;0),1,0)</f>
        <v>1</v>
      </c>
      <c r="G6061" s="34" t="n">
        <f aca="false">B6061/1</f>
        <v>47.069</v>
      </c>
      <c r="H6061" s="34" t="n">
        <f aca="false">IF(F6061=1,G6061,"")</f>
        <v>47.069</v>
      </c>
    </row>
    <row r="6062" customFormat="false" ht="15" hidden="false" customHeight="false" outlineLevel="0" collapsed="false">
      <c r="A6062" s="31" t="n">
        <v>42988.5</v>
      </c>
      <c r="B6062" s="32" t="n">
        <v>49.417</v>
      </c>
      <c r="D6062" s="33" t="n">
        <f aca="false">WEEKDAY(A6062,2)</f>
        <v>7</v>
      </c>
      <c r="E6062" s="33" t="n">
        <f aca="false">HOUR(A6062)+MINUTE(A6062)/60</f>
        <v>12</v>
      </c>
      <c r="F6062" s="33" t="n">
        <f aca="false">IF(OR(D6062&gt;5,E6062&lt;8,E6062&gt;=18,COUNTIF($K$2:$K$10,INT(A6062))&gt;0),1,0)</f>
        <v>1</v>
      </c>
      <c r="G6062" s="34" t="n">
        <f aca="false">B6062/1</f>
        <v>49.417</v>
      </c>
      <c r="H6062" s="34" t="n">
        <f aca="false">IF(F6062=1,G6062,"")</f>
        <v>49.417</v>
      </c>
    </row>
    <row r="6063" customFormat="false" ht="15" hidden="false" customHeight="false" outlineLevel="0" collapsed="false">
      <c r="A6063" s="31" t="n">
        <v>42988.5416666667</v>
      </c>
      <c r="B6063" s="32" t="n">
        <v>98.622</v>
      </c>
      <c r="D6063" s="33" t="n">
        <f aca="false">WEEKDAY(A6063,2)</f>
        <v>7</v>
      </c>
      <c r="E6063" s="33" t="n">
        <f aca="false">HOUR(A6063)+MINUTE(A6063)/60</f>
        <v>13</v>
      </c>
      <c r="F6063" s="33" t="n">
        <f aca="false">IF(OR(D6063&gt;5,E6063&lt;8,E6063&gt;=18,COUNTIF($K$2:$K$10,INT(A6063))&gt;0),1,0)</f>
        <v>1</v>
      </c>
      <c r="G6063" s="34" t="n">
        <f aca="false">B6063/1</f>
        <v>98.622</v>
      </c>
      <c r="H6063" s="34" t="n">
        <f aca="false">IF(F6063=1,G6063,"")</f>
        <v>98.622</v>
      </c>
    </row>
    <row r="6064" customFormat="false" ht="15" hidden="false" customHeight="false" outlineLevel="0" collapsed="false">
      <c r="A6064" s="31" t="n">
        <v>42988.5833333333</v>
      </c>
      <c r="B6064" s="32" t="n">
        <v>126.325</v>
      </c>
      <c r="D6064" s="33" t="n">
        <f aca="false">WEEKDAY(A6064,2)</f>
        <v>7</v>
      </c>
      <c r="E6064" s="33" t="n">
        <f aca="false">HOUR(A6064)+MINUTE(A6064)/60</f>
        <v>14</v>
      </c>
      <c r="F6064" s="33" t="n">
        <f aca="false">IF(OR(D6064&gt;5,E6064&lt;8,E6064&gt;=18,COUNTIF($K$2:$K$10,INT(A6064))&gt;0),1,0)</f>
        <v>1</v>
      </c>
      <c r="G6064" s="34" t="n">
        <f aca="false">B6064/1</f>
        <v>126.325</v>
      </c>
      <c r="H6064" s="34" t="n">
        <f aca="false">IF(F6064=1,G6064,"")</f>
        <v>126.325</v>
      </c>
    </row>
    <row r="6065" customFormat="false" ht="15" hidden="false" customHeight="false" outlineLevel="0" collapsed="false">
      <c r="A6065" s="31" t="n">
        <v>42988.625</v>
      </c>
      <c r="B6065" s="32" t="n">
        <v>126.152</v>
      </c>
      <c r="D6065" s="33" t="n">
        <f aca="false">WEEKDAY(A6065,2)</f>
        <v>7</v>
      </c>
      <c r="E6065" s="33" t="n">
        <f aca="false">HOUR(A6065)+MINUTE(A6065)/60</f>
        <v>15</v>
      </c>
      <c r="F6065" s="33" t="n">
        <f aca="false">IF(OR(D6065&gt;5,E6065&lt;8,E6065&gt;=18,COUNTIF($K$2:$K$10,INT(A6065))&gt;0),1,0)</f>
        <v>1</v>
      </c>
      <c r="G6065" s="34" t="n">
        <f aca="false">B6065/1</f>
        <v>126.152</v>
      </c>
      <c r="H6065" s="34" t="n">
        <f aca="false">IF(F6065=1,G6065,"")</f>
        <v>126.152</v>
      </c>
    </row>
    <row r="6066" customFormat="false" ht="15" hidden="false" customHeight="false" outlineLevel="0" collapsed="false">
      <c r="A6066" s="31" t="n">
        <v>42988.6666666667</v>
      </c>
      <c r="B6066" s="32" t="n">
        <v>129.805</v>
      </c>
      <c r="D6066" s="33" t="n">
        <f aca="false">WEEKDAY(A6066,2)</f>
        <v>7</v>
      </c>
      <c r="E6066" s="33" t="n">
        <f aca="false">HOUR(A6066)+MINUTE(A6066)/60</f>
        <v>16</v>
      </c>
      <c r="F6066" s="33" t="n">
        <f aca="false">IF(OR(D6066&gt;5,E6066&lt;8,E6066&gt;=18,COUNTIF($K$2:$K$10,INT(A6066))&gt;0),1,0)</f>
        <v>1</v>
      </c>
      <c r="G6066" s="34" t="n">
        <f aca="false">B6066/1</f>
        <v>129.805</v>
      </c>
      <c r="H6066" s="34" t="n">
        <f aca="false">IF(F6066=1,G6066,"")</f>
        <v>129.805</v>
      </c>
    </row>
    <row r="6067" customFormat="false" ht="15" hidden="false" customHeight="false" outlineLevel="0" collapsed="false">
      <c r="A6067" s="31" t="n">
        <v>42988.7083333333</v>
      </c>
      <c r="B6067" s="32" t="n">
        <v>146.637</v>
      </c>
      <c r="D6067" s="33" t="n">
        <f aca="false">WEEKDAY(A6067,2)</f>
        <v>7</v>
      </c>
      <c r="E6067" s="33" t="n">
        <f aca="false">HOUR(A6067)+MINUTE(A6067)/60</f>
        <v>17</v>
      </c>
      <c r="F6067" s="33" t="n">
        <f aca="false">IF(OR(D6067&gt;5,E6067&lt;8,E6067&gt;=18,COUNTIF($K$2:$K$10,INT(A6067))&gt;0),1,0)</f>
        <v>1</v>
      </c>
      <c r="G6067" s="34" t="n">
        <f aca="false">B6067/1</f>
        <v>146.637</v>
      </c>
      <c r="H6067" s="34" t="n">
        <f aca="false">IF(F6067=1,G6067,"")</f>
        <v>146.637</v>
      </c>
    </row>
    <row r="6068" customFormat="false" ht="15" hidden="false" customHeight="false" outlineLevel="0" collapsed="false">
      <c r="A6068" s="31" t="n">
        <v>42988.75</v>
      </c>
      <c r="B6068" s="32" t="n">
        <v>75.165</v>
      </c>
      <c r="D6068" s="33" t="n">
        <f aca="false">WEEKDAY(A6068,2)</f>
        <v>7</v>
      </c>
      <c r="E6068" s="33" t="n">
        <f aca="false">HOUR(A6068)+MINUTE(A6068)/60</f>
        <v>18</v>
      </c>
      <c r="F6068" s="33" t="n">
        <f aca="false">IF(OR(D6068&gt;5,E6068&lt;8,E6068&gt;=18,COUNTIF($K$2:$K$10,INT(A6068))&gt;0),1,0)</f>
        <v>1</v>
      </c>
      <c r="G6068" s="34" t="n">
        <f aca="false">B6068/1</f>
        <v>75.165</v>
      </c>
      <c r="H6068" s="34" t="n">
        <f aca="false">IF(F6068=1,G6068,"")</f>
        <v>75.165</v>
      </c>
    </row>
    <row r="6069" customFormat="false" ht="15" hidden="false" customHeight="false" outlineLevel="0" collapsed="false">
      <c r="A6069" s="31" t="n">
        <v>42988.7916666667</v>
      </c>
      <c r="B6069" s="32" t="n">
        <v>66.82</v>
      </c>
      <c r="D6069" s="33" t="n">
        <f aca="false">WEEKDAY(A6069,2)</f>
        <v>7</v>
      </c>
      <c r="E6069" s="33" t="n">
        <f aca="false">HOUR(A6069)+MINUTE(A6069)/60</f>
        <v>19</v>
      </c>
      <c r="F6069" s="33" t="n">
        <f aca="false">IF(OR(D6069&gt;5,E6069&lt;8,E6069&gt;=18,COUNTIF($K$2:$K$10,INT(A6069))&gt;0),1,0)</f>
        <v>1</v>
      </c>
      <c r="G6069" s="34" t="n">
        <f aca="false">B6069/1</f>
        <v>66.82</v>
      </c>
      <c r="H6069" s="34" t="n">
        <f aca="false">IF(F6069=1,G6069,"")</f>
        <v>66.82</v>
      </c>
    </row>
    <row r="6070" customFormat="false" ht="15" hidden="false" customHeight="false" outlineLevel="0" collapsed="false">
      <c r="A6070" s="31" t="n">
        <v>42988.8333333333</v>
      </c>
      <c r="B6070" s="32" t="n">
        <v>69.109</v>
      </c>
      <c r="D6070" s="33" t="n">
        <f aca="false">WEEKDAY(A6070,2)</f>
        <v>7</v>
      </c>
      <c r="E6070" s="33" t="n">
        <f aca="false">HOUR(A6070)+MINUTE(A6070)/60</f>
        <v>20</v>
      </c>
      <c r="F6070" s="33" t="n">
        <f aca="false">IF(OR(D6070&gt;5,E6070&lt;8,E6070&gt;=18,COUNTIF($K$2:$K$10,INT(A6070))&gt;0),1,0)</f>
        <v>1</v>
      </c>
      <c r="G6070" s="34" t="n">
        <f aca="false">B6070/1</f>
        <v>69.109</v>
      </c>
      <c r="H6070" s="34" t="n">
        <f aca="false">IF(F6070=1,G6070,"")</f>
        <v>69.109</v>
      </c>
    </row>
    <row r="6071" customFormat="false" ht="15" hidden="false" customHeight="false" outlineLevel="0" collapsed="false">
      <c r="A6071" s="31" t="n">
        <v>42988.875</v>
      </c>
      <c r="B6071" s="32" t="n">
        <v>70.031</v>
      </c>
      <c r="D6071" s="33" t="n">
        <f aca="false">WEEKDAY(A6071,2)</f>
        <v>7</v>
      </c>
      <c r="E6071" s="33" t="n">
        <f aca="false">HOUR(A6071)+MINUTE(A6071)/60</f>
        <v>21</v>
      </c>
      <c r="F6071" s="33" t="n">
        <f aca="false">IF(OR(D6071&gt;5,E6071&lt;8,E6071&gt;=18,COUNTIF($K$2:$K$10,INT(A6071))&gt;0),1,0)</f>
        <v>1</v>
      </c>
      <c r="G6071" s="34" t="n">
        <f aca="false">B6071/1</f>
        <v>70.031</v>
      </c>
      <c r="H6071" s="34" t="n">
        <f aca="false">IF(F6071=1,G6071,"")</f>
        <v>70.031</v>
      </c>
    </row>
    <row r="6072" customFormat="false" ht="15" hidden="false" customHeight="false" outlineLevel="0" collapsed="false">
      <c r="A6072" s="31" t="n">
        <v>42988.9166666667</v>
      </c>
      <c r="B6072" s="32" t="n">
        <v>69.384</v>
      </c>
      <c r="D6072" s="33" t="n">
        <f aca="false">WEEKDAY(A6072,2)</f>
        <v>7</v>
      </c>
      <c r="E6072" s="33" t="n">
        <f aca="false">HOUR(A6072)+MINUTE(A6072)/60</f>
        <v>22</v>
      </c>
      <c r="F6072" s="33" t="n">
        <f aca="false">IF(OR(D6072&gt;5,E6072&lt;8,E6072&gt;=18,COUNTIF($K$2:$K$10,INT(A6072))&gt;0),1,0)</f>
        <v>1</v>
      </c>
      <c r="G6072" s="34" t="n">
        <f aca="false">B6072/1</f>
        <v>69.384</v>
      </c>
      <c r="H6072" s="34" t="n">
        <f aca="false">IF(F6072=1,G6072,"")</f>
        <v>69.384</v>
      </c>
    </row>
    <row r="6073" customFormat="false" ht="15" hidden="false" customHeight="false" outlineLevel="0" collapsed="false">
      <c r="A6073" s="31" t="n">
        <v>42988.9583333333</v>
      </c>
      <c r="B6073" s="32" t="n">
        <v>68.793</v>
      </c>
      <c r="D6073" s="33" t="n">
        <f aca="false">WEEKDAY(A6073,2)</f>
        <v>7</v>
      </c>
      <c r="E6073" s="33" t="n">
        <f aca="false">HOUR(A6073)+MINUTE(A6073)/60</f>
        <v>23</v>
      </c>
      <c r="F6073" s="33" t="n">
        <f aca="false">IF(OR(D6073&gt;5,E6073&lt;8,E6073&gt;=18,COUNTIF($K$2:$K$10,INT(A6073))&gt;0),1,0)</f>
        <v>1</v>
      </c>
      <c r="G6073" s="34" t="n">
        <f aca="false">B6073/1</f>
        <v>68.793</v>
      </c>
      <c r="H6073" s="34" t="n">
        <f aca="false">IF(F6073=1,G6073,"")</f>
        <v>68.793</v>
      </c>
    </row>
    <row r="6074" customFormat="false" ht="15" hidden="false" customHeight="false" outlineLevel="0" collapsed="false">
      <c r="A6074" s="31" t="n">
        <v>42989</v>
      </c>
      <c r="B6074" s="32" t="n">
        <v>68.254</v>
      </c>
      <c r="D6074" s="33" t="n">
        <f aca="false">WEEKDAY(A6074,2)</f>
        <v>1</v>
      </c>
      <c r="E6074" s="33" t="n">
        <f aca="false">HOUR(A6074)+MINUTE(A6074)/60</f>
        <v>0</v>
      </c>
      <c r="F6074" s="33" t="n">
        <f aca="false">IF(OR(D6074&gt;5,E6074&lt;8,E6074&gt;=18,COUNTIF($K$2:$K$10,INT(A6074))&gt;0),1,0)</f>
        <v>1</v>
      </c>
      <c r="G6074" s="34" t="n">
        <f aca="false">B6074/1</f>
        <v>68.254</v>
      </c>
      <c r="H6074" s="34" t="n">
        <f aca="false">IF(F6074=1,G6074,"")</f>
        <v>68.254</v>
      </c>
    </row>
    <row r="6075" customFormat="false" ht="15" hidden="false" customHeight="false" outlineLevel="0" collapsed="false">
      <c r="A6075" s="31" t="n">
        <v>42989.0416666667</v>
      </c>
      <c r="B6075" s="32" t="n">
        <v>66.882</v>
      </c>
      <c r="D6075" s="33" t="n">
        <f aca="false">WEEKDAY(A6075,2)</f>
        <v>1</v>
      </c>
      <c r="E6075" s="33" t="n">
        <f aca="false">HOUR(A6075)+MINUTE(A6075)/60</f>
        <v>1</v>
      </c>
      <c r="F6075" s="33" t="n">
        <f aca="false">IF(OR(D6075&gt;5,E6075&lt;8,E6075&gt;=18,COUNTIF($K$2:$K$10,INT(A6075))&gt;0),1,0)</f>
        <v>1</v>
      </c>
      <c r="G6075" s="34" t="n">
        <f aca="false">B6075/1</f>
        <v>66.882</v>
      </c>
      <c r="H6075" s="34" t="n">
        <f aca="false">IF(F6075=1,G6075,"")</f>
        <v>66.882</v>
      </c>
    </row>
    <row r="6076" customFormat="false" ht="15" hidden="false" customHeight="false" outlineLevel="0" collapsed="false">
      <c r="A6076" s="31" t="n">
        <v>42989.0833333333</v>
      </c>
      <c r="B6076" s="32" t="n">
        <v>65.459</v>
      </c>
      <c r="D6076" s="33" t="n">
        <f aca="false">WEEKDAY(A6076,2)</f>
        <v>1</v>
      </c>
      <c r="E6076" s="33" t="n">
        <f aca="false">HOUR(A6076)+MINUTE(A6076)/60</f>
        <v>2</v>
      </c>
      <c r="F6076" s="33" t="n">
        <f aca="false">IF(OR(D6076&gt;5,E6076&lt;8,E6076&gt;=18,COUNTIF($K$2:$K$10,INT(A6076))&gt;0),1,0)</f>
        <v>1</v>
      </c>
      <c r="G6076" s="34" t="n">
        <f aca="false">B6076/1</f>
        <v>65.459</v>
      </c>
      <c r="H6076" s="34" t="n">
        <f aca="false">IF(F6076=1,G6076,"")</f>
        <v>65.459</v>
      </c>
    </row>
    <row r="6077" customFormat="false" ht="15" hidden="false" customHeight="false" outlineLevel="0" collapsed="false">
      <c r="A6077" s="31" t="n">
        <v>42989.125</v>
      </c>
      <c r="B6077" s="32" t="n">
        <v>63.222</v>
      </c>
      <c r="D6077" s="33" t="n">
        <f aca="false">WEEKDAY(A6077,2)</f>
        <v>1</v>
      </c>
      <c r="E6077" s="33" t="n">
        <f aca="false">HOUR(A6077)+MINUTE(A6077)/60</f>
        <v>3</v>
      </c>
      <c r="F6077" s="33" t="n">
        <f aca="false">IF(OR(D6077&gt;5,E6077&lt;8,E6077&gt;=18,COUNTIF($K$2:$K$10,INT(A6077))&gt;0),1,0)</f>
        <v>1</v>
      </c>
      <c r="G6077" s="34" t="n">
        <f aca="false">B6077/1</f>
        <v>63.222</v>
      </c>
      <c r="H6077" s="34" t="n">
        <f aca="false">IF(F6077=1,G6077,"")</f>
        <v>63.222</v>
      </c>
    </row>
    <row r="6078" customFormat="false" ht="15" hidden="false" customHeight="false" outlineLevel="0" collapsed="false">
      <c r="A6078" s="31" t="n">
        <v>42989.1666666667</v>
      </c>
      <c r="B6078" s="32" t="n">
        <v>64.907</v>
      </c>
      <c r="D6078" s="33" t="n">
        <f aca="false">WEEKDAY(A6078,2)</f>
        <v>1</v>
      </c>
      <c r="E6078" s="33" t="n">
        <f aca="false">HOUR(A6078)+MINUTE(A6078)/60</f>
        <v>4</v>
      </c>
      <c r="F6078" s="33" t="n">
        <f aca="false">IF(OR(D6078&gt;5,E6078&lt;8,E6078&gt;=18,COUNTIF($K$2:$K$10,INT(A6078))&gt;0),1,0)</f>
        <v>1</v>
      </c>
      <c r="G6078" s="34" t="n">
        <f aca="false">B6078/1</f>
        <v>64.907</v>
      </c>
      <c r="H6078" s="34" t="n">
        <f aca="false">IF(F6078=1,G6078,"")</f>
        <v>64.907</v>
      </c>
    </row>
    <row r="6079" customFormat="false" ht="15" hidden="false" customHeight="false" outlineLevel="0" collapsed="false">
      <c r="A6079" s="31" t="n">
        <v>42989.2083333333</v>
      </c>
      <c r="B6079" s="32" t="n">
        <v>61.265</v>
      </c>
      <c r="D6079" s="33" t="n">
        <f aca="false">WEEKDAY(A6079,2)</f>
        <v>1</v>
      </c>
      <c r="E6079" s="33" t="n">
        <f aca="false">HOUR(A6079)+MINUTE(A6079)/60</f>
        <v>5</v>
      </c>
      <c r="F6079" s="33" t="n">
        <f aca="false">IF(OR(D6079&gt;5,E6079&lt;8,E6079&gt;=18,COUNTIF($K$2:$K$10,INT(A6079))&gt;0),1,0)</f>
        <v>1</v>
      </c>
      <c r="G6079" s="34" t="n">
        <f aca="false">B6079/1</f>
        <v>61.265</v>
      </c>
      <c r="H6079" s="34" t="n">
        <f aca="false">IF(F6079=1,G6079,"")</f>
        <v>61.265</v>
      </c>
    </row>
    <row r="6080" customFormat="false" ht="15" hidden="false" customHeight="false" outlineLevel="0" collapsed="false">
      <c r="A6080" s="31" t="n">
        <v>42989.25</v>
      </c>
      <c r="B6080" s="32" t="n">
        <v>60.296</v>
      </c>
      <c r="D6080" s="33" t="n">
        <f aca="false">WEEKDAY(A6080,2)</f>
        <v>1</v>
      </c>
      <c r="E6080" s="33" t="n">
        <f aca="false">HOUR(A6080)+MINUTE(A6080)/60</f>
        <v>6</v>
      </c>
      <c r="F6080" s="33" t="n">
        <f aca="false">IF(OR(D6080&gt;5,E6080&lt;8,E6080&gt;=18,COUNTIF($K$2:$K$10,INT(A6080))&gt;0),1,0)</f>
        <v>1</v>
      </c>
      <c r="G6080" s="34" t="n">
        <f aca="false">B6080/1</f>
        <v>60.296</v>
      </c>
      <c r="H6080" s="34" t="n">
        <f aca="false">IF(F6080=1,G6080,"")</f>
        <v>60.296</v>
      </c>
    </row>
    <row r="6081" customFormat="false" ht="15" hidden="false" customHeight="false" outlineLevel="0" collapsed="false">
      <c r="A6081" s="31" t="n">
        <v>42989.2916666667</v>
      </c>
      <c r="B6081" s="32" t="n">
        <v>73.9</v>
      </c>
      <c r="D6081" s="33" t="n">
        <f aca="false">WEEKDAY(A6081,2)</f>
        <v>1</v>
      </c>
      <c r="E6081" s="33" t="n">
        <f aca="false">HOUR(A6081)+MINUTE(A6081)/60</f>
        <v>7</v>
      </c>
      <c r="F6081" s="33" t="n">
        <f aca="false">IF(OR(D6081&gt;5,E6081&lt;8,E6081&gt;=18,COUNTIF($K$2:$K$10,INT(A6081))&gt;0),1,0)</f>
        <v>1</v>
      </c>
      <c r="G6081" s="34" t="n">
        <f aca="false">B6081/1</f>
        <v>73.9</v>
      </c>
      <c r="H6081" s="34" t="n">
        <f aca="false">IF(F6081=1,G6081,"")</f>
        <v>73.9</v>
      </c>
    </row>
    <row r="6082" customFormat="false" ht="15" hidden="false" customHeight="false" outlineLevel="0" collapsed="false">
      <c r="A6082" s="31" t="n">
        <v>42989.3333333333</v>
      </c>
      <c r="B6082" s="32" t="n">
        <v>163.08</v>
      </c>
      <c r="D6082" s="33" t="n">
        <f aca="false">WEEKDAY(A6082,2)</f>
        <v>1</v>
      </c>
      <c r="E6082" s="33" t="n">
        <f aca="false">HOUR(A6082)+MINUTE(A6082)/60</f>
        <v>8</v>
      </c>
      <c r="F6082" s="33" t="n">
        <f aca="false">IF(OR(D6082&gt;5,E6082&lt;8,E6082&gt;=18,COUNTIF($K$2:$K$10,INT(A6082))&gt;0),1,0)</f>
        <v>0</v>
      </c>
      <c r="G6082" s="34" t="n">
        <f aca="false">B6082/1</f>
        <v>163.08</v>
      </c>
      <c r="H6082" s="34" t="str">
        <f aca="false">IF(F6082=1,G6082,"")</f>
        <v/>
      </c>
    </row>
    <row r="6083" customFormat="false" ht="15" hidden="false" customHeight="false" outlineLevel="0" collapsed="false">
      <c r="A6083" s="31" t="n">
        <v>42989.375</v>
      </c>
      <c r="B6083" s="32" t="n">
        <v>208.935</v>
      </c>
      <c r="D6083" s="33" t="n">
        <f aca="false">WEEKDAY(A6083,2)</f>
        <v>1</v>
      </c>
      <c r="E6083" s="33" t="n">
        <f aca="false">HOUR(A6083)+MINUTE(A6083)/60</f>
        <v>9</v>
      </c>
      <c r="F6083" s="33" t="n">
        <f aca="false">IF(OR(D6083&gt;5,E6083&lt;8,E6083&gt;=18,COUNTIF($K$2:$K$10,INT(A6083))&gt;0),1,0)</f>
        <v>0</v>
      </c>
      <c r="G6083" s="34" t="n">
        <f aca="false">B6083/1</f>
        <v>208.935</v>
      </c>
      <c r="H6083" s="34" t="str">
        <f aca="false">IF(F6083=1,G6083,"")</f>
        <v/>
      </c>
    </row>
    <row r="6084" customFormat="false" ht="15" hidden="false" customHeight="false" outlineLevel="0" collapsed="false">
      <c r="A6084" s="31" t="n">
        <v>42989.4166666667</v>
      </c>
      <c r="B6084" s="32" t="n">
        <v>229.784</v>
      </c>
      <c r="D6084" s="33" t="n">
        <f aca="false">WEEKDAY(A6084,2)</f>
        <v>1</v>
      </c>
      <c r="E6084" s="33" t="n">
        <f aca="false">HOUR(A6084)+MINUTE(A6084)/60</f>
        <v>10</v>
      </c>
      <c r="F6084" s="33" t="n">
        <f aca="false">IF(OR(D6084&gt;5,E6084&lt;8,E6084&gt;=18,COUNTIF($K$2:$K$10,INT(A6084))&gt;0),1,0)</f>
        <v>0</v>
      </c>
      <c r="G6084" s="34" t="n">
        <f aca="false">B6084/1</f>
        <v>229.784</v>
      </c>
      <c r="H6084" s="34" t="str">
        <f aca="false">IF(F6084=1,G6084,"")</f>
        <v/>
      </c>
    </row>
    <row r="6085" customFormat="false" ht="15" hidden="false" customHeight="false" outlineLevel="0" collapsed="false">
      <c r="A6085" s="31" t="n">
        <v>42989.4583333333</v>
      </c>
      <c r="B6085" s="32" t="n">
        <v>234.51</v>
      </c>
      <c r="D6085" s="33" t="n">
        <f aca="false">WEEKDAY(A6085,2)</f>
        <v>1</v>
      </c>
      <c r="E6085" s="33" t="n">
        <f aca="false">HOUR(A6085)+MINUTE(A6085)/60</f>
        <v>11</v>
      </c>
      <c r="F6085" s="33" t="n">
        <f aca="false">IF(OR(D6085&gt;5,E6085&lt;8,E6085&gt;=18,COUNTIF($K$2:$K$10,INT(A6085))&gt;0),1,0)</f>
        <v>0</v>
      </c>
      <c r="G6085" s="34" t="n">
        <f aca="false">B6085/1</f>
        <v>234.51</v>
      </c>
      <c r="H6085" s="34" t="str">
        <f aca="false">IF(F6085=1,G6085,"")</f>
        <v/>
      </c>
    </row>
    <row r="6086" customFormat="false" ht="15" hidden="false" customHeight="false" outlineLevel="0" collapsed="false">
      <c r="A6086" s="31" t="n">
        <v>42989.5</v>
      </c>
      <c r="B6086" s="32" t="n">
        <v>232.734</v>
      </c>
      <c r="D6086" s="33" t="n">
        <f aca="false">WEEKDAY(A6086,2)</f>
        <v>1</v>
      </c>
      <c r="E6086" s="33" t="n">
        <f aca="false">HOUR(A6086)+MINUTE(A6086)/60</f>
        <v>12</v>
      </c>
      <c r="F6086" s="33" t="n">
        <f aca="false">IF(OR(D6086&gt;5,E6086&lt;8,E6086&gt;=18,COUNTIF($K$2:$K$10,INT(A6086))&gt;0),1,0)</f>
        <v>0</v>
      </c>
      <c r="G6086" s="34" t="n">
        <f aca="false">B6086/1</f>
        <v>232.734</v>
      </c>
      <c r="H6086" s="34" t="str">
        <f aca="false">IF(F6086=1,G6086,"")</f>
        <v/>
      </c>
    </row>
    <row r="6087" customFormat="false" ht="15" hidden="false" customHeight="false" outlineLevel="0" collapsed="false">
      <c r="A6087" s="31" t="n">
        <v>42989.5416666667</v>
      </c>
      <c r="B6087" s="32" t="n">
        <v>229.4</v>
      </c>
      <c r="D6087" s="33" t="n">
        <f aca="false">WEEKDAY(A6087,2)</f>
        <v>1</v>
      </c>
      <c r="E6087" s="33" t="n">
        <f aca="false">HOUR(A6087)+MINUTE(A6087)/60</f>
        <v>13</v>
      </c>
      <c r="F6087" s="33" t="n">
        <f aca="false">IF(OR(D6087&gt;5,E6087&lt;8,E6087&gt;=18,COUNTIF($K$2:$K$10,INT(A6087))&gt;0),1,0)</f>
        <v>0</v>
      </c>
      <c r="G6087" s="34" t="n">
        <f aca="false">B6087/1</f>
        <v>229.4</v>
      </c>
      <c r="H6087" s="34" t="str">
        <f aca="false">IF(F6087=1,G6087,"")</f>
        <v/>
      </c>
    </row>
    <row r="6088" customFormat="false" ht="15" hidden="false" customHeight="false" outlineLevel="0" collapsed="false">
      <c r="A6088" s="31" t="n">
        <v>42989.5833333333</v>
      </c>
      <c r="B6088" s="32" t="n">
        <v>234.103</v>
      </c>
      <c r="D6088" s="33" t="n">
        <f aca="false">WEEKDAY(A6088,2)</f>
        <v>1</v>
      </c>
      <c r="E6088" s="33" t="n">
        <f aca="false">HOUR(A6088)+MINUTE(A6088)/60</f>
        <v>14</v>
      </c>
      <c r="F6088" s="33" t="n">
        <f aca="false">IF(OR(D6088&gt;5,E6088&lt;8,E6088&gt;=18,COUNTIF($K$2:$K$10,INT(A6088))&gt;0),1,0)</f>
        <v>0</v>
      </c>
      <c r="G6088" s="34" t="n">
        <f aca="false">B6088/1</f>
        <v>234.103</v>
      </c>
      <c r="H6088" s="34" t="str">
        <f aca="false">IF(F6088=1,G6088,"")</f>
        <v/>
      </c>
    </row>
    <row r="6089" customFormat="false" ht="15" hidden="false" customHeight="false" outlineLevel="0" collapsed="false">
      <c r="A6089" s="31" t="n">
        <v>42989.625</v>
      </c>
      <c r="B6089" s="32" t="n">
        <v>236.376</v>
      </c>
      <c r="D6089" s="33" t="n">
        <f aca="false">WEEKDAY(A6089,2)</f>
        <v>1</v>
      </c>
      <c r="E6089" s="33" t="n">
        <f aca="false">HOUR(A6089)+MINUTE(A6089)/60</f>
        <v>15</v>
      </c>
      <c r="F6089" s="33" t="n">
        <f aca="false">IF(OR(D6089&gt;5,E6089&lt;8,E6089&gt;=18,COUNTIF($K$2:$K$10,INT(A6089))&gt;0),1,0)</f>
        <v>0</v>
      </c>
      <c r="G6089" s="34" t="n">
        <f aca="false">B6089/1</f>
        <v>236.376</v>
      </c>
      <c r="H6089" s="34" t="str">
        <f aca="false">IF(F6089=1,G6089,"")</f>
        <v/>
      </c>
    </row>
    <row r="6090" customFormat="false" ht="15" hidden="false" customHeight="false" outlineLevel="0" collapsed="false">
      <c r="A6090" s="31" t="n">
        <v>42989.6666666667</v>
      </c>
      <c r="B6090" s="32" t="n">
        <v>231.704</v>
      </c>
      <c r="D6090" s="33" t="n">
        <f aca="false">WEEKDAY(A6090,2)</f>
        <v>1</v>
      </c>
      <c r="E6090" s="33" t="n">
        <f aca="false">HOUR(A6090)+MINUTE(A6090)/60</f>
        <v>16</v>
      </c>
      <c r="F6090" s="33" t="n">
        <f aca="false">IF(OR(D6090&gt;5,E6090&lt;8,E6090&gt;=18,COUNTIF($K$2:$K$10,INT(A6090))&gt;0),1,0)</f>
        <v>0</v>
      </c>
      <c r="G6090" s="34" t="n">
        <f aca="false">B6090/1</f>
        <v>231.704</v>
      </c>
      <c r="H6090" s="34" t="str">
        <f aca="false">IF(F6090=1,G6090,"")</f>
        <v/>
      </c>
    </row>
    <row r="6091" customFormat="false" ht="15" hidden="false" customHeight="false" outlineLevel="0" collapsed="false">
      <c r="A6091" s="31" t="n">
        <v>42989.7083333333</v>
      </c>
      <c r="B6091" s="32" t="n">
        <v>222.395</v>
      </c>
      <c r="D6091" s="33" t="n">
        <f aca="false">WEEKDAY(A6091,2)</f>
        <v>1</v>
      </c>
      <c r="E6091" s="33" t="n">
        <f aca="false">HOUR(A6091)+MINUTE(A6091)/60</f>
        <v>17</v>
      </c>
      <c r="F6091" s="33" t="n">
        <f aca="false">IF(OR(D6091&gt;5,E6091&lt;8,E6091&gt;=18,COUNTIF($K$2:$K$10,INT(A6091))&gt;0),1,0)</f>
        <v>0</v>
      </c>
      <c r="G6091" s="34" t="n">
        <f aca="false">B6091/1</f>
        <v>222.395</v>
      </c>
      <c r="H6091" s="34" t="str">
        <f aca="false">IF(F6091=1,G6091,"")</f>
        <v/>
      </c>
    </row>
    <row r="6092" customFormat="false" ht="15" hidden="false" customHeight="false" outlineLevel="0" collapsed="false">
      <c r="A6092" s="31" t="n">
        <v>42989.75</v>
      </c>
      <c r="B6092" s="32" t="n">
        <v>204.311</v>
      </c>
      <c r="D6092" s="33" t="n">
        <f aca="false">WEEKDAY(A6092,2)</f>
        <v>1</v>
      </c>
      <c r="E6092" s="33" t="n">
        <f aca="false">HOUR(A6092)+MINUTE(A6092)/60</f>
        <v>18</v>
      </c>
      <c r="F6092" s="33" t="n">
        <f aca="false">IF(OR(D6092&gt;5,E6092&lt;8,E6092&gt;=18,COUNTIF($K$2:$K$10,INT(A6092))&gt;0),1,0)</f>
        <v>1</v>
      </c>
      <c r="G6092" s="34" t="n">
        <f aca="false">B6092/1</f>
        <v>204.311</v>
      </c>
      <c r="H6092" s="34" t="n">
        <f aca="false">IF(F6092=1,G6092,"")</f>
        <v>204.311</v>
      </c>
    </row>
    <row r="6093" customFormat="false" ht="15" hidden="false" customHeight="false" outlineLevel="0" collapsed="false">
      <c r="A6093" s="31" t="n">
        <v>42989.7916666667</v>
      </c>
      <c r="B6093" s="32" t="n">
        <v>213.03</v>
      </c>
      <c r="D6093" s="33" t="n">
        <f aca="false">WEEKDAY(A6093,2)</f>
        <v>1</v>
      </c>
      <c r="E6093" s="33" t="n">
        <f aca="false">HOUR(A6093)+MINUTE(A6093)/60</f>
        <v>19</v>
      </c>
      <c r="F6093" s="33" t="n">
        <f aca="false">IF(OR(D6093&gt;5,E6093&lt;8,E6093&gt;=18,COUNTIF($K$2:$K$10,INT(A6093))&gt;0),1,0)</f>
        <v>1</v>
      </c>
      <c r="G6093" s="34" t="n">
        <f aca="false">B6093/1</f>
        <v>213.03</v>
      </c>
      <c r="H6093" s="34" t="n">
        <f aca="false">IF(F6093=1,G6093,"")</f>
        <v>213.03</v>
      </c>
    </row>
    <row r="6094" customFormat="false" ht="15" hidden="false" customHeight="false" outlineLevel="0" collapsed="false">
      <c r="A6094" s="31" t="n">
        <v>42989.8333333333</v>
      </c>
      <c r="B6094" s="32" t="n">
        <v>203.146</v>
      </c>
      <c r="D6094" s="33" t="n">
        <f aca="false">WEEKDAY(A6094,2)</f>
        <v>1</v>
      </c>
      <c r="E6094" s="33" t="n">
        <f aca="false">HOUR(A6094)+MINUTE(A6094)/60</f>
        <v>20</v>
      </c>
      <c r="F6094" s="33" t="n">
        <f aca="false">IF(OR(D6094&gt;5,E6094&lt;8,E6094&gt;=18,COUNTIF($K$2:$K$10,INT(A6094))&gt;0),1,0)</f>
        <v>1</v>
      </c>
      <c r="G6094" s="34" t="n">
        <f aca="false">B6094/1</f>
        <v>203.146</v>
      </c>
      <c r="H6094" s="34" t="n">
        <f aca="false">IF(F6094=1,G6094,"")</f>
        <v>203.146</v>
      </c>
    </row>
    <row r="6095" customFormat="false" ht="15" hidden="false" customHeight="false" outlineLevel="0" collapsed="false">
      <c r="A6095" s="31" t="n">
        <v>42989.875</v>
      </c>
      <c r="B6095" s="32" t="n">
        <v>201.844</v>
      </c>
      <c r="D6095" s="33" t="n">
        <f aca="false">WEEKDAY(A6095,2)</f>
        <v>1</v>
      </c>
      <c r="E6095" s="33" t="n">
        <f aca="false">HOUR(A6095)+MINUTE(A6095)/60</f>
        <v>21</v>
      </c>
      <c r="F6095" s="33" t="n">
        <f aca="false">IF(OR(D6095&gt;5,E6095&lt;8,E6095&gt;=18,COUNTIF($K$2:$K$10,INT(A6095))&gt;0),1,0)</f>
        <v>1</v>
      </c>
      <c r="G6095" s="34" t="n">
        <f aca="false">B6095/1</f>
        <v>201.844</v>
      </c>
      <c r="H6095" s="34" t="n">
        <f aca="false">IF(F6095=1,G6095,"")</f>
        <v>201.844</v>
      </c>
    </row>
    <row r="6096" customFormat="false" ht="15" hidden="false" customHeight="false" outlineLevel="0" collapsed="false">
      <c r="A6096" s="31" t="n">
        <v>42989.9166666667</v>
      </c>
      <c r="B6096" s="32" t="n">
        <v>145.936</v>
      </c>
      <c r="D6096" s="33" t="n">
        <f aca="false">WEEKDAY(A6096,2)</f>
        <v>1</v>
      </c>
      <c r="E6096" s="33" t="n">
        <f aca="false">HOUR(A6096)+MINUTE(A6096)/60</f>
        <v>22</v>
      </c>
      <c r="F6096" s="33" t="n">
        <f aca="false">IF(OR(D6096&gt;5,E6096&lt;8,E6096&gt;=18,COUNTIF($K$2:$K$10,INT(A6096))&gt;0),1,0)</f>
        <v>1</v>
      </c>
      <c r="G6096" s="34" t="n">
        <f aca="false">B6096/1</f>
        <v>145.936</v>
      </c>
      <c r="H6096" s="34" t="n">
        <f aca="false">IF(F6096=1,G6096,"")</f>
        <v>145.936</v>
      </c>
    </row>
    <row r="6097" customFormat="false" ht="15" hidden="false" customHeight="false" outlineLevel="0" collapsed="false">
      <c r="A6097" s="31" t="n">
        <v>42989.9583333333</v>
      </c>
      <c r="B6097" s="32" t="n">
        <v>78.666</v>
      </c>
      <c r="D6097" s="33" t="n">
        <f aca="false">WEEKDAY(A6097,2)</f>
        <v>1</v>
      </c>
      <c r="E6097" s="33" t="n">
        <f aca="false">HOUR(A6097)+MINUTE(A6097)/60</f>
        <v>23</v>
      </c>
      <c r="F6097" s="33" t="n">
        <f aca="false">IF(OR(D6097&gt;5,E6097&lt;8,E6097&gt;=18,COUNTIF($K$2:$K$10,INT(A6097))&gt;0),1,0)</f>
        <v>1</v>
      </c>
      <c r="G6097" s="34" t="n">
        <f aca="false">B6097/1</f>
        <v>78.666</v>
      </c>
      <c r="H6097" s="34" t="n">
        <f aca="false">IF(F6097=1,G6097,"")</f>
        <v>78.666</v>
      </c>
    </row>
    <row r="6098" customFormat="false" ht="15" hidden="false" customHeight="false" outlineLevel="0" collapsed="false">
      <c r="A6098" s="31" t="n">
        <v>42990</v>
      </c>
      <c r="B6098" s="32" t="n">
        <v>73.548</v>
      </c>
      <c r="D6098" s="33" t="n">
        <f aca="false">WEEKDAY(A6098,2)</f>
        <v>2</v>
      </c>
      <c r="E6098" s="33" t="n">
        <f aca="false">HOUR(A6098)+MINUTE(A6098)/60</f>
        <v>0</v>
      </c>
      <c r="F6098" s="33" t="n">
        <f aca="false">IF(OR(D6098&gt;5,E6098&lt;8,E6098&gt;=18,COUNTIF($K$2:$K$10,INT(A6098))&gt;0),1,0)</f>
        <v>1</v>
      </c>
      <c r="G6098" s="34" t="n">
        <f aca="false">B6098/1</f>
        <v>73.548</v>
      </c>
      <c r="H6098" s="34" t="n">
        <f aca="false">IF(F6098=1,G6098,"")</f>
        <v>73.548</v>
      </c>
    </row>
    <row r="6099" customFormat="false" ht="15" hidden="false" customHeight="false" outlineLevel="0" collapsed="false">
      <c r="A6099" s="31" t="n">
        <v>42990.0416666667</v>
      </c>
      <c r="B6099" s="32" t="n">
        <v>70.772</v>
      </c>
      <c r="D6099" s="33" t="n">
        <f aca="false">WEEKDAY(A6099,2)</f>
        <v>2</v>
      </c>
      <c r="E6099" s="33" t="n">
        <f aca="false">HOUR(A6099)+MINUTE(A6099)/60</f>
        <v>1</v>
      </c>
      <c r="F6099" s="33" t="n">
        <f aca="false">IF(OR(D6099&gt;5,E6099&lt;8,E6099&gt;=18,COUNTIF($K$2:$K$10,INT(A6099))&gt;0),1,0)</f>
        <v>1</v>
      </c>
      <c r="G6099" s="34" t="n">
        <f aca="false">B6099/1</f>
        <v>70.772</v>
      </c>
      <c r="H6099" s="34" t="n">
        <f aca="false">IF(F6099=1,G6099,"")</f>
        <v>70.772</v>
      </c>
    </row>
    <row r="6100" customFormat="false" ht="15" hidden="false" customHeight="false" outlineLevel="0" collapsed="false">
      <c r="A6100" s="31" t="n">
        <v>42990.0833333333</v>
      </c>
      <c r="B6100" s="32" t="n">
        <v>68.977</v>
      </c>
      <c r="D6100" s="33" t="n">
        <f aca="false">WEEKDAY(A6100,2)</f>
        <v>2</v>
      </c>
      <c r="E6100" s="33" t="n">
        <f aca="false">HOUR(A6100)+MINUTE(A6100)/60</f>
        <v>2</v>
      </c>
      <c r="F6100" s="33" t="n">
        <f aca="false">IF(OR(D6100&gt;5,E6100&lt;8,E6100&gt;=18,COUNTIF($K$2:$K$10,INT(A6100))&gt;0),1,0)</f>
        <v>1</v>
      </c>
      <c r="G6100" s="34" t="n">
        <f aca="false">B6100/1</f>
        <v>68.977</v>
      </c>
      <c r="H6100" s="34" t="n">
        <f aca="false">IF(F6100=1,G6100,"")</f>
        <v>68.977</v>
      </c>
    </row>
    <row r="6101" customFormat="false" ht="15" hidden="false" customHeight="false" outlineLevel="0" collapsed="false">
      <c r="A6101" s="31" t="n">
        <v>42990.125</v>
      </c>
      <c r="B6101" s="32" t="n">
        <v>70.059</v>
      </c>
      <c r="D6101" s="33" t="n">
        <f aca="false">WEEKDAY(A6101,2)</f>
        <v>2</v>
      </c>
      <c r="E6101" s="33" t="n">
        <f aca="false">HOUR(A6101)+MINUTE(A6101)/60</f>
        <v>3</v>
      </c>
      <c r="F6101" s="33" t="n">
        <f aca="false">IF(OR(D6101&gt;5,E6101&lt;8,E6101&gt;=18,COUNTIF($K$2:$K$10,INT(A6101))&gt;0),1,0)</f>
        <v>1</v>
      </c>
      <c r="G6101" s="34" t="n">
        <f aca="false">B6101/1</f>
        <v>70.059</v>
      </c>
      <c r="H6101" s="34" t="n">
        <f aca="false">IF(F6101=1,G6101,"")</f>
        <v>70.059</v>
      </c>
    </row>
    <row r="6102" customFormat="false" ht="15" hidden="false" customHeight="false" outlineLevel="0" collapsed="false">
      <c r="A6102" s="31" t="n">
        <v>42990.1666666667</v>
      </c>
      <c r="B6102" s="32" t="n">
        <v>68.945</v>
      </c>
      <c r="D6102" s="33" t="n">
        <f aca="false">WEEKDAY(A6102,2)</f>
        <v>2</v>
      </c>
      <c r="E6102" s="33" t="n">
        <f aca="false">HOUR(A6102)+MINUTE(A6102)/60</f>
        <v>4</v>
      </c>
      <c r="F6102" s="33" t="n">
        <f aca="false">IF(OR(D6102&gt;5,E6102&lt;8,E6102&gt;=18,COUNTIF($K$2:$K$10,INT(A6102))&gt;0),1,0)</f>
        <v>1</v>
      </c>
      <c r="G6102" s="34" t="n">
        <f aca="false">B6102/1</f>
        <v>68.945</v>
      </c>
      <c r="H6102" s="34" t="n">
        <f aca="false">IF(F6102=1,G6102,"")</f>
        <v>68.945</v>
      </c>
    </row>
    <row r="6103" customFormat="false" ht="15" hidden="false" customHeight="false" outlineLevel="0" collapsed="false">
      <c r="A6103" s="31" t="n">
        <v>42990.2083333333</v>
      </c>
      <c r="B6103" s="32" t="n">
        <v>68.781</v>
      </c>
      <c r="D6103" s="33" t="n">
        <f aca="false">WEEKDAY(A6103,2)</f>
        <v>2</v>
      </c>
      <c r="E6103" s="33" t="n">
        <f aca="false">HOUR(A6103)+MINUTE(A6103)/60</f>
        <v>5</v>
      </c>
      <c r="F6103" s="33" t="n">
        <f aca="false">IF(OR(D6103&gt;5,E6103&lt;8,E6103&gt;=18,COUNTIF($K$2:$K$10,INT(A6103))&gt;0),1,0)</f>
        <v>1</v>
      </c>
      <c r="G6103" s="34" t="n">
        <f aca="false">B6103/1</f>
        <v>68.781</v>
      </c>
      <c r="H6103" s="34" t="n">
        <f aca="false">IF(F6103=1,G6103,"")</f>
        <v>68.781</v>
      </c>
    </row>
    <row r="6104" customFormat="false" ht="15" hidden="false" customHeight="false" outlineLevel="0" collapsed="false">
      <c r="A6104" s="31" t="n">
        <v>42990.25</v>
      </c>
      <c r="B6104" s="32" t="n">
        <v>71.015</v>
      </c>
      <c r="D6104" s="33" t="n">
        <f aca="false">WEEKDAY(A6104,2)</f>
        <v>2</v>
      </c>
      <c r="E6104" s="33" t="n">
        <f aca="false">HOUR(A6104)+MINUTE(A6104)/60</f>
        <v>6</v>
      </c>
      <c r="F6104" s="33" t="n">
        <f aca="false">IF(OR(D6104&gt;5,E6104&lt;8,E6104&gt;=18,COUNTIF($K$2:$K$10,INT(A6104))&gt;0),1,0)</f>
        <v>1</v>
      </c>
      <c r="G6104" s="34" t="n">
        <f aca="false">B6104/1</f>
        <v>71.015</v>
      </c>
      <c r="H6104" s="34" t="n">
        <f aca="false">IF(F6104=1,G6104,"")</f>
        <v>71.015</v>
      </c>
    </row>
    <row r="6105" customFormat="false" ht="15" hidden="false" customHeight="false" outlineLevel="0" collapsed="false">
      <c r="A6105" s="31" t="n">
        <v>42990.2916666667</v>
      </c>
      <c r="B6105" s="32" t="n">
        <v>77.804</v>
      </c>
      <c r="D6105" s="33" t="n">
        <f aca="false">WEEKDAY(A6105,2)</f>
        <v>2</v>
      </c>
      <c r="E6105" s="33" t="n">
        <f aca="false">HOUR(A6105)+MINUTE(A6105)/60</f>
        <v>7</v>
      </c>
      <c r="F6105" s="33" t="n">
        <f aca="false">IF(OR(D6105&gt;5,E6105&lt;8,E6105&gt;=18,COUNTIF($K$2:$K$10,INT(A6105))&gt;0),1,0)</f>
        <v>1</v>
      </c>
      <c r="G6105" s="34" t="n">
        <f aca="false">B6105/1</f>
        <v>77.804</v>
      </c>
      <c r="H6105" s="34" t="n">
        <f aca="false">IF(F6105=1,G6105,"")</f>
        <v>77.804</v>
      </c>
    </row>
    <row r="6106" customFormat="false" ht="15" hidden="false" customHeight="false" outlineLevel="0" collapsed="false">
      <c r="A6106" s="31" t="n">
        <v>42990.3333333333</v>
      </c>
      <c r="B6106" s="32" t="n">
        <v>188.534</v>
      </c>
      <c r="D6106" s="33" t="n">
        <f aca="false">WEEKDAY(A6106,2)</f>
        <v>2</v>
      </c>
      <c r="E6106" s="33" t="n">
        <f aca="false">HOUR(A6106)+MINUTE(A6106)/60</f>
        <v>8</v>
      </c>
      <c r="F6106" s="33" t="n">
        <f aca="false">IF(OR(D6106&gt;5,E6106&lt;8,E6106&gt;=18,COUNTIF($K$2:$K$10,INT(A6106))&gt;0),1,0)</f>
        <v>0</v>
      </c>
      <c r="G6106" s="34" t="n">
        <f aca="false">B6106/1</f>
        <v>188.534</v>
      </c>
      <c r="H6106" s="34" t="str">
        <f aca="false">IF(F6106=1,G6106,"")</f>
        <v/>
      </c>
    </row>
    <row r="6107" customFormat="false" ht="15" hidden="false" customHeight="false" outlineLevel="0" collapsed="false">
      <c r="A6107" s="31" t="n">
        <v>42990.375</v>
      </c>
      <c r="B6107" s="32" t="n">
        <v>223.547</v>
      </c>
      <c r="D6107" s="33" t="n">
        <f aca="false">WEEKDAY(A6107,2)</f>
        <v>2</v>
      </c>
      <c r="E6107" s="33" t="n">
        <f aca="false">HOUR(A6107)+MINUTE(A6107)/60</f>
        <v>9</v>
      </c>
      <c r="F6107" s="33" t="n">
        <f aca="false">IF(OR(D6107&gt;5,E6107&lt;8,E6107&gt;=18,COUNTIF($K$2:$K$10,INT(A6107))&gt;0),1,0)</f>
        <v>0</v>
      </c>
      <c r="G6107" s="34" t="n">
        <f aca="false">B6107/1</f>
        <v>223.547</v>
      </c>
      <c r="H6107" s="34" t="str">
        <f aca="false">IF(F6107=1,G6107,"")</f>
        <v/>
      </c>
    </row>
    <row r="6108" customFormat="false" ht="15" hidden="false" customHeight="false" outlineLevel="0" collapsed="false">
      <c r="A6108" s="31" t="n">
        <v>42990.4166666667</v>
      </c>
      <c r="B6108" s="32" t="n">
        <v>242.93</v>
      </c>
      <c r="D6108" s="33" t="n">
        <f aca="false">WEEKDAY(A6108,2)</f>
        <v>2</v>
      </c>
      <c r="E6108" s="33" t="n">
        <f aca="false">HOUR(A6108)+MINUTE(A6108)/60</f>
        <v>10</v>
      </c>
      <c r="F6108" s="33" t="n">
        <f aca="false">IF(OR(D6108&gt;5,E6108&lt;8,E6108&gt;=18,COUNTIF($K$2:$K$10,INT(A6108))&gt;0),1,0)</f>
        <v>0</v>
      </c>
      <c r="G6108" s="34" t="n">
        <f aca="false">B6108/1</f>
        <v>242.93</v>
      </c>
      <c r="H6108" s="34" t="str">
        <f aca="false">IF(F6108=1,G6108,"")</f>
        <v/>
      </c>
    </row>
    <row r="6109" customFormat="false" ht="15" hidden="false" customHeight="false" outlineLevel="0" collapsed="false">
      <c r="A6109" s="31" t="n">
        <v>42990.4583333333</v>
      </c>
      <c r="B6109" s="32" t="n">
        <v>253.744</v>
      </c>
      <c r="D6109" s="33" t="n">
        <f aca="false">WEEKDAY(A6109,2)</f>
        <v>2</v>
      </c>
      <c r="E6109" s="33" t="n">
        <f aca="false">HOUR(A6109)+MINUTE(A6109)/60</f>
        <v>11</v>
      </c>
      <c r="F6109" s="33" t="n">
        <f aca="false">IF(OR(D6109&gt;5,E6109&lt;8,E6109&gt;=18,COUNTIF($K$2:$K$10,INT(A6109))&gt;0),1,0)</f>
        <v>0</v>
      </c>
      <c r="G6109" s="34" t="n">
        <f aca="false">B6109/1</f>
        <v>253.744</v>
      </c>
      <c r="H6109" s="34" t="str">
        <f aca="false">IF(F6109=1,G6109,"")</f>
        <v/>
      </c>
    </row>
    <row r="6110" customFormat="false" ht="15" hidden="false" customHeight="false" outlineLevel="0" collapsed="false">
      <c r="A6110" s="31" t="n">
        <v>42990.5</v>
      </c>
      <c r="B6110" s="32" t="n">
        <v>263.945</v>
      </c>
      <c r="D6110" s="33" t="n">
        <f aca="false">WEEKDAY(A6110,2)</f>
        <v>2</v>
      </c>
      <c r="E6110" s="33" t="n">
        <f aca="false">HOUR(A6110)+MINUTE(A6110)/60</f>
        <v>12</v>
      </c>
      <c r="F6110" s="33" t="n">
        <f aca="false">IF(OR(D6110&gt;5,E6110&lt;8,E6110&gt;=18,COUNTIF($K$2:$K$10,INT(A6110))&gt;0),1,0)</f>
        <v>0</v>
      </c>
      <c r="G6110" s="34" t="n">
        <f aca="false">B6110/1</f>
        <v>263.945</v>
      </c>
      <c r="H6110" s="34" t="str">
        <f aca="false">IF(F6110=1,G6110,"")</f>
        <v/>
      </c>
    </row>
    <row r="6111" customFormat="false" ht="15" hidden="false" customHeight="false" outlineLevel="0" collapsed="false">
      <c r="A6111" s="31" t="n">
        <v>42990.5416666667</v>
      </c>
      <c r="B6111" s="32" t="n">
        <v>265.491</v>
      </c>
      <c r="D6111" s="33" t="n">
        <f aca="false">WEEKDAY(A6111,2)</f>
        <v>2</v>
      </c>
      <c r="E6111" s="33" t="n">
        <f aca="false">HOUR(A6111)+MINUTE(A6111)/60</f>
        <v>13</v>
      </c>
      <c r="F6111" s="33" t="n">
        <f aca="false">IF(OR(D6111&gt;5,E6111&lt;8,E6111&gt;=18,COUNTIF($K$2:$K$10,INT(A6111))&gt;0),1,0)</f>
        <v>0</v>
      </c>
      <c r="G6111" s="34" t="n">
        <f aca="false">B6111/1</f>
        <v>265.491</v>
      </c>
      <c r="H6111" s="34" t="str">
        <f aca="false">IF(F6111=1,G6111,"")</f>
        <v/>
      </c>
    </row>
    <row r="6112" customFormat="false" ht="15" hidden="false" customHeight="false" outlineLevel="0" collapsed="false">
      <c r="A6112" s="31" t="n">
        <v>42990.5833333333</v>
      </c>
      <c r="B6112" s="32" t="n">
        <v>273.917</v>
      </c>
      <c r="D6112" s="33" t="n">
        <f aca="false">WEEKDAY(A6112,2)</f>
        <v>2</v>
      </c>
      <c r="E6112" s="33" t="n">
        <f aca="false">HOUR(A6112)+MINUTE(A6112)/60</f>
        <v>14</v>
      </c>
      <c r="F6112" s="33" t="n">
        <f aca="false">IF(OR(D6112&gt;5,E6112&lt;8,E6112&gt;=18,COUNTIF($K$2:$K$10,INT(A6112))&gt;0),1,0)</f>
        <v>0</v>
      </c>
      <c r="G6112" s="34" t="n">
        <f aca="false">B6112/1</f>
        <v>273.917</v>
      </c>
      <c r="H6112" s="34" t="str">
        <f aca="false">IF(F6112=1,G6112,"")</f>
        <v/>
      </c>
    </row>
    <row r="6113" customFormat="false" ht="15" hidden="false" customHeight="false" outlineLevel="0" collapsed="false">
      <c r="A6113" s="31" t="n">
        <v>42990.625</v>
      </c>
      <c r="B6113" s="32" t="n">
        <v>264.984</v>
      </c>
      <c r="D6113" s="33" t="n">
        <f aca="false">WEEKDAY(A6113,2)</f>
        <v>2</v>
      </c>
      <c r="E6113" s="33" t="n">
        <f aca="false">HOUR(A6113)+MINUTE(A6113)/60</f>
        <v>15</v>
      </c>
      <c r="F6113" s="33" t="n">
        <f aca="false">IF(OR(D6113&gt;5,E6113&lt;8,E6113&gt;=18,COUNTIF($K$2:$K$10,INT(A6113))&gt;0),1,0)</f>
        <v>0</v>
      </c>
      <c r="G6113" s="34" t="n">
        <f aca="false">B6113/1</f>
        <v>264.984</v>
      </c>
      <c r="H6113" s="34" t="str">
        <f aca="false">IF(F6113=1,G6113,"")</f>
        <v/>
      </c>
    </row>
    <row r="6114" customFormat="false" ht="15" hidden="false" customHeight="false" outlineLevel="0" collapsed="false">
      <c r="A6114" s="31" t="n">
        <v>42990.6666666667</v>
      </c>
      <c r="B6114" s="32" t="n">
        <v>262.978</v>
      </c>
      <c r="D6114" s="33" t="n">
        <f aca="false">WEEKDAY(A6114,2)</f>
        <v>2</v>
      </c>
      <c r="E6114" s="33" t="n">
        <f aca="false">HOUR(A6114)+MINUTE(A6114)/60</f>
        <v>16</v>
      </c>
      <c r="F6114" s="33" t="n">
        <f aca="false">IF(OR(D6114&gt;5,E6114&lt;8,E6114&gt;=18,COUNTIF($K$2:$K$10,INT(A6114))&gt;0),1,0)</f>
        <v>0</v>
      </c>
      <c r="G6114" s="34" t="n">
        <f aca="false">B6114/1</f>
        <v>262.978</v>
      </c>
      <c r="H6114" s="34" t="str">
        <f aca="false">IF(F6114=1,G6114,"")</f>
        <v/>
      </c>
    </row>
    <row r="6115" customFormat="false" ht="15" hidden="false" customHeight="false" outlineLevel="0" collapsed="false">
      <c r="A6115" s="31" t="n">
        <v>42990.7083333333</v>
      </c>
      <c r="B6115" s="32" t="n">
        <v>260.107</v>
      </c>
      <c r="D6115" s="33" t="n">
        <f aca="false">WEEKDAY(A6115,2)</f>
        <v>2</v>
      </c>
      <c r="E6115" s="33" t="n">
        <f aca="false">HOUR(A6115)+MINUTE(A6115)/60</f>
        <v>17</v>
      </c>
      <c r="F6115" s="33" t="n">
        <f aca="false">IF(OR(D6115&gt;5,E6115&lt;8,E6115&gt;=18,COUNTIF($K$2:$K$10,INT(A6115))&gt;0),1,0)</f>
        <v>0</v>
      </c>
      <c r="G6115" s="34" t="n">
        <f aca="false">B6115/1</f>
        <v>260.107</v>
      </c>
      <c r="H6115" s="34" t="str">
        <f aca="false">IF(F6115=1,G6115,"")</f>
        <v/>
      </c>
    </row>
    <row r="6116" customFormat="false" ht="15" hidden="false" customHeight="false" outlineLevel="0" collapsed="false">
      <c r="A6116" s="31" t="n">
        <v>42990.75</v>
      </c>
      <c r="B6116" s="32" t="n">
        <v>242.859</v>
      </c>
      <c r="D6116" s="33" t="n">
        <f aca="false">WEEKDAY(A6116,2)</f>
        <v>2</v>
      </c>
      <c r="E6116" s="33" t="n">
        <f aca="false">HOUR(A6116)+MINUTE(A6116)/60</f>
        <v>18</v>
      </c>
      <c r="F6116" s="33" t="n">
        <f aca="false">IF(OR(D6116&gt;5,E6116&lt;8,E6116&gt;=18,COUNTIF($K$2:$K$10,INT(A6116))&gt;0),1,0)</f>
        <v>1</v>
      </c>
      <c r="G6116" s="34" t="n">
        <f aca="false">B6116/1</f>
        <v>242.859</v>
      </c>
      <c r="H6116" s="34" t="n">
        <f aca="false">IF(F6116=1,G6116,"")</f>
        <v>242.859</v>
      </c>
    </row>
    <row r="6117" customFormat="false" ht="15" hidden="false" customHeight="false" outlineLevel="0" collapsed="false">
      <c r="A6117" s="31" t="n">
        <v>42990.7916666667</v>
      </c>
      <c r="B6117" s="32" t="n">
        <v>227.196</v>
      </c>
      <c r="D6117" s="33" t="n">
        <f aca="false">WEEKDAY(A6117,2)</f>
        <v>2</v>
      </c>
      <c r="E6117" s="33" t="n">
        <f aca="false">HOUR(A6117)+MINUTE(A6117)/60</f>
        <v>19</v>
      </c>
      <c r="F6117" s="33" t="n">
        <f aca="false">IF(OR(D6117&gt;5,E6117&lt;8,E6117&gt;=18,COUNTIF($K$2:$K$10,INT(A6117))&gt;0),1,0)</f>
        <v>1</v>
      </c>
      <c r="G6117" s="34" t="n">
        <f aca="false">B6117/1</f>
        <v>227.196</v>
      </c>
      <c r="H6117" s="34" t="n">
        <f aca="false">IF(F6117=1,G6117,"")</f>
        <v>227.196</v>
      </c>
    </row>
    <row r="6118" customFormat="false" ht="15" hidden="false" customHeight="false" outlineLevel="0" collapsed="false">
      <c r="A6118" s="31" t="n">
        <v>42990.8333333333</v>
      </c>
      <c r="B6118" s="32" t="n">
        <v>216.004</v>
      </c>
      <c r="D6118" s="33" t="n">
        <f aca="false">WEEKDAY(A6118,2)</f>
        <v>2</v>
      </c>
      <c r="E6118" s="33" t="n">
        <f aca="false">HOUR(A6118)+MINUTE(A6118)/60</f>
        <v>20</v>
      </c>
      <c r="F6118" s="33" t="n">
        <f aca="false">IF(OR(D6118&gt;5,E6118&lt;8,E6118&gt;=18,COUNTIF($K$2:$K$10,INT(A6118))&gt;0),1,0)</f>
        <v>1</v>
      </c>
      <c r="G6118" s="34" t="n">
        <f aca="false">B6118/1</f>
        <v>216.004</v>
      </c>
      <c r="H6118" s="34" t="n">
        <f aca="false">IF(F6118=1,G6118,"")</f>
        <v>216.004</v>
      </c>
    </row>
    <row r="6119" customFormat="false" ht="15" hidden="false" customHeight="false" outlineLevel="0" collapsed="false">
      <c r="A6119" s="31" t="n">
        <v>42990.875</v>
      </c>
      <c r="B6119" s="32" t="n">
        <v>209.168</v>
      </c>
      <c r="D6119" s="33" t="n">
        <f aca="false">WEEKDAY(A6119,2)</f>
        <v>2</v>
      </c>
      <c r="E6119" s="33" t="n">
        <f aca="false">HOUR(A6119)+MINUTE(A6119)/60</f>
        <v>21</v>
      </c>
      <c r="F6119" s="33" t="n">
        <f aca="false">IF(OR(D6119&gt;5,E6119&lt;8,E6119&gt;=18,COUNTIF($K$2:$K$10,INT(A6119))&gt;0),1,0)</f>
        <v>1</v>
      </c>
      <c r="G6119" s="34" t="n">
        <f aca="false">B6119/1</f>
        <v>209.168</v>
      </c>
      <c r="H6119" s="34" t="n">
        <f aca="false">IF(F6119=1,G6119,"")</f>
        <v>209.168</v>
      </c>
    </row>
    <row r="6120" customFormat="false" ht="15" hidden="false" customHeight="false" outlineLevel="0" collapsed="false">
      <c r="A6120" s="31" t="n">
        <v>42990.9166666667</v>
      </c>
      <c r="B6120" s="32" t="n">
        <v>199.196</v>
      </c>
      <c r="D6120" s="33" t="n">
        <f aca="false">WEEKDAY(A6120,2)</f>
        <v>2</v>
      </c>
      <c r="E6120" s="33" t="n">
        <f aca="false">HOUR(A6120)+MINUTE(A6120)/60</f>
        <v>22</v>
      </c>
      <c r="F6120" s="33" t="n">
        <f aca="false">IF(OR(D6120&gt;5,E6120&lt;8,E6120&gt;=18,COUNTIF($K$2:$K$10,INT(A6120))&gt;0),1,0)</f>
        <v>1</v>
      </c>
      <c r="G6120" s="34" t="n">
        <f aca="false">B6120/1</f>
        <v>199.196</v>
      </c>
      <c r="H6120" s="34" t="n">
        <f aca="false">IF(F6120=1,G6120,"")</f>
        <v>199.196</v>
      </c>
    </row>
    <row r="6121" customFormat="false" ht="15" hidden="false" customHeight="false" outlineLevel="0" collapsed="false">
      <c r="A6121" s="31" t="n">
        <v>42990.9583333333</v>
      </c>
      <c r="B6121" s="32" t="n">
        <v>91.014</v>
      </c>
      <c r="D6121" s="33" t="n">
        <f aca="false">WEEKDAY(A6121,2)</f>
        <v>2</v>
      </c>
      <c r="E6121" s="33" t="n">
        <f aca="false">HOUR(A6121)+MINUTE(A6121)/60</f>
        <v>23</v>
      </c>
      <c r="F6121" s="33" t="n">
        <f aca="false">IF(OR(D6121&gt;5,E6121&lt;8,E6121&gt;=18,COUNTIF($K$2:$K$10,INT(A6121))&gt;0),1,0)</f>
        <v>1</v>
      </c>
      <c r="G6121" s="34" t="n">
        <f aca="false">B6121/1</f>
        <v>91.014</v>
      </c>
      <c r="H6121" s="34" t="n">
        <f aca="false">IF(F6121=1,G6121,"")</f>
        <v>91.014</v>
      </c>
    </row>
    <row r="6122" customFormat="false" ht="15" hidden="false" customHeight="false" outlineLevel="0" collapsed="false">
      <c r="A6122" s="31" t="n">
        <v>42991</v>
      </c>
      <c r="B6122" s="32" t="n">
        <v>71.703</v>
      </c>
      <c r="D6122" s="33" t="n">
        <f aca="false">WEEKDAY(A6122,2)</f>
        <v>3</v>
      </c>
      <c r="E6122" s="33" t="n">
        <f aca="false">HOUR(A6122)+MINUTE(A6122)/60</f>
        <v>0</v>
      </c>
      <c r="F6122" s="33" t="n">
        <f aca="false">IF(OR(D6122&gt;5,E6122&lt;8,E6122&gt;=18,COUNTIF($K$2:$K$10,INT(A6122))&gt;0),1,0)</f>
        <v>1</v>
      </c>
      <c r="G6122" s="34" t="n">
        <f aca="false">B6122/1</f>
        <v>71.703</v>
      </c>
      <c r="H6122" s="34" t="n">
        <f aca="false">IF(F6122=1,G6122,"")</f>
        <v>71.703</v>
      </c>
    </row>
    <row r="6123" customFormat="false" ht="15" hidden="false" customHeight="false" outlineLevel="0" collapsed="false">
      <c r="A6123" s="31" t="n">
        <v>42991.0416666667</v>
      </c>
      <c r="B6123" s="32" t="n">
        <v>68.54</v>
      </c>
      <c r="D6123" s="33" t="n">
        <f aca="false">WEEKDAY(A6123,2)</f>
        <v>3</v>
      </c>
      <c r="E6123" s="33" t="n">
        <f aca="false">HOUR(A6123)+MINUTE(A6123)/60</f>
        <v>1</v>
      </c>
      <c r="F6123" s="33" t="n">
        <f aca="false">IF(OR(D6123&gt;5,E6123&lt;8,E6123&gt;=18,COUNTIF($K$2:$K$10,INT(A6123))&gt;0),1,0)</f>
        <v>1</v>
      </c>
      <c r="G6123" s="34" t="n">
        <f aca="false">B6123/1</f>
        <v>68.54</v>
      </c>
      <c r="H6123" s="34" t="n">
        <f aca="false">IF(F6123=1,G6123,"")</f>
        <v>68.54</v>
      </c>
    </row>
    <row r="6124" customFormat="false" ht="15" hidden="false" customHeight="false" outlineLevel="0" collapsed="false">
      <c r="A6124" s="31" t="n">
        <v>42991.0833333333</v>
      </c>
      <c r="B6124" s="32" t="n">
        <v>68.408</v>
      </c>
      <c r="D6124" s="33" t="n">
        <f aca="false">WEEKDAY(A6124,2)</f>
        <v>3</v>
      </c>
      <c r="E6124" s="33" t="n">
        <f aca="false">HOUR(A6124)+MINUTE(A6124)/60</f>
        <v>2</v>
      </c>
      <c r="F6124" s="33" t="n">
        <f aca="false">IF(OR(D6124&gt;5,E6124&lt;8,E6124&gt;=18,COUNTIF($K$2:$K$10,INT(A6124))&gt;0),1,0)</f>
        <v>1</v>
      </c>
      <c r="G6124" s="34" t="n">
        <f aca="false">B6124/1</f>
        <v>68.408</v>
      </c>
      <c r="H6124" s="34" t="n">
        <f aca="false">IF(F6124=1,G6124,"")</f>
        <v>68.408</v>
      </c>
    </row>
    <row r="6125" customFormat="false" ht="15" hidden="false" customHeight="false" outlineLevel="0" collapsed="false">
      <c r="A6125" s="31" t="n">
        <v>42991.125</v>
      </c>
      <c r="B6125" s="32" t="n">
        <v>70.204</v>
      </c>
      <c r="D6125" s="33" t="n">
        <f aca="false">WEEKDAY(A6125,2)</f>
        <v>3</v>
      </c>
      <c r="E6125" s="33" t="n">
        <f aca="false">HOUR(A6125)+MINUTE(A6125)/60</f>
        <v>3</v>
      </c>
      <c r="F6125" s="33" t="n">
        <f aca="false">IF(OR(D6125&gt;5,E6125&lt;8,E6125&gt;=18,COUNTIF($K$2:$K$10,INT(A6125))&gt;0),1,0)</f>
        <v>1</v>
      </c>
      <c r="G6125" s="34" t="n">
        <f aca="false">B6125/1</f>
        <v>70.204</v>
      </c>
      <c r="H6125" s="34" t="n">
        <f aca="false">IF(F6125=1,G6125,"")</f>
        <v>70.204</v>
      </c>
    </row>
    <row r="6126" customFormat="false" ht="15" hidden="false" customHeight="false" outlineLevel="0" collapsed="false">
      <c r="A6126" s="31" t="n">
        <v>42991.1666666667</v>
      </c>
      <c r="B6126" s="32" t="n">
        <v>69.149</v>
      </c>
      <c r="D6126" s="33" t="n">
        <f aca="false">WEEKDAY(A6126,2)</f>
        <v>3</v>
      </c>
      <c r="E6126" s="33" t="n">
        <f aca="false">HOUR(A6126)+MINUTE(A6126)/60</f>
        <v>4</v>
      </c>
      <c r="F6126" s="33" t="n">
        <f aca="false">IF(OR(D6126&gt;5,E6126&lt;8,E6126&gt;=18,COUNTIF($K$2:$K$10,INT(A6126))&gt;0),1,0)</f>
        <v>1</v>
      </c>
      <c r="G6126" s="34" t="n">
        <f aca="false">B6126/1</f>
        <v>69.149</v>
      </c>
      <c r="H6126" s="34" t="n">
        <f aca="false">IF(F6126=1,G6126,"")</f>
        <v>69.149</v>
      </c>
    </row>
    <row r="6127" customFormat="false" ht="15" hidden="false" customHeight="false" outlineLevel="0" collapsed="false">
      <c r="A6127" s="31" t="n">
        <v>42991.2083333333</v>
      </c>
      <c r="B6127" s="32" t="n">
        <v>69.255</v>
      </c>
      <c r="D6127" s="33" t="n">
        <f aca="false">WEEKDAY(A6127,2)</f>
        <v>3</v>
      </c>
      <c r="E6127" s="33" t="n">
        <f aca="false">HOUR(A6127)+MINUTE(A6127)/60</f>
        <v>5</v>
      </c>
      <c r="F6127" s="33" t="n">
        <f aca="false">IF(OR(D6127&gt;5,E6127&lt;8,E6127&gt;=18,COUNTIF($K$2:$K$10,INT(A6127))&gt;0),1,0)</f>
        <v>1</v>
      </c>
      <c r="G6127" s="34" t="n">
        <f aca="false">B6127/1</f>
        <v>69.255</v>
      </c>
      <c r="H6127" s="34" t="n">
        <f aca="false">IF(F6127=1,G6127,"")</f>
        <v>69.255</v>
      </c>
    </row>
    <row r="6128" customFormat="false" ht="15" hidden="false" customHeight="false" outlineLevel="0" collapsed="false">
      <c r="A6128" s="31" t="n">
        <v>42991.25</v>
      </c>
      <c r="B6128" s="32" t="n">
        <v>70.025</v>
      </c>
      <c r="D6128" s="33" t="n">
        <f aca="false">WEEKDAY(A6128,2)</f>
        <v>3</v>
      </c>
      <c r="E6128" s="33" t="n">
        <f aca="false">HOUR(A6128)+MINUTE(A6128)/60</f>
        <v>6</v>
      </c>
      <c r="F6128" s="33" t="n">
        <f aca="false">IF(OR(D6128&gt;5,E6128&lt;8,E6128&gt;=18,COUNTIF($K$2:$K$10,INT(A6128))&gt;0),1,0)</f>
        <v>1</v>
      </c>
      <c r="G6128" s="34" t="n">
        <f aca="false">B6128/1</f>
        <v>70.025</v>
      </c>
      <c r="H6128" s="34" t="n">
        <f aca="false">IF(F6128=1,G6128,"")</f>
        <v>70.025</v>
      </c>
    </row>
    <row r="6129" customFormat="false" ht="15" hidden="false" customHeight="false" outlineLevel="0" collapsed="false">
      <c r="A6129" s="31" t="n">
        <v>42991.2916666667</v>
      </c>
      <c r="B6129" s="32" t="n">
        <v>79.037</v>
      </c>
      <c r="D6129" s="33" t="n">
        <f aca="false">WEEKDAY(A6129,2)</f>
        <v>3</v>
      </c>
      <c r="E6129" s="33" t="n">
        <f aca="false">HOUR(A6129)+MINUTE(A6129)/60</f>
        <v>7</v>
      </c>
      <c r="F6129" s="33" t="n">
        <f aca="false">IF(OR(D6129&gt;5,E6129&lt;8,E6129&gt;=18,COUNTIF($K$2:$K$10,INT(A6129))&gt;0),1,0)</f>
        <v>1</v>
      </c>
      <c r="G6129" s="34" t="n">
        <f aca="false">B6129/1</f>
        <v>79.037</v>
      </c>
      <c r="H6129" s="34" t="n">
        <f aca="false">IF(F6129=1,G6129,"")</f>
        <v>79.037</v>
      </c>
    </row>
    <row r="6130" customFormat="false" ht="15" hidden="false" customHeight="false" outlineLevel="0" collapsed="false">
      <c r="A6130" s="31" t="n">
        <v>42991.3333333333</v>
      </c>
      <c r="B6130" s="32" t="n">
        <v>192.49</v>
      </c>
      <c r="D6130" s="33" t="n">
        <f aca="false">WEEKDAY(A6130,2)</f>
        <v>3</v>
      </c>
      <c r="E6130" s="33" t="n">
        <f aca="false">HOUR(A6130)+MINUTE(A6130)/60</f>
        <v>8</v>
      </c>
      <c r="F6130" s="33" t="n">
        <f aca="false">IF(OR(D6130&gt;5,E6130&lt;8,E6130&gt;=18,COUNTIF($K$2:$K$10,INT(A6130))&gt;0),1,0)</f>
        <v>0</v>
      </c>
      <c r="G6130" s="34" t="n">
        <f aca="false">B6130/1</f>
        <v>192.49</v>
      </c>
      <c r="H6130" s="34" t="str">
        <f aca="false">IF(F6130=1,G6130,"")</f>
        <v/>
      </c>
    </row>
    <row r="6131" customFormat="false" ht="15" hidden="false" customHeight="false" outlineLevel="0" collapsed="false">
      <c r="A6131" s="31" t="n">
        <v>42991.375</v>
      </c>
      <c r="B6131" s="32" t="n">
        <v>228.643</v>
      </c>
      <c r="D6131" s="33" t="n">
        <f aca="false">WEEKDAY(A6131,2)</f>
        <v>3</v>
      </c>
      <c r="E6131" s="33" t="n">
        <f aca="false">HOUR(A6131)+MINUTE(A6131)/60</f>
        <v>9</v>
      </c>
      <c r="F6131" s="33" t="n">
        <f aca="false">IF(OR(D6131&gt;5,E6131&lt;8,E6131&gt;=18,COUNTIF($K$2:$K$10,INT(A6131))&gt;0),1,0)</f>
        <v>0</v>
      </c>
      <c r="G6131" s="34" t="n">
        <f aca="false">B6131/1</f>
        <v>228.643</v>
      </c>
      <c r="H6131" s="34" t="str">
        <f aca="false">IF(F6131=1,G6131,"")</f>
        <v/>
      </c>
    </row>
    <row r="6132" customFormat="false" ht="15" hidden="false" customHeight="false" outlineLevel="0" collapsed="false">
      <c r="A6132" s="31" t="n">
        <v>42991.4166666667</v>
      </c>
      <c r="B6132" s="32" t="n">
        <v>258.768</v>
      </c>
      <c r="D6132" s="33" t="n">
        <f aca="false">WEEKDAY(A6132,2)</f>
        <v>3</v>
      </c>
      <c r="E6132" s="33" t="n">
        <f aca="false">HOUR(A6132)+MINUTE(A6132)/60</f>
        <v>10</v>
      </c>
      <c r="F6132" s="33" t="n">
        <f aca="false">IF(OR(D6132&gt;5,E6132&lt;8,E6132&gt;=18,COUNTIF($K$2:$K$10,INT(A6132))&gt;0),1,0)</f>
        <v>0</v>
      </c>
      <c r="G6132" s="34" t="n">
        <f aca="false">B6132/1</f>
        <v>258.768</v>
      </c>
      <c r="H6132" s="34" t="str">
        <f aca="false">IF(F6132=1,G6132,"")</f>
        <v/>
      </c>
    </row>
    <row r="6133" customFormat="false" ht="15" hidden="false" customHeight="false" outlineLevel="0" collapsed="false">
      <c r="A6133" s="31" t="n">
        <v>42991.4583333333</v>
      </c>
      <c r="B6133" s="32" t="n">
        <v>272.382</v>
      </c>
      <c r="D6133" s="33" t="n">
        <f aca="false">WEEKDAY(A6133,2)</f>
        <v>3</v>
      </c>
      <c r="E6133" s="33" t="n">
        <f aca="false">HOUR(A6133)+MINUTE(A6133)/60</f>
        <v>11</v>
      </c>
      <c r="F6133" s="33" t="n">
        <f aca="false">IF(OR(D6133&gt;5,E6133&lt;8,E6133&gt;=18,COUNTIF($K$2:$K$10,INT(A6133))&gt;0),1,0)</f>
        <v>0</v>
      </c>
      <c r="G6133" s="34" t="n">
        <f aca="false">B6133/1</f>
        <v>272.382</v>
      </c>
      <c r="H6133" s="34" t="str">
        <f aca="false">IF(F6133=1,G6133,"")</f>
        <v/>
      </c>
    </row>
    <row r="6134" customFormat="false" ht="15" hidden="false" customHeight="false" outlineLevel="0" collapsed="false">
      <c r="A6134" s="31" t="n">
        <v>42991.5</v>
      </c>
      <c r="B6134" s="32" t="n">
        <v>274.71</v>
      </c>
      <c r="D6134" s="33" t="n">
        <f aca="false">WEEKDAY(A6134,2)</f>
        <v>3</v>
      </c>
      <c r="E6134" s="33" t="n">
        <f aca="false">HOUR(A6134)+MINUTE(A6134)/60</f>
        <v>12</v>
      </c>
      <c r="F6134" s="33" t="n">
        <f aca="false">IF(OR(D6134&gt;5,E6134&lt;8,E6134&gt;=18,COUNTIF($K$2:$K$10,INT(A6134))&gt;0),1,0)</f>
        <v>0</v>
      </c>
      <c r="G6134" s="34" t="n">
        <f aca="false">B6134/1</f>
        <v>274.71</v>
      </c>
      <c r="H6134" s="34" t="str">
        <f aca="false">IF(F6134=1,G6134,"")</f>
        <v/>
      </c>
    </row>
    <row r="6135" customFormat="false" ht="15" hidden="false" customHeight="false" outlineLevel="0" collapsed="false">
      <c r="A6135" s="31" t="n">
        <v>42991.5416666667</v>
      </c>
      <c r="B6135" s="32" t="n">
        <v>270.555</v>
      </c>
      <c r="D6135" s="33" t="n">
        <f aca="false">WEEKDAY(A6135,2)</f>
        <v>3</v>
      </c>
      <c r="E6135" s="33" t="n">
        <f aca="false">HOUR(A6135)+MINUTE(A6135)/60</f>
        <v>13</v>
      </c>
      <c r="F6135" s="33" t="n">
        <f aca="false">IF(OR(D6135&gt;5,E6135&lt;8,E6135&gt;=18,COUNTIF($K$2:$K$10,INT(A6135))&gt;0),1,0)</f>
        <v>0</v>
      </c>
      <c r="G6135" s="34" t="n">
        <f aca="false">B6135/1</f>
        <v>270.555</v>
      </c>
      <c r="H6135" s="34" t="str">
        <f aca="false">IF(F6135=1,G6135,"")</f>
        <v/>
      </c>
    </row>
    <row r="6136" customFormat="false" ht="15" hidden="false" customHeight="false" outlineLevel="0" collapsed="false">
      <c r="A6136" s="31" t="n">
        <v>42991.5833333333</v>
      </c>
      <c r="B6136" s="32" t="n">
        <v>272.638</v>
      </c>
      <c r="D6136" s="33" t="n">
        <f aca="false">WEEKDAY(A6136,2)</f>
        <v>3</v>
      </c>
      <c r="E6136" s="33" t="n">
        <f aca="false">HOUR(A6136)+MINUTE(A6136)/60</f>
        <v>14</v>
      </c>
      <c r="F6136" s="33" t="n">
        <f aca="false">IF(OR(D6136&gt;5,E6136&lt;8,E6136&gt;=18,COUNTIF($K$2:$K$10,INT(A6136))&gt;0),1,0)</f>
        <v>0</v>
      </c>
      <c r="G6136" s="34" t="n">
        <f aca="false">B6136/1</f>
        <v>272.638</v>
      </c>
      <c r="H6136" s="34" t="str">
        <f aca="false">IF(F6136=1,G6136,"")</f>
        <v/>
      </c>
    </row>
    <row r="6137" customFormat="false" ht="15" hidden="false" customHeight="false" outlineLevel="0" collapsed="false">
      <c r="A6137" s="31" t="n">
        <v>42991.625</v>
      </c>
      <c r="B6137" s="32" t="n">
        <v>264.153</v>
      </c>
      <c r="D6137" s="33" t="n">
        <f aca="false">WEEKDAY(A6137,2)</f>
        <v>3</v>
      </c>
      <c r="E6137" s="33" t="n">
        <f aca="false">HOUR(A6137)+MINUTE(A6137)/60</f>
        <v>15</v>
      </c>
      <c r="F6137" s="33" t="n">
        <f aca="false">IF(OR(D6137&gt;5,E6137&lt;8,E6137&gt;=18,COUNTIF($K$2:$K$10,INT(A6137))&gt;0),1,0)</f>
        <v>0</v>
      </c>
      <c r="G6137" s="34" t="n">
        <f aca="false">B6137/1</f>
        <v>264.153</v>
      </c>
      <c r="H6137" s="34" t="str">
        <f aca="false">IF(F6137=1,G6137,"")</f>
        <v/>
      </c>
    </row>
    <row r="6138" customFormat="false" ht="15" hidden="false" customHeight="false" outlineLevel="0" collapsed="false">
      <c r="A6138" s="31" t="n">
        <v>42991.6666666667</v>
      </c>
      <c r="B6138" s="32" t="n">
        <v>252.464</v>
      </c>
      <c r="D6138" s="33" t="n">
        <f aca="false">WEEKDAY(A6138,2)</f>
        <v>3</v>
      </c>
      <c r="E6138" s="33" t="n">
        <f aca="false">HOUR(A6138)+MINUTE(A6138)/60</f>
        <v>16</v>
      </c>
      <c r="F6138" s="33" t="n">
        <f aca="false">IF(OR(D6138&gt;5,E6138&lt;8,E6138&gt;=18,COUNTIF($K$2:$K$10,INT(A6138))&gt;0),1,0)</f>
        <v>0</v>
      </c>
      <c r="G6138" s="34" t="n">
        <f aca="false">B6138/1</f>
        <v>252.464</v>
      </c>
      <c r="H6138" s="34" t="str">
        <f aca="false">IF(F6138=1,G6138,"")</f>
        <v/>
      </c>
    </row>
    <row r="6139" customFormat="false" ht="15" hidden="false" customHeight="false" outlineLevel="0" collapsed="false">
      <c r="A6139" s="31" t="n">
        <v>42991.7083333333</v>
      </c>
      <c r="B6139" s="32" t="n">
        <v>235.578</v>
      </c>
      <c r="D6139" s="33" t="n">
        <f aca="false">WEEKDAY(A6139,2)</f>
        <v>3</v>
      </c>
      <c r="E6139" s="33" t="n">
        <f aca="false">HOUR(A6139)+MINUTE(A6139)/60</f>
        <v>17</v>
      </c>
      <c r="F6139" s="33" t="n">
        <f aca="false">IF(OR(D6139&gt;5,E6139&lt;8,E6139&gt;=18,COUNTIF($K$2:$K$10,INT(A6139))&gt;0),1,0)</f>
        <v>0</v>
      </c>
      <c r="G6139" s="34" t="n">
        <f aca="false">B6139/1</f>
        <v>235.578</v>
      </c>
      <c r="H6139" s="34" t="str">
        <f aca="false">IF(F6139=1,G6139,"")</f>
        <v/>
      </c>
    </row>
    <row r="6140" customFormat="false" ht="15" hidden="false" customHeight="false" outlineLevel="0" collapsed="false">
      <c r="A6140" s="31" t="n">
        <v>42991.75</v>
      </c>
      <c r="B6140" s="32" t="n">
        <v>214.489</v>
      </c>
      <c r="D6140" s="33" t="n">
        <f aca="false">WEEKDAY(A6140,2)</f>
        <v>3</v>
      </c>
      <c r="E6140" s="33" t="n">
        <f aca="false">HOUR(A6140)+MINUTE(A6140)/60</f>
        <v>18</v>
      </c>
      <c r="F6140" s="33" t="n">
        <f aca="false">IF(OR(D6140&gt;5,E6140&lt;8,E6140&gt;=18,COUNTIF($K$2:$K$10,INT(A6140))&gt;0),1,0)</f>
        <v>1</v>
      </c>
      <c r="G6140" s="34" t="n">
        <f aca="false">B6140/1</f>
        <v>214.489</v>
      </c>
      <c r="H6140" s="34" t="n">
        <f aca="false">IF(F6140=1,G6140,"")</f>
        <v>214.489</v>
      </c>
    </row>
    <row r="6141" customFormat="false" ht="15" hidden="false" customHeight="false" outlineLevel="0" collapsed="false">
      <c r="A6141" s="31" t="n">
        <v>42991.7916666667</v>
      </c>
      <c r="B6141" s="32" t="n">
        <v>199.055</v>
      </c>
      <c r="D6141" s="33" t="n">
        <f aca="false">WEEKDAY(A6141,2)</f>
        <v>3</v>
      </c>
      <c r="E6141" s="33" t="n">
        <f aca="false">HOUR(A6141)+MINUTE(A6141)/60</f>
        <v>19</v>
      </c>
      <c r="F6141" s="33" t="n">
        <f aca="false">IF(OR(D6141&gt;5,E6141&lt;8,E6141&gt;=18,COUNTIF($K$2:$K$10,INT(A6141))&gt;0),1,0)</f>
        <v>1</v>
      </c>
      <c r="G6141" s="34" t="n">
        <f aca="false">B6141/1</f>
        <v>199.055</v>
      </c>
      <c r="H6141" s="34" t="n">
        <f aca="false">IF(F6141=1,G6141,"")</f>
        <v>199.055</v>
      </c>
    </row>
    <row r="6142" customFormat="false" ht="15" hidden="false" customHeight="false" outlineLevel="0" collapsed="false">
      <c r="A6142" s="31" t="n">
        <v>42991.8333333333</v>
      </c>
      <c r="B6142" s="32" t="n">
        <v>201.435</v>
      </c>
      <c r="D6142" s="33" t="n">
        <f aca="false">WEEKDAY(A6142,2)</f>
        <v>3</v>
      </c>
      <c r="E6142" s="33" t="n">
        <f aca="false">HOUR(A6142)+MINUTE(A6142)/60</f>
        <v>20</v>
      </c>
      <c r="F6142" s="33" t="n">
        <f aca="false">IF(OR(D6142&gt;5,E6142&lt;8,E6142&gt;=18,COUNTIF($K$2:$K$10,INT(A6142))&gt;0),1,0)</f>
        <v>1</v>
      </c>
      <c r="G6142" s="34" t="n">
        <f aca="false">B6142/1</f>
        <v>201.435</v>
      </c>
      <c r="H6142" s="34" t="n">
        <f aca="false">IF(F6142=1,G6142,"")</f>
        <v>201.435</v>
      </c>
    </row>
    <row r="6143" customFormat="false" ht="15" hidden="false" customHeight="false" outlineLevel="0" collapsed="false">
      <c r="A6143" s="31" t="n">
        <v>42991.875</v>
      </c>
      <c r="B6143" s="32" t="n">
        <v>209.975</v>
      </c>
      <c r="D6143" s="33" t="n">
        <f aca="false">WEEKDAY(A6143,2)</f>
        <v>3</v>
      </c>
      <c r="E6143" s="33" t="n">
        <f aca="false">HOUR(A6143)+MINUTE(A6143)/60</f>
        <v>21</v>
      </c>
      <c r="F6143" s="33" t="n">
        <f aca="false">IF(OR(D6143&gt;5,E6143&lt;8,E6143&gt;=18,COUNTIF($K$2:$K$10,INT(A6143))&gt;0),1,0)</f>
        <v>1</v>
      </c>
      <c r="G6143" s="34" t="n">
        <f aca="false">B6143/1</f>
        <v>209.975</v>
      </c>
      <c r="H6143" s="34" t="n">
        <f aca="false">IF(F6143=1,G6143,"")</f>
        <v>209.975</v>
      </c>
    </row>
    <row r="6144" customFormat="false" ht="15" hidden="false" customHeight="false" outlineLevel="0" collapsed="false">
      <c r="A6144" s="31" t="n">
        <v>42991.9166666667</v>
      </c>
      <c r="B6144" s="32" t="n">
        <v>187.515</v>
      </c>
      <c r="D6144" s="33" t="n">
        <f aca="false">WEEKDAY(A6144,2)</f>
        <v>3</v>
      </c>
      <c r="E6144" s="33" t="n">
        <f aca="false">HOUR(A6144)+MINUTE(A6144)/60</f>
        <v>22</v>
      </c>
      <c r="F6144" s="33" t="n">
        <f aca="false">IF(OR(D6144&gt;5,E6144&lt;8,E6144&gt;=18,COUNTIF($K$2:$K$10,INT(A6144))&gt;0),1,0)</f>
        <v>1</v>
      </c>
      <c r="G6144" s="34" t="n">
        <f aca="false">B6144/1</f>
        <v>187.515</v>
      </c>
      <c r="H6144" s="34" t="n">
        <f aca="false">IF(F6144=1,G6144,"")</f>
        <v>187.515</v>
      </c>
    </row>
    <row r="6145" customFormat="false" ht="15" hidden="false" customHeight="false" outlineLevel="0" collapsed="false">
      <c r="A6145" s="31" t="n">
        <v>42991.9583333333</v>
      </c>
      <c r="B6145" s="32" t="n">
        <v>80.22</v>
      </c>
      <c r="D6145" s="33" t="n">
        <f aca="false">WEEKDAY(A6145,2)</f>
        <v>3</v>
      </c>
      <c r="E6145" s="33" t="n">
        <f aca="false">HOUR(A6145)+MINUTE(A6145)/60</f>
        <v>23</v>
      </c>
      <c r="F6145" s="33" t="n">
        <f aca="false">IF(OR(D6145&gt;5,E6145&lt;8,E6145&gt;=18,COUNTIF($K$2:$K$10,INT(A6145))&gt;0),1,0)</f>
        <v>1</v>
      </c>
      <c r="G6145" s="34" t="n">
        <f aca="false">B6145/1</f>
        <v>80.22</v>
      </c>
      <c r="H6145" s="34" t="n">
        <f aca="false">IF(F6145=1,G6145,"")</f>
        <v>80.22</v>
      </c>
    </row>
    <row r="6146" customFormat="false" ht="15" hidden="false" customHeight="false" outlineLevel="0" collapsed="false">
      <c r="A6146" s="31" t="n">
        <v>42992</v>
      </c>
      <c r="B6146" s="32" t="n">
        <v>75.89</v>
      </c>
      <c r="D6146" s="33" t="n">
        <f aca="false">WEEKDAY(A6146,2)</f>
        <v>4</v>
      </c>
      <c r="E6146" s="33" t="n">
        <f aca="false">HOUR(A6146)+MINUTE(A6146)/60</f>
        <v>0</v>
      </c>
      <c r="F6146" s="33" t="n">
        <f aca="false">IF(OR(D6146&gt;5,E6146&lt;8,E6146&gt;=18,COUNTIF($K$2:$K$10,INT(A6146))&gt;0),1,0)</f>
        <v>1</v>
      </c>
      <c r="G6146" s="34" t="n">
        <f aca="false">B6146/1</f>
        <v>75.89</v>
      </c>
      <c r="H6146" s="34" t="n">
        <f aca="false">IF(F6146=1,G6146,"")</f>
        <v>75.89</v>
      </c>
    </row>
    <row r="6147" customFormat="false" ht="15" hidden="false" customHeight="false" outlineLevel="0" collapsed="false">
      <c r="A6147" s="31" t="n">
        <v>42992.0416666667</v>
      </c>
      <c r="B6147" s="32" t="n">
        <v>75.663</v>
      </c>
      <c r="D6147" s="33" t="n">
        <f aca="false">WEEKDAY(A6147,2)</f>
        <v>4</v>
      </c>
      <c r="E6147" s="33" t="n">
        <f aca="false">HOUR(A6147)+MINUTE(A6147)/60</f>
        <v>1</v>
      </c>
      <c r="F6147" s="33" t="n">
        <f aca="false">IF(OR(D6147&gt;5,E6147&lt;8,E6147&gt;=18,COUNTIF($K$2:$K$10,INT(A6147))&gt;0),1,0)</f>
        <v>1</v>
      </c>
      <c r="G6147" s="34" t="n">
        <f aca="false">B6147/1</f>
        <v>75.663</v>
      </c>
      <c r="H6147" s="34" t="n">
        <f aca="false">IF(F6147=1,G6147,"")</f>
        <v>75.663</v>
      </c>
    </row>
    <row r="6148" customFormat="false" ht="15" hidden="false" customHeight="false" outlineLevel="0" collapsed="false">
      <c r="A6148" s="31" t="n">
        <v>42992.0833333333</v>
      </c>
      <c r="B6148" s="32" t="n">
        <v>75.987</v>
      </c>
      <c r="D6148" s="33" t="n">
        <f aca="false">WEEKDAY(A6148,2)</f>
        <v>4</v>
      </c>
      <c r="E6148" s="33" t="n">
        <f aca="false">HOUR(A6148)+MINUTE(A6148)/60</f>
        <v>2</v>
      </c>
      <c r="F6148" s="33" t="n">
        <f aca="false">IF(OR(D6148&gt;5,E6148&lt;8,E6148&gt;=18,COUNTIF($K$2:$K$10,INT(A6148))&gt;0),1,0)</f>
        <v>1</v>
      </c>
      <c r="G6148" s="34" t="n">
        <f aca="false">B6148/1</f>
        <v>75.987</v>
      </c>
      <c r="H6148" s="34" t="n">
        <f aca="false">IF(F6148=1,G6148,"")</f>
        <v>75.987</v>
      </c>
    </row>
    <row r="6149" customFormat="false" ht="15" hidden="false" customHeight="false" outlineLevel="0" collapsed="false">
      <c r="A6149" s="31" t="n">
        <v>42992.125</v>
      </c>
      <c r="B6149" s="32" t="n">
        <v>75.097</v>
      </c>
      <c r="D6149" s="33" t="n">
        <f aca="false">WEEKDAY(A6149,2)</f>
        <v>4</v>
      </c>
      <c r="E6149" s="33" t="n">
        <f aca="false">HOUR(A6149)+MINUTE(A6149)/60</f>
        <v>3</v>
      </c>
      <c r="F6149" s="33" t="n">
        <f aca="false">IF(OR(D6149&gt;5,E6149&lt;8,E6149&gt;=18,COUNTIF($K$2:$K$10,INT(A6149))&gt;0),1,0)</f>
        <v>1</v>
      </c>
      <c r="G6149" s="34" t="n">
        <f aca="false">B6149/1</f>
        <v>75.097</v>
      </c>
      <c r="H6149" s="34" t="n">
        <f aca="false">IF(F6149=1,G6149,"")</f>
        <v>75.097</v>
      </c>
    </row>
    <row r="6150" customFormat="false" ht="15" hidden="false" customHeight="false" outlineLevel="0" collapsed="false">
      <c r="A6150" s="31" t="n">
        <v>42992.1666666667</v>
      </c>
      <c r="B6150" s="32" t="n">
        <v>75.428</v>
      </c>
      <c r="D6150" s="33" t="n">
        <f aca="false">WEEKDAY(A6150,2)</f>
        <v>4</v>
      </c>
      <c r="E6150" s="33" t="n">
        <f aca="false">HOUR(A6150)+MINUTE(A6150)/60</f>
        <v>4</v>
      </c>
      <c r="F6150" s="33" t="n">
        <f aca="false">IF(OR(D6150&gt;5,E6150&lt;8,E6150&gt;=18,COUNTIF($K$2:$K$10,INT(A6150))&gt;0),1,0)</f>
        <v>1</v>
      </c>
      <c r="G6150" s="34" t="n">
        <f aca="false">B6150/1</f>
        <v>75.428</v>
      </c>
      <c r="H6150" s="34" t="n">
        <f aca="false">IF(F6150=1,G6150,"")</f>
        <v>75.428</v>
      </c>
    </row>
    <row r="6151" customFormat="false" ht="15" hidden="false" customHeight="false" outlineLevel="0" collapsed="false">
      <c r="A6151" s="31" t="n">
        <v>42992.2083333333</v>
      </c>
      <c r="B6151" s="32" t="n">
        <v>75.258</v>
      </c>
      <c r="D6151" s="33" t="n">
        <f aca="false">WEEKDAY(A6151,2)</f>
        <v>4</v>
      </c>
      <c r="E6151" s="33" t="n">
        <f aca="false">HOUR(A6151)+MINUTE(A6151)/60</f>
        <v>5</v>
      </c>
      <c r="F6151" s="33" t="n">
        <f aca="false">IF(OR(D6151&gt;5,E6151&lt;8,E6151&gt;=18,COUNTIF($K$2:$K$10,INT(A6151))&gt;0),1,0)</f>
        <v>1</v>
      </c>
      <c r="G6151" s="34" t="n">
        <f aca="false">B6151/1</f>
        <v>75.258</v>
      </c>
      <c r="H6151" s="34" t="n">
        <f aca="false">IF(F6151=1,G6151,"")</f>
        <v>75.258</v>
      </c>
    </row>
    <row r="6152" customFormat="false" ht="15" hidden="false" customHeight="false" outlineLevel="0" collapsed="false">
      <c r="A6152" s="31" t="n">
        <v>42992.25</v>
      </c>
      <c r="B6152" s="32" t="n">
        <v>76.676</v>
      </c>
      <c r="D6152" s="33" t="n">
        <f aca="false">WEEKDAY(A6152,2)</f>
        <v>4</v>
      </c>
      <c r="E6152" s="33" t="n">
        <f aca="false">HOUR(A6152)+MINUTE(A6152)/60</f>
        <v>6</v>
      </c>
      <c r="F6152" s="33" t="n">
        <f aca="false">IF(OR(D6152&gt;5,E6152&lt;8,E6152&gt;=18,COUNTIF($K$2:$K$10,INT(A6152))&gt;0),1,0)</f>
        <v>1</v>
      </c>
      <c r="G6152" s="34" t="n">
        <f aca="false">B6152/1</f>
        <v>76.676</v>
      </c>
      <c r="H6152" s="34" t="n">
        <f aca="false">IF(F6152=1,G6152,"")</f>
        <v>76.676</v>
      </c>
    </row>
    <row r="6153" customFormat="false" ht="15" hidden="false" customHeight="false" outlineLevel="0" collapsed="false">
      <c r="A6153" s="31" t="n">
        <v>42992.2916666667</v>
      </c>
      <c r="B6153" s="32" t="n">
        <v>90.957</v>
      </c>
      <c r="D6153" s="33" t="n">
        <f aca="false">WEEKDAY(A6153,2)</f>
        <v>4</v>
      </c>
      <c r="E6153" s="33" t="n">
        <f aca="false">HOUR(A6153)+MINUTE(A6153)/60</f>
        <v>7</v>
      </c>
      <c r="F6153" s="33" t="n">
        <f aca="false">IF(OR(D6153&gt;5,E6153&lt;8,E6153&gt;=18,COUNTIF($K$2:$K$10,INT(A6153))&gt;0),1,0)</f>
        <v>1</v>
      </c>
      <c r="G6153" s="34" t="n">
        <f aca="false">B6153/1</f>
        <v>90.957</v>
      </c>
      <c r="H6153" s="34" t="n">
        <f aca="false">IF(F6153=1,G6153,"")</f>
        <v>90.957</v>
      </c>
    </row>
    <row r="6154" customFormat="false" ht="15" hidden="false" customHeight="false" outlineLevel="0" collapsed="false">
      <c r="A6154" s="31" t="n">
        <v>42992.3333333333</v>
      </c>
      <c r="B6154" s="32" t="n">
        <v>203.332</v>
      </c>
      <c r="D6154" s="33" t="n">
        <f aca="false">WEEKDAY(A6154,2)</f>
        <v>4</v>
      </c>
      <c r="E6154" s="33" t="n">
        <f aca="false">HOUR(A6154)+MINUTE(A6154)/60</f>
        <v>8</v>
      </c>
      <c r="F6154" s="33" t="n">
        <f aca="false">IF(OR(D6154&gt;5,E6154&lt;8,E6154&gt;=18,COUNTIF($K$2:$K$10,INT(A6154))&gt;0),1,0)</f>
        <v>0</v>
      </c>
      <c r="G6154" s="34" t="n">
        <f aca="false">B6154/1</f>
        <v>203.332</v>
      </c>
      <c r="H6154" s="34" t="str">
        <f aca="false">IF(F6154=1,G6154,"")</f>
        <v/>
      </c>
    </row>
    <row r="6155" customFormat="false" ht="15" hidden="false" customHeight="false" outlineLevel="0" collapsed="false">
      <c r="A6155" s="31" t="n">
        <v>42992.375</v>
      </c>
      <c r="B6155" s="32" t="n">
        <v>229.587</v>
      </c>
      <c r="D6155" s="33" t="n">
        <f aca="false">WEEKDAY(A6155,2)</f>
        <v>4</v>
      </c>
      <c r="E6155" s="33" t="n">
        <f aca="false">HOUR(A6155)+MINUTE(A6155)/60</f>
        <v>9</v>
      </c>
      <c r="F6155" s="33" t="n">
        <f aca="false">IF(OR(D6155&gt;5,E6155&lt;8,E6155&gt;=18,COUNTIF($K$2:$K$10,INT(A6155))&gt;0),1,0)</f>
        <v>0</v>
      </c>
      <c r="G6155" s="34" t="n">
        <f aca="false">B6155/1</f>
        <v>229.587</v>
      </c>
      <c r="H6155" s="34" t="str">
        <f aca="false">IF(F6155=1,G6155,"")</f>
        <v/>
      </c>
    </row>
    <row r="6156" customFormat="false" ht="15" hidden="false" customHeight="false" outlineLevel="0" collapsed="false">
      <c r="A6156" s="31" t="n">
        <v>42992.4166666667</v>
      </c>
      <c r="B6156" s="32" t="n">
        <v>254.02</v>
      </c>
      <c r="D6156" s="33" t="n">
        <f aca="false">WEEKDAY(A6156,2)</f>
        <v>4</v>
      </c>
      <c r="E6156" s="33" t="n">
        <f aca="false">HOUR(A6156)+MINUTE(A6156)/60</f>
        <v>10</v>
      </c>
      <c r="F6156" s="33" t="n">
        <f aca="false">IF(OR(D6156&gt;5,E6156&lt;8,E6156&gt;=18,COUNTIF($K$2:$K$10,INT(A6156))&gt;0),1,0)</f>
        <v>0</v>
      </c>
      <c r="G6156" s="34" t="n">
        <f aca="false">B6156/1</f>
        <v>254.02</v>
      </c>
      <c r="H6156" s="34" t="str">
        <f aca="false">IF(F6156=1,G6156,"")</f>
        <v/>
      </c>
    </row>
    <row r="6157" customFormat="false" ht="15" hidden="false" customHeight="false" outlineLevel="0" collapsed="false">
      <c r="A6157" s="31" t="n">
        <v>42992.4583333333</v>
      </c>
      <c r="B6157" s="32" t="n">
        <v>270.503</v>
      </c>
      <c r="D6157" s="33" t="n">
        <f aca="false">WEEKDAY(A6157,2)</f>
        <v>4</v>
      </c>
      <c r="E6157" s="33" t="n">
        <f aca="false">HOUR(A6157)+MINUTE(A6157)/60</f>
        <v>11</v>
      </c>
      <c r="F6157" s="33" t="n">
        <f aca="false">IF(OR(D6157&gt;5,E6157&lt;8,E6157&gt;=18,COUNTIF($K$2:$K$10,INT(A6157))&gt;0),1,0)</f>
        <v>0</v>
      </c>
      <c r="G6157" s="34" t="n">
        <f aca="false">B6157/1</f>
        <v>270.503</v>
      </c>
      <c r="H6157" s="34" t="str">
        <f aca="false">IF(F6157=1,G6157,"")</f>
        <v/>
      </c>
    </row>
    <row r="6158" customFormat="false" ht="15" hidden="false" customHeight="false" outlineLevel="0" collapsed="false">
      <c r="A6158" s="31" t="n">
        <v>42992.5</v>
      </c>
      <c r="B6158" s="32" t="n">
        <v>276.549</v>
      </c>
      <c r="D6158" s="33" t="n">
        <f aca="false">WEEKDAY(A6158,2)</f>
        <v>4</v>
      </c>
      <c r="E6158" s="33" t="n">
        <f aca="false">HOUR(A6158)+MINUTE(A6158)/60</f>
        <v>12</v>
      </c>
      <c r="F6158" s="33" t="n">
        <f aca="false">IF(OR(D6158&gt;5,E6158&lt;8,E6158&gt;=18,COUNTIF($K$2:$K$10,INT(A6158))&gt;0),1,0)</f>
        <v>0</v>
      </c>
      <c r="G6158" s="34" t="n">
        <f aca="false">B6158/1</f>
        <v>276.549</v>
      </c>
      <c r="H6158" s="34" t="str">
        <f aca="false">IF(F6158=1,G6158,"")</f>
        <v/>
      </c>
    </row>
    <row r="6159" customFormat="false" ht="15" hidden="false" customHeight="false" outlineLevel="0" collapsed="false">
      <c r="A6159" s="31" t="n">
        <v>42992.5416666667</v>
      </c>
      <c r="B6159" s="32" t="n">
        <v>273.263</v>
      </c>
      <c r="D6159" s="33" t="n">
        <f aca="false">WEEKDAY(A6159,2)</f>
        <v>4</v>
      </c>
      <c r="E6159" s="33" t="n">
        <f aca="false">HOUR(A6159)+MINUTE(A6159)/60</f>
        <v>13</v>
      </c>
      <c r="F6159" s="33" t="n">
        <f aca="false">IF(OR(D6159&gt;5,E6159&lt;8,E6159&gt;=18,COUNTIF($K$2:$K$10,INT(A6159))&gt;0),1,0)</f>
        <v>0</v>
      </c>
      <c r="G6159" s="34" t="n">
        <f aca="false">B6159/1</f>
        <v>273.263</v>
      </c>
      <c r="H6159" s="34" t="str">
        <f aca="false">IF(F6159=1,G6159,"")</f>
        <v/>
      </c>
    </row>
    <row r="6160" customFormat="false" ht="15" hidden="false" customHeight="false" outlineLevel="0" collapsed="false">
      <c r="A6160" s="31" t="n">
        <v>42992.5833333333</v>
      </c>
      <c r="B6160" s="32" t="n">
        <v>281.207</v>
      </c>
      <c r="D6160" s="33" t="n">
        <f aca="false">WEEKDAY(A6160,2)</f>
        <v>4</v>
      </c>
      <c r="E6160" s="33" t="n">
        <f aca="false">HOUR(A6160)+MINUTE(A6160)/60</f>
        <v>14</v>
      </c>
      <c r="F6160" s="33" t="n">
        <f aca="false">IF(OR(D6160&gt;5,E6160&lt;8,E6160&gt;=18,COUNTIF($K$2:$K$10,INT(A6160))&gt;0),1,0)</f>
        <v>0</v>
      </c>
      <c r="G6160" s="34" t="n">
        <f aca="false">B6160/1</f>
        <v>281.207</v>
      </c>
      <c r="H6160" s="34" t="str">
        <f aca="false">IF(F6160=1,G6160,"")</f>
        <v/>
      </c>
    </row>
    <row r="6161" customFormat="false" ht="15" hidden="false" customHeight="false" outlineLevel="0" collapsed="false">
      <c r="A6161" s="31" t="n">
        <v>42992.625</v>
      </c>
      <c r="B6161" s="32" t="n">
        <v>276.338</v>
      </c>
      <c r="D6161" s="33" t="n">
        <f aca="false">WEEKDAY(A6161,2)</f>
        <v>4</v>
      </c>
      <c r="E6161" s="33" t="n">
        <f aca="false">HOUR(A6161)+MINUTE(A6161)/60</f>
        <v>15</v>
      </c>
      <c r="F6161" s="33" t="n">
        <f aca="false">IF(OR(D6161&gt;5,E6161&lt;8,E6161&gt;=18,COUNTIF($K$2:$K$10,INT(A6161))&gt;0),1,0)</f>
        <v>0</v>
      </c>
      <c r="G6161" s="34" t="n">
        <f aca="false">B6161/1</f>
        <v>276.338</v>
      </c>
      <c r="H6161" s="34" t="str">
        <f aca="false">IF(F6161=1,G6161,"")</f>
        <v/>
      </c>
    </row>
    <row r="6162" customFormat="false" ht="15" hidden="false" customHeight="false" outlineLevel="0" collapsed="false">
      <c r="A6162" s="31" t="n">
        <v>42992.6666666667</v>
      </c>
      <c r="B6162" s="32" t="n">
        <v>271.576</v>
      </c>
      <c r="D6162" s="33" t="n">
        <f aca="false">WEEKDAY(A6162,2)</f>
        <v>4</v>
      </c>
      <c r="E6162" s="33" t="n">
        <f aca="false">HOUR(A6162)+MINUTE(A6162)/60</f>
        <v>16</v>
      </c>
      <c r="F6162" s="33" t="n">
        <f aca="false">IF(OR(D6162&gt;5,E6162&lt;8,E6162&gt;=18,COUNTIF($K$2:$K$10,INT(A6162))&gt;0),1,0)</f>
        <v>0</v>
      </c>
      <c r="G6162" s="34" t="n">
        <f aca="false">B6162/1</f>
        <v>271.576</v>
      </c>
      <c r="H6162" s="34" t="str">
        <f aca="false">IF(F6162=1,G6162,"")</f>
        <v/>
      </c>
    </row>
    <row r="6163" customFormat="false" ht="15" hidden="false" customHeight="false" outlineLevel="0" collapsed="false">
      <c r="A6163" s="31" t="n">
        <v>42992.7083333333</v>
      </c>
      <c r="B6163" s="32" t="n">
        <v>259.754</v>
      </c>
      <c r="D6163" s="33" t="n">
        <f aca="false">WEEKDAY(A6163,2)</f>
        <v>4</v>
      </c>
      <c r="E6163" s="33" t="n">
        <f aca="false">HOUR(A6163)+MINUTE(A6163)/60</f>
        <v>17</v>
      </c>
      <c r="F6163" s="33" t="n">
        <f aca="false">IF(OR(D6163&gt;5,E6163&lt;8,E6163&gt;=18,COUNTIF($K$2:$K$10,INT(A6163))&gt;0),1,0)</f>
        <v>0</v>
      </c>
      <c r="G6163" s="34" t="n">
        <f aca="false">B6163/1</f>
        <v>259.754</v>
      </c>
      <c r="H6163" s="34" t="str">
        <f aca="false">IF(F6163=1,G6163,"")</f>
        <v/>
      </c>
    </row>
    <row r="6164" customFormat="false" ht="15" hidden="false" customHeight="false" outlineLevel="0" collapsed="false">
      <c r="A6164" s="31" t="n">
        <v>42992.75</v>
      </c>
      <c r="B6164" s="32" t="n">
        <v>217.538</v>
      </c>
      <c r="D6164" s="33" t="n">
        <f aca="false">WEEKDAY(A6164,2)</f>
        <v>4</v>
      </c>
      <c r="E6164" s="33" t="n">
        <f aca="false">HOUR(A6164)+MINUTE(A6164)/60</f>
        <v>18</v>
      </c>
      <c r="F6164" s="33" t="n">
        <f aca="false">IF(OR(D6164&gt;5,E6164&lt;8,E6164&gt;=18,COUNTIF($K$2:$K$10,INT(A6164))&gt;0),1,0)</f>
        <v>1</v>
      </c>
      <c r="G6164" s="34" t="n">
        <f aca="false">B6164/1</f>
        <v>217.538</v>
      </c>
      <c r="H6164" s="34" t="n">
        <f aca="false">IF(F6164=1,G6164,"")</f>
        <v>217.538</v>
      </c>
    </row>
    <row r="6165" customFormat="false" ht="15" hidden="false" customHeight="false" outlineLevel="0" collapsed="false">
      <c r="A6165" s="31" t="n">
        <v>42992.7916666667</v>
      </c>
      <c r="B6165" s="32" t="n">
        <v>200.061</v>
      </c>
      <c r="D6165" s="33" t="n">
        <f aca="false">WEEKDAY(A6165,2)</f>
        <v>4</v>
      </c>
      <c r="E6165" s="33" t="n">
        <f aca="false">HOUR(A6165)+MINUTE(A6165)/60</f>
        <v>19</v>
      </c>
      <c r="F6165" s="33" t="n">
        <f aca="false">IF(OR(D6165&gt;5,E6165&lt;8,E6165&gt;=18,COUNTIF($K$2:$K$10,INT(A6165))&gt;0),1,0)</f>
        <v>1</v>
      </c>
      <c r="G6165" s="34" t="n">
        <f aca="false">B6165/1</f>
        <v>200.061</v>
      </c>
      <c r="H6165" s="34" t="n">
        <f aca="false">IF(F6165=1,G6165,"")</f>
        <v>200.061</v>
      </c>
    </row>
    <row r="6166" customFormat="false" ht="15" hidden="false" customHeight="false" outlineLevel="0" collapsed="false">
      <c r="A6166" s="31" t="n">
        <v>42992.8333333333</v>
      </c>
      <c r="B6166" s="32" t="n">
        <v>193.793</v>
      </c>
      <c r="D6166" s="33" t="n">
        <f aca="false">WEEKDAY(A6166,2)</f>
        <v>4</v>
      </c>
      <c r="E6166" s="33" t="n">
        <f aca="false">HOUR(A6166)+MINUTE(A6166)/60</f>
        <v>20</v>
      </c>
      <c r="F6166" s="33" t="n">
        <f aca="false">IF(OR(D6166&gt;5,E6166&lt;8,E6166&gt;=18,COUNTIF($K$2:$K$10,INT(A6166))&gt;0),1,0)</f>
        <v>1</v>
      </c>
      <c r="G6166" s="34" t="n">
        <f aca="false">B6166/1</f>
        <v>193.793</v>
      </c>
      <c r="H6166" s="34" t="n">
        <f aca="false">IF(F6166=1,G6166,"")</f>
        <v>193.793</v>
      </c>
    </row>
    <row r="6167" customFormat="false" ht="15" hidden="false" customHeight="false" outlineLevel="0" collapsed="false">
      <c r="A6167" s="31" t="n">
        <v>42992.875</v>
      </c>
      <c r="B6167" s="32" t="n">
        <v>202.792</v>
      </c>
      <c r="D6167" s="33" t="n">
        <f aca="false">WEEKDAY(A6167,2)</f>
        <v>4</v>
      </c>
      <c r="E6167" s="33" t="n">
        <f aca="false">HOUR(A6167)+MINUTE(A6167)/60</f>
        <v>21</v>
      </c>
      <c r="F6167" s="33" t="n">
        <f aca="false">IF(OR(D6167&gt;5,E6167&lt;8,E6167&gt;=18,COUNTIF($K$2:$K$10,INT(A6167))&gt;0),1,0)</f>
        <v>1</v>
      </c>
      <c r="G6167" s="34" t="n">
        <f aca="false">B6167/1</f>
        <v>202.792</v>
      </c>
      <c r="H6167" s="34" t="n">
        <f aca="false">IF(F6167=1,G6167,"")</f>
        <v>202.792</v>
      </c>
    </row>
    <row r="6168" customFormat="false" ht="15" hidden="false" customHeight="false" outlineLevel="0" collapsed="false">
      <c r="A6168" s="31" t="n">
        <v>42992.9166666667</v>
      </c>
      <c r="B6168" s="32" t="n">
        <v>145.008</v>
      </c>
      <c r="D6168" s="33" t="n">
        <f aca="false">WEEKDAY(A6168,2)</f>
        <v>4</v>
      </c>
      <c r="E6168" s="33" t="n">
        <f aca="false">HOUR(A6168)+MINUTE(A6168)/60</f>
        <v>22</v>
      </c>
      <c r="F6168" s="33" t="n">
        <f aca="false">IF(OR(D6168&gt;5,E6168&lt;8,E6168&gt;=18,COUNTIF($K$2:$K$10,INT(A6168))&gt;0),1,0)</f>
        <v>1</v>
      </c>
      <c r="G6168" s="34" t="n">
        <f aca="false">B6168/1</f>
        <v>145.008</v>
      </c>
      <c r="H6168" s="34" t="n">
        <f aca="false">IF(F6168=1,G6168,"")</f>
        <v>145.008</v>
      </c>
    </row>
    <row r="6169" customFormat="false" ht="15" hidden="false" customHeight="false" outlineLevel="0" collapsed="false">
      <c r="A6169" s="31" t="n">
        <v>42992.9583333333</v>
      </c>
      <c r="B6169" s="32" t="n">
        <v>78.064</v>
      </c>
      <c r="D6169" s="33" t="n">
        <f aca="false">WEEKDAY(A6169,2)</f>
        <v>4</v>
      </c>
      <c r="E6169" s="33" t="n">
        <f aca="false">HOUR(A6169)+MINUTE(A6169)/60</f>
        <v>23</v>
      </c>
      <c r="F6169" s="33" t="n">
        <f aca="false">IF(OR(D6169&gt;5,E6169&lt;8,E6169&gt;=18,COUNTIF($K$2:$K$10,INT(A6169))&gt;0),1,0)</f>
        <v>1</v>
      </c>
      <c r="G6169" s="34" t="n">
        <f aca="false">B6169/1</f>
        <v>78.064</v>
      </c>
      <c r="H6169" s="34" t="n">
        <f aca="false">IF(F6169=1,G6169,"")</f>
        <v>78.064</v>
      </c>
    </row>
    <row r="6170" customFormat="false" ht="15" hidden="false" customHeight="false" outlineLevel="0" collapsed="false">
      <c r="A6170" s="31" t="n">
        <v>42993</v>
      </c>
      <c r="B6170" s="32" t="n">
        <v>75.134</v>
      </c>
      <c r="D6170" s="33" t="n">
        <f aca="false">WEEKDAY(A6170,2)</f>
        <v>5</v>
      </c>
      <c r="E6170" s="33" t="n">
        <f aca="false">HOUR(A6170)+MINUTE(A6170)/60</f>
        <v>0</v>
      </c>
      <c r="F6170" s="33" t="n">
        <f aca="false">IF(OR(D6170&gt;5,E6170&lt;8,E6170&gt;=18,COUNTIF($K$2:$K$10,INT(A6170))&gt;0),1,0)</f>
        <v>1</v>
      </c>
      <c r="G6170" s="34" t="n">
        <f aca="false">B6170/1</f>
        <v>75.134</v>
      </c>
      <c r="H6170" s="34" t="n">
        <f aca="false">IF(F6170=1,G6170,"")</f>
        <v>75.134</v>
      </c>
    </row>
    <row r="6171" customFormat="false" ht="15" hidden="false" customHeight="false" outlineLevel="0" collapsed="false">
      <c r="A6171" s="31" t="n">
        <v>42993.0416666667</v>
      </c>
      <c r="B6171" s="32" t="n">
        <v>71.064</v>
      </c>
      <c r="D6171" s="33" t="n">
        <f aca="false">WEEKDAY(A6171,2)</f>
        <v>5</v>
      </c>
      <c r="E6171" s="33" t="n">
        <f aca="false">HOUR(A6171)+MINUTE(A6171)/60</f>
        <v>1</v>
      </c>
      <c r="F6171" s="33" t="n">
        <f aca="false">IF(OR(D6171&gt;5,E6171&lt;8,E6171&gt;=18,COUNTIF($K$2:$K$10,INT(A6171))&gt;0),1,0)</f>
        <v>1</v>
      </c>
      <c r="G6171" s="34" t="n">
        <f aca="false">B6171/1</f>
        <v>71.064</v>
      </c>
      <c r="H6171" s="34" t="n">
        <f aca="false">IF(F6171=1,G6171,"")</f>
        <v>71.064</v>
      </c>
    </row>
    <row r="6172" customFormat="false" ht="15" hidden="false" customHeight="false" outlineLevel="0" collapsed="false">
      <c r="A6172" s="31" t="n">
        <v>42993.0833333333</v>
      </c>
      <c r="B6172" s="32" t="n">
        <v>71.336</v>
      </c>
      <c r="D6172" s="33" t="n">
        <f aca="false">WEEKDAY(A6172,2)</f>
        <v>5</v>
      </c>
      <c r="E6172" s="33" t="n">
        <f aca="false">HOUR(A6172)+MINUTE(A6172)/60</f>
        <v>2</v>
      </c>
      <c r="F6172" s="33" t="n">
        <f aca="false">IF(OR(D6172&gt;5,E6172&lt;8,E6172&gt;=18,COUNTIF($K$2:$K$10,INT(A6172))&gt;0),1,0)</f>
        <v>1</v>
      </c>
      <c r="G6172" s="34" t="n">
        <f aca="false">B6172/1</f>
        <v>71.336</v>
      </c>
      <c r="H6172" s="34" t="n">
        <f aca="false">IF(F6172=1,G6172,"")</f>
        <v>71.336</v>
      </c>
    </row>
    <row r="6173" customFormat="false" ht="15" hidden="false" customHeight="false" outlineLevel="0" collapsed="false">
      <c r="A6173" s="31" t="n">
        <v>42993.125</v>
      </c>
      <c r="B6173" s="32" t="n">
        <v>71.406</v>
      </c>
      <c r="D6173" s="33" t="n">
        <f aca="false">WEEKDAY(A6173,2)</f>
        <v>5</v>
      </c>
      <c r="E6173" s="33" t="n">
        <f aca="false">HOUR(A6173)+MINUTE(A6173)/60</f>
        <v>3</v>
      </c>
      <c r="F6173" s="33" t="n">
        <f aca="false">IF(OR(D6173&gt;5,E6173&lt;8,E6173&gt;=18,COUNTIF($K$2:$K$10,INT(A6173))&gt;0),1,0)</f>
        <v>1</v>
      </c>
      <c r="G6173" s="34" t="n">
        <f aca="false">B6173/1</f>
        <v>71.406</v>
      </c>
      <c r="H6173" s="34" t="n">
        <f aca="false">IF(F6173=1,G6173,"")</f>
        <v>71.406</v>
      </c>
    </row>
    <row r="6174" customFormat="false" ht="15" hidden="false" customHeight="false" outlineLevel="0" collapsed="false">
      <c r="A6174" s="31" t="n">
        <v>42993.1666666667</v>
      </c>
      <c r="B6174" s="32" t="n">
        <v>70.983</v>
      </c>
      <c r="D6174" s="33" t="n">
        <f aca="false">WEEKDAY(A6174,2)</f>
        <v>5</v>
      </c>
      <c r="E6174" s="33" t="n">
        <f aca="false">HOUR(A6174)+MINUTE(A6174)/60</f>
        <v>4</v>
      </c>
      <c r="F6174" s="33" t="n">
        <f aca="false">IF(OR(D6174&gt;5,E6174&lt;8,E6174&gt;=18,COUNTIF($K$2:$K$10,INT(A6174))&gt;0),1,0)</f>
        <v>1</v>
      </c>
      <c r="G6174" s="34" t="n">
        <f aca="false">B6174/1</f>
        <v>70.983</v>
      </c>
      <c r="H6174" s="34" t="n">
        <f aca="false">IF(F6174=1,G6174,"")</f>
        <v>70.983</v>
      </c>
    </row>
    <row r="6175" customFormat="false" ht="15" hidden="false" customHeight="false" outlineLevel="0" collapsed="false">
      <c r="A6175" s="31" t="n">
        <v>42993.2083333333</v>
      </c>
      <c r="B6175" s="32" t="n">
        <v>70.115</v>
      </c>
      <c r="D6175" s="33" t="n">
        <f aca="false">WEEKDAY(A6175,2)</f>
        <v>5</v>
      </c>
      <c r="E6175" s="33" t="n">
        <f aca="false">HOUR(A6175)+MINUTE(A6175)/60</f>
        <v>5</v>
      </c>
      <c r="F6175" s="33" t="n">
        <f aca="false">IF(OR(D6175&gt;5,E6175&lt;8,E6175&gt;=18,COUNTIF($K$2:$K$10,INT(A6175))&gt;0),1,0)</f>
        <v>1</v>
      </c>
      <c r="G6175" s="34" t="n">
        <f aca="false">B6175/1</f>
        <v>70.115</v>
      </c>
      <c r="H6175" s="34" t="n">
        <f aca="false">IF(F6175=1,G6175,"")</f>
        <v>70.115</v>
      </c>
    </row>
    <row r="6176" customFormat="false" ht="15" hidden="false" customHeight="false" outlineLevel="0" collapsed="false">
      <c r="A6176" s="31" t="n">
        <v>42993.25</v>
      </c>
      <c r="B6176" s="32" t="n">
        <v>72.29</v>
      </c>
      <c r="D6176" s="33" t="n">
        <f aca="false">WEEKDAY(A6176,2)</f>
        <v>5</v>
      </c>
      <c r="E6176" s="33" t="n">
        <f aca="false">HOUR(A6176)+MINUTE(A6176)/60</f>
        <v>6</v>
      </c>
      <c r="F6176" s="33" t="n">
        <f aca="false">IF(OR(D6176&gt;5,E6176&lt;8,E6176&gt;=18,COUNTIF($K$2:$K$10,INT(A6176))&gt;0),1,0)</f>
        <v>1</v>
      </c>
      <c r="G6176" s="34" t="n">
        <f aca="false">B6176/1</f>
        <v>72.29</v>
      </c>
      <c r="H6176" s="34" t="n">
        <f aca="false">IF(F6176=1,G6176,"")</f>
        <v>72.29</v>
      </c>
    </row>
    <row r="6177" customFormat="false" ht="15" hidden="false" customHeight="false" outlineLevel="0" collapsed="false">
      <c r="A6177" s="31" t="n">
        <v>42993.2916666667</v>
      </c>
      <c r="B6177" s="32" t="n">
        <v>82.699</v>
      </c>
      <c r="D6177" s="33" t="n">
        <f aca="false">WEEKDAY(A6177,2)</f>
        <v>5</v>
      </c>
      <c r="E6177" s="33" t="n">
        <f aca="false">HOUR(A6177)+MINUTE(A6177)/60</f>
        <v>7</v>
      </c>
      <c r="F6177" s="33" t="n">
        <f aca="false">IF(OR(D6177&gt;5,E6177&lt;8,E6177&gt;=18,COUNTIF($K$2:$K$10,INT(A6177))&gt;0),1,0)</f>
        <v>1</v>
      </c>
      <c r="G6177" s="34" t="n">
        <f aca="false">B6177/1</f>
        <v>82.699</v>
      </c>
      <c r="H6177" s="34" t="n">
        <f aca="false">IF(F6177=1,G6177,"")</f>
        <v>82.699</v>
      </c>
    </row>
    <row r="6178" customFormat="false" ht="15" hidden="false" customHeight="false" outlineLevel="0" collapsed="false">
      <c r="A6178" s="31" t="n">
        <v>42993.3333333333</v>
      </c>
      <c r="B6178" s="32" t="n">
        <v>193.118</v>
      </c>
      <c r="D6178" s="33" t="n">
        <f aca="false">WEEKDAY(A6178,2)</f>
        <v>5</v>
      </c>
      <c r="E6178" s="33" t="n">
        <f aca="false">HOUR(A6178)+MINUTE(A6178)/60</f>
        <v>8</v>
      </c>
      <c r="F6178" s="33" t="n">
        <f aca="false">IF(OR(D6178&gt;5,E6178&lt;8,E6178&gt;=18,COUNTIF($K$2:$K$10,INT(A6178))&gt;0),1,0)</f>
        <v>0</v>
      </c>
      <c r="G6178" s="34" t="n">
        <f aca="false">B6178/1</f>
        <v>193.118</v>
      </c>
      <c r="H6178" s="34" t="str">
        <f aca="false">IF(F6178=1,G6178,"")</f>
        <v/>
      </c>
    </row>
    <row r="6179" customFormat="false" ht="15" hidden="false" customHeight="false" outlineLevel="0" collapsed="false">
      <c r="A6179" s="31" t="n">
        <v>42993.375</v>
      </c>
      <c r="B6179" s="32" t="n">
        <v>226.4</v>
      </c>
      <c r="D6179" s="33" t="n">
        <f aca="false">WEEKDAY(A6179,2)</f>
        <v>5</v>
      </c>
      <c r="E6179" s="33" t="n">
        <f aca="false">HOUR(A6179)+MINUTE(A6179)/60</f>
        <v>9</v>
      </c>
      <c r="F6179" s="33" t="n">
        <f aca="false">IF(OR(D6179&gt;5,E6179&lt;8,E6179&gt;=18,COUNTIF($K$2:$K$10,INT(A6179))&gt;0),1,0)</f>
        <v>0</v>
      </c>
      <c r="G6179" s="34" t="n">
        <f aca="false">B6179/1</f>
        <v>226.4</v>
      </c>
      <c r="H6179" s="34" t="str">
        <f aca="false">IF(F6179=1,G6179,"")</f>
        <v/>
      </c>
    </row>
    <row r="6180" customFormat="false" ht="15" hidden="false" customHeight="false" outlineLevel="0" collapsed="false">
      <c r="A6180" s="31" t="n">
        <v>42993.4166666667</v>
      </c>
      <c r="B6180" s="32" t="n">
        <v>249.793</v>
      </c>
      <c r="D6180" s="33" t="n">
        <f aca="false">WEEKDAY(A6180,2)</f>
        <v>5</v>
      </c>
      <c r="E6180" s="33" t="n">
        <f aca="false">HOUR(A6180)+MINUTE(A6180)/60</f>
        <v>10</v>
      </c>
      <c r="F6180" s="33" t="n">
        <f aca="false">IF(OR(D6180&gt;5,E6180&lt;8,E6180&gt;=18,COUNTIF($K$2:$K$10,INT(A6180))&gt;0),1,0)</f>
        <v>0</v>
      </c>
      <c r="G6180" s="34" t="n">
        <f aca="false">B6180/1</f>
        <v>249.793</v>
      </c>
      <c r="H6180" s="34" t="str">
        <f aca="false">IF(F6180=1,G6180,"")</f>
        <v/>
      </c>
    </row>
    <row r="6181" customFormat="false" ht="15" hidden="false" customHeight="false" outlineLevel="0" collapsed="false">
      <c r="A6181" s="31" t="n">
        <v>42993.4583333333</v>
      </c>
      <c r="B6181" s="32" t="n">
        <v>249.66</v>
      </c>
      <c r="D6181" s="33" t="n">
        <f aca="false">WEEKDAY(A6181,2)</f>
        <v>5</v>
      </c>
      <c r="E6181" s="33" t="n">
        <f aca="false">HOUR(A6181)+MINUTE(A6181)/60</f>
        <v>11</v>
      </c>
      <c r="F6181" s="33" t="n">
        <f aca="false">IF(OR(D6181&gt;5,E6181&lt;8,E6181&gt;=18,COUNTIF($K$2:$K$10,INT(A6181))&gt;0),1,0)</f>
        <v>0</v>
      </c>
      <c r="G6181" s="34" t="n">
        <f aca="false">B6181/1</f>
        <v>249.66</v>
      </c>
      <c r="H6181" s="34" t="str">
        <f aca="false">IF(F6181=1,G6181,"")</f>
        <v/>
      </c>
    </row>
    <row r="6182" customFormat="false" ht="15" hidden="false" customHeight="false" outlineLevel="0" collapsed="false">
      <c r="A6182" s="31" t="n">
        <v>42993.5</v>
      </c>
      <c r="B6182" s="32" t="n">
        <v>249.048</v>
      </c>
      <c r="D6182" s="33" t="n">
        <f aca="false">WEEKDAY(A6182,2)</f>
        <v>5</v>
      </c>
      <c r="E6182" s="33" t="n">
        <f aca="false">HOUR(A6182)+MINUTE(A6182)/60</f>
        <v>12</v>
      </c>
      <c r="F6182" s="33" t="n">
        <f aca="false">IF(OR(D6182&gt;5,E6182&lt;8,E6182&gt;=18,COUNTIF($K$2:$K$10,INT(A6182))&gt;0),1,0)</f>
        <v>0</v>
      </c>
      <c r="G6182" s="34" t="n">
        <f aca="false">B6182/1</f>
        <v>249.048</v>
      </c>
      <c r="H6182" s="34" t="str">
        <f aca="false">IF(F6182=1,G6182,"")</f>
        <v/>
      </c>
    </row>
    <row r="6183" customFormat="false" ht="15" hidden="false" customHeight="false" outlineLevel="0" collapsed="false">
      <c r="A6183" s="31" t="n">
        <v>42993.5416666667</v>
      </c>
      <c r="B6183" s="32" t="n">
        <v>244.21</v>
      </c>
      <c r="D6183" s="33" t="n">
        <f aca="false">WEEKDAY(A6183,2)</f>
        <v>5</v>
      </c>
      <c r="E6183" s="33" t="n">
        <f aca="false">HOUR(A6183)+MINUTE(A6183)/60</f>
        <v>13</v>
      </c>
      <c r="F6183" s="33" t="n">
        <f aca="false">IF(OR(D6183&gt;5,E6183&lt;8,E6183&gt;=18,COUNTIF($K$2:$K$10,INT(A6183))&gt;0),1,0)</f>
        <v>0</v>
      </c>
      <c r="G6183" s="34" t="n">
        <f aca="false">B6183/1</f>
        <v>244.21</v>
      </c>
      <c r="H6183" s="34" t="str">
        <f aca="false">IF(F6183=1,G6183,"")</f>
        <v/>
      </c>
    </row>
    <row r="6184" customFormat="false" ht="15" hidden="false" customHeight="false" outlineLevel="0" collapsed="false">
      <c r="A6184" s="31" t="n">
        <v>42993.5833333333</v>
      </c>
      <c r="B6184" s="32" t="n">
        <v>253.759</v>
      </c>
      <c r="D6184" s="33" t="n">
        <f aca="false">WEEKDAY(A6184,2)</f>
        <v>5</v>
      </c>
      <c r="E6184" s="33" t="n">
        <f aca="false">HOUR(A6184)+MINUTE(A6184)/60</f>
        <v>14</v>
      </c>
      <c r="F6184" s="33" t="n">
        <f aca="false">IF(OR(D6184&gt;5,E6184&lt;8,E6184&gt;=18,COUNTIF($K$2:$K$10,INT(A6184))&gt;0),1,0)</f>
        <v>0</v>
      </c>
      <c r="G6184" s="34" t="n">
        <f aca="false">B6184/1</f>
        <v>253.759</v>
      </c>
      <c r="H6184" s="34" t="str">
        <f aca="false">IF(F6184=1,G6184,"")</f>
        <v/>
      </c>
    </row>
    <row r="6185" customFormat="false" ht="15" hidden="false" customHeight="false" outlineLevel="0" collapsed="false">
      <c r="A6185" s="31" t="n">
        <v>42993.625</v>
      </c>
      <c r="B6185" s="32" t="n">
        <v>248.302</v>
      </c>
      <c r="D6185" s="33" t="n">
        <f aca="false">WEEKDAY(A6185,2)</f>
        <v>5</v>
      </c>
      <c r="E6185" s="33" t="n">
        <f aca="false">HOUR(A6185)+MINUTE(A6185)/60</f>
        <v>15</v>
      </c>
      <c r="F6185" s="33" t="n">
        <f aca="false">IF(OR(D6185&gt;5,E6185&lt;8,E6185&gt;=18,COUNTIF($K$2:$K$10,INT(A6185))&gt;0),1,0)</f>
        <v>0</v>
      </c>
      <c r="G6185" s="34" t="n">
        <f aca="false">B6185/1</f>
        <v>248.302</v>
      </c>
      <c r="H6185" s="34" t="str">
        <f aca="false">IF(F6185=1,G6185,"")</f>
        <v/>
      </c>
    </row>
    <row r="6186" customFormat="false" ht="15" hidden="false" customHeight="false" outlineLevel="0" collapsed="false">
      <c r="A6186" s="31" t="n">
        <v>42993.6666666667</v>
      </c>
      <c r="B6186" s="32" t="n">
        <v>230.949</v>
      </c>
      <c r="D6186" s="33" t="n">
        <f aca="false">WEEKDAY(A6186,2)</f>
        <v>5</v>
      </c>
      <c r="E6186" s="33" t="n">
        <f aca="false">HOUR(A6186)+MINUTE(A6186)/60</f>
        <v>16</v>
      </c>
      <c r="F6186" s="33" t="n">
        <f aca="false">IF(OR(D6186&gt;5,E6186&lt;8,E6186&gt;=18,COUNTIF($K$2:$K$10,INT(A6186))&gt;0),1,0)</f>
        <v>0</v>
      </c>
      <c r="G6186" s="34" t="n">
        <f aca="false">B6186/1</f>
        <v>230.949</v>
      </c>
      <c r="H6186" s="34" t="str">
        <f aca="false">IF(F6186=1,G6186,"")</f>
        <v/>
      </c>
    </row>
    <row r="6187" customFormat="false" ht="15" hidden="false" customHeight="false" outlineLevel="0" collapsed="false">
      <c r="A6187" s="31" t="n">
        <v>42993.7083333333</v>
      </c>
      <c r="B6187" s="32" t="n">
        <v>219.3</v>
      </c>
      <c r="D6187" s="33" t="n">
        <f aca="false">WEEKDAY(A6187,2)</f>
        <v>5</v>
      </c>
      <c r="E6187" s="33" t="n">
        <f aca="false">HOUR(A6187)+MINUTE(A6187)/60</f>
        <v>17</v>
      </c>
      <c r="F6187" s="33" t="n">
        <f aca="false">IF(OR(D6187&gt;5,E6187&lt;8,E6187&gt;=18,COUNTIF($K$2:$K$10,INT(A6187))&gt;0),1,0)</f>
        <v>0</v>
      </c>
      <c r="G6187" s="34" t="n">
        <f aca="false">B6187/1</f>
        <v>219.3</v>
      </c>
      <c r="H6187" s="34" t="str">
        <f aca="false">IF(F6187=1,G6187,"")</f>
        <v/>
      </c>
    </row>
    <row r="6188" customFormat="false" ht="15" hidden="false" customHeight="false" outlineLevel="0" collapsed="false">
      <c r="A6188" s="31" t="n">
        <v>42993.75</v>
      </c>
      <c r="B6188" s="32" t="n">
        <v>207.622</v>
      </c>
      <c r="D6188" s="33" t="n">
        <f aca="false">WEEKDAY(A6188,2)</f>
        <v>5</v>
      </c>
      <c r="E6188" s="33" t="n">
        <f aca="false">HOUR(A6188)+MINUTE(A6188)/60</f>
        <v>18</v>
      </c>
      <c r="F6188" s="33" t="n">
        <f aca="false">IF(OR(D6188&gt;5,E6188&lt;8,E6188&gt;=18,COUNTIF($K$2:$K$10,INT(A6188))&gt;0),1,0)</f>
        <v>1</v>
      </c>
      <c r="G6188" s="34" t="n">
        <f aca="false">B6188/1</f>
        <v>207.622</v>
      </c>
      <c r="H6188" s="34" t="n">
        <f aca="false">IF(F6188=1,G6188,"")</f>
        <v>207.622</v>
      </c>
    </row>
    <row r="6189" customFormat="false" ht="15" hidden="false" customHeight="false" outlineLevel="0" collapsed="false">
      <c r="A6189" s="31" t="n">
        <v>42993.7916666667</v>
      </c>
      <c r="B6189" s="32" t="n">
        <v>202.977</v>
      </c>
      <c r="D6189" s="33" t="n">
        <f aca="false">WEEKDAY(A6189,2)</f>
        <v>5</v>
      </c>
      <c r="E6189" s="33" t="n">
        <f aca="false">HOUR(A6189)+MINUTE(A6189)/60</f>
        <v>19</v>
      </c>
      <c r="F6189" s="33" t="n">
        <f aca="false">IF(OR(D6189&gt;5,E6189&lt;8,E6189&gt;=18,COUNTIF($K$2:$K$10,INT(A6189))&gt;0),1,0)</f>
        <v>1</v>
      </c>
      <c r="G6189" s="34" t="n">
        <f aca="false">B6189/1</f>
        <v>202.977</v>
      </c>
      <c r="H6189" s="34" t="n">
        <f aca="false">IF(F6189=1,G6189,"")</f>
        <v>202.977</v>
      </c>
    </row>
    <row r="6190" customFormat="false" ht="15" hidden="false" customHeight="false" outlineLevel="0" collapsed="false">
      <c r="A6190" s="31" t="n">
        <v>42993.8333333333</v>
      </c>
      <c r="B6190" s="32" t="n">
        <v>200.203</v>
      </c>
      <c r="D6190" s="33" t="n">
        <f aca="false">WEEKDAY(A6190,2)</f>
        <v>5</v>
      </c>
      <c r="E6190" s="33" t="n">
        <f aca="false">HOUR(A6190)+MINUTE(A6190)/60</f>
        <v>20</v>
      </c>
      <c r="F6190" s="33" t="n">
        <f aca="false">IF(OR(D6190&gt;5,E6190&lt;8,E6190&gt;=18,COUNTIF($K$2:$K$10,INT(A6190))&gt;0),1,0)</f>
        <v>1</v>
      </c>
      <c r="G6190" s="34" t="n">
        <f aca="false">B6190/1</f>
        <v>200.203</v>
      </c>
      <c r="H6190" s="34" t="n">
        <f aca="false">IF(F6190=1,G6190,"")</f>
        <v>200.203</v>
      </c>
    </row>
    <row r="6191" customFormat="false" ht="15" hidden="false" customHeight="false" outlineLevel="0" collapsed="false">
      <c r="A6191" s="31" t="n">
        <v>42993.875</v>
      </c>
      <c r="B6191" s="32" t="n">
        <v>196.478</v>
      </c>
      <c r="D6191" s="33" t="n">
        <f aca="false">WEEKDAY(A6191,2)</f>
        <v>5</v>
      </c>
      <c r="E6191" s="33" t="n">
        <f aca="false">HOUR(A6191)+MINUTE(A6191)/60</f>
        <v>21</v>
      </c>
      <c r="F6191" s="33" t="n">
        <f aca="false">IF(OR(D6191&gt;5,E6191&lt;8,E6191&gt;=18,COUNTIF($K$2:$K$10,INT(A6191))&gt;0),1,0)</f>
        <v>1</v>
      </c>
      <c r="G6191" s="34" t="n">
        <f aca="false">B6191/1</f>
        <v>196.478</v>
      </c>
      <c r="H6191" s="34" t="n">
        <f aca="false">IF(F6191=1,G6191,"")</f>
        <v>196.478</v>
      </c>
    </row>
    <row r="6192" customFormat="false" ht="15" hidden="false" customHeight="false" outlineLevel="0" collapsed="false">
      <c r="A6192" s="31" t="n">
        <v>42993.9166666667</v>
      </c>
      <c r="B6192" s="32" t="n">
        <v>142.478</v>
      </c>
      <c r="D6192" s="33" t="n">
        <f aca="false">WEEKDAY(A6192,2)</f>
        <v>5</v>
      </c>
      <c r="E6192" s="33" t="n">
        <f aca="false">HOUR(A6192)+MINUTE(A6192)/60</f>
        <v>22</v>
      </c>
      <c r="F6192" s="33" t="n">
        <f aca="false">IF(OR(D6192&gt;5,E6192&lt;8,E6192&gt;=18,COUNTIF($K$2:$K$10,INT(A6192))&gt;0),1,0)</f>
        <v>1</v>
      </c>
      <c r="G6192" s="34" t="n">
        <f aca="false">B6192/1</f>
        <v>142.478</v>
      </c>
      <c r="H6192" s="34" t="n">
        <f aca="false">IF(F6192=1,G6192,"")</f>
        <v>142.478</v>
      </c>
    </row>
    <row r="6193" customFormat="false" ht="15" hidden="false" customHeight="false" outlineLevel="0" collapsed="false">
      <c r="A6193" s="31" t="n">
        <v>42993.9583333333</v>
      </c>
      <c r="B6193" s="32" t="n">
        <v>69.622</v>
      </c>
      <c r="D6193" s="33" t="n">
        <f aca="false">WEEKDAY(A6193,2)</f>
        <v>5</v>
      </c>
      <c r="E6193" s="33" t="n">
        <f aca="false">HOUR(A6193)+MINUTE(A6193)/60</f>
        <v>23</v>
      </c>
      <c r="F6193" s="33" t="n">
        <f aca="false">IF(OR(D6193&gt;5,E6193&lt;8,E6193&gt;=18,COUNTIF($K$2:$K$10,INT(A6193))&gt;0),1,0)</f>
        <v>1</v>
      </c>
      <c r="G6193" s="34" t="n">
        <f aca="false">B6193/1</f>
        <v>69.622</v>
      </c>
      <c r="H6193" s="34" t="n">
        <f aca="false">IF(F6193=1,G6193,"")</f>
        <v>69.622</v>
      </c>
    </row>
    <row r="6194" customFormat="false" ht="15" hidden="false" customHeight="false" outlineLevel="0" collapsed="false">
      <c r="A6194" s="31" t="n">
        <v>42994</v>
      </c>
      <c r="B6194" s="32" t="n">
        <v>68.781</v>
      </c>
      <c r="D6194" s="33" t="n">
        <f aca="false">WEEKDAY(A6194,2)</f>
        <v>6</v>
      </c>
      <c r="E6194" s="33" t="n">
        <f aca="false">HOUR(A6194)+MINUTE(A6194)/60</f>
        <v>0</v>
      </c>
      <c r="F6194" s="33" t="n">
        <f aca="false">IF(OR(D6194&gt;5,E6194&lt;8,E6194&gt;=18,COUNTIF($K$2:$K$10,INT(A6194))&gt;0),1,0)</f>
        <v>1</v>
      </c>
      <c r="G6194" s="34" t="n">
        <f aca="false">B6194/1</f>
        <v>68.781</v>
      </c>
      <c r="H6194" s="34" t="n">
        <f aca="false">IF(F6194=1,G6194,"")</f>
        <v>68.781</v>
      </c>
    </row>
    <row r="6195" customFormat="false" ht="15" hidden="false" customHeight="false" outlineLevel="0" collapsed="false">
      <c r="A6195" s="31" t="n">
        <v>42994.0416666667</v>
      </c>
      <c r="B6195" s="32" t="n">
        <v>67.148</v>
      </c>
      <c r="D6195" s="33" t="n">
        <f aca="false">WEEKDAY(A6195,2)</f>
        <v>6</v>
      </c>
      <c r="E6195" s="33" t="n">
        <f aca="false">HOUR(A6195)+MINUTE(A6195)/60</f>
        <v>1</v>
      </c>
      <c r="F6195" s="33" t="n">
        <f aca="false">IF(OR(D6195&gt;5,E6195&lt;8,E6195&gt;=18,COUNTIF($K$2:$K$10,INT(A6195))&gt;0),1,0)</f>
        <v>1</v>
      </c>
      <c r="G6195" s="34" t="n">
        <f aca="false">B6195/1</f>
        <v>67.148</v>
      </c>
      <c r="H6195" s="34" t="n">
        <f aca="false">IF(F6195=1,G6195,"")</f>
        <v>67.148</v>
      </c>
    </row>
    <row r="6196" customFormat="false" ht="15" hidden="false" customHeight="false" outlineLevel="0" collapsed="false">
      <c r="A6196" s="31" t="n">
        <v>42994.0833333333</v>
      </c>
      <c r="B6196" s="32" t="n">
        <v>68.064</v>
      </c>
      <c r="D6196" s="33" t="n">
        <f aca="false">WEEKDAY(A6196,2)</f>
        <v>6</v>
      </c>
      <c r="E6196" s="33" t="n">
        <f aca="false">HOUR(A6196)+MINUTE(A6196)/60</f>
        <v>2</v>
      </c>
      <c r="F6196" s="33" t="n">
        <f aca="false">IF(OR(D6196&gt;5,E6196&lt;8,E6196&gt;=18,COUNTIF($K$2:$K$10,INT(A6196))&gt;0),1,0)</f>
        <v>1</v>
      </c>
      <c r="G6196" s="34" t="n">
        <f aca="false">B6196/1</f>
        <v>68.064</v>
      </c>
      <c r="H6196" s="34" t="n">
        <f aca="false">IF(F6196=1,G6196,"")</f>
        <v>68.064</v>
      </c>
    </row>
    <row r="6197" customFormat="false" ht="15" hidden="false" customHeight="false" outlineLevel="0" collapsed="false">
      <c r="A6197" s="31" t="n">
        <v>42994.125</v>
      </c>
      <c r="B6197" s="32" t="n">
        <v>71.081</v>
      </c>
      <c r="D6197" s="33" t="n">
        <f aca="false">WEEKDAY(A6197,2)</f>
        <v>6</v>
      </c>
      <c r="E6197" s="33" t="n">
        <f aca="false">HOUR(A6197)+MINUTE(A6197)/60</f>
        <v>3</v>
      </c>
      <c r="F6197" s="33" t="n">
        <f aca="false">IF(OR(D6197&gt;5,E6197&lt;8,E6197&gt;=18,COUNTIF($K$2:$K$10,INT(A6197))&gt;0),1,0)</f>
        <v>1</v>
      </c>
      <c r="G6197" s="34" t="n">
        <f aca="false">B6197/1</f>
        <v>71.081</v>
      </c>
      <c r="H6197" s="34" t="n">
        <f aca="false">IF(F6197=1,G6197,"")</f>
        <v>71.081</v>
      </c>
    </row>
    <row r="6198" customFormat="false" ht="15" hidden="false" customHeight="false" outlineLevel="0" collapsed="false">
      <c r="A6198" s="31" t="n">
        <v>42994.1666666667</v>
      </c>
      <c r="B6198" s="32" t="n">
        <v>69.599</v>
      </c>
      <c r="D6198" s="33" t="n">
        <f aca="false">WEEKDAY(A6198,2)</f>
        <v>6</v>
      </c>
      <c r="E6198" s="33" t="n">
        <f aca="false">HOUR(A6198)+MINUTE(A6198)/60</f>
        <v>4</v>
      </c>
      <c r="F6198" s="33" t="n">
        <f aca="false">IF(OR(D6198&gt;5,E6198&lt;8,E6198&gt;=18,COUNTIF($K$2:$K$10,INT(A6198))&gt;0),1,0)</f>
        <v>1</v>
      </c>
      <c r="G6198" s="34" t="n">
        <f aca="false">B6198/1</f>
        <v>69.599</v>
      </c>
      <c r="H6198" s="34" t="n">
        <f aca="false">IF(F6198=1,G6198,"")</f>
        <v>69.599</v>
      </c>
    </row>
    <row r="6199" customFormat="false" ht="15" hidden="false" customHeight="false" outlineLevel="0" collapsed="false">
      <c r="A6199" s="31" t="n">
        <v>42994.2083333333</v>
      </c>
      <c r="B6199" s="32" t="n">
        <v>70.187</v>
      </c>
      <c r="D6199" s="33" t="n">
        <f aca="false">WEEKDAY(A6199,2)</f>
        <v>6</v>
      </c>
      <c r="E6199" s="33" t="n">
        <f aca="false">HOUR(A6199)+MINUTE(A6199)/60</f>
        <v>5</v>
      </c>
      <c r="F6199" s="33" t="n">
        <f aca="false">IF(OR(D6199&gt;5,E6199&lt;8,E6199&gt;=18,COUNTIF($K$2:$K$10,INT(A6199))&gt;0),1,0)</f>
        <v>1</v>
      </c>
      <c r="G6199" s="34" t="n">
        <f aca="false">B6199/1</f>
        <v>70.187</v>
      </c>
      <c r="H6199" s="34" t="n">
        <f aca="false">IF(F6199=1,G6199,"")</f>
        <v>70.187</v>
      </c>
    </row>
    <row r="6200" customFormat="false" ht="15" hidden="false" customHeight="false" outlineLevel="0" collapsed="false">
      <c r="A6200" s="31" t="n">
        <v>42994.25</v>
      </c>
      <c r="B6200" s="32" t="n">
        <v>70.659</v>
      </c>
      <c r="D6200" s="33" t="n">
        <f aca="false">WEEKDAY(A6200,2)</f>
        <v>6</v>
      </c>
      <c r="E6200" s="33" t="n">
        <f aca="false">HOUR(A6200)+MINUTE(A6200)/60</f>
        <v>6</v>
      </c>
      <c r="F6200" s="33" t="n">
        <f aca="false">IF(OR(D6200&gt;5,E6200&lt;8,E6200&gt;=18,COUNTIF($K$2:$K$10,INT(A6200))&gt;0),1,0)</f>
        <v>1</v>
      </c>
      <c r="G6200" s="34" t="n">
        <f aca="false">B6200/1</f>
        <v>70.659</v>
      </c>
      <c r="H6200" s="34" t="n">
        <f aca="false">IF(F6200=1,G6200,"")</f>
        <v>70.659</v>
      </c>
    </row>
    <row r="6201" customFormat="false" ht="15" hidden="false" customHeight="false" outlineLevel="0" collapsed="false">
      <c r="A6201" s="31" t="n">
        <v>42994.2916666667</v>
      </c>
      <c r="B6201" s="32" t="n">
        <v>69.115</v>
      </c>
      <c r="D6201" s="33" t="n">
        <f aca="false">WEEKDAY(A6201,2)</f>
        <v>6</v>
      </c>
      <c r="E6201" s="33" t="n">
        <f aca="false">HOUR(A6201)+MINUTE(A6201)/60</f>
        <v>7</v>
      </c>
      <c r="F6201" s="33" t="n">
        <f aca="false">IF(OR(D6201&gt;5,E6201&lt;8,E6201&gt;=18,COUNTIF($K$2:$K$10,INT(A6201))&gt;0),1,0)</f>
        <v>1</v>
      </c>
      <c r="G6201" s="34" t="n">
        <f aca="false">B6201/1</f>
        <v>69.115</v>
      </c>
      <c r="H6201" s="34" t="n">
        <f aca="false">IF(F6201=1,G6201,"")</f>
        <v>69.115</v>
      </c>
    </row>
    <row r="6202" customFormat="false" ht="15" hidden="false" customHeight="false" outlineLevel="0" collapsed="false">
      <c r="A6202" s="31" t="n">
        <v>42994.3333333333</v>
      </c>
      <c r="B6202" s="32" t="n">
        <v>139.932</v>
      </c>
      <c r="D6202" s="33" t="n">
        <f aca="false">WEEKDAY(A6202,2)</f>
        <v>6</v>
      </c>
      <c r="E6202" s="33" t="n">
        <f aca="false">HOUR(A6202)+MINUTE(A6202)/60</f>
        <v>8</v>
      </c>
      <c r="F6202" s="33" t="n">
        <f aca="false">IF(OR(D6202&gt;5,E6202&lt;8,E6202&gt;=18,COUNTIF($K$2:$K$10,INT(A6202))&gt;0),1,0)</f>
        <v>1</v>
      </c>
      <c r="G6202" s="34" t="n">
        <f aca="false">B6202/1</f>
        <v>139.932</v>
      </c>
      <c r="H6202" s="34" t="n">
        <f aca="false">IF(F6202=1,G6202,"")</f>
        <v>139.932</v>
      </c>
    </row>
    <row r="6203" customFormat="false" ht="15" hidden="false" customHeight="false" outlineLevel="0" collapsed="false">
      <c r="A6203" s="31" t="n">
        <v>42994.375</v>
      </c>
      <c r="B6203" s="32" t="n">
        <v>187.023</v>
      </c>
      <c r="D6203" s="33" t="n">
        <f aca="false">WEEKDAY(A6203,2)</f>
        <v>6</v>
      </c>
      <c r="E6203" s="33" t="n">
        <f aca="false">HOUR(A6203)+MINUTE(A6203)/60</f>
        <v>9</v>
      </c>
      <c r="F6203" s="33" t="n">
        <f aca="false">IF(OR(D6203&gt;5,E6203&lt;8,E6203&gt;=18,COUNTIF($K$2:$K$10,INT(A6203))&gt;0),1,0)</f>
        <v>1</v>
      </c>
      <c r="G6203" s="34" t="n">
        <f aca="false">B6203/1</f>
        <v>187.023</v>
      </c>
      <c r="H6203" s="34" t="n">
        <f aca="false">IF(F6203=1,G6203,"")</f>
        <v>187.023</v>
      </c>
    </row>
    <row r="6204" customFormat="false" ht="15" hidden="false" customHeight="false" outlineLevel="0" collapsed="false">
      <c r="A6204" s="31" t="n">
        <v>42994.4166666667</v>
      </c>
      <c r="B6204" s="32" t="n">
        <v>190.874</v>
      </c>
      <c r="D6204" s="33" t="n">
        <f aca="false">WEEKDAY(A6204,2)</f>
        <v>6</v>
      </c>
      <c r="E6204" s="33" t="n">
        <f aca="false">HOUR(A6204)+MINUTE(A6204)/60</f>
        <v>10</v>
      </c>
      <c r="F6204" s="33" t="n">
        <f aca="false">IF(OR(D6204&gt;5,E6204&lt;8,E6204&gt;=18,COUNTIF($K$2:$K$10,INT(A6204))&gt;0),1,0)</f>
        <v>1</v>
      </c>
      <c r="G6204" s="34" t="n">
        <f aca="false">B6204/1</f>
        <v>190.874</v>
      </c>
      <c r="H6204" s="34" t="n">
        <f aca="false">IF(F6204=1,G6204,"")</f>
        <v>190.874</v>
      </c>
    </row>
    <row r="6205" customFormat="false" ht="15" hidden="false" customHeight="false" outlineLevel="0" collapsed="false">
      <c r="A6205" s="31" t="n">
        <v>42994.4583333333</v>
      </c>
      <c r="B6205" s="32" t="n">
        <v>191.417</v>
      </c>
      <c r="D6205" s="33" t="n">
        <f aca="false">WEEKDAY(A6205,2)</f>
        <v>6</v>
      </c>
      <c r="E6205" s="33" t="n">
        <f aca="false">HOUR(A6205)+MINUTE(A6205)/60</f>
        <v>11</v>
      </c>
      <c r="F6205" s="33" t="n">
        <f aca="false">IF(OR(D6205&gt;5,E6205&lt;8,E6205&gt;=18,COUNTIF($K$2:$K$10,INT(A6205))&gt;0),1,0)</f>
        <v>1</v>
      </c>
      <c r="G6205" s="34" t="n">
        <f aca="false">B6205/1</f>
        <v>191.417</v>
      </c>
      <c r="H6205" s="34" t="n">
        <f aca="false">IF(F6205=1,G6205,"")</f>
        <v>191.417</v>
      </c>
    </row>
    <row r="6206" customFormat="false" ht="15" hidden="false" customHeight="false" outlineLevel="0" collapsed="false">
      <c r="A6206" s="31" t="n">
        <v>42994.5</v>
      </c>
      <c r="B6206" s="32" t="n">
        <v>193.602</v>
      </c>
      <c r="D6206" s="33" t="n">
        <f aca="false">WEEKDAY(A6206,2)</f>
        <v>6</v>
      </c>
      <c r="E6206" s="33" t="n">
        <f aca="false">HOUR(A6206)+MINUTE(A6206)/60</f>
        <v>12</v>
      </c>
      <c r="F6206" s="33" t="n">
        <f aca="false">IF(OR(D6206&gt;5,E6206&lt;8,E6206&gt;=18,COUNTIF($K$2:$K$10,INT(A6206))&gt;0),1,0)</f>
        <v>1</v>
      </c>
      <c r="G6206" s="34" t="n">
        <f aca="false">B6206/1</f>
        <v>193.602</v>
      </c>
      <c r="H6206" s="34" t="n">
        <f aca="false">IF(F6206=1,G6206,"")</f>
        <v>193.602</v>
      </c>
    </row>
    <row r="6207" customFormat="false" ht="15" hidden="false" customHeight="false" outlineLevel="0" collapsed="false">
      <c r="A6207" s="31" t="n">
        <v>42994.5416666667</v>
      </c>
      <c r="B6207" s="32" t="n">
        <v>193.439</v>
      </c>
      <c r="D6207" s="33" t="n">
        <f aca="false">WEEKDAY(A6207,2)</f>
        <v>6</v>
      </c>
      <c r="E6207" s="33" t="n">
        <f aca="false">HOUR(A6207)+MINUTE(A6207)/60</f>
        <v>13</v>
      </c>
      <c r="F6207" s="33" t="n">
        <f aca="false">IF(OR(D6207&gt;5,E6207&lt;8,E6207&gt;=18,COUNTIF($K$2:$K$10,INT(A6207))&gt;0),1,0)</f>
        <v>1</v>
      </c>
      <c r="G6207" s="34" t="n">
        <f aca="false">B6207/1</f>
        <v>193.439</v>
      </c>
      <c r="H6207" s="34" t="n">
        <f aca="false">IF(F6207=1,G6207,"")</f>
        <v>193.439</v>
      </c>
    </row>
    <row r="6208" customFormat="false" ht="15" hidden="false" customHeight="false" outlineLevel="0" collapsed="false">
      <c r="A6208" s="31" t="n">
        <v>42994.5833333333</v>
      </c>
      <c r="B6208" s="32" t="n">
        <v>194.953</v>
      </c>
      <c r="D6208" s="33" t="n">
        <f aca="false">WEEKDAY(A6208,2)</f>
        <v>6</v>
      </c>
      <c r="E6208" s="33" t="n">
        <f aca="false">HOUR(A6208)+MINUTE(A6208)/60</f>
        <v>14</v>
      </c>
      <c r="F6208" s="33" t="n">
        <f aca="false">IF(OR(D6208&gt;5,E6208&lt;8,E6208&gt;=18,COUNTIF($K$2:$K$10,INT(A6208))&gt;0),1,0)</f>
        <v>1</v>
      </c>
      <c r="G6208" s="34" t="n">
        <f aca="false">B6208/1</f>
        <v>194.953</v>
      </c>
      <c r="H6208" s="34" t="n">
        <f aca="false">IF(F6208=1,G6208,"")</f>
        <v>194.953</v>
      </c>
    </row>
    <row r="6209" customFormat="false" ht="15" hidden="false" customHeight="false" outlineLevel="0" collapsed="false">
      <c r="A6209" s="31" t="n">
        <v>42994.625</v>
      </c>
      <c r="B6209" s="32" t="n">
        <v>198.049</v>
      </c>
      <c r="D6209" s="33" t="n">
        <f aca="false">WEEKDAY(A6209,2)</f>
        <v>6</v>
      </c>
      <c r="E6209" s="33" t="n">
        <f aca="false">HOUR(A6209)+MINUTE(A6209)/60</f>
        <v>15</v>
      </c>
      <c r="F6209" s="33" t="n">
        <f aca="false">IF(OR(D6209&gt;5,E6209&lt;8,E6209&gt;=18,COUNTIF($K$2:$K$10,INT(A6209))&gt;0),1,0)</f>
        <v>1</v>
      </c>
      <c r="G6209" s="34" t="n">
        <f aca="false">B6209/1</f>
        <v>198.049</v>
      </c>
      <c r="H6209" s="34" t="n">
        <f aca="false">IF(F6209=1,G6209,"")</f>
        <v>198.049</v>
      </c>
    </row>
    <row r="6210" customFormat="false" ht="15" hidden="false" customHeight="false" outlineLevel="0" collapsed="false">
      <c r="A6210" s="31" t="n">
        <v>42994.6666666667</v>
      </c>
      <c r="B6210" s="32" t="n">
        <v>197.537</v>
      </c>
      <c r="D6210" s="33" t="n">
        <f aca="false">WEEKDAY(A6210,2)</f>
        <v>6</v>
      </c>
      <c r="E6210" s="33" t="n">
        <f aca="false">HOUR(A6210)+MINUTE(A6210)/60</f>
        <v>16</v>
      </c>
      <c r="F6210" s="33" t="n">
        <f aca="false">IF(OR(D6210&gt;5,E6210&lt;8,E6210&gt;=18,COUNTIF($K$2:$K$10,INT(A6210))&gt;0),1,0)</f>
        <v>1</v>
      </c>
      <c r="G6210" s="34" t="n">
        <f aca="false">B6210/1</f>
        <v>197.537</v>
      </c>
      <c r="H6210" s="34" t="n">
        <f aca="false">IF(F6210=1,G6210,"")</f>
        <v>197.537</v>
      </c>
    </row>
    <row r="6211" customFormat="false" ht="15" hidden="false" customHeight="false" outlineLevel="0" collapsed="false">
      <c r="A6211" s="31" t="n">
        <v>42994.7083333333</v>
      </c>
      <c r="B6211" s="32" t="n">
        <v>185.99</v>
      </c>
      <c r="D6211" s="33" t="n">
        <f aca="false">WEEKDAY(A6211,2)</f>
        <v>6</v>
      </c>
      <c r="E6211" s="33" t="n">
        <f aca="false">HOUR(A6211)+MINUTE(A6211)/60</f>
        <v>17</v>
      </c>
      <c r="F6211" s="33" t="n">
        <f aca="false">IF(OR(D6211&gt;5,E6211&lt;8,E6211&gt;=18,COUNTIF($K$2:$K$10,INT(A6211))&gt;0),1,0)</f>
        <v>1</v>
      </c>
      <c r="G6211" s="34" t="n">
        <f aca="false">B6211/1</f>
        <v>185.99</v>
      </c>
      <c r="H6211" s="34" t="n">
        <f aca="false">IF(F6211=1,G6211,"")</f>
        <v>185.99</v>
      </c>
    </row>
    <row r="6212" customFormat="false" ht="15" hidden="false" customHeight="false" outlineLevel="0" collapsed="false">
      <c r="A6212" s="31" t="n">
        <v>42994.75</v>
      </c>
      <c r="B6212" s="32" t="n">
        <v>94.005</v>
      </c>
      <c r="D6212" s="33" t="n">
        <f aca="false">WEEKDAY(A6212,2)</f>
        <v>6</v>
      </c>
      <c r="E6212" s="33" t="n">
        <f aca="false">HOUR(A6212)+MINUTE(A6212)/60</f>
        <v>18</v>
      </c>
      <c r="F6212" s="33" t="n">
        <f aca="false">IF(OR(D6212&gt;5,E6212&lt;8,E6212&gt;=18,COUNTIF($K$2:$K$10,INT(A6212))&gt;0),1,0)</f>
        <v>1</v>
      </c>
      <c r="G6212" s="34" t="n">
        <f aca="false">B6212/1</f>
        <v>94.005</v>
      </c>
      <c r="H6212" s="34" t="n">
        <f aca="false">IF(F6212=1,G6212,"")</f>
        <v>94.005</v>
      </c>
    </row>
    <row r="6213" customFormat="false" ht="15" hidden="false" customHeight="false" outlineLevel="0" collapsed="false">
      <c r="A6213" s="31" t="n">
        <v>42994.7916666667</v>
      </c>
      <c r="B6213" s="32" t="n">
        <v>71.975</v>
      </c>
      <c r="D6213" s="33" t="n">
        <f aca="false">WEEKDAY(A6213,2)</f>
        <v>6</v>
      </c>
      <c r="E6213" s="33" t="n">
        <f aca="false">HOUR(A6213)+MINUTE(A6213)/60</f>
        <v>19</v>
      </c>
      <c r="F6213" s="33" t="n">
        <f aca="false">IF(OR(D6213&gt;5,E6213&lt;8,E6213&gt;=18,COUNTIF($K$2:$K$10,INT(A6213))&gt;0),1,0)</f>
        <v>1</v>
      </c>
      <c r="G6213" s="34" t="n">
        <f aca="false">B6213/1</f>
        <v>71.975</v>
      </c>
      <c r="H6213" s="34" t="n">
        <f aca="false">IF(F6213=1,G6213,"")</f>
        <v>71.975</v>
      </c>
    </row>
    <row r="6214" customFormat="false" ht="15" hidden="false" customHeight="false" outlineLevel="0" collapsed="false">
      <c r="A6214" s="31" t="n">
        <v>42994.8333333333</v>
      </c>
      <c r="B6214" s="32" t="n">
        <v>72.056</v>
      </c>
      <c r="D6214" s="33" t="n">
        <f aca="false">WEEKDAY(A6214,2)</f>
        <v>6</v>
      </c>
      <c r="E6214" s="33" t="n">
        <f aca="false">HOUR(A6214)+MINUTE(A6214)/60</f>
        <v>20</v>
      </c>
      <c r="F6214" s="33" t="n">
        <f aca="false">IF(OR(D6214&gt;5,E6214&lt;8,E6214&gt;=18,COUNTIF($K$2:$K$10,INT(A6214))&gt;0),1,0)</f>
        <v>1</v>
      </c>
      <c r="G6214" s="34" t="n">
        <f aca="false">B6214/1</f>
        <v>72.056</v>
      </c>
      <c r="H6214" s="34" t="n">
        <f aca="false">IF(F6214=1,G6214,"")</f>
        <v>72.056</v>
      </c>
    </row>
    <row r="6215" customFormat="false" ht="15" hidden="false" customHeight="false" outlineLevel="0" collapsed="false">
      <c r="A6215" s="31" t="n">
        <v>42994.875</v>
      </c>
      <c r="B6215" s="32" t="n">
        <v>71.5</v>
      </c>
      <c r="D6215" s="33" t="n">
        <f aca="false">WEEKDAY(A6215,2)</f>
        <v>6</v>
      </c>
      <c r="E6215" s="33" t="n">
        <f aca="false">HOUR(A6215)+MINUTE(A6215)/60</f>
        <v>21</v>
      </c>
      <c r="F6215" s="33" t="n">
        <f aca="false">IF(OR(D6215&gt;5,E6215&lt;8,E6215&gt;=18,COUNTIF($K$2:$K$10,INT(A6215))&gt;0),1,0)</f>
        <v>1</v>
      </c>
      <c r="G6215" s="34" t="n">
        <f aca="false">B6215/1</f>
        <v>71.5</v>
      </c>
      <c r="H6215" s="34" t="n">
        <f aca="false">IF(F6215=1,G6215,"")</f>
        <v>71.5</v>
      </c>
    </row>
    <row r="6216" customFormat="false" ht="15" hidden="false" customHeight="false" outlineLevel="0" collapsed="false">
      <c r="A6216" s="31" t="n">
        <v>42994.9166666667</v>
      </c>
      <c r="B6216" s="32" t="n">
        <v>71.909</v>
      </c>
      <c r="D6216" s="33" t="n">
        <f aca="false">WEEKDAY(A6216,2)</f>
        <v>6</v>
      </c>
      <c r="E6216" s="33" t="n">
        <f aca="false">HOUR(A6216)+MINUTE(A6216)/60</f>
        <v>22</v>
      </c>
      <c r="F6216" s="33" t="n">
        <f aca="false">IF(OR(D6216&gt;5,E6216&lt;8,E6216&gt;=18,COUNTIF($K$2:$K$10,INT(A6216))&gt;0),1,0)</f>
        <v>1</v>
      </c>
      <c r="G6216" s="34" t="n">
        <f aca="false">B6216/1</f>
        <v>71.909</v>
      </c>
      <c r="H6216" s="34" t="n">
        <f aca="false">IF(F6216=1,G6216,"")</f>
        <v>71.909</v>
      </c>
    </row>
    <row r="6217" customFormat="false" ht="15" hidden="false" customHeight="false" outlineLevel="0" collapsed="false">
      <c r="A6217" s="31" t="n">
        <v>42994.9583333333</v>
      </c>
      <c r="B6217" s="32" t="n">
        <v>71.651</v>
      </c>
      <c r="D6217" s="33" t="n">
        <f aca="false">WEEKDAY(A6217,2)</f>
        <v>6</v>
      </c>
      <c r="E6217" s="33" t="n">
        <f aca="false">HOUR(A6217)+MINUTE(A6217)/60</f>
        <v>23</v>
      </c>
      <c r="F6217" s="33" t="n">
        <f aca="false">IF(OR(D6217&gt;5,E6217&lt;8,E6217&gt;=18,COUNTIF($K$2:$K$10,INT(A6217))&gt;0),1,0)</f>
        <v>1</v>
      </c>
      <c r="G6217" s="34" t="n">
        <f aca="false">B6217/1</f>
        <v>71.651</v>
      </c>
      <c r="H6217" s="34" t="n">
        <f aca="false">IF(F6217=1,G6217,"")</f>
        <v>71.651</v>
      </c>
    </row>
    <row r="6218" customFormat="false" ht="15" hidden="false" customHeight="false" outlineLevel="0" collapsed="false">
      <c r="A6218" s="31" t="n">
        <v>42995</v>
      </c>
      <c r="B6218" s="32" t="n">
        <v>71.209</v>
      </c>
      <c r="D6218" s="33" t="n">
        <f aca="false">WEEKDAY(A6218,2)</f>
        <v>7</v>
      </c>
      <c r="E6218" s="33" t="n">
        <f aca="false">HOUR(A6218)+MINUTE(A6218)/60</f>
        <v>0</v>
      </c>
      <c r="F6218" s="33" t="n">
        <f aca="false">IF(OR(D6218&gt;5,E6218&lt;8,E6218&gt;=18,COUNTIF($K$2:$K$10,INT(A6218))&gt;0),1,0)</f>
        <v>1</v>
      </c>
      <c r="G6218" s="34" t="n">
        <f aca="false">B6218/1</f>
        <v>71.209</v>
      </c>
      <c r="H6218" s="34" t="n">
        <f aca="false">IF(F6218=1,G6218,"")</f>
        <v>71.209</v>
      </c>
    </row>
    <row r="6219" customFormat="false" ht="15" hidden="false" customHeight="false" outlineLevel="0" collapsed="false">
      <c r="A6219" s="31" t="n">
        <v>42995.0416666667</v>
      </c>
      <c r="B6219" s="32" t="n">
        <v>69.958</v>
      </c>
      <c r="D6219" s="33" t="n">
        <f aca="false">WEEKDAY(A6219,2)</f>
        <v>7</v>
      </c>
      <c r="E6219" s="33" t="n">
        <f aca="false">HOUR(A6219)+MINUTE(A6219)/60</f>
        <v>1</v>
      </c>
      <c r="F6219" s="33" t="n">
        <f aca="false">IF(OR(D6219&gt;5,E6219&lt;8,E6219&gt;=18,COUNTIF($K$2:$K$10,INT(A6219))&gt;0),1,0)</f>
        <v>1</v>
      </c>
      <c r="G6219" s="34" t="n">
        <f aca="false">B6219/1</f>
        <v>69.958</v>
      </c>
      <c r="H6219" s="34" t="n">
        <f aca="false">IF(F6219=1,G6219,"")</f>
        <v>69.958</v>
      </c>
    </row>
    <row r="6220" customFormat="false" ht="15" hidden="false" customHeight="false" outlineLevel="0" collapsed="false">
      <c r="A6220" s="31" t="n">
        <v>42995.0833333333</v>
      </c>
      <c r="B6220" s="32" t="n">
        <v>69.692</v>
      </c>
      <c r="D6220" s="33" t="n">
        <f aca="false">WEEKDAY(A6220,2)</f>
        <v>7</v>
      </c>
      <c r="E6220" s="33" t="n">
        <f aca="false">HOUR(A6220)+MINUTE(A6220)/60</f>
        <v>2</v>
      </c>
      <c r="F6220" s="33" t="n">
        <f aca="false">IF(OR(D6220&gt;5,E6220&lt;8,E6220&gt;=18,COUNTIF($K$2:$K$10,INT(A6220))&gt;0),1,0)</f>
        <v>1</v>
      </c>
      <c r="G6220" s="34" t="n">
        <f aca="false">B6220/1</f>
        <v>69.692</v>
      </c>
      <c r="H6220" s="34" t="n">
        <f aca="false">IF(F6220=1,G6220,"")</f>
        <v>69.692</v>
      </c>
    </row>
    <row r="6221" customFormat="false" ht="15" hidden="false" customHeight="false" outlineLevel="0" collapsed="false">
      <c r="A6221" s="31" t="n">
        <v>42995.125</v>
      </c>
      <c r="B6221" s="32" t="n">
        <v>69.045</v>
      </c>
      <c r="D6221" s="33" t="n">
        <f aca="false">WEEKDAY(A6221,2)</f>
        <v>7</v>
      </c>
      <c r="E6221" s="33" t="n">
        <f aca="false">HOUR(A6221)+MINUTE(A6221)/60</f>
        <v>3</v>
      </c>
      <c r="F6221" s="33" t="n">
        <f aca="false">IF(OR(D6221&gt;5,E6221&lt;8,E6221&gt;=18,COUNTIF($K$2:$K$10,INT(A6221))&gt;0),1,0)</f>
        <v>1</v>
      </c>
      <c r="G6221" s="34" t="n">
        <f aca="false">B6221/1</f>
        <v>69.045</v>
      </c>
      <c r="H6221" s="34" t="n">
        <f aca="false">IF(F6221=1,G6221,"")</f>
        <v>69.045</v>
      </c>
    </row>
    <row r="6222" customFormat="false" ht="15" hidden="false" customHeight="false" outlineLevel="0" collapsed="false">
      <c r="A6222" s="31" t="n">
        <v>42995.1666666667</v>
      </c>
      <c r="B6222" s="32" t="n">
        <v>68.622</v>
      </c>
      <c r="D6222" s="33" t="n">
        <f aca="false">WEEKDAY(A6222,2)</f>
        <v>7</v>
      </c>
      <c r="E6222" s="33" t="n">
        <f aca="false">HOUR(A6222)+MINUTE(A6222)/60</f>
        <v>4</v>
      </c>
      <c r="F6222" s="33" t="n">
        <f aca="false">IF(OR(D6222&gt;5,E6222&lt;8,E6222&gt;=18,COUNTIF($K$2:$K$10,INT(A6222))&gt;0),1,0)</f>
        <v>1</v>
      </c>
      <c r="G6222" s="34" t="n">
        <f aca="false">B6222/1</f>
        <v>68.622</v>
      </c>
      <c r="H6222" s="34" t="n">
        <f aca="false">IF(F6222=1,G6222,"")</f>
        <v>68.622</v>
      </c>
    </row>
    <row r="6223" customFormat="false" ht="15" hidden="false" customHeight="false" outlineLevel="0" collapsed="false">
      <c r="A6223" s="31" t="n">
        <v>42995.2083333333</v>
      </c>
      <c r="B6223" s="32" t="n">
        <v>68.213</v>
      </c>
      <c r="D6223" s="33" t="n">
        <f aca="false">WEEKDAY(A6223,2)</f>
        <v>7</v>
      </c>
      <c r="E6223" s="33" t="n">
        <f aca="false">HOUR(A6223)+MINUTE(A6223)/60</f>
        <v>5</v>
      </c>
      <c r="F6223" s="33" t="n">
        <f aca="false">IF(OR(D6223&gt;5,E6223&lt;8,E6223&gt;=18,COUNTIF($K$2:$K$10,INT(A6223))&gt;0),1,0)</f>
        <v>1</v>
      </c>
      <c r="G6223" s="34" t="n">
        <f aca="false">B6223/1</f>
        <v>68.213</v>
      </c>
      <c r="H6223" s="34" t="n">
        <f aca="false">IF(F6223=1,G6223,"")</f>
        <v>68.213</v>
      </c>
    </row>
    <row r="6224" customFormat="false" ht="15" hidden="false" customHeight="false" outlineLevel="0" collapsed="false">
      <c r="A6224" s="31" t="n">
        <v>42995.25</v>
      </c>
      <c r="B6224" s="32" t="n">
        <v>68.529</v>
      </c>
      <c r="D6224" s="33" t="n">
        <f aca="false">WEEKDAY(A6224,2)</f>
        <v>7</v>
      </c>
      <c r="E6224" s="33" t="n">
        <f aca="false">HOUR(A6224)+MINUTE(A6224)/60</f>
        <v>6</v>
      </c>
      <c r="F6224" s="33" t="n">
        <f aca="false">IF(OR(D6224&gt;5,E6224&lt;8,E6224&gt;=18,COUNTIF($K$2:$K$10,INT(A6224))&gt;0),1,0)</f>
        <v>1</v>
      </c>
      <c r="G6224" s="34" t="n">
        <f aca="false">B6224/1</f>
        <v>68.529</v>
      </c>
      <c r="H6224" s="34" t="n">
        <f aca="false">IF(F6224=1,G6224,"")</f>
        <v>68.529</v>
      </c>
    </row>
    <row r="6225" customFormat="false" ht="15" hidden="false" customHeight="false" outlineLevel="0" collapsed="false">
      <c r="A6225" s="31" t="n">
        <v>42995.2916666667</v>
      </c>
      <c r="B6225" s="32" t="n">
        <v>67.805</v>
      </c>
      <c r="D6225" s="33" t="n">
        <f aca="false">WEEKDAY(A6225,2)</f>
        <v>7</v>
      </c>
      <c r="E6225" s="33" t="n">
        <f aca="false">HOUR(A6225)+MINUTE(A6225)/60</f>
        <v>7</v>
      </c>
      <c r="F6225" s="33" t="n">
        <f aca="false">IF(OR(D6225&gt;5,E6225&lt;8,E6225&gt;=18,COUNTIF($K$2:$K$10,INT(A6225))&gt;0),1,0)</f>
        <v>1</v>
      </c>
      <c r="G6225" s="34" t="n">
        <f aca="false">B6225/1</f>
        <v>67.805</v>
      </c>
      <c r="H6225" s="34" t="n">
        <f aca="false">IF(F6225=1,G6225,"")</f>
        <v>67.805</v>
      </c>
    </row>
    <row r="6226" customFormat="false" ht="15" hidden="false" customHeight="false" outlineLevel="0" collapsed="false">
      <c r="A6226" s="31" t="n">
        <v>42995.3333333333</v>
      </c>
      <c r="B6226" s="32" t="n">
        <v>64.324</v>
      </c>
      <c r="D6226" s="33" t="n">
        <f aca="false">WEEKDAY(A6226,2)</f>
        <v>7</v>
      </c>
      <c r="E6226" s="33" t="n">
        <f aca="false">HOUR(A6226)+MINUTE(A6226)/60</f>
        <v>8</v>
      </c>
      <c r="F6226" s="33" t="n">
        <f aca="false">IF(OR(D6226&gt;5,E6226&lt;8,E6226&gt;=18,COUNTIF($K$2:$K$10,INT(A6226))&gt;0),1,0)</f>
        <v>1</v>
      </c>
      <c r="G6226" s="34" t="n">
        <f aca="false">B6226/1</f>
        <v>64.324</v>
      </c>
      <c r="H6226" s="34" t="n">
        <f aca="false">IF(F6226=1,G6226,"")</f>
        <v>64.324</v>
      </c>
    </row>
    <row r="6227" customFormat="false" ht="15" hidden="false" customHeight="false" outlineLevel="0" collapsed="false">
      <c r="A6227" s="31" t="n">
        <v>42995.375</v>
      </c>
      <c r="B6227" s="32" t="n">
        <v>55.42</v>
      </c>
      <c r="D6227" s="33" t="n">
        <f aca="false">WEEKDAY(A6227,2)</f>
        <v>7</v>
      </c>
      <c r="E6227" s="33" t="n">
        <f aca="false">HOUR(A6227)+MINUTE(A6227)/60</f>
        <v>9</v>
      </c>
      <c r="F6227" s="33" t="n">
        <f aca="false">IF(OR(D6227&gt;5,E6227&lt;8,E6227&gt;=18,COUNTIF($K$2:$K$10,INT(A6227))&gt;0),1,0)</f>
        <v>1</v>
      </c>
      <c r="G6227" s="34" t="n">
        <f aca="false">B6227/1</f>
        <v>55.42</v>
      </c>
      <c r="H6227" s="34" t="n">
        <f aca="false">IF(F6227=1,G6227,"")</f>
        <v>55.42</v>
      </c>
    </row>
    <row r="6228" customFormat="false" ht="15" hidden="false" customHeight="false" outlineLevel="0" collapsed="false">
      <c r="A6228" s="31" t="n">
        <v>42995.4166666667</v>
      </c>
      <c r="B6228" s="32" t="n">
        <v>43.353</v>
      </c>
      <c r="D6228" s="33" t="n">
        <f aca="false">WEEKDAY(A6228,2)</f>
        <v>7</v>
      </c>
      <c r="E6228" s="33" t="n">
        <f aca="false">HOUR(A6228)+MINUTE(A6228)/60</f>
        <v>10</v>
      </c>
      <c r="F6228" s="33" t="n">
        <f aca="false">IF(OR(D6228&gt;5,E6228&lt;8,E6228&gt;=18,COUNTIF($K$2:$K$10,INT(A6228))&gt;0),1,0)</f>
        <v>1</v>
      </c>
      <c r="G6228" s="34" t="n">
        <f aca="false">B6228/1</f>
        <v>43.353</v>
      </c>
      <c r="H6228" s="34" t="n">
        <f aca="false">IF(F6228=1,G6228,"")</f>
        <v>43.353</v>
      </c>
    </row>
    <row r="6229" customFormat="false" ht="15" hidden="false" customHeight="false" outlineLevel="0" collapsed="false">
      <c r="A6229" s="31" t="n">
        <v>42995.4583333333</v>
      </c>
      <c r="B6229" s="32" t="n">
        <v>45.903</v>
      </c>
      <c r="D6229" s="33" t="n">
        <f aca="false">WEEKDAY(A6229,2)</f>
        <v>7</v>
      </c>
      <c r="E6229" s="33" t="n">
        <f aca="false">HOUR(A6229)+MINUTE(A6229)/60</f>
        <v>11</v>
      </c>
      <c r="F6229" s="33" t="n">
        <f aca="false">IF(OR(D6229&gt;5,E6229&lt;8,E6229&gt;=18,COUNTIF($K$2:$K$10,INT(A6229))&gt;0),1,0)</f>
        <v>1</v>
      </c>
      <c r="G6229" s="34" t="n">
        <f aca="false">B6229/1</f>
        <v>45.903</v>
      </c>
      <c r="H6229" s="34" t="n">
        <f aca="false">IF(F6229=1,G6229,"")</f>
        <v>45.903</v>
      </c>
    </row>
    <row r="6230" customFormat="false" ht="15" hidden="false" customHeight="false" outlineLevel="0" collapsed="false">
      <c r="A6230" s="31" t="n">
        <v>42995.5</v>
      </c>
      <c r="B6230" s="32" t="n">
        <v>48.739</v>
      </c>
      <c r="D6230" s="33" t="n">
        <f aca="false">WEEKDAY(A6230,2)</f>
        <v>7</v>
      </c>
      <c r="E6230" s="33" t="n">
        <f aca="false">HOUR(A6230)+MINUTE(A6230)/60</f>
        <v>12</v>
      </c>
      <c r="F6230" s="33" t="n">
        <f aca="false">IF(OR(D6230&gt;5,E6230&lt;8,E6230&gt;=18,COUNTIF($K$2:$K$10,INT(A6230))&gt;0),1,0)</f>
        <v>1</v>
      </c>
      <c r="G6230" s="34" t="n">
        <f aca="false">B6230/1</f>
        <v>48.739</v>
      </c>
      <c r="H6230" s="34" t="n">
        <f aca="false">IF(F6230=1,G6230,"")</f>
        <v>48.739</v>
      </c>
    </row>
    <row r="6231" customFormat="false" ht="15" hidden="false" customHeight="false" outlineLevel="0" collapsed="false">
      <c r="A6231" s="31" t="n">
        <v>42995.5416666667</v>
      </c>
      <c r="B6231" s="32" t="n">
        <v>113.711</v>
      </c>
      <c r="D6231" s="33" t="n">
        <f aca="false">WEEKDAY(A6231,2)</f>
        <v>7</v>
      </c>
      <c r="E6231" s="33" t="n">
        <f aca="false">HOUR(A6231)+MINUTE(A6231)/60</f>
        <v>13</v>
      </c>
      <c r="F6231" s="33" t="n">
        <f aca="false">IF(OR(D6231&gt;5,E6231&lt;8,E6231&gt;=18,COUNTIF($K$2:$K$10,INT(A6231))&gt;0),1,0)</f>
        <v>1</v>
      </c>
      <c r="G6231" s="34" t="n">
        <f aca="false">B6231/1</f>
        <v>113.711</v>
      </c>
      <c r="H6231" s="34" t="n">
        <f aca="false">IF(F6231=1,G6231,"")</f>
        <v>113.711</v>
      </c>
    </row>
    <row r="6232" customFormat="false" ht="15" hidden="false" customHeight="false" outlineLevel="0" collapsed="false">
      <c r="A6232" s="31" t="n">
        <v>42995.5833333333</v>
      </c>
      <c r="B6232" s="32" t="n">
        <v>149.36</v>
      </c>
      <c r="D6232" s="33" t="n">
        <f aca="false">WEEKDAY(A6232,2)</f>
        <v>7</v>
      </c>
      <c r="E6232" s="33" t="n">
        <f aca="false">HOUR(A6232)+MINUTE(A6232)/60</f>
        <v>14</v>
      </c>
      <c r="F6232" s="33" t="n">
        <f aca="false">IF(OR(D6232&gt;5,E6232&lt;8,E6232&gt;=18,COUNTIF($K$2:$K$10,INT(A6232))&gt;0),1,0)</f>
        <v>1</v>
      </c>
      <c r="G6232" s="34" t="n">
        <f aca="false">B6232/1</f>
        <v>149.36</v>
      </c>
      <c r="H6232" s="34" t="n">
        <f aca="false">IF(F6232=1,G6232,"")</f>
        <v>149.36</v>
      </c>
    </row>
    <row r="6233" customFormat="false" ht="15" hidden="false" customHeight="false" outlineLevel="0" collapsed="false">
      <c r="A6233" s="31" t="n">
        <v>42995.625</v>
      </c>
      <c r="B6233" s="32" t="n">
        <v>147.507</v>
      </c>
      <c r="D6233" s="33" t="n">
        <f aca="false">WEEKDAY(A6233,2)</f>
        <v>7</v>
      </c>
      <c r="E6233" s="33" t="n">
        <f aca="false">HOUR(A6233)+MINUTE(A6233)/60</f>
        <v>15</v>
      </c>
      <c r="F6233" s="33" t="n">
        <f aca="false">IF(OR(D6233&gt;5,E6233&lt;8,E6233&gt;=18,COUNTIF($K$2:$K$10,INT(A6233))&gt;0),1,0)</f>
        <v>1</v>
      </c>
      <c r="G6233" s="34" t="n">
        <f aca="false">B6233/1</f>
        <v>147.507</v>
      </c>
      <c r="H6233" s="34" t="n">
        <f aca="false">IF(F6233=1,G6233,"")</f>
        <v>147.507</v>
      </c>
    </row>
    <row r="6234" customFormat="false" ht="15" hidden="false" customHeight="false" outlineLevel="0" collapsed="false">
      <c r="A6234" s="31" t="n">
        <v>42995.6666666667</v>
      </c>
      <c r="B6234" s="32" t="n">
        <v>148.423</v>
      </c>
      <c r="D6234" s="33" t="n">
        <f aca="false">WEEKDAY(A6234,2)</f>
        <v>7</v>
      </c>
      <c r="E6234" s="33" t="n">
        <f aca="false">HOUR(A6234)+MINUTE(A6234)/60</f>
        <v>16</v>
      </c>
      <c r="F6234" s="33" t="n">
        <f aca="false">IF(OR(D6234&gt;5,E6234&lt;8,E6234&gt;=18,COUNTIF($K$2:$K$10,INT(A6234))&gt;0),1,0)</f>
        <v>1</v>
      </c>
      <c r="G6234" s="34" t="n">
        <f aca="false">B6234/1</f>
        <v>148.423</v>
      </c>
      <c r="H6234" s="34" t="n">
        <f aca="false">IF(F6234=1,G6234,"")</f>
        <v>148.423</v>
      </c>
    </row>
    <row r="6235" customFormat="false" ht="15" hidden="false" customHeight="false" outlineLevel="0" collapsed="false">
      <c r="A6235" s="31" t="n">
        <v>42995.7083333333</v>
      </c>
      <c r="B6235" s="32" t="n">
        <v>147.363</v>
      </c>
      <c r="D6235" s="33" t="n">
        <f aca="false">WEEKDAY(A6235,2)</f>
        <v>7</v>
      </c>
      <c r="E6235" s="33" t="n">
        <f aca="false">HOUR(A6235)+MINUTE(A6235)/60</f>
        <v>17</v>
      </c>
      <c r="F6235" s="33" t="n">
        <f aca="false">IF(OR(D6235&gt;5,E6235&lt;8,E6235&gt;=18,COUNTIF($K$2:$K$10,INT(A6235))&gt;0),1,0)</f>
        <v>1</v>
      </c>
      <c r="G6235" s="34" t="n">
        <f aca="false">B6235/1</f>
        <v>147.363</v>
      </c>
      <c r="H6235" s="34" t="n">
        <f aca="false">IF(F6235=1,G6235,"")</f>
        <v>147.363</v>
      </c>
    </row>
    <row r="6236" customFormat="false" ht="15" hidden="false" customHeight="false" outlineLevel="0" collapsed="false">
      <c r="A6236" s="31" t="n">
        <v>42995.75</v>
      </c>
      <c r="B6236" s="32" t="n">
        <v>57.86</v>
      </c>
      <c r="D6236" s="33" t="n">
        <f aca="false">WEEKDAY(A6236,2)</f>
        <v>7</v>
      </c>
      <c r="E6236" s="33" t="n">
        <f aca="false">HOUR(A6236)+MINUTE(A6236)/60</f>
        <v>18</v>
      </c>
      <c r="F6236" s="33" t="n">
        <f aca="false">IF(OR(D6236&gt;5,E6236&lt;8,E6236&gt;=18,COUNTIF($K$2:$K$10,INT(A6236))&gt;0),1,0)</f>
        <v>1</v>
      </c>
      <c r="G6236" s="34" t="n">
        <f aca="false">B6236/1</f>
        <v>57.86</v>
      </c>
      <c r="H6236" s="34" t="n">
        <f aca="false">IF(F6236=1,G6236,"")</f>
        <v>57.86</v>
      </c>
    </row>
    <row r="6237" customFormat="false" ht="15" hidden="false" customHeight="false" outlineLevel="0" collapsed="false">
      <c r="A6237" s="31" t="n">
        <v>42995.7916666667</v>
      </c>
      <c r="B6237" s="32" t="n">
        <v>47.718</v>
      </c>
      <c r="D6237" s="33" t="n">
        <f aca="false">WEEKDAY(A6237,2)</f>
        <v>7</v>
      </c>
      <c r="E6237" s="33" t="n">
        <f aca="false">HOUR(A6237)+MINUTE(A6237)/60</f>
        <v>19</v>
      </c>
      <c r="F6237" s="33" t="n">
        <f aca="false">IF(OR(D6237&gt;5,E6237&lt;8,E6237&gt;=18,COUNTIF($K$2:$K$10,INT(A6237))&gt;0),1,0)</f>
        <v>1</v>
      </c>
      <c r="G6237" s="34" t="n">
        <f aca="false">B6237/1</f>
        <v>47.718</v>
      </c>
      <c r="H6237" s="34" t="n">
        <f aca="false">IF(F6237=1,G6237,"")</f>
        <v>47.718</v>
      </c>
    </row>
    <row r="6238" customFormat="false" ht="15" hidden="false" customHeight="false" outlineLevel="0" collapsed="false">
      <c r="A6238" s="31" t="n">
        <v>42995.8333333333</v>
      </c>
      <c r="B6238" s="32" t="n">
        <v>49.439</v>
      </c>
      <c r="D6238" s="33" t="n">
        <f aca="false">WEEKDAY(A6238,2)</f>
        <v>7</v>
      </c>
      <c r="E6238" s="33" t="n">
        <f aca="false">HOUR(A6238)+MINUTE(A6238)/60</f>
        <v>20</v>
      </c>
      <c r="F6238" s="33" t="n">
        <f aca="false">IF(OR(D6238&gt;5,E6238&lt;8,E6238&gt;=18,COUNTIF($K$2:$K$10,INT(A6238))&gt;0),1,0)</f>
        <v>1</v>
      </c>
      <c r="G6238" s="34" t="n">
        <f aca="false">B6238/1</f>
        <v>49.439</v>
      </c>
      <c r="H6238" s="34" t="n">
        <f aca="false">IF(F6238=1,G6238,"")</f>
        <v>49.439</v>
      </c>
    </row>
    <row r="6239" customFormat="false" ht="15" hidden="false" customHeight="false" outlineLevel="0" collapsed="false">
      <c r="A6239" s="31" t="n">
        <v>42995.875</v>
      </c>
      <c r="B6239" s="32" t="n">
        <v>50.468</v>
      </c>
      <c r="D6239" s="33" t="n">
        <f aca="false">WEEKDAY(A6239,2)</f>
        <v>7</v>
      </c>
      <c r="E6239" s="33" t="n">
        <f aca="false">HOUR(A6239)+MINUTE(A6239)/60</f>
        <v>21</v>
      </c>
      <c r="F6239" s="33" t="n">
        <f aca="false">IF(OR(D6239&gt;5,E6239&lt;8,E6239&gt;=18,COUNTIF($K$2:$K$10,INT(A6239))&gt;0),1,0)</f>
        <v>1</v>
      </c>
      <c r="G6239" s="34" t="n">
        <f aca="false">B6239/1</f>
        <v>50.468</v>
      </c>
      <c r="H6239" s="34" t="n">
        <f aca="false">IF(F6239=1,G6239,"")</f>
        <v>50.468</v>
      </c>
    </row>
    <row r="6240" customFormat="false" ht="15" hidden="false" customHeight="false" outlineLevel="0" collapsed="false">
      <c r="A6240" s="31" t="n">
        <v>42995.9166666667</v>
      </c>
      <c r="B6240" s="32" t="n">
        <v>50.279</v>
      </c>
      <c r="D6240" s="33" t="n">
        <f aca="false">WEEKDAY(A6240,2)</f>
        <v>7</v>
      </c>
      <c r="E6240" s="33" t="n">
        <f aca="false">HOUR(A6240)+MINUTE(A6240)/60</f>
        <v>22</v>
      </c>
      <c r="F6240" s="33" t="n">
        <f aca="false">IF(OR(D6240&gt;5,E6240&lt;8,E6240&gt;=18,COUNTIF($K$2:$K$10,INT(A6240))&gt;0),1,0)</f>
        <v>1</v>
      </c>
      <c r="G6240" s="34" t="n">
        <f aca="false">B6240/1</f>
        <v>50.279</v>
      </c>
      <c r="H6240" s="34" t="n">
        <f aca="false">IF(F6240=1,G6240,"")</f>
        <v>50.279</v>
      </c>
    </row>
    <row r="6241" customFormat="false" ht="15" hidden="false" customHeight="false" outlineLevel="0" collapsed="false">
      <c r="A6241" s="31" t="n">
        <v>42995.9583333333</v>
      </c>
      <c r="B6241" s="32" t="n">
        <v>49.804</v>
      </c>
      <c r="D6241" s="33" t="n">
        <f aca="false">WEEKDAY(A6241,2)</f>
        <v>7</v>
      </c>
      <c r="E6241" s="33" t="n">
        <f aca="false">HOUR(A6241)+MINUTE(A6241)/60</f>
        <v>23</v>
      </c>
      <c r="F6241" s="33" t="n">
        <f aca="false">IF(OR(D6241&gt;5,E6241&lt;8,E6241&gt;=18,COUNTIF($K$2:$K$10,INT(A6241))&gt;0),1,0)</f>
        <v>1</v>
      </c>
      <c r="G6241" s="34" t="n">
        <f aca="false">B6241/1</f>
        <v>49.804</v>
      </c>
      <c r="H6241" s="34" t="n">
        <f aca="false">IF(F6241=1,G6241,"")</f>
        <v>49.804</v>
      </c>
    </row>
    <row r="6242" customFormat="false" ht="15" hidden="false" customHeight="false" outlineLevel="0" collapsed="false">
      <c r="A6242" s="31" t="n">
        <v>42996</v>
      </c>
      <c r="B6242" s="32" t="n">
        <v>51.571</v>
      </c>
      <c r="D6242" s="33" t="n">
        <f aca="false">WEEKDAY(A6242,2)</f>
        <v>1</v>
      </c>
      <c r="E6242" s="33" t="n">
        <f aca="false">HOUR(A6242)+MINUTE(A6242)/60</f>
        <v>0</v>
      </c>
      <c r="F6242" s="33" t="n">
        <f aca="false">IF(OR(D6242&gt;5,E6242&lt;8,E6242&gt;=18,COUNTIF($K$2:$K$10,INT(A6242))&gt;0),1,0)</f>
        <v>1</v>
      </c>
      <c r="G6242" s="34" t="n">
        <f aca="false">B6242/1</f>
        <v>51.571</v>
      </c>
      <c r="H6242" s="34" t="n">
        <f aca="false">IF(F6242=1,G6242,"")</f>
        <v>51.571</v>
      </c>
    </row>
    <row r="6243" customFormat="false" ht="15" hidden="false" customHeight="false" outlineLevel="0" collapsed="false">
      <c r="A6243" s="31" t="n">
        <v>42996.0416666667</v>
      </c>
      <c r="B6243" s="32" t="n">
        <v>48.615</v>
      </c>
      <c r="D6243" s="33" t="n">
        <f aca="false">WEEKDAY(A6243,2)</f>
        <v>1</v>
      </c>
      <c r="E6243" s="33" t="n">
        <f aca="false">HOUR(A6243)+MINUTE(A6243)/60</f>
        <v>1</v>
      </c>
      <c r="F6243" s="33" t="n">
        <f aca="false">IF(OR(D6243&gt;5,E6243&lt;8,E6243&gt;=18,COUNTIF($K$2:$K$10,INT(A6243))&gt;0),1,0)</f>
        <v>1</v>
      </c>
      <c r="G6243" s="34" t="n">
        <f aca="false">B6243/1</f>
        <v>48.615</v>
      </c>
      <c r="H6243" s="34" t="n">
        <f aca="false">IF(F6243=1,G6243,"")</f>
        <v>48.615</v>
      </c>
    </row>
    <row r="6244" customFormat="false" ht="15" hidden="false" customHeight="false" outlineLevel="0" collapsed="false">
      <c r="A6244" s="31" t="n">
        <v>42996.0833333333</v>
      </c>
      <c r="B6244" s="32" t="n">
        <v>47.918</v>
      </c>
      <c r="D6244" s="33" t="n">
        <f aca="false">WEEKDAY(A6244,2)</f>
        <v>1</v>
      </c>
      <c r="E6244" s="33" t="n">
        <f aca="false">HOUR(A6244)+MINUTE(A6244)/60</f>
        <v>2</v>
      </c>
      <c r="F6244" s="33" t="n">
        <f aca="false">IF(OR(D6244&gt;5,E6244&lt;8,E6244&gt;=18,COUNTIF($K$2:$K$10,INT(A6244))&gt;0),1,0)</f>
        <v>1</v>
      </c>
      <c r="G6244" s="34" t="n">
        <f aca="false">B6244/1</f>
        <v>47.918</v>
      </c>
      <c r="H6244" s="34" t="n">
        <f aca="false">IF(F6244=1,G6244,"")</f>
        <v>47.918</v>
      </c>
    </row>
    <row r="6245" customFormat="false" ht="15" hidden="false" customHeight="false" outlineLevel="0" collapsed="false">
      <c r="A6245" s="31" t="n">
        <v>42996.125</v>
      </c>
      <c r="B6245" s="32" t="n">
        <v>48.746</v>
      </c>
      <c r="D6245" s="33" t="n">
        <f aca="false">WEEKDAY(A6245,2)</f>
        <v>1</v>
      </c>
      <c r="E6245" s="33" t="n">
        <f aca="false">HOUR(A6245)+MINUTE(A6245)/60</f>
        <v>3</v>
      </c>
      <c r="F6245" s="33" t="n">
        <f aca="false">IF(OR(D6245&gt;5,E6245&lt;8,E6245&gt;=18,COUNTIF($K$2:$K$10,INT(A6245))&gt;0),1,0)</f>
        <v>1</v>
      </c>
      <c r="G6245" s="34" t="n">
        <f aca="false">B6245/1</f>
        <v>48.746</v>
      </c>
      <c r="H6245" s="34" t="n">
        <f aca="false">IF(F6245=1,G6245,"")</f>
        <v>48.746</v>
      </c>
    </row>
    <row r="6246" customFormat="false" ht="15" hidden="false" customHeight="false" outlineLevel="0" collapsed="false">
      <c r="A6246" s="31" t="n">
        <v>42996.1666666667</v>
      </c>
      <c r="B6246" s="32" t="n">
        <v>49.15</v>
      </c>
      <c r="D6246" s="33" t="n">
        <f aca="false">WEEKDAY(A6246,2)</f>
        <v>1</v>
      </c>
      <c r="E6246" s="33" t="n">
        <f aca="false">HOUR(A6246)+MINUTE(A6246)/60</f>
        <v>4</v>
      </c>
      <c r="F6246" s="33" t="n">
        <f aca="false">IF(OR(D6246&gt;5,E6246&lt;8,E6246&gt;=18,COUNTIF($K$2:$K$10,INT(A6246))&gt;0),1,0)</f>
        <v>1</v>
      </c>
      <c r="G6246" s="34" t="n">
        <f aca="false">B6246/1</f>
        <v>49.15</v>
      </c>
      <c r="H6246" s="34" t="n">
        <f aca="false">IF(F6246=1,G6246,"")</f>
        <v>49.15</v>
      </c>
    </row>
    <row r="6247" customFormat="false" ht="15" hidden="false" customHeight="false" outlineLevel="0" collapsed="false">
      <c r="A6247" s="31" t="n">
        <v>42996.2083333333</v>
      </c>
      <c r="B6247" s="32" t="n">
        <v>49.415</v>
      </c>
      <c r="D6247" s="33" t="n">
        <f aca="false">WEEKDAY(A6247,2)</f>
        <v>1</v>
      </c>
      <c r="E6247" s="33" t="n">
        <f aca="false">HOUR(A6247)+MINUTE(A6247)/60</f>
        <v>5</v>
      </c>
      <c r="F6247" s="33" t="n">
        <f aca="false">IF(OR(D6247&gt;5,E6247&lt;8,E6247&gt;=18,COUNTIF($K$2:$K$10,INT(A6247))&gt;0),1,0)</f>
        <v>1</v>
      </c>
      <c r="G6247" s="34" t="n">
        <f aca="false">B6247/1</f>
        <v>49.415</v>
      </c>
      <c r="H6247" s="34" t="n">
        <f aca="false">IF(F6247=1,G6247,"")</f>
        <v>49.415</v>
      </c>
    </row>
    <row r="6248" customFormat="false" ht="15" hidden="false" customHeight="false" outlineLevel="0" collapsed="false">
      <c r="A6248" s="31" t="n">
        <v>42996.25</v>
      </c>
      <c r="B6248" s="32" t="n">
        <v>49.955</v>
      </c>
      <c r="D6248" s="33" t="n">
        <f aca="false">WEEKDAY(A6248,2)</f>
        <v>1</v>
      </c>
      <c r="E6248" s="33" t="n">
        <f aca="false">HOUR(A6248)+MINUTE(A6248)/60</f>
        <v>6</v>
      </c>
      <c r="F6248" s="33" t="n">
        <f aca="false">IF(OR(D6248&gt;5,E6248&lt;8,E6248&gt;=18,COUNTIF($K$2:$K$10,INT(A6248))&gt;0),1,0)</f>
        <v>1</v>
      </c>
      <c r="G6248" s="34" t="n">
        <f aca="false">B6248/1</f>
        <v>49.955</v>
      </c>
      <c r="H6248" s="34" t="n">
        <f aca="false">IF(F6248=1,G6248,"")</f>
        <v>49.955</v>
      </c>
    </row>
    <row r="6249" customFormat="false" ht="15" hidden="false" customHeight="false" outlineLevel="0" collapsed="false">
      <c r="A6249" s="31" t="n">
        <v>42996.2916666667</v>
      </c>
      <c r="B6249" s="32" t="n">
        <v>77.029</v>
      </c>
      <c r="D6249" s="33" t="n">
        <f aca="false">WEEKDAY(A6249,2)</f>
        <v>1</v>
      </c>
      <c r="E6249" s="33" t="n">
        <f aca="false">HOUR(A6249)+MINUTE(A6249)/60</f>
        <v>7</v>
      </c>
      <c r="F6249" s="33" t="n">
        <f aca="false">IF(OR(D6249&gt;5,E6249&lt;8,E6249&gt;=18,COUNTIF($K$2:$K$10,INT(A6249))&gt;0),1,0)</f>
        <v>1</v>
      </c>
      <c r="G6249" s="34" t="n">
        <f aca="false">B6249/1</f>
        <v>77.029</v>
      </c>
      <c r="H6249" s="34" t="n">
        <f aca="false">IF(F6249=1,G6249,"")</f>
        <v>77.029</v>
      </c>
    </row>
    <row r="6250" customFormat="false" ht="15" hidden="false" customHeight="false" outlineLevel="0" collapsed="false">
      <c r="A6250" s="31" t="n">
        <v>42996.3333333333</v>
      </c>
      <c r="B6250" s="32" t="n">
        <v>176.621</v>
      </c>
      <c r="D6250" s="33" t="n">
        <f aca="false">WEEKDAY(A6250,2)</f>
        <v>1</v>
      </c>
      <c r="E6250" s="33" t="n">
        <f aca="false">HOUR(A6250)+MINUTE(A6250)/60</f>
        <v>8</v>
      </c>
      <c r="F6250" s="33" t="n">
        <f aca="false">IF(OR(D6250&gt;5,E6250&lt;8,E6250&gt;=18,COUNTIF($K$2:$K$10,INT(A6250))&gt;0),1,0)</f>
        <v>0</v>
      </c>
      <c r="G6250" s="34" t="n">
        <f aca="false">B6250/1</f>
        <v>176.621</v>
      </c>
      <c r="H6250" s="34" t="str">
        <f aca="false">IF(F6250=1,G6250,"")</f>
        <v/>
      </c>
    </row>
    <row r="6251" customFormat="false" ht="15" hidden="false" customHeight="false" outlineLevel="0" collapsed="false">
      <c r="A6251" s="31" t="n">
        <v>42996.375</v>
      </c>
      <c r="B6251" s="32" t="n">
        <v>215.478</v>
      </c>
      <c r="D6251" s="33" t="n">
        <f aca="false">WEEKDAY(A6251,2)</f>
        <v>1</v>
      </c>
      <c r="E6251" s="33" t="n">
        <f aca="false">HOUR(A6251)+MINUTE(A6251)/60</f>
        <v>9</v>
      </c>
      <c r="F6251" s="33" t="n">
        <f aca="false">IF(OR(D6251&gt;5,E6251&lt;8,E6251&gt;=18,COUNTIF($K$2:$K$10,INT(A6251))&gt;0),1,0)</f>
        <v>0</v>
      </c>
      <c r="G6251" s="34" t="n">
        <f aca="false">B6251/1</f>
        <v>215.478</v>
      </c>
      <c r="H6251" s="34" t="str">
        <f aca="false">IF(F6251=1,G6251,"")</f>
        <v/>
      </c>
    </row>
    <row r="6252" customFormat="false" ht="15" hidden="false" customHeight="false" outlineLevel="0" collapsed="false">
      <c r="A6252" s="31" t="n">
        <v>42996.4166666667</v>
      </c>
      <c r="B6252" s="32" t="n">
        <v>243.628</v>
      </c>
      <c r="D6252" s="33" t="n">
        <f aca="false">WEEKDAY(A6252,2)</f>
        <v>1</v>
      </c>
      <c r="E6252" s="33" t="n">
        <f aca="false">HOUR(A6252)+MINUTE(A6252)/60</f>
        <v>10</v>
      </c>
      <c r="F6252" s="33" t="n">
        <f aca="false">IF(OR(D6252&gt;5,E6252&lt;8,E6252&gt;=18,COUNTIF($K$2:$K$10,INT(A6252))&gt;0),1,0)</f>
        <v>0</v>
      </c>
      <c r="G6252" s="34" t="n">
        <f aca="false">B6252/1</f>
        <v>243.628</v>
      </c>
      <c r="H6252" s="34" t="str">
        <f aca="false">IF(F6252=1,G6252,"")</f>
        <v/>
      </c>
    </row>
    <row r="6253" customFormat="false" ht="15" hidden="false" customHeight="false" outlineLevel="0" collapsed="false">
      <c r="A6253" s="31" t="n">
        <v>42996.4583333333</v>
      </c>
      <c r="B6253" s="32" t="n">
        <v>251.615</v>
      </c>
      <c r="D6253" s="33" t="n">
        <f aca="false">WEEKDAY(A6253,2)</f>
        <v>1</v>
      </c>
      <c r="E6253" s="33" t="n">
        <f aca="false">HOUR(A6253)+MINUTE(A6253)/60</f>
        <v>11</v>
      </c>
      <c r="F6253" s="33" t="n">
        <f aca="false">IF(OR(D6253&gt;5,E6253&lt;8,E6253&gt;=18,COUNTIF($K$2:$K$10,INT(A6253))&gt;0),1,0)</f>
        <v>0</v>
      </c>
      <c r="G6253" s="34" t="n">
        <f aca="false">B6253/1</f>
        <v>251.615</v>
      </c>
      <c r="H6253" s="34" t="str">
        <f aca="false">IF(F6253=1,G6253,"")</f>
        <v/>
      </c>
    </row>
    <row r="6254" customFormat="false" ht="15" hidden="false" customHeight="false" outlineLevel="0" collapsed="false">
      <c r="A6254" s="31" t="n">
        <v>42996.5</v>
      </c>
      <c r="B6254" s="32" t="n">
        <v>250.618</v>
      </c>
      <c r="D6254" s="33" t="n">
        <f aca="false">WEEKDAY(A6254,2)</f>
        <v>1</v>
      </c>
      <c r="E6254" s="33" t="n">
        <f aca="false">HOUR(A6254)+MINUTE(A6254)/60</f>
        <v>12</v>
      </c>
      <c r="F6254" s="33" t="n">
        <f aca="false">IF(OR(D6254&gt;5,E6254&lt;8,E6254&gt;=18,COUNTIF($K$2:$K$10,INT(A6254))&gt;0),1,0)</f>
        <v>0</v>
      </c>
      <c r="G6254" s="34" t="n">
        <f aca="false">B6254/1</f>
        <v>250.618</v>
      </c>
      <c r="H6254" s="34" t="str">
        <f aca="false">IF(F6254=1,G6254,"")</f>
        <v/>
      </c>
    </row>
    <row r="6255" customFormat="false" ht="15" hidden="false" customHeight="false" outlineLevel="0" collapsed="false">
      <c r="A6255" s="31" t="n">
        <v>42996.5416666667</v>
      </c>
      <c r="B6255" s="32" t="n">
        <v>247.653</v>
      </c>
      <c r="D6255" s="33" t="n">
        <f aca="false">WEEKDAY(A6255,2)</f>
        <v>1</v>
      </c>
      <c r="E6255" s="33" t="n">
        <f aca="false">HOUR(A6255)+MINUTE(A6255)/60</f>
        <v>13</v>
      </c>
      <c r="F6255" s="33" t="n">
        <f aca="false">IF(OR(D6255&gt;5,E6255&lt;8,E6255&gt;=18,COUNTIF($K$2:$K$10,INT(A6255))&gt;0),1,0)</f>
        <v>0</v>
      </c>
      <c r="G6255" s="34" t="n">
        <f aca="false">B6255/1</f>
        <v>247.653</v>
      </c>
      <c r="H6255" s="34" t="str">
        <f aca="false">IF(F6255=1,G6255,"")</f>
        <v/>
      </c>
    </row>
    <row r="6256" customFormat="false" ht="15" hidden="false" customHeight="false" outlineLevel="0" collapsed="false">
      <c r="A6256" s="31" t="n">
        <v>42996.5833333333</v>
      </c>
      <c r="B6256" s="32" t="n">
        <v>247.647</v>
      </c>
      <c r="D6256" s="33" t="n">
        <f aca="false">WEEKDAY(A6256,2)</f>
        <v>1</v>
      </c>
      <c r="E6256" s="33" t="n">
        <f aca="false">HOUR(A6256)+MINUTE(A6256)/60</f>
        <v>14</v>
      </c>
      <c r="F6256" s="33" t="n">
        <f aca="false">IF(OR(D6256&gt;5,E6256&lt;8,E6256&gt;=18,COUNTIF($K$2:$K$10,INT(A6256))&gt;0),1,0)</f>
        <v>0</v>
      </c>
      <c r="G6256" s="34" t="n">
        <f aca="false">B6256/1</f>
        <v>247.647</v>
      </c>
      <c r="H6256" s="34" t="str">
        <f aca="false">IF(F6256=1,G6256,"")</f>
        <v/>
      </c>
    </row>
    <row r="6257" customFormat="false" ht="15" hidden="false" customHeight="false" outlineLevel="0" collapsed="false">
      <c r="A6257" s="31" t="n">
        <v>42996.625</v>
      </c>
      <c r="B6257" s="32" t="n">
        <v>246.978</v>
      </c>
      <c r="D6257" s="33" t="n">
        <f aca="false">WEEKDAY(A6257,2)</f>
        <v>1</v>
      </c>
      <c r="E6257" s="33" t="n">
        <f aca="false">HOUR(A6257)+MINUTE(A6257)/60</f>
        <v>15</v>
      </c>
      <c r="F6257" s="33" t="n">
        <f aca="false">IF(OR(D6257&gt;5,E6257&lt;8,E6257&gt;=18,COUNTIF($K$2:$K$10,INT(A6257))&gt;0),1,0)</f>
        <v>0</v>
      </c>
      <c r="G6257" s="34" t="n">
        <f aca="false">B6257/1</f>
        <v>246.978</v>
      </c>
      <c r="H6257" s="34" t="str">
        <f aca="false">IF(F6257=1,G6257,"")</f>
        <v/>
      </c>
    </row>
    <row r="6258" customFormat="false" ht="15" hidden="false" customHeight="false" outlineLevel="0" collapsed="false">
      <c r="A6258" s="31" t="n">
        <v>42996.6666666667</v>
      </c>
      <c r="B6258" s="32" t="n">
        <v>245.312</v>
      </c>
      <c r="D6258" s="33" t="n">
        <f aca="false">WEEKDAY(A6258,2)</f>
        <v>1</v>
      </c>
      <c r="E6258" s="33" t="n">
        <f aca="false">HOUR(A6258)+MINUTE(A6258)/60</f>
        <v>16</v>
      </c>
      <c r="F6258" s="33" t="n">
        <f aca="false">IF(OR(D6258&gt;5,E6258&lt;8,E6258&gt;=18,COUNTIF($K$2:$K$10,INT(A6258))&gt;0),1,0)</f>
        <v>0</v>
      </c>
      <c r="G6258" s="34" t="n">
        <f aca="false">B6258/1</f>
        <v>245.312</v>
      </c>
      <c r="H6258" s="34" t="str">
        <f aca="false">IF(F6258=1,G6258,"")</f>
        <v/>
      </c>
    </row>
    <row r="6259" customFormat="false" ht="15" hidden="false" customHeight="false" outlineLevel="0" collapsed="false">
      <c r="A6259" s="31" t="n">
        <v>42996.7083333333</v>
      </c>
      <c r="B6259" s="32" t="n">
        <v>238.885</v>
      </c>
      <c r="D6259" s="33" t="n">
        <f aca="false">WEEKDAY(A6259,2)</f>
        <v>1</v>
      </c>
      <c r="E6259" s="33" t="n">
        <f aca="false">HOUR(A6259)+MINUTE(A6259)/60</f>
        <v>17</v>
      </c>
      <c r="F6259" s="33" t="n">
        <f aca="false">IF(OR(D6259&gt;5,E6259&lt;8,E6259&gt;=18,COUNTIF($K$2:$K$10,INT(A6259))&gt;0),1,0)</f>
        <v>0</v>
      </c>
      <c r="G6259" s="34" t="n">
        <f aca="false">B6259/1</f>
        <v>238.885</v>
      </c>
      <c r="H6259" s="34" t="str">
        <f aca="false">IF(F6259=1,G6259,"")</f>
        <v/>
      </c>
    </row>
    <row r="6260" customFormat="false" ht="15" hidden="false" customHeight="false" outlineLevel="0" collapsed="false">
      <c r="A6260" s="31" t="n">
        <v>42996.75</v>
      </c>
      <c r="B6260" s="32" t="n">
        <v>215</v>
      </c>
      <c r="D6260" s="33" t="n">
        <f aca="false">WEEKDAY(A6260,2)</f>
        <v>1</v>
      </c>
      <c r="E6260" s="33" t="n">
        <f aca="false">HOUR(A6260)+MINUTE(A6260)/60</f>
        <v>18</v>
      </c>
      <c r="F6260" s="33" t="n">
        <f aca="false">IF(OR(D6260&gt;5,E6260&lt;8,E6260&gt;=18,COUNTIF($K$2:$K$10,INT(A6260))&gt;0),1,0)</f>
        <v>1</v>
      </c>
      <c r="G6260" s="34" t="n">
        <f aca="false">B6260/1</f>
        <v>215</v>
      </c>
      <c r="H6260" s="34" t="n">
        <f aca="false">IF(F6260=1,G6260,"")</f>
        <v>215</v>
      </c>
    </row>
    <row r="6261" customFormat="false" ht="15" hidden="false" customHeight="false" outlineLevel="0" collapsed="false">
      <c r="A6261" s="31" t="n">
        <v>42996.7916666667</v>
      </c>
      <c r="B6261" s="32" t="n">
        <v>205.108</v>
      </c>
      <c r="D6261" s="33" t="n">
        <f aca="false">WEEKDAY(A6261,2)</f>
        <v>1</v>
      </c>
      <c r="E6261" s="33" t="n">
        <f aca="false">HOUR(A6261)+MINUTE(A6261)/60</f>
        <v>19</v>
      </c>
      <c r="F6261" s="33" t="n">
        <f aca="false">IF(OR(D6261&gt;5,E6261&lt;8,E6261&gt;=18,COUNTIF($K$2:$K$10,INT(A6261))&gt;0),1,0)</f>
        <v>1</v>
      </c>
      <c r="G6261" s="34" t="n">
        <f aca="false">B6261/1</f>
        <v>205.108</v>
      </c>
      <c r="H6261" s="34" t="n">
        <f aca="false">IF(F6261=1,G6261,"")</f>
        <v>205.108</v>
      </c>
    </row>
    <row r="6262" customFormat="false" ht="15" hidden="false" customHeight="false" outlineLevel="0" collapsed="false">
      <c r="A6262" s="31" t="n">
        <v>42996.8333333333</v>
      </c>
      <c r="B6262" s="32" t="n">
        <v>194.047</v>
      </c>
      <c r="D6262" s="33" t="n">
        <f aca="false">WEEKDAY(A6262,2)</f>
        <v>1</v>
      </c>
      <c r="E6262" s="33" t="n">
        <f aca="false">HOUR(A6262)+MINUTE(A6262)/60</f>
        <v>20</v>
      </c>
      <c r="F6262" s="33" t="n">
        <f aca="false">IF(OR(D6262&gt;5,E6262&lt;8,E6262&gt;=18,COUNTIF($K$2:$K$10,INT(A6262))&gt;0),1,0)</f>
        <v>1</v>
      </c>
      <c r="G6262" s="34" t="n">
        <f aca="false">B6262/1</f>
        <v>194.047</v>
      </c>
      <c r="H6262" s="34" t="n">
        <f aca="false">IF(F6262=1,G6262,"")</f>
        <v>194.047</v>
      </c>
    </row>
    <row r="6263" customFormat="false" ht="15" hidden="false" customHeight="false" outlineLevel="0" collapsed="false">
      <c r="A6263" s="31" t="n">
        <v>42996.875</v>
      </c>
      <c r="B6263" s="32" t="n">
        <v>186.294</v>
      </c>
      <c r="D6263" s="33" t="n">
        <f aca="false">WEEKDAY(A6263,2)</f>
        <v>1</v>
      </c>
      <c r="E6263" s="33" t="n">
        <f aca="false">HOUR(A6263)+MINUTE(A6263)/60</f>
        <v>21</v>
      </c>
      <c r="F6263" s="33" t="n">
        <f aca="false">IF(OR(D6263&gt;5,E6263&lt;8,E6263&gt;=18,COUNTIF($K$2:$K$10,INT(A6263))&gt;0),1,0)</f>
        <v>1</v>
      </c>
      <c r="G6263" s="34" t="n">
        <f aca="false">B6263/1</f>
        <v>186.294</v>
      </c>
      <c r="H6263" s="34" t="n">
        <f aca="false">IF(F6263=1,G6263,"")</f>
        <v>186.294</v>
      </c>
    </row>
    <row r="6264" customFormat="false" ht="15" hidden="false" customHeight="false" outlineLevel="0" collapsed="false">
      <c r="A6264" s="31" t="n">
        <v>42996.9166666667</v>
      </c>
      <c r="B6264" s="32" t="n">
        <v>128.284</v>
      </c>
      <c r="D6264" s="33" t="n">
        <f aca="false">WEEKDAY(A6264,2)</f>
        <v>1</v>
      </c>
      <c r="E6264" s="33" t="n">
        <f aca="false">HOUR(A6264)+MINUTE(A6264)/60</f>
        <v>22</v>
      </c>
      <c r="F6264" s="33" t="n">
        <f aca="false">IF(OR(D6264&gt;5,E6264&lt;8,E6264&gt;=18,COUNTIF($K$2:$K$10,INT(A6264))&gt;0),1,0)</f>
        <v>1</v>
      </c>
      <c r="G6264" s="34" t="n">
        <f aca="false">B6264/1</f>
        <v>128.284</v>
      </c>
      <c r="H6264" s="34" t="n">
        <f aca="false">IF(F6264=1,G6264,"")</f>
        <v>128.284</v>
      </c>
    </row>
    <row r="6265" customFormat="false" ht="15" hidden="false" customHeight="false" outlineLevel="0" collapsed="false">
      <c r="A6265" s="31" t="n">
        <v>42996.9583333333</v>
      </c>
      <c r="B6265" s="32" t="n">
        <v>56.991</v>
      </c>
      <c r="D6265" s="33" t="n">
        <f aca="false">WEEKDAY(A6265,2)</f>
        <v>1</v>
      </c>
      <c r="E6265" s="33" t="n">
        <f aca="false">HOUR(A6265)+MINUTE(A6265)/60</f>
        <v>23</v>
      </c>
      <c r="F6265" s="33" t="n">
        <f aca="false">IF(OR(D6265&gt;5,E6265&lt;8,E6265&gt;=18,COUNTIF($K$2:$K$10,INT(A6265))&gt;0),1,0)</f>
        <v>1</v>
      </c>
      <c r="G6265" s="34" t="n">
        <f aca="false">B6265/1</f>
        <v>56.991</v>
      </c>
      <c r="H6265" s="34" t="n">
        <f aca="false">IF(F6265=1,G6265,"")</f>
        <v>56.991</v>
      </c>
    </row>
    <row r="6266" customFormat="false" ht="15" hidden="false" customHeight="false" outlineLevel="0" collapsed="false">
      <c r="A6266" s="31" t="n">
        <v>42997</v>
      </c>
      <c r="B6266" s="32" t="n">
        <v>52.885</v>
      </c>
      <c r="D6266" s="33" t="n">
        <f aca="false">WEEKDAY(A6266,2)</f>
        <v>2</v>
      </c>
      <c r="E6266" s="33" t="n">
        <f aca="false">HOUR(A6266)+MINUTE(A6266)/60</f>
        <v>0</v>
      </c>
      <c r="F6266" s="33" t="n">
        <f aca="false">IF(OR(D6266&gt;5,E6266&lt;8,E6266&gt;=18,COUNTIF($K$2:$K$10,INT(A6266))&gt;0),1,0)</f>
        <v>1</v>
      </c>
      <c r="G6266" s="34" t="n">
        <f aca="false">B6266/1</f>
        <v>52.885</v>
      </c>
      <c r="H6266" s="34" t="n">
        <f aca="false">IF(F6266=1,G6266,"")</f>
        <v>52.885</v>
      </c>
    </row>
    <row r="6267" customFormat="false" ht="15" hidden="false" customHeight="false" outlineLevel="0" collapsed="false">
      <c r="A6267" s="31" t="n">
        <v>42997.0416666667</v>
      </c>
      <c r="B6267" s="32" t="n">
        <v>50.662</v>
      </c>
      <c r="D6267" s="33" t="n">
        <f aca="false">WEEKDAY(A6267,2)</f>
        <v>2</v>
      </c>
      <c r="E6267" s="33" t="n">
        <f aca="false">HOUR(A6267)+MINUTE(A6267)/60</f>
        <v>1</v>
      </c>
      <c r="F6267" s="33" t="n">
        <f aca="false">IF(OR(D6267&gt;5,E6267&lt;8,E6267&gt;=18,COUNTIF($K$2:$K$10,INT(A6267))&gt;0),1,0)</f>
        <v>1</v>
      </c>
      <c r="G6267" s="34" t="n">
        <f aca="false">B6267/1</f>
        <v>50.662</v>
      </c>
      <c r="H6267" s="34" t="n">
        <f aca="false">IF(F6267=1,G6267,"")</f>
        <v>50.662</v>
      </c>
    </row>
    <row r="6268" customFormat="false" ht="15" hidden="false" customHeight="false" outlineLevel="0" collapsed="false">
      <c r="A6268" s="31" t="n">
        <v>42997.0833333333</v>
      </c>
      <c r="B6268" s="32" t="n">
        <v>49.877</v>
      </c>
      <c r="D6268" s="33" t="n">
        <f aca="false">WEEKDAY(A6268,2)</f>
        <v>2</v>
      </c>
      <c r="E6268" s="33" t="n">
        <f aca="false">HOUR(A6268)+MINUTE(A6268)/60</f>
        <v>2</v>
      </c>
      <c r="F6268" s="33" t="n">
        <f aca="false">IF(OR(D6268&gt;5,E6268&lt;8,E6268&gt;=18,COUNTIF($K$2:$K$10,INT(A6268))&gt;0),1,0)</f>
        <v>1</v>
      </c>
      <c r="G6268" s="34" t="n">
        <f aca="false">B6268/1</f>
        <v>49.877</v>
      </c>
      <c r="H6268" s="34" t="n">
        <f aca="false">IF(F6268=1,G6268,"")</f>
        <v>49.877</v>
      </c>
    </row>
    <row r="6269" customFormat="false" ht="15" hidden="false" customHeight="false" outlineLevel="0" collapsed="false">
      <c r="A6269" s="31" t="n">
        <v>42997.125</v>
      </c>
      <c r="B6269" s="32" t="n">
        <v>50.049</v>
      </c>
      <c r="D6269" s="33" t="n">
        <f aca="false">WEEKDAY(A6269,2)</f>
        <v>2</v>
      </c>
      <c r="E6269" s="33" t="n">
        <f aca="false">HOUR(A6269)+MINUTE(A6269)/60</f>
        <v>3</v>
      </c>
      <c r="F6269" s="33" t="n">
        <f aca="false">IF(OR(D6269&gt;5,E6269&lt;8,E6269&gt;=18,COUNTIF($K$2:$K$10,INT(A6269))&gt;0),1,0)</f>
        <v>1</v>
      </c>
      <c r="G6269" s="34" t="n">
        <f aca="false">B6269/1</f>
        <v>50.049</v>
      </c>
      <c r="H6269" s="34" t="n">
        <f aca="false">IF(F6269=1,G6269,"")</f>
        <v>50.049</v>
      </c>
    </row>
    <row r="6270" customFormat="false" ht="15" hidden="false" customHeight="false" outlineLevel="0" collapsed="false">
      <c r="A6270" s="31" t="n">
        <v>42997.1666666667</v>
      </c>
      <c r="B6270" s="32" t="n">
        <v>49.552</v>
      </c>
      <c r="D6270" s="33" t="n">
        <f aca="false">WEEKDAY(A6270,2)</f>
        <v>2</v>
      </c>
      <c r="E6270" s="33" t="n">
        <f aca="false">HOUR(A6270)+MINUTE(A6270)/60</f>
        <v>4</v>
      </c>
      <c r="F6270" s="33" t="n">
        <f aca="false">IF(OR(D6270&gt;5,E6270&lt;8,E6270&gt;=18,COUNTIF($K$2:$K$10,INT(A6270))&gt;0),1,0)</f>
        <v>1</v>
      </c>
      <c r="G6270" s="34" t="n">
        <f aca="false">B6270/1</f>
        <v>49.552</v>
      </c>
      <c r="H6270" s="34" t="n">
        <f aca="false">IF(F6270=1,G6270,"")</f>
        <v>49.552</v>
      </c>
    </row>
    <row r="6271" customFormat="false" ht="15" hidden="false" customHeight="false" outlineLevel="0" collapsed="false">
      <c r="A6271" s="31" t="n">
        <v>42997.2083333333</v>
      </c>
      <c r="B6271" s="32" t="n">
        <v>49.236</v>
      </c>
      <c r="D6271" s="33" t="n">
        <f aca="false">WEEKDAY(A6271,2)</f>
        <v>2</v>
      </c>
      <c r="E6271" s="33" t="n">
        <f aca="false">HOUR(A6271)+MINUTE(A6271)/60</f>
        <v>5</v>
      </c>
      <c r="F6271" s="33" t="n">
        <f aca="false">IF(OR(D6271&gt;5,E6271&lt;8,E6271&gt;=18,COUNTIF($K$2:$K$10,INT(A6271))&gt;0),1,0)</f>
        <v>1</v>
      </c>
      <c r="G6271" s="34" t="n">
        <f aca="false">B6271/1</f>
        <v>49.236</v>
      </c>
      <c r="H6271" s="34" t="n">
        <f aca="false">IF(F6271=1,G6271,"")</f>
        <v>49.236</v>
      </c>
    </row>
    <row r="6272" customFormat="false" ht="15" hidden="false" customHeight="false" outlineLevel="0" collapsed="false">
      <c r="A6272" s="31" t="n">
        <v>42997.25</v>
      </c>
      <c r="B6272" s="32" t="n">
        <v>50.618</v>
      </c>
      <c r="D6272" s="33" t="n">
        <f aca="false">WEEKDAY(A6272,2)</f>
        <v>2</v>
      </c>
      <c r="E6272" s="33" t="n">
        <f aca="false">HOUR(A6272)+MINUTE(A6272)/60</f>
        <v>6</v>
      </c>
      <c r="F6272" s="33" t="n">
        <f aca="false">IF(OR(D6272&gt;5,E6272&lt;8,E6272&gt;=18,COUNTIF($K$2:$K$10,INT(A6272))&gt;0),1,0)</f>
        <v>1</v>
      </c>
      <c r="G6272" s="34" t="n">
        <f aca="false">B6272/1</f>
        <v>50.618</v>
      </c>
      <c r="H6272" s="34" t="n">
        <f aca="false">IF(F6272=1,G6272,"")</f>
        <v>50.618</v>
      </c>
    </row>
    <row r="6273" customFormat="false" ht="15" hidden="false" customHeight="false" outlineLevel="0" collapsed="false">
      <c r="A6273" s="31" t="n">
        <v>42997.2916666667</v>
      </c>
      <c r="B6273" s="32" t="n">
        <v>59.423</v>
      </c>
      <c r="D6273" s="33" t="n">
        <f aca="false">WEEKDAY(A6273,2)</f>
        <v>2</v>
      </c>
      <c r="E6273" s="33" t="n">
        <f aca="false">HOUR(A6273)+MINUTE(A6273)/60</f>
        <v>7</v>
      </c>
      <c r="F6273" s="33" t="n">
        <f aca="false">IF(OR(D6273&gt;5,E6273&lt;8,E6273&gt;=18,COUNTIF($K$2:$K$10,INT(A6273))&gt;0),1,0)</f>
        <v>1</v>
      </c>
      <c r="G6273" s="34" t="n">
        <f aca="false">B6273/1</f>
        <v>59.423</v>
      </c>
      <c r="H6273" s="34" t="n">
        <f aca="false">IF(F6273=1,G6273,"")</f>
        <v>59.423</v>
      </c>
    </row>
    <row r="6274" customFormat="false" ht="15" hidden="false" customHeight="false" outlineLevel="0" collapsed="false">
      <c r="A6274" s="31" t="n">
        <v>42997.3333333333</v>
      </c>
      <c r="B6274" s="32" t="n">
        <v>168.583</v>
      </c>
      <c r="D6274" s="33" t="n">
        <f aca="false">WEEKDAY(A6274,2)</f>
        <v>2</v>
      </c>
      <c r="E6274" s="33" t="n">
        <f aca="false">HOUR(A6274)+MINUTE(A6274)/60</f>
        <v>8</v>
      </c>
      <c r="F6274" s="33" t="n">
        <f aca="false">IF(OR(D6274&gt;5,E6274&lt;8,E6274&gt;=18,COUNTIF($K$2:$K$10,INT(A6274))&gt;0),1,0)</f>
        <v>0</v>
      </c>
      <c r="G6274" s="34" t="n">
        <f aca="false">B6274/1</f>
        <v>168.583</v>
      </c>
      <c r="H6274" s="34" t="str">
        <f aca="false">IF(F6274=1,G6274,"")</f>
        <v/>
      </c>
    </row>
    <row r="6275" customFormat="false" ht="15" hidden="false" customHeight="false" outlineLevel="0" collapsed="false">
      <c r="A6275" s="31" t="n">
        <v>42997.375</v>
      </c>
      <c r="B6275" s="32" t="n">
        <v>214.585</v>
      </c>
      <c r="D6275" s="33" t="n">
        <f aca="false">WEEKDAY(A6275,2)</f>
        <v>2</v>
      </c>
      <c r="E6275" s="33" t="n">
        <f aca="false">HOUR(A6275)+MINUTE(A6275)/60</f>
        <v>9</v>
      </c>
      <c r="F6275" s="33" t="n">
        <f aca="false">IF(OR(D6275&gt;5,E6275&lt;8,E6275&gt;=18,COUNTIF($K$2:$K$10,INT(A6275))&gt;0),1,0)</f>
        <v>0</v>
      </c>
      <c r="G6275" s="34" t="n">
        <f aca="false">B6275/1</f>
        <v>214.585</v>
      </c>
      <c r="H6275" s="34" t="str">
        <f aca="false">IF(F6275=1,G6275,"")</f>
        <v/>
      </c>
    </row>
    <row r="6276" customFormat="false" ht="15" hidden="false" customHeight="false" outlineLevel="0" collapsed="false">
      <c r="A6276" s="31" t="n">
        <v>42997.4166666667</v>
      </c>
      <c r="B6276" s="32" t="n">
        <v>256.215</v>
      </c>
      <c r="D6276" s="33" t="n">
        <f aca="false">WEEKDAY(A6276,2)</f>
        <v>2</v>
      </c>
      <c r="E6276" s="33" t="n">
        <f aca="false">HOUR(A6276)+MINUTE(A6276)/60</f>
        <v>10</v>
      </c>
      <c r="F6276" s="33" t="n">
        <f aca="false">IF(OR(D6276&gt;5,E6276&lt;8,E6276&gt;=18,COUNTIF($K$2:$K$10,INT(A6276))&gt;0),1,0)</f>
        <v>0</v>
      </c>
      <c r="G6276" s="34" t="n">
        <f aca="false">B6276/1</f>
        <v>256.215</v>
      </c>
      <c r="H6276" s="34" t="str">
        <f aca="false">IF(F6276=1,G6276,"")</f>
        <v/>
      </c>
    </row>
    <row r="6277" customFormat="false" ht="15" hidden="false" customHeight="false" outlineLevel="0" collapsed="false">
      <c r="A6277" s="31" t="n">
        <v>42997.4583333333</v>
      </c>
      <c r="B6277" s="32" t="n">
        <v>265.526</v>
      </c>
      <c r="D6277" s="33" t="n">
        <f aca="false">WEEKDAY(A6277,2)</f>
        <v>2</v>
      </c>
      <c r="E6277" s="33" t="n">
        <f aca="false">HOUR(A6277)+MINUTE(A6277)/60</f>
        <v>11</v>
      </c>
      <c r="F6277" s="33" t="n">
        <f aca="false">IF(OR(D6277&gt;5,E6277&lt;8,E6277&gt;=18,COUNTIF($K$2:$K$10,INT(A6277))&gt;0),1,0)</f>
        <v>0</v>
      </c>
      <c r="G6277" s="34" t="n">
        <f aca="false">B6277/1</f>
        <v>265.526</v>
      </c>
      <c r="H6277" s="34" t="str">
        <f aca="false">IF(F6277=1,G6277,"")</f>
        <v/>
      </c>
    </row>
    <row r="6278" customFormat="false" ht="15" hidden="false" customHeight="false" outlineLevel="0" collapsed="false">
      <c r="A6278" s="31" t="n">
        <v>42997.5</v>
      </c>
      <c r="B6278" s="32" t="n">
        <v>273.213</v>
      </c>
      <c r="D6278" s="33" t="n">
        <f aca="false">WEEKDAY(A6278,2)</f>
        <v>2</v>
      </c>
      <c r="E6278" s="33" t="n">
        <f aca="false">HOUR(A6278)+MINUTE(A6278)/60</f>
        <v>12</v>
      </c>
      <c r="F6278" s="33" t="n">
        <f aca="false">IF(OR(D6278&gt;5,E6278&lt;8,E6278&gt;=18,COUNTIF($K$2:$K$10,INT(A6278))&gt;0),1,0)</f>
        <v>0</v>
      </c>
      <c r="G6278" s="34" t="n">
        <f aca="false">B6278/1</f>
        <v>273.213</v>
      </c>
      <c r="H6278" s="34" t="str">
        <f aca="false">IF(F6278=1,G6278,"")</f>
        <v/>
      </c>
    </row>
    <row r="6279" customFormat="false" ht="15" hidden="false" customHeight="false" outlineLevel="0" collapsed="false">
      <c r="A6279" s="31" t="n">
        <v>42997.5416666667</v>
      </c>
      <c r="B6279" s="32" t="n">
        <v>276.512</v>
      </c>
      <c r="D6279" s="33" t="n">
        <f aca="false">WEEKDAY(A6279,2)</f>
        <v>2</v>
      </c>
      <c r="E6279" s="33" t="n">
        <f aca="false">HOUR(A6279)+MINUTE(A6279)/60</f>
        <v>13</v>
      </c>
      <c r="F6279" s="33" t="n">
        <f aca="false">IF(OR(D6279&gt;5,E6279&lt;8,E6279&gt;=18,COUNTIF($K$2:$K$10,INT(A6279))&gt;0),1,0)</f>
        <v>0</v>
      </c>
      <c r="G6279" s="34" t="n">
        <f aca="false">B6279/1</f>
        <v>276.512</v>
      </c>
      <c r="H6279" s="34" t="str">
        <f aca="false">IF(F6279=1,G6279,"")</f>
        <v/>
      </c>
    </row>
    <row r="6280" customFormat="false" ht="15" hidden="false" customHeight="false" outlineLevel="0" collapsed="false">
      <c r="A6280" s="31" t="n">
        <v>42997.5833333333</v>
      </c>
      <c r="B6280" s="32" t="n">
        <v>283.052</v>
      </c>
      <c r="D6280" s="33" t="n">
        <f aca="false">WEEKDAY(A6280,2)</f>
        <v>2</v>
      </c>
      <c r="E6280" s="33" t="n">
        <f aca="false">HOUR(A6280)+MINUTE(A6280)/60</f>
        <v>14</v>
      </c>
      <c r="F6280" s="33" t="n">
        <f aca="false">IF(OR(D6280&gt;5,E6280&lt;8,E6280&gt;=18,COUNTIF($K$2:$K$10,INT(A6280))&gt;0),1,0)</f>
        <v>0</v>
      </c>
      <c r="G6280" s="34" t="n">
        <f aca="false">B6280/1</f>
        <v>283.052</v>
      </c>
      <c r="H6280" s="34" t="str">
        <f aca="false">IF(F6280=1,G6280,"")</f>
        <v/>
      </c>
    </row>
    <row r="6281" customFormat="false" ht="15" hidden="false" customHeight="false" outlineLevel="0" collapsed="false">
      <c r="A6281" s="31" t="n">
        <v>42997.625</v>
      </c>
      <c r="B6281" s="32" t="n">
        <v>275.437</v>
      </c>
      <c r="D6281" s="33" t="n">
        <f aca="false">WEEKDAY(A6281,2)</f>
        <v>2</v>
      </c>
      <c r="E6281" s="33" t="n">
        <f aca="false">HOUR(A6281)+MINUTE(A6281)/60</f>
        <v>15</v>
      </c>
      <c r="F6281" s="33" t="n">
        <f aca="false">IF(OR(D6281&gt;5,E6281&lt;8,E6281&gt;=18,COUNTIF($K$2:$K$10,INT(A6281))&gt;0),1,0)</f>
        <v>0</v>
      </c>
      <c r="G6281" s="34" t="n">
        <f aca="false">B6281/1</f>
        <v>275.437</v>
      </c>
      <c r="H6281" s="34" t="str">
        <f aca="false">IF(F6281=1,G6281,"")</f>
        <v/>
      </c>
    </row>
    <row r="6282" customFormat="false" ht="15" hidden="false" customHeight="false" outlineLevel="0" collapsed="false">
      <c r="A6282" s="31" t="n">
        <v>42997.6666666667</v>
      </c>
      <c r="B6282" s="32" t="n">
        <v>275.011</v>
      </c>
      <c r="D6282" s="33" t="n">
        <f aca="false">WEEKDAY(A6282,2)</f>
        <v>2</v>
      </c>
      <c r="E6282" s="33" t="n">
        <f aca="false">HOUR(A6282)+MINUTE(A6282)/60</f>
        <v>16</v>
      </c>
      <c r="F6282" s="33" t="n">
        <f aca="false">IF(OR(D6282&gt;5,E6282&lt;8,E6282&gt;=18,COUNTIF($K$2:$K$10,INT(A6282))&gt;0),1,0)</f>
        <v>0</v>
      </c>
      <c r="G6282" s="34" t="n">
        <f aca="false">B6282/1</f>
        <v>275.011</v>
      </c>
      <c r="H6282" s="34" t="str">
        <f aca="false">IF(F6282=1,G6282,"")</f>
        <v/>
      </c>
    </row>
    <row r="6283" customFormat="false" ht="15" hidden="false" customHeight="false" outlineLevel="0" collapsed="false">
      <c r="A6283" s="31" t="n">
        <v>42997.7083333333</v>
      </c>
      <c r="B6283" s="32" t="n">
        <v>290.063</v>
      </c>
      <c r="D6283" s="33" t="n">
        <f aca="false">WEEKDAY(A6283,2)</f>
        <v>2</v>
      </c>
      <c r="E6283" s="33" t="n">
        <f aca="false">HOUR(A6283)+MINUTE(A6283)/60</f>
        <v>17</v>
      </c>
      <c r="F6283" s="33" t="n">
        <f aca="false">IF(OR(D6283&gt;5,E6283&lt;8,E6283&gt;=18,COUNTIF($K$2:$K$10,INT(A6283))&gt;0),1,0)</f>
        <v>0</v>
      </c>
      <c r="G6283" s="34" t="n">
        <f aca="false">B6283/1</f>
        <v>290.063</v>
      </c>
      <c r="H6283" s="34" t="str">
        <f aca="false">IF(F6283=1,G6283,"")</f>
        <v/>
      </c>
    </row>
    <row r="6284" customFormat="false" ht="15" hidden="false" customHeight="false" outlineLevel="0" collapsed="false">
      <c r="A6284" s="31" t="n">
        <v>42997.75</v>
      </c>
      <c r="B6284" s="32" t="n">
        <v>251.508</v>
      </c>
      <c r="D6284" s="33" t="n">
        <f aca="false">WEEKDAY(A6284,2)</f>
        <v>2</v>
      </c>
      <c r="E6284" s="33" t="n">
        <f aca="false">HOUR(A6284)+MINUTE(A6284)/60</f>
        <v>18</v>
      </c>
      <c r="F6284" s="33" t="n">
        <f aca="false">IF(OR(D6284&gt;5,E6284&lt;8,E6284&gt;=18,COUNTIF($K$2:$K$10,INT(A6284))&gt;0),1,0)</f>
        <v>1</v>
      </c>
      <c r="G6284" s="34" t="n">
        <f aca="false">B6284/1</f>
        <v>251.508</v>
      </c>
      <c r="H6284" s="34" t="n">
        <f aca="false">IF(F6284=1,G6284,"")</f>
        <v>251.508</v>
      </c>
    </row>
    <row r="6285" customFormat="false" ht="15" hidden="false" customHeight="false" outlineLevel="0" collapsed="false">
      <c r="A6285" s="31" t="n">
        <v>42997.7916666667</v>
      </c>
      <c r="B6285" s="32" t="n">
        <v>227.123</v>
      </c>
      <c r="D6285" s="33" t="n">
        <f aca="false">WEEKDAY(A6285,2)</f>
        <v>2</v>
      </c>
      <c r="E6285" s="33" t="n">
        <f aca="false">HOUR(A6285)+MINUTE(A6285)/60</f>
        <v>19</v>
      </c>
      <c r="F6285" s="33" t="n">
        <f aca="false">IF(OR(D6285&gt;5,E6285&lt;8,E6285&gt;=18,COUNTIF($K$2:$K$10,INT(A6285))&gt;0),1,0)</f>
        <v>1</v>
      </c>
      <c r="G6285" s="34" t="n">
        <f aca="false">B6285/1</f>
        <v>227.123</v>
      </c>
      <c r="H6285" s="34" t="n">
        <f aca="false">IF(F6285=1,G6285,"")</f>
        <v>227.123</v>
      </c>
    </row>
    <row r="6286" customFormat="false" ht="15" hidden="false" customHeight="false" outlineLevel="0" collapsed="false">
      <c r="A6286" s="31" t="n">
        <v>42997.8333333333</v>
      </c>
      <c r="B6286" s="32" t="n">
        <v>218.96</v>
      </c>
      <c r="D6286" s="33" t="n">
        <f aca="false">WEEKDAY(A6286,2)</f>
        <v>2</v>
      </c>
      <c r="E6286" s="33" t="n">
        <f aca="false">HOUR(A6286)+MINUTE(A6286)/60</f>
        <v>20</v>
      </c>
      <c r="F6286" s="33" t="n">
        <f aca="false">IF(OR(D6286&gt;5,E6286&lt;8,E6286&gt;=18,COUNTIF($K$2:$K$10,INT(A6286))&gt;0),1,0)</f>
        <v>1</v>
      </c>
      <c r="G6286" s="34" t="n">
        <f aca="false">B6286/1</f>
        <v>218.96</v>
      </c>
      <c r="H6286" s="34" t="n">
        <f aca="false">IF(F6286=1,G6286,"")</f>
        <v>218.96</v>
      </c>
    </row>
    <row r="6287" customFormat="false" ht="15" hidden="false" customHeight="false" outlineLevel="0" collapsed="false">
      <c r="A6287" s="31" t="n">
        <v>42997.875</v>
      </c>
      <c r="B6287" s="32" t="n">
        <v>211.915</v>
      </c>
      <c r="D6287" s="33" t="n">
        <f aca="false">WEEKDAY(A6287,2)</f>
        <v>2</v>
      </c>
      <c r="E6287" s="33" t="n">
        <f aca="false">HOUR(A6287)+MINUTE(A6287)/60</f>
        <v>21</v>
      </c>
      <c r="F6287" s="33" t="n">
        <f aca="false">IF(OR(D6287&gt;5,E6287&lt;8,E6287&gt;=18,COUNTIF($K$2:$K$10,INT(A6287))&gt;0),1,0)</f>
        <v>1</v>
      </c>
      <c r="G6287" s="34" t="n">
        <f aca="false">B6287/1</f>
        <v>211.915</v>
      </c>
      <c r="H6287" s="34" t="n">
        <f aca="false">IF(F6287=1,G6287,"")</f>
        <v>211.915</v>
      </c>
    </row>
    <row r="6288" customFormat="false" ht="15" hidden="false" customHeight="false" outlineLevel="0" collapsed="false">
      <c r="A6288" s="31" t="n">
        <v>42997.9166666667</v>
      </c>
      <c r="B6288" s="32" t="n">
        <v>156.973</v>
      </c>
      <c r="D6288" s="33" t="n">
        <f aca="false">WEEKDAY(A6288,2)</f>
        <v>2</v>
      </c>
      <c r="E6288" s="33" t="n">
        <f aca="false">HOUR(A6288)+MINUTE(A6288)/60</f>
        <v>22</v>
      </c>
      <c r="F6288" s="33" t="n">
        <f aca="false">IF(OR(D6288&gt;5,E6288&lt;8,E6288&gt;=18,COUNTIF($K$2:$K$10,INT(A6288))&gt;0),1,0)</f>
        <v>1</v>
      </c>
      <c r="G6288" s="34" t="n">
        <f aca="false">B6288/1</f>
        <v>156.973</v>
      </c>
      <c r="H6288" s="34" t="n">
        <f aca="false">IF(F6288=1,G6288,"")</f>
        <v>156.973</v>
      </c>
    </row>
    <row r="6289" customFormat="false" ht="15" hidden="false" customHeight="false" outlineLevel="0" collapsed="false">
      <c r="A6289" s="31" t="n">
        <v>42997.9583333333</v>
      </c>
      <c r="B6289" s="32" t="n">
        <v>98.132</v>
      </c>
      <c r="D6289" s="33" t="n">
        <f aca="false">WEEKDAY(A6289,2)</f>
        <v>2</v>
      </c>
      <c r="E6289" s="33" t="n">
        <f aca="false">HOUR(A6289)+MINUTE(A6289)/60</f>
        <v>23</v>
      </c>
      <c r="F6289" s="33" t="n">
        <f aca="false">IF(OR(D6289&gt;5,E6289&lt;8,E6289&gt;=18,COUNTIF($K$2:$K$10,INT(A6289))&gt;0),1,0)</f>
        <v>1</v>
      </c>
      <c r="G6289" s="34" t="n">
        <f aca="false">B6289/1</f>
        <v>98.132</v>
      </c>
      <c r="H6289" s="34" t="n">
        <f aca="false">IF(F6289=1,G6289,"")</f>
        <v>98.132</v>
      </c>
    </row>
    <row r="6290" customFormat="false" ht="15" hidden="false" customHeight="false" outlineLevel="0" collapsed="false">
      <c r="A6290" s="31" t="n">
        <v>42998</v>
      </c>
      <c r="B6290" s="32" t="n">
        <v>94.281</v>
      </c>
      <c r="D6290" s="33" t="n">
        <f aca="false">WEEKDAY(A6290,2)</f>
        <v>3</v>
      </c>
      <c r="E6290" s="33" t="n">
        <f aca="false">HOUR(A6290)+MINUTE(A6290)/60</f>
        <v>0</v>
      </c>
      <c r="F6290" s="33" t="n">
        <f aca="false">IF(OR(D6290&gt;5,E6290&lt;8,E6290&gt;=18,COUNTIF($K$2:$K$10,INT(A6290))&gt;0),1,0)</f>
        <v>1</v>
      </c>
      <c r="G6290" s="34" t="n">
        <f aca="false">B6290/1</f>
        <v>94.281</v>
      </c>
      <c r="H6290" s="34" t="n">
        <f aca="false">IF(F6290=1,G6290,"")</f>
        <v>94.281</v>
      </c>
    </row>
    <row r="6291" customFormat="false" ht="15" hidden="false" customHeight="false" outlineLevel="0" collapsed="false">
      <c r="A6291" s="31" t="n">
        <v>42998.0416666667</v>
      </c>
      <c r="B6291" s="32" t="n">
        <v>95.519</v>
      </c>
      <c r="D6291" s="33" t="n">
        <f aca="false">WEEKDAY(A6291,2)</f>
        <v>3</v>
      </c>
      <c r="E6291" s="33" t="n">
        <f aca="false">HOUR(A6291)+MINUTE(A6291)/60</f>
        <v>1</v>
      </c>
      <c r="F6291" s="33" t="n">
        <f aca="false">IF(OR(D6291&gt;5,E6291&lt;8,E6291&gt;=18,COUNTIF($K$2:$K$10,INT(A6291))&gt;0),1,0)</f>
        <v>1</v>
      </c>
      <c r="G6291" s="34" t="n">
        <f aca="false">B6291/1</f>
        <v>95.519</v>
      </c>
      <c r="H6291" s="34" t="n">
        <f aca="false">IF(F6291=1,G6291,"")</f>
        <v>95.519</v>
      </c>
    </row>
    <row r="6292" customFormat="false" ht="15" hidden="false" customHeight="false" outlineLevel="0" collapsed="false">
      <c r="A6292" s="31" t="n">
        <v>42998.0833333333</v>
      </c>
      <c r="B6292" s="32" t="n">
        <v>93.829</v>
      </c>
      <c r="D6292" s="33" t="n">
        <f aca="false">WEEKDAY(A6292,2)</f>
        <v>3</v>
      </c>
      <c r="E6292" s="33" t="n">
        <f aca="false">HOUR(A6292)+MINUTE(A6292)/60</f>
        <v>2</v>
      </c>
      <c r="F6292" s="33" t="n">
        <f aca="false">IF(OR(D6292&gt;5,E6292&lt;8,E6292&gt;=18,COUNTIF($K$2:$K$10,INT(A6292))&gt;0),1,0)</f>
        <v>1</v>
      </c>
      <c r="G6292" s="34" t="n">
        <f aca="false">B6292/1</f>
        <v>93.829</v>
      </c>
      <c r="H6292" s="34" t="n">
        <f aca="false">IF(F6292=1,G6292,"")</f>
        <v>93.829</v>
      </c>
    </row>
    <row r="6293" customFormat="false" ht="15" hidden="false" customHeight="false" outlineLevel="0" collapsed="false">
      <c r="A6293" s="31" t="n">
        <v>42998.125</v>
      </c>
      <c r="B6293" s="32" t="n">
        <v>95.459</v>
      </c>
      <c r="D6293" s="33" t="n">
        <f aca="false">WEEKDAY(A6293,2)</f>
        <v>3</v>
      </c>
      <c r="E6293" s="33" t="n">
        <f aca="false">HOUR(A6293)+MINUTE(A6293)/60</f>
        <v>3</v>
      </c>
      <c r="F6293" s="33" t="n">
        <f aca="false">IF(OR(D6293&gt;5,E6293&lt;8,E6293&gt;=18,COUNTIF($K$2:$K$10,INT(A6293))&gt;0),1,0)</f>
        <v>1</v>
      </c>
      <c r="G6293" s="34" t="n">
        <f aca="false">B6293/1</f>
        <v>95.459</v>
      </c>
      <c r="H6293" s="34" t="n">
        <f aca="false">IF(F6293=1,G6293,"")</f>
        <v>95.459</v>
      </c>
    </row>
    <row r="6294" customFormat="false" ht="15" hidden="false" customHeight="false" outlineLevel="0" collapsed="false">
      <c r="A6294" s="31" t="n">
        <v>42998.1666666667</v>
      </c>
      <c r="B6294" s="32" t="n">
        <v>93.357</v>
      </c>
      <c r="D6294" s="33" t="n">
        <f aca="false">WEEKDAY(A6294,2)</f>
        <v>3</v>
      </c>
      <c r="E6294" s="33" t="n">
        <f aca="false">HOUR(A6294)+MINUTE(A6294)/60</f>
        <v>4</v>
      </c>
      <c r="F6294" s="33" t="n">
        <f aca="false">IF(OR(D6294&gt;5,E6294&lt;8,E6294&gt;=18,COUNTIF($K$2:$K$10,INT(A6294))&gt;0),1,0)</f>
        <v>1</v>
      </c>
      <c r="G6294" s="34" t="n">
        <f aca="false">B6294/1</f>
        <v>93.357</v>
      </c>
      <c r="H6294" s="34" t="n">
        <f aca="false">IF(F6294=1,G6294,"")</f>
        <v>93.357</v>
      </c>
    </row>
    <row r="6295" customFormat="false" ht="15" hidden="false" customHeight="false" outlineLevel="0" collapsed="false">
      <c r="A6295" s="31" t="n">
        <v>42998.2083333333</v>
      </c>
      <c r="B6295" s="32" t="n">
        <v>93.403</v>
      </c>
      <c r="D6295" s="33" t="n">
        <f aca="false">WEEKDAY(A6295,2)</f>
        <v>3</v>
      </c>
      <c r="E6295" s="33" t="n">
        <f aca="false">HOUR(A6295)+MINUTE(A6295)/60</f>
        <v>5</v>
      </c>
      <c r="F6295" s="33" t="n">
        <f aca="false">IF(OR(D6295&gt;5,E6295&lt;8,E6295&gt;=18,COUNTIF($K$2:$K$10,INT(A6295))&gt;0),1,0)</f>
        <v>1</v>
      </c>
      <c r="G6295" s="34" t="n">
        <f aca="false">B6295/1</f>
        <v>93.403</v>
      </c>
      <c r="H6295" s="34" t="n">
        <f aca="false">IF(F6295=1,G6295,"")</f>
        <v>93.403</v>
      </c>
    </row>
    <row r="6296" customFormat="false" ht="15" hidden="false" customHeight="false" outlineLevel="0" collapsed="false">
      <c r="A6296" s="31" t="n">
        <v>42998.25</v>
      </c>
      <c r="B6296" s="32" t="n">
        <v>96.339</v>
      </c>
      <c r="D6296" s="33" t="n">
        <f aca="false">WEEKDAY(A6296,2)</f>
        <v>3</v>
      </c>
      <c r="E6296" s="33" t="n">
        <f aca="false">HOUR(A6296)+MINUTE(A6296)/60</f>
        <v>6</v>
      </c>
      <c r="F6296" s="33" t="n">
        <f aca="false">IF(OR(D6296&gt;5,E6296&lt;8,E6296&gt;=18,COUNTIF($K$2:$K$10,INT(A6296))&gt;0),1,0)</f>
        <v>1</v>
      </c>
      <c r="G6296" s="34" t="n">
        <f aca="false">B6296/1</f>
        <v>96.339</v>
      </c>
      <c r="H6296" s="34" t="n">
        <f aca="false">IF(F6296=1,G6296,"")</f>
        <v>96.339</v>
      </c>
    </row>
    <row r="6297" customFormat="false" ht="15" hidden="false" customHeight="false" outlineLevel="0" collapsed="false">
      <c r="A6297" s="31" t="n">
        <v>42998.2916666667</v>
      </c>
      <c r="B6297" s="32" t="n">
        <v>102.289</v>
      </c>
      <c r="D6297" s="33" t="n">
        <f aca="false">WEEKDAY(A6297,2)</f>
        <v>3</v>
      </c>
      <c r="E6297" s="33" t="n">
        <f aca="false">HOUR(A6297)+MINUTE(A6297)/60</f>
        <v>7</v>
      </c>
      <c r="F6297" s="33" t="n">
        <f aca="false">IF(OR(D6297&gt;5,E6297&lt;8,E6297&gt;=18,COUNTIF($K$2:$K$10,INT(A6297))&gt;0),1,0)</f>
        <v>1</v>
      </c>
      <c r="G6297" s="34" t="n">
        <f aca="false">B6297/1</f>
        <v>102.289</v>
      </c>
      <c r="H6297" s="34" t="n">
        <f aca="false">IF(F6297=1,G6297,"")</f>
        <v>102.289</v>
      </c>
    </row>
    <row r="6298" customFormat="false" ht="15" hidden="false" customHeight="false" outlineLevel="0" collapsed="false">
      <c r="A6298" s="31" t="n">
        <v>42998.3333333333</v>
      </c>
      <c r="B6298" s="32" t="n">
        <v>199.379</v>
      </c>
      <c r="D6298" s="33" t="n">
        <f aca="false">WEEKDAY(A6298,2)</f>
        <v>3</v>
      </c>
      <c r="E6298" s="33" t="n">
        <f aca="false">HOUR(A6298)+MINUTE(A6298)/60</f>
        <v>8</v>
      </c>
      <c r="F6298" s="33" t="n">
        <f aca="false">IF(OR(D6298&gt;5,E6298&lt;8,E6298&gt;=18,COUNTIF($K$2:$K$10,INT(A6298))&gt;0),1,0)</f>
        <v>0</v>
      </c>
      <c r="G6298" s="34" t="n">
        <f aca="false">B6298/1</f>
        <v>199.379</v>
      </c>
      <c r="H6298" s="34" t="str">
        <f aca="false">IF(F6298=1,G6298,"")</f>
        <v/>
      </c>
    </row>
    <row r="6299" customFormat="false" ht="15" hidden="false" customHeight="false" outlineLevel="0" collapsed="false">
      <c r="A6299" s="31" t="n">
        <v>42998.375</v>
      </c>
      <c r="B6299" s="32" t="n">
        <v>241.431</v>
      </c>
      <c r="D6299" s="33" t="n">
        <f aca="false">WEEKDAY(A6299,2)</f>
        <v>3</v>
      </c>
      <c r="E6299" s="33" t="n">
        <f aca="false">HOUR(A6299)+MINUTE(A6299)/60</f>
        <v>9</v>
      </c>
      <c r="F6299" s="33" t="n">
        <f aca="false">IF(OR(D6299&gt;5,E6299&lt;8,E6299&gt;=18,COUNTIF($K$2:$K$10,INT(A6299))&gt;0),1,0)</f>
        <v>0</v>
      </c>
      <c r="G6299" s="34" t="n">
        <f aca="false">B6299/1</f>
        <v>241.431</v>
      </c>
      <c r="H6299" s="34" t="str">
        <f aca="false">IF(F6299=1,G6299,"")</f>
        <v/>
      </c>
    </row>
    <row r="6300" customFormat="false" ht="15" hidden="false" customHeight="false" outlineLevel="0" collapsed="false">
      <c r="A6300" s="31" t="n">
        <v>42998.4166666667</v>
      </c>
      <c r="B6300" s="32" t="n">
        <v>263.958</v>
      </c>
      <c r="D6300" s="33" t="n">
        <f aca="false">WEEKDAY(A6300,2)</f>
        <v>3</v>
      </c>
      <c r="E6300" s="33" t="n">
        <f aca="false">HOUR(A6300)+MINUTE(A6300)/60</f>
        <v>10</v>
      </c>
      <c r="F6300" s="33" t="n">
        <f aca="false">IF(OR(D6300&gt;5,E6300&lt;8,E6300&gt;=18,COUNTIF($K$2:$K$10,INT(A6300))&gt;0),1,0)</f>
        <v>0</v>
      </c>
      <c r="G6300" s="34" t="n">
        <f aca="false">B6300/1</f>
        <v>263.958</v>
      </c>
      <c r="H6300" s="34" t="str">
        <f aca="false">IF(F6300=1,G6300,"")</f>
        <v/>
      </c>
    </row>
    <row r="6301" customFormat="false" ht="15" hidden="false" customHeight="false" outlineLevel="0" collapsed="false">
      <c r="A6301" s="31" t="n">
        <v>42998.4583333333</v>
      </c>
      <c r="B6301" s="32" t="n">
        <v>273.485</v>
      </c>
      <c r="D6301" s="33" t="n">
        <f aca="false">WEEKDAY(A6301,2)</f>
        <v>3</v>
      </c>
      <c r="E6301" s="33" t="n">
        <f aca="false">HOUR(A6301)+MINUTE(A6301)/60</f>
        <v>11</v>
      </c>
      <c r="F6301" s="33" t="n">
        <f aca="false">IF(OR(D6301&gt;5,E6301&lt;8,E6301&gt;=18,COUNTIF($K$2:$K$10,INT(A6301))&gt;0),1,0)</f>
        <v>0</v>
      </c>
      <c r="G6301" s="34" t="n">
        <f aca="false">B6301/1</f>
        <v>273.485</v>
      </c>
      <c r="H6301" s="34" t="str">
        <f aca="false">IF(F6301=1,G6301,"")</f>
        <v/>
      </c>
    </row>
    <row r="6302" customFormat="false" ht="15" hidden="false" customHeight="false" outlineLevel="0" collapsed="false">
      <c r="A6302" s="31" t="n">
        <v>42998.5</v>
      </c>
      <c r="B6302" s="32" t="n">
        <v>275.592</v>
      </c>
      <c r="D6302" s="33" t="n">
        <f aca="false">WEEKDAY(A6302,2)</f>
        <v>3</v>
      </c>
      <c r="E6302" s="33" t="n">
        <f aca="false">HOUR(A6302)+MINUTE(A6302)/60</f>
        <v>12</v>
      </c>
      <c r="F6302" s="33" t="n">
        <f aca="false">IF(OR(D6302&gt;5,E6302&lt;8,E6302&gt;=18,COUNTIF($K$2:$K$10,INT(A6302))&gt;0),1,0)</f>
        <v>0</v>
      </c>
      <c r="G6302" s="34" t="n">
        <f aca="false">B6302/1</f>
        <v>275.592</v>
      </c>
      <c r="H6302" s="34" t="str">
        <f aca="false">IF(F6302=1,G6302,"")</f>
        <v/>
      </c>
    </row>
    <row r="6303" customFormat="false" ht="15" hidden="false" customHeight="false" outlineLevel="0" collapsed="false">
      <c r="A6303" s="31" t="n">
        <v>42998.5416666667</v>
      </c>
      <c r="B6303" s="32" t="n">
        <v>276.39</v>
      </c>
      <c r="D6303" s="33" t="n">
        <f aca="false">WEEKDAY(A6303,2)</f>
        <v>3</v>
      </c>
      <c r="E6303" s="33" t="n">
        <f aca="false">HOUR(A6303)+MINUTE(A6303)/60</f>
        <v>13</v>
      </c>
      <c r="F6303" s="33" t="n">
        <f aca="false">IF(OR(D6303&gt;5,E6303&lt;8,E6303&gt;=18,COUNTIF($K$2:$K$10,INT(A6303))&gt;0),1,0)</f>
        <v>0</v>
      </c>
      <c r="G6303" s="34" t="n">
        <f aca="false">B6303/1</f>
        <v>276.39</v>
      </c>
      <c r="H6303" s="34" t="str">
        <f aca="false">IF(F6303=1,G6303,"")</f>
        <v/>
      </c>
    </row>
    <row r="6304" customFormat="false" ht="15" hidden="false" customHeight="false" outlineLevel="0" collapsed="false">
      <c r="A6304" s="31" t="n">
        <v>42998.5833333333</v>
      </c>
      <c r="B6304" s="32" t="n">
        <v>281.239</v>
      </c>
      <c r="D6304" s="33" t="n">
        <f aca="false">WEEKDAY(A6304,2)</f>
        <v>3</v>
      </c>
      <c r="E6304" s="33" t="n">
        <f aca="false">HOUR(A6304)+MINUTE(A6304)/60</f>
        <v>14</v>
      </c>
      <c r="F6304" s="33" t="n">
        <f aca="false">IF(OR(D6304&gt;5,E6304&lt;8,E6304&gt;=18,COUNTIF($K$2:$K$10,INT(A6304))&gt;0),1,0)</f>
        <v>0</v>
      </c>
      <c r="G6304" s="34" t="n">
        <f aca="false">B6304/1</f>
        <v>281.239</v>
      </c>
      <c r="H6304" s="34" t="str">
        <f aca="false">IF(F6304=1,G6304,"")</f>
        <v/>
      </c>
    </row>
    <row r="6305" customFormat="false" ht="15" hidden="false" customHeight="false" outlineLevel="0" collapsed="false">
      <c r="A6305" s="31" t="n">
        <v>42998.625</v>
      </c>
      <c r="B6305" s="32" t="n">
        <v>269.498</v>
      </c>
      <c r="D6305" s="33" t="n">
        <f aca="false">WEEKDAY(A6305,2)</f>
        <v>3</v>
      </c>
      <c r="E6305" s="33" t="n">
        <f aca="false">HOUR(A6305)+MINUTE(A6305)/60</f>
        <v>15</v>
      </c>
      <c r="F6305" s="33" t="n">
        <f aca="false">IF(OR(D6305&gt;5,E6305&lt;8,E6305&gt;=18,COUNTIF($K$2:$K$10,INT(A6305))&gt;0),1,0)</f>
        <v>0</v>
      </c>
      <c r="G6305" s="34" t="n">
        <f aca="false">B6305/1</f>
        <v>269.498</v>
      </c>
      <c r="H6305" s="34" t="str">
        <f aca="false">IF(F6305=1,G6305,"")</f>
        <v/>
      </c>
    </row>
    <row r="6306" customFormat="false" ht="15" hidden="false" customHeight="false" outlineLevel="0" collapsed="false">
      <c r="A6306" s="31" t="n">
        <v>42998.6666666667</v>
      </c>
      <c r="B6306" s="32" t="n">
        <v>271.501</v>
      </c>
      <c r="D6306" s="33" t="n">
        <f aca="false">WEEKDAY(A6306,2)</f>
        <v>3</v>
      </c>
      <c r="E6306" s="33" t="n">
        <f aca="false">HOUR(A6306)+MINUTE(A6306)/60</f>
        <v>16</v>
      </c>
      <c r="F6306" s="33" t="n">
        <f aca="false">IF(OR(D6306&gt;5,E6306&lt;8,E6306&gt;=18,COUNTIF($K$2:$K$10,INT(A6306))&gt;0),1,0)</f>
        <v>0</v>
      </c>
      <c r="G6306" s="34" t="n">
        <f aca="false">B6306/1</f>
        <v>271.501</v>
      </c>
      <c r="H6306" s="34" t="str">
        <f aca="false">IF(F6306=1,G6306,"")</f>
        <v/>
      </c>
    </row>
    <row r="6307" customFormat="false" ht="15" hidden="false" customHeight="false" outlineLevel="0" collapsed="false">
      <c r="A6307" s="31" t="n">
        <v>42998.7083333333</v>
      </c>
      <c r="B6307" s="32" t="n">
        <v>254.994</v>
      </c>
      <c r="D6307" s="33" t="n">
        <f aca="false">WEEKDAY(A6307,2)</f>
        <v>3</v>
      </c>
      <c r="E6307" s="33" t="n">
        <f aca="false">HOUR(A6307)+MINUTE(A6307)/60</f>
        <v>17</v>
      </c>
      <c r="F6307" s="33" t="n">
        <f aca="false">IF(OR(D6307&gt;5,E6307&lt;8,E6307&gt;=18,COUNTIF($K$2:$K$10,INT(A6307))&gt;0),1,0)</f>
        <v>0</v>
      </c>
      <c r="G6307" s="34" t="n">
        <f aca="false">B6307/1</f>
        <v>254.994</v>
      </c>
      <c r="H6307" s="34" t="str">
        <f aca="false">IF(F6307=1,G6307,"")</f>
        <v/>
      </c>
    </row>
    <row r="6308" customFormat="false" ht="15" hidden="false" customHeight="false" outlineLevel="0" collapsed="false">
      <c r="A6308" s="31" t="n">
        <v>42998.75</v>
      </c>
      <c r="B6308" s="32" t="n">
        <v>223.778</v>
      </c>
      <c r="D6308" s="33" t="n">
        <f aca="false">WEEKDAY(A6308,2)</f>
        <v>3</v>
      </c>
      <c r="E6308" s="33" t="n">
        <f aca="false">HOUR(A6308)+MINUTE(A6308)/60</f>
        <v>18</v>
      </c>
      <c r="F6308" s="33" t="n">
        <f aca="false">IF(OR(D6308&gt;5,E6308&lt;8,E6308&gt;=18,COUNTIF($K$2:$K$10,INT(A6308))&gt;0),1,0)</f>
        <v>1</v>
      </c>
      <c r="G6308" s="34" t="n">
        <f aca="false">B6308/1</f>
        <v>223.778</v>
      </c>
      <c r="H6308" s="34" t="n">
        <f aca="false">IF(F6308=1,G6308,"")</f>
        <v>223.778</v>
      </c>
    </row>
    <row r="6309" customFormat="false" ht="15" hidden="false" customHeight="false" outlineLevel="0" collapsed="false">
      <c r="A6309" s="31" t="n">
        <v>42998.7916666667</v>
      </c>
      <c r="B6309" s="32" t="n">
        <v>203.41</v>
      </c>
      <c r="D6309" s="33" t="n">
        <f aca="false">WEEKDAY(A6309,2)</f>
        <v>3</v>
      </c>
      <c r="E6309" s="33" t="n">
        <f aca="false">HOUR(A6309)+MINUTE(A6309)/60</f>
        <v>19</v>
      </c>
      <c r="F6309" s="33" t="n">
        <f aca="false">IF(OR(D6309&gt;5,E6309&lt;8,E6309&gt;=18,COUNTIF($K$2:$K$10,INT(A6309))&gt;0),1,0)</f>
        <v>1</v>
      </c>
      <c r="G6309" s="34" t="n">
        <f aca="false">B6309/1</f>
        <v>203.41</v>
      </c>
      <c r="H6309" s="34" t="n">
        <f aca="false">IF(F6309=1,G6309,"")</f>
        <v>203.41</v>
      </c>
    </row>
    <row r="6310" customFormat="false" ht="15" hidden="false" customHeight="false" outlineLevel="0" collapsed="false">
      <c r="A6310" s="31" t="n">
        <v>42998.8333333333</v>
      </c>
      <c r="B6310" s="32" t="n">
        <v>197.328</v>
      </c>
      <c r="D6310" s="33" t="n">
        <f aca="false">WEEKDAY(A6310,2)</f>
        <v>3</v>
      </c>
      <c r="E6310" s="33" t="n">
        <f aca="false">HOUR(A6310)+MINUTE(A6310)/60</f>
        <v>20</v>
      </c>
      <c r="F6310" s="33" t="n">
        <f aca="false">IF(OR(D6310&gt;5,E6310&lt;8,E6310&gt;=18,COUNTIF($K$2:$K$10,INT(A6310))&gt;0),1,0)</f>
        <v>1</v>
      </c>
      <c r="G6310" s="34" t="n">
        <f aca="false">B6310/1</f>
        <v>197.328</v>
      </c>
      <c r="H6310" s="34" t="n">
        <f aca="false">IF(F6310=1,G6310,"")</f>
        <v>197.328</v>
      </c>
    </row>
    <row r="6311" customFormat="false" ht="15" hidden="false" customHeight="false" outlineLevel="0" collapsed="false">
      <c r="A6311" s="31" t="n">
        <v>42998.875</v>
      </c>
      <c r="B6311" s="32" t="n">
        <v>185.255</v>
      </c>
      <c r="D6311" s="33" t="n">
        <f aca="false">WEEKDAY(A6311,2)</f>
        <v>3</v>
      </c>
      <c r="E6311" s="33" t="n">
        <f aca="false">HOUR(A6311)+MINUTE(A6311)/60</f>
        <v>21</v>
      </c>
      <c r="F6311" s="33" t="n">
        <f aca="false">IF(OR(D6311&gt;5,E6311&lt;8,E6311&gt;=18,COUNTIF($K$2:$K$10,INT(A6311))&gt;0),1,0)</f>
        <v>1</v>
      </c>
      <c r="G6311" s="34" t="n">
        <f aca="false">B6311/1</f>
        <v>185.255</v>
      </c>
      <c r="H6311" s="34" t="n">
        <f aca="false">IF(F6311=1,G6311,"")</f>
        <v>185.255</v>
      </c>
    </row>
    <row r="6312" customFormat="false" ht="15" hidden="false" customHeight="false" outlineLevel="0" collapsed="false">
      <c r="A6312" s="31" t="n">
        <v>42998.9166666667</v>
      </c>
      <c r="B6312" s="32" t="n">
        <v>132.783</v>
      </c>
      <c r="D6312" s="33" t="n">
        <f aca="false">WEEKDAY(A6312,2)</f>
        <v>3</v>
      </c>
      <c r="E6312" s="33" t="n">
        <f aca="false">HOUR(A6312)+MINUTE(A6312)/60</f>
        <v>22</v>
      </c>
      <c r="F6312" s="33" t="n">
        <f aca="false">IF(OR(D6312&gt;5,E6312&lt;8,E6312&gt;=18,COUNTIF($K$2:$K$10,INT(A6312))&gt;0),1,0)</f>
        <v>1</v>
      </c>
      <c r="G6312" s="34" t="n">
        <f aca="false">B6312/1</f>
        <v>132.783</v>
      </c>
      <c r="H6312" s="34" t="n">
        <f aca="false">IF(F6312=1,G6312,"")</f>
        <v>132.783</v>
      </c>
    </row>
    <row r="6313" customFormat="false" ht="15" hidden="false" customHeight="false" outlineLevel="0" collapsed="false">
      <c r="A6313" s="31" t="n">
        <v>42998.9583333333</v>
      </c>
      <c r="B6313" s="32" t="n">
        <v>70.645</v>
      </c>
      <c r="D6313" s="33" t="n">
        <f aca="false">WEEKDAY(A6313,2)</f>
        <v>3</v>
      </c>
      <c r="E6313" s="33" t="n">
        <f aca="false">HOUR(A6313)+MINUTE(A6313)/60</f>
        <v>23</v>
      </c>
      <c r="F6313" s="33" t="n">
        <f aca="false">IF(OR(D6313&gt;5,E6313&lt;8,E6313&gt;=18,COUNTIF($K$2:$K$10,INT(A6313))&gt;0),1,0)</f>
        <v>1</v>
      </c>
      <c r="G6313" s="34" t="n">
        <f aca="false">B6313/1</f>
        <v>70.645</v>
      </c>
      <c r="H6313" s="34" t="n">
        <f aca="false">IF(F6313=1,G6313,"")</f>
        <v>70.645</v>
      </c>
    </row>
    <row r="6314" customFormat="false" ht="15" hidden="false" customHeight="false" outlineLevel="0" collapsed="false">
      <c r="A6314" s="31" t="n">
        <v>42999</v>
      </c>
      <c r="B6314" s="32" t="n">
        <v>65.55</v>
      </c>
      <c r="D6314" s="33" t="n">
        <f aca="false">WEEKDAY(A6314,2)</f>
        <v>4</v>
      </c>
      <c r="E6314" s="33" t="n">
        <f aca="false">HOUR(A6314)+MINUTE(A6314)/60</f>
        <v>0</v>
      </c>
      <c r="F6314" s="33" t="n">
        <f aca="false">IF(OR(D6314&gt;5,E6314&lt;8,E6314&gt;=18,COUNTIF($K$2:$K$10,INT(A6314))&gt;0),1,0)</f>
        <v>1</v>
      </c>
      <c r="G6314" s="34" t="n">
        <f aca="false">B6314/1</f>
        <v>65.55</v>
      </c>
      <c r="H6314" s="34" t="n">
        <f aca="false">IF(F6314=1,G6314,"")</f>
        <v>65.55</v>
      </c>
    </row>
    <row r="6315" customFormat="false" ht="15" hidden="false" customHeight="false" outlineLevel="0" collapsed="false">
      <c r="A6315" s="31" t="n">
        <v>42999.0416666667</v>
      </c>
      <c r="B6315" s="32" t="n">
        <v>63.355</v>
      </c>
      <c r="D6315" s="33" t="n">
        <f aca="false">WEEKDAY(A6315,2)</f>
        <v>4</v>
      </c>
      <c r="E6315" s="33" t="n">
        <f aca="false">HOUR(A6315)+MINUTE(A6315)/60</f>
        <v>1</v>
      </c>
      <c r="F6315" s="33" t="n">
        <f aca="false">IF(OR(D6315&gt;5,E6315&lt;8,E6315&gt;=18,COUNTIF($K$2:$K$10,INT(A6315))&gt;0),1,0)</f>
        <v>1</v>
      </c>
      <c r="G6315" s="34" t="n">
        <f aca="false">B6315/1</f>
        <v>63.355</v>
      </c>
      <c r="H6315" s="34" t="n">
        <f aca="false">IF(F6315=1,G6315,"")</f>
        <v>63.355</v>
      </c>
    </row>
    <row r="6316" customFormat="false" ht="15" hidden="false" customHeight="false" outlineLevel="0" collapsed="false">
      <c r="A6316" s="31" t="n">
        <v>42999.0833333333</v>
      </c>
      <c r="B6316" s="32" t="n">
        <v>63.128</v>
      </c>
      <c r="D6316" s="33" t="n">
        <f aca="false">WEEKDAY(A6316,2)</f>
        <v>4</v>
      </c>
      <c r="E6316" s="33" t="n">
        <f aca="false">HOUR(A6316)+MINUTE(A6316)/60</f>
        <v>2</v>
      </c>
      <c r="F6316" s="33" t="n">
        <f aca="false">IF(OR(D6316&gt;5,E6316&lt;8,E6316&gt;=18,COUNTIF($K$2:$K$10,INT(A6316))&gt;0),1,0)</f>
        <v>1</v>
      </c>
      <c r="G6316" s="34" t="n">
        <f aca="false">B6316/1</f>
        <v>63.128</v>
      </c>
      <c r="H6316" s="34" t="n">
        <f aca="false">IF(F6316=1,G6316,"")</f>
        <v>63.128</v>
      </c>
    </row>
    <row r="6317" customFormat="false" ht="15" hidden="false" customHeight="false" outlineLevel="0" collapsed="false">
      <c r="A6317" s="31" t="n">
        <v>42999.125</v>
      </c>
      <c r="B6317" s="32" t="n">
        <v>63.567</v>
      </c>
      <c r="D6317" s="33" t="n">
        <f aca="false">WEEKDAY(A6317,2)</f>
        <v>4</v>
      </c>
      <c r="E6317" s="33" t="n">
        <f aca="false">HOUR(A6317)+MINUTE(A6317)/60</f>
        <v>3</v>
      </c>
      <c r="F6317" s="33" t="n">
        <f aca="false">IF(OR(D6317&gt;5,E6317&lt;8,E6317&gt;=18,COUNTIF($K$2:$K$10,INT(A6317))&gt;0),1,0)</f>
        <v>1</v>
      </c>
      <c r="G6317" s="34" t="n">
        <f aca="false">B6317/1</f>
        <v>63.567</v>
      </c>
      <c r="H6317" s="34" t="n">
        <f aca="false">IF(F6317=1,G6317,"")</f>
        <v>63.567</v>
      </c>
    </row>
    <row r="6318" customFormat="false" ht="15" hidden="false" customHeight="false" outlineLevel="0" collapsed="false">
      <c r="A6318" s="31" t="n">
        <v>42999.1666666667</v>
      </c>
      <c r="B6318" s="32" t="n">
        <v>63.736</v>
      </c>
      <c r="D6318" s="33" t="n">
        <f aca="false">WEEKDAY(A6318,2)</f>
        <v>4</v>
      </c>
      <c r="E6318" s="33" t="n">
        <f aca="false">HOUR(A6318)+MINUTE(A6318)/60</f>
        <v>4</v>
      </c>
      <c r="F6318" s="33" t="n">
        <f aca="false">IF(OR(D6318&gt;5,E6318&lt;8,E6318&gt;=18,COUNTIF($K$2:$K$10,INT(A6318))&gt;0),1,0)</f>
        <v>1</v>
      </c>
      <c r="G6318" s="34" t="n">
        <f aca="false">B6318/1</f>
        <v>63.736</v>
      </c>
      <c r="H6318" s="34" t="n">
        <f aca="false">IF(F6318=1,G6318,"")</f>
        <v>63.736</v>
      </c>
    </row>
    <row r="6319" customFormat="false" ht="15" hidden="false" customHeight="false" outlineLevel="0" collapsed="false">
      <c r="A6319" s="31" t="n">
        <v>42999.2083333333</v>
      </c>
      <c r="B6319" s="32" t="n">
        <v>63.639</v>
      </c>
      <c r="D6319" s="33" t="n">
        <f aca="false">WEEKDAY(A6319,2)</f>
        <v>4</v>
      </c>
      <c r="E6319" s="33" t="n">
        <f aca="false">HOUR(A6319)+MINUTE(A6319)/60</f>
        <v>5</v>
      </c>
      <c r="F6319" s="33" t="n">
        <f aca="false">IF(OR(D6319&gt;5,E6319&lt;8,E6319&gt;=18,COUNTIF($K$2:$K$10,INT(A6319))&gt;0),1,0)</f>
        <v>1</v>
      </c>
      <c r="G6319" s="34" t="n">
        <f aca="false">B6319/1</f>
        <v>63.639</v>
      </c>
      <c r="H6319" s="34" t="n">
        <f aca="false">IF(F6319=1,G6319,"")</f>
        <v>63.639</v>
      </c>
    </row>
    <row r="6320" customFormat="false" ht="15" hidden="false" customHeight="false" outlineLevel="0" collapsed="false">
      <c r="A6320" s="31" t="n">
        <v>42999.25</v>
      </c>
      <c r="B6320" s="32" t="n">
        <v>65.386</v>
      </c>
      <c r="D6320" s="33" t="n">
        <f aca="false">WEEKDAY(A6320,2)</f>
        <v>4</v>
      </c>
      <c r="E6320" s="33" t="n">
        <f aca="false">HOUR(A6320)+MINUTE(A6320)/60</f>
        <v>6</v>
      </c>
      <c r="F6320" s="33" t="n">
        <f aca="false">IF(OR(D6320&gt;5,E6320&lt;8,E6320&gt;=18,COUNTIF($K$2:$K$10,INT(A6320))&gt;0),1,0)</f>
        <v>1</v>
      </c>
      <c r="G6320" s="34" t="n">
        <f aca="false">B6320/1</f>
        <v>65.386</v>
      </c>
      <c r="H6320" s="34" t="n">
        <f aca="false">IF(F6320=1,G6320,"")</f>
        <v>65.386</v>
      </c>
    </row>
    <row r="6321" customFormat="false" ht="15" hidden="false" customHeight="false" outlineLevel="0" collapsed="false">
      <c r="A6321" s="31" t="n">
        <v>42999.2916666667</v>
      </c>
      <c r="B6321" s="32" t="n">
        <v>72.857</v>
      </c>
      <c r="D6321" s="33" t="n">
        <f aca="false">WEEKDAY(A6321,2)</f>
        <v>4</v>
      </c>
      <c r="E6321" s="33" t="n">
        <f aca="false">HOUR(A6321)+MINUTE(A6321)/60</f>
        <v>7</v>
      </c>
      <c r="F6321" s="33" t="n">
        <f aca="false">IF(OR(D6321&gt;5,E6321&lt;8,E6321&gt;=18,COUNTIF($K$2:$K$10,INT(A6321))&gt;0),1,0)</f>
        <v>1</v>
      </c>
      <c r="G6321" s="34" t="n">
        <f aca="false">B6321/1</f>
        <v>72.857</v>
      </c>
      <c r="H6321" s="34" t="n">
        <f aca="false">IF(F6321=1,G6321,"")</f>
        <v>72.857</v>
      </c>
    </row>
    <row r="6322" customFormat="false" ht="15" hidden="false" customHeight="false" outlineLevel="0" collapsed="false">
      <c r="A6322" s="31" t="n">
        <v>42999.3333333333</v>
      </c>
      <c r="B6322" s="32" t="n">
        <v>167.38</v>
      </c>
      <c r="D6322" s="33" t="n">
        <f aca="false">WEEKDAY(A6322,2)</f>
        <v>4</v>
      </c>
      <c r="E6322" s="33" t="n">
        <f aca="false">HOUR(A6322)+MINUTE(A6322)/60</f>
        <v>8</v>
      </c>
      <c r="F6322" s="33" t="n">
        <f aca="false">IF(OR(D6322&gt;5,E6322&lt;8,E6322&gt;=18,COUNTIF($K$2:$K$10,INT(A6322))&gt;0),1,0)</f>
        <v>0</v>
      </c>
      <c r="G6322" s="34" t="n">
        <f aca="false">B6322/1</f>
        <v>167.38</v>
      </c>
      <c r="H6322" s="34" t="str">
        <f aca="false">IF(F6322=1,G6322,"")</f>
        <v/>
      </c>
    </row>
    <row r="6323" customFormat="false" ht="15" hidden="false" customHeight="false" outlineLevel="0" collapsed="false">
      <c r="A6323" s="31" t="n">
        <v>42999.375</v>
      </c>
      <c r="B6323" s="32" t="n">
        <v>213.125</v>
      </c>
      <c r="D6323" s="33" t="n">
        <f aca="false">WEEKDAY(A6323,2)</f>
        <v>4</v>
      </c>
      <c r="E6323" s="33" t="n">
        <f aca="false">HOUR(A6323)+MINUTE(A6323)/60</f>
        <v>9</v>
      </c>
      <c r="F6323" s="33" t="n">
        <f aca="false">IF(OR(D6323&gt;5,E6323&lt;8,E6323&gt;=18,COUNTIF($K$2:$K$10,INT(A6323))&gt;0),1,0)</f>
        <v>0</v>
      </c>
      <c r="G6323" s="34" t="n">
        <f aca="false">B6323/1</f>
        <v>213.125</v>
      </c>
      <c r="H6323" s="34" t="str">
        <f aca="false">IF(F6323=1,G6323,"")</f>
        <v/>
      </c>
    </row>
    <row r="6324" customFormat="false" ht="15" hidden="false" customHeight="false" outlineLevel="0" collapsed="false">
      <c r="A6324" s="31" t="n">
        <v>42999.4166666667</v>
      </c>
      <c r="B6324" s="32" t="n">
        <v>232.375</v>
      </c>
      <c r="D6324" s="33" t="n">
        <f aca="false">WEEKDAY(A6324,2)</f>
        <v>4</v>
      </c>
      <c r="E6324" s="33" t="n">
        <f aca="false">HOUR(A6324)+MINUTE(A6324)/60</f>
        <v>10</v>
      </c>
      <c r="F6324" s="33" t="n">
        <f aca="false">IF(OR(D6324&gt;5,E6324&lt;8,E6324&gt;=18,COUNTIF($K$2:$K$10,INT(A6324))&gt;0),1,0)</f>
        <v>0</v>
      </c>
      <c r="G6324" s="34" t="n">
        <f aca="false">B6324/1</f>
        <v>232.375</v>
      </c>
      <c r="H6324" s="34" t="str">
        <f aca="false">IF(F6324=1,G6324,"")</f>
        <v/>
      </c>
    </row>
    <row r="6325" customFormat="false" ht="15" hidden="false" customHeight="false" outlineLevel="0" collapsed="false">
      <c r="A6325" s="31" t="n">
        <v>42999.4583333333</v>
      </c>
      <c r="B6325" s="32" t="n">
        <v>246.622</v>
      </c>
      <c r="D6325" s="33" t="n">
        <f aca="false">WEEKDAY(A6325,2)</f>
        <v>4</v>
      </c>
      <c r="E6325" s="33" t="n">
        <f aca="false">HOUR(A6325)+MINUTE(A6325)/60</f>
        <v>11</v>
      </c>
      <c r="F6325" s="33" t="n">
        <f aca="false">IF(OR(D6325&gt;5,E6325&lt;8,E6325&gt;=18,COUNTIF($K$2:$K$10,INT(A6325))&gt;0),1,0)</f>
        <v>0</v>
      </c>
      <c r="G6325" s="34" t="n">
        <f aca="false">B6325/1</f>
        <v>246.622</v>
      </c>
      <c r="H6325" s="34" t="str">
        <f aca="false">IF(F6325=1,G6325,"")</f>
        <v/>
      </c>
    </row>
    <row r="6326" customFormat="false" ht="15" hidden="false" customHeight="false" outlineLevel="0" collapsed="false">
      <c r="A6326" s="31" t="n">
        <v>42999.5</v>
      </c>
      <c r="B6326" s="32" t="n">
        <v>255.203</v>
      </c>
      <c r="D6326" s="33" t="n">
        <f aca="false">WEEKDAY(A6326,2)</f>
        <v>4</v>
      </c>
      <c r="E6326" s="33" t="n">
        <f aca="false">HOUR(A6326)+MINUTE(A6326)/60</f>
        <v>12</v>
      </c>
      <c r="F6326" s="33" t="n">
        <f aca="false">IF(OR(D6326&gt;5,E6326&lt;8,E6326&gt;=18,COUNTIF($K$2:$K$10,INT(A6326))&gt;0),1,0)</f>
        <v>0</v>
      </c>
      <c r="G6326" s="34" t="n">
        <f aca="false">B6326/1</f>
        <v>255.203</v>
      </c>
      <c r="H6326" s="34" t="str">
        <f aca="false">IF(F6326=1,G6326,"")</f>
        <v/>
      </c>
    </row>
    <row r="6327" customFormat="false" ht="15" hidden="false" customHeight="false" outlineLevel="0" collapsed="false">
      <c r="A6327" s="31" t="n">
        <v>42999.5416666667</v>
      </c>
      <c r="B6327" s="32" t="n">
        <v>248.664</v>
      </c>
      <c r="D6327" s="33" t="n">
        <f aca="false">WEEKDAY(A6327,2)</f>
        <v>4</v>
      </c>
      <c r="E6327" s="33" t="n">
        <f aca="false">HOUR(A6327)+MINUTE(A6327)/60</f>
        <v>13</v>
      </c>
      <c r="F6327" s="33" t="n">
        <f aca="false">IF(OR(D6327&gt;5,E6327&lt;8,E6327&gt;=18,COUNTIF($K$2:$K$10,INT(A6327))&gt;0),1,0)</f>
        <v>0</v>
      </c>
      <c r="G6327" s="34" t="n">
        <f aca="false">B6327/1</f>
        <v>248.664</v>
      </c>
      <c r="H6327" s="34" t="str">
        <f aca="false">IF(F6327=1,G6327,"")</f>
        <v/>
      </c>
    </row>
    <row r="6328" customFormat="false" ht="15" hidden="false" customHeight="false" outlineLevel="0" collapsed="false">
      <c r="A6328" s="31" t="n">
        <v>42999.5833333333</v>
      </c>
      <c r="B6328" s="32" t="n">
        <v>260.396</v>
      </c>
      <c r="D6328" s="33" t="n">
        <f aca="false">WEEKDAY(A6328,2)</f>
        <v>4</v>
      </c>
      <c r="E6328" s="33" t="n">
        <f aca="false">HOUR(A6328)+MINUTE(A6328)/60</f>
        <v>14</v>
      </c>
      <c r="F6328" s="33" t="n">
        <f aca="false">IF(OR(D6328&gt;5,E6328&lt;8,E6328&gt;=18,COUNTIF($K$2:$K$10,INT(A6328))&gt;0),1,0)</f>
        <v>0</v>
      </c>
      <c r="G6328" s="34" t="n">
        <f aca="false">B6328/1</f>
        <v>260.396</v>
      </c>
      <c r="H6328" s="34" t="str">
        <f aca="false">IF(F6328=1,G6328,"")</f>
        <v/>
      </c>
    </row>
    <row r="6329" customFormat="false" ht="15" hidden="false" customHeight="false" outlineLevel="0" collapsed="false">
      <c r="A6329" s="31" t="n">
        <v>42999.625</v>
      </c>
      <c r="B6329" s="32" t="n">
        <v>269.155</v>
      </c>
      <c r="D6329" s="33" t="n">
        <f aca="false">WEEKDAY(A6329,2)</f>
        <v>4</v>
      </c>
      <c r="E6329" s="33" t="n">
        <f aca="false">HOUR(A6329)+MINUTE(A6329)/60</f>
        <v>15</v>
      </c>
      <c r="F6329" s="33" t="n">
        <f aca="false">IF(OR(D6329&gt;5,E6329&lt;8,E6329&gt;=18,COUNTIF($K$2:$K$10,INT(A6329))&gt;0),1,0)</f>
        <v>0</v>
      </c>
      <c r="G6329" s="34" t="n">
        <f aca="false">B6329/1</f>
        <v>269.155</v>
      </c>
      <c r="H6329" s="34" t="str">
        <f aca="false">IF(F6329=1,G6329,"")</f>
        <v/>
      </c>
    </row>
    <row r="6330" customFormat="false" ht="15" hidden="false" customHeight="false" outlineLevel="0" collapsed="false">
      <c r="A6330" s="31" t="n">
        <v>42999.6666666667</v>
      </c>
      <c r="B6330" s="32" t="n">
        <v>279.638</v>
      </c>
      <c r="D6330" s="33" t="n">
        <f aca="false">WEEKDAY(A6330,2)</f>
        <v>4</v>
      </c>
      <c r="E6330" s="33" t="n">
        <f aca="false">HOUR(A6330)+MINUTE(A6330)/60</f>
        <v>16</v>
      </c>
      <c r="F6330" s="33" t="n">
        <f aca="false">IF(OR(D6330&gt;5,E6330&lt;8,E6330&gt;=18,COUNTIF($K$2:$K$10,INT(A6330))&gt;0),1,0)</f>
        <v>0</v>
      </c>
      <c r="G6330" s="34" t="n">
        <f aca="false">B6330/1</f>
        <v>279.638</v>
      </c>
      <c r="H6330" s="34" t="str">
        <f aca="false">IF(F6330=1,G6330,"")</f>
        <v/>
      </c>
    </row>
    <row r="6331" customFormat="false" ht="15" hidden="false" customHeight="false" outlineLevel="0" collapsed="false">
      <c r="A6331" s="31" t="n">
        <v>42999.7083333333</v>
      </c>
      <c r="B6331" s="32" t="n">
        <v>290.304</v>
      </c>
      <c r="D6331" s="33" t="n">
        <f aca="false">WEEKDAY(A6331,2)</f>
        <v>4</v>
      </c>
      <c r="E6331" s="33" t="n">
        <f aca="false">HOUR(A6331)+MINUTE(A6331)/60</f>
        <v>17</v>
      </c>
      <c r="F6331" s="33" t="n">
        <f aca="false">IF(OR(D6331&gt;5,E6331&lt;8,E6331&gt;=18,COUNTIF($K$2:$K$10,INT(A6331))&gt;0),1,0)</f>
        <v>0</v>
      </c>
      <c r="G6331" s="34" t="n">
        <f aca="false">B6331/1</f>
        <v>290.304</v>
      </c>
      <c r="H6331" s="34" t="str">
        <f aca="false">IF(F6331=1,G6331,"")</f>
        <v/>
      </c>
    </row>
    <row r="6332" customFormat="false" ht="15" hidden="false" customHeight="false" outlineLevel="0" collapsed="false">
      <c r="A6332" s="31" t="n">
        <v>42999.75</v>
      </c>
      <c r="B6332" s="32" t="n">
        <v>247.771</v>
      </c>
      <c r="D6332" s="33" t="n">
        <f aca="false">WEEKDAY(A6332,2)</f>
        <v>4</v>
      </c>
      <c r="E6332" s="33" t="n">
        <f aca="false">HOUR(A6332)+MINUTE(A6332)/60</f>
        <v>18</v>
      </c>
      <c r="F6332" s="33" t="n">
        <f aca="false">IF(OR(D6332&gt;5,E6332&lt;8,E6332&gt;=18,COUNTIF($K$2:$K$10,INT(A6332))&gt;0),1,0)</f>
        <v>1</v>
      </c>
      <c r="G6332" s="34" t="n">
        <f aca="false">B6332/1</f>
        <v>247.771</v>
      </c>
      <c r="H6332" s="34" t="n">
        <f aca="false">IF(F6332=1,G6332,"")</f>
        <v>247.771</v>
      </c>
    </row>
    <row r="6333" customFormat="false" ht="15" hidden="false" customHeight="false" outlineLevel="0" collapsed="false">
      <c r="A6333" s="31" t="n">
        <v>42999.7916666667</v>
      </c>
      <c r="B6333" s="32" t="n">
        <v>228.473</v>
      </c>
      <c r="D6333" s="33" t="n">
        <f aca="false">WEEKDAY(A6333,2)</f>
        <v>4</v>
      </c>
      <c r="E6333" s="33" t="n">
        <f aca="false">HOUR(A6333)+MINUTE(A6333)/60</f>
        <v>19</v>
      </c>
      <c r="F6333" s="33" t="n">
        <f aca="false">IF(OR(D6333&gt;5,E6333&lt;8,E6333&gt;=18,COUNTIF($K$2:$K$10,INT(A6333))&gt;0),1,0)</f>
        <v>1</v>
      </c>
      <c r="G6333" s="34" t="n">
        <f aca="false">B6333/1</f>
        <v>228.473</v>
      </c>
      <c r="H6333" s="34" t="n">
        <f aca="false">IF(F6333=1,G6333,"")</f>
        <v>228.473</v>
      </c>
    </row>
    <row r="6334" customFormat="false" ht="15" hidden="false" customHeight="false" outlineLevel="0" collapsed="false">
      <c r="A6334" s="31" t="n">
        <v>42999.8333333333</v>
      </c>
      <c r="B6334" s="32" t="n">
        <v>220.811</v>
      </c>
      <c r="D6334" s="33" t="n">
        <f aca="false">WEEKDAY(A6334,2)</f>
        <v>4</v>
      </c>
      <c r="E6334" s="33" t="n">
        <f aca="false">HOUR(A6334)+MINUTE(A6334)/60</f>
        <v>20</v>
      </c>
      <c r="F6334" s="33" t="n">
        <f aca="false">IF(OR(D6334&gt;5,E6334&lt;8,E6334&gt;=18,COUNTIF($K$2:$K$10,INT(A6334))&gt;0),1,0)</f>
        <v>1</v>
      </c>
      <c r="G6334" s="34" t="n">
        <f aca="false">B6334/1</f>
        <v>220.811</v>
      </c>
      <c r="H6334" s="34" t="n">
        <f aca="false">IF(F6334=1,G6334,"")</f>
        <v>220.811</v>
      </c>
    </row>
    <row r="6335" customFormat="false" ht="15" hidden="false" customHeight="false" outlineLevel="0" collapsed="false">
      <c r="A6335" s="31" t="n">
        <v>42999.875</v>
      </c>
      <c r="B6335" s="32" t="n">
        <v>214.082</v>
      </c>
      <c r="D6335" s="33" t="n">
        <f aca="false">WEEKDAY(A6335,2)</f>
        <v>4</v>
      </c>
      <c r="E6335" s="33" t="n">
        <f aca="false">HOUR(A6335)+MINUTE(A6335)/60</f>
        <v>21</v>
      </c>
      <c r="F6335" s="33" t="n">
        <f aca="false">IF(OR(D6335&gt;5,E6335&lt;8,E6335&gt;=18,COUNTIF($K$2:$K$10,INT(A6335))&gt;0),1,0)</f>
        <v>1</v>
      </c>
      <c r="G6335" s="34" t="n">
        <f aca="false">B6335/1</f>
        <v>214.082</v>
      </c>
      <c r="H6335" s="34" t="n">
        <f aca="false">IF(F6335=1,G6335,"")</f>
        <v>214.082</v>
      </c>
    </row>
    <row r="6336" customFormat="false" ht="15" hidden="false" customHeight="false" outlineLevel="0" collapsed="false">
      <c r="A6336" s="31" t="n">
        <v>42999.9166666667</v>
      </c>
      <c r="B6336" s="32" t="n">
        <v>203.627</v>
      </c>
      <c r="D6336" s="33" t="n">
        <f aca="false">WEEKDAY(A6336,2)</f>
        <v>4</v>
      </c>
      <c r="E6336" s="33" t="n">
        <f aca="false">HOUR(A6336)+MINUTE(A6336)/60</f>
        <v>22</v>
      </c>
      <c r="F6336" s="33" t="n">
        <f aca="false">IF(OR(D6336&gt;5,E6336&lt;8,E6336&gt;=18,COUNTIF($K$2:$K$10,INT(A6336))&gt;0),1,0)</f>
        <v>1</v>
      </c>
      <c r="G6336" s="34" t="n">
        <f aca="false">B6336/1</f>
        <v>203.627</v>
      </c>
      <c r="H6336" s="34" t="n">
        <f aca="false">IF(F6336=1,G6336,"")</f>
        <v>203.627</v>
      </c>
    </row>
    <row r="6337" customFormat="false" ht="15" hidden="false" customHeight="false" outlineLevel="0" collapsed="false">
      <c r="A6337" s="31" t="n">
        <v>42999.9583333333</v>
      </c>
      <c r="B6337" s="32" t="n">
        <v>197.659</v>
      </c>
      <c r="D6337" s="33" t="n">
        <f aca="false">WEEKDAY(A6337,2)</f>
        <v>4</v>
      </c>
      <c r="E6337" s="33" t="n">
        <f aca="false">HOUR(A6337)+MINUTE(A6337)/60</f>
        <v>23</v>
      </c>
      <c r="F6337" s="33" t="n">
        <f aca="false">IF(OR(D6337&gt;5,E6337&lt;8,E6337&gt;=18,COUNTIF($K$2:$K$10,INT(A6337))&gt;0),1,0)</f>
        <v>1</v>
      </c>
      <c r="G6337" s="34" t="n">
        <f aca="false">B6337/1</f>
        <v>197.659</v>
      </c>
      <c r="H6337" s="34" t="n">
        <f aca="false">IF(F6337=1,G6337,"")</f>
        <v>197.659</v>
      </c>
    </row>
    <row r="6338" customFormat="false" ht="15" hidden="false" customHeight="false" outlineLevel="0" collapsed="false">
      <c r="A6338" s="31" t="n">
        <v>43000</v>
      </c>
      <c r="B6338" s="32" t="n">
        <v>194.966</v>
      </c>
      <c r="D6338" s="33" t="n">
        <f aca="false">WEEKDAY(A6338,2)</f>
        <v>5</v>
      </c>
      <c r="E6338" s="33" t="n">
        <f aca="false">HOUR(A6338)+MINUTE(A6338)/60</f>
        <v>0</v>
      </c>
      <c r="F6338" s="33" t="n">
        <f aca="false">IF(OR(D6338&gt;5,E6338&lt;8,E6338&gt;=18,COUNTIF($K$2:$K$10,INT(A6338))&gt;0),1,0)</f>
        <v>1</v>
      </c>
      <c r="G6338" s="34" t="n">
        <f aca="false">B6338/1</f>
        <v>194.966</v>
      </c>
      <c r="H6338" s="34" t="n">
        <f aca="false">IF(F6338=1,G6338,"")</f>
        <v>194.966</v>
      </c>
    </row>
    <row r="6339" customFormat="false" ht="15" hidden="false" customHeight="false" outlineLevel="0" collapsed="false">
      <c r="A6339" s="31" t="n">
        <v>43000.0416666667</v>
      </c>
      <c r="B6339" s="32" t="n">
        <v>194.204</v>
      </c>
      <c r="D6339" s="33" t="n">
        <f aca="false">WEEKDAY(A6339,2)</f>
        <v>5</v>
      </c>
      <c r="E6339" s="33" t="n">
        <f aca="false">HOUR(A6339)+MINUTE(A6339)/60</f>
        <v>1</v>
      </c>
      <c r="F6339" s="33" t="n">
        <f aca="false">IF(OR(D6339&gt;5,E6339&lt;8,E6339&gt;=18,COUNTIF($K$2:$K$10,INT(A6339))&gt;0),1,0)</f>
        <v>1</v>
      </c>
      <c r="G6339" s="34" t="n">
        <f aca="false">B6339/1</f>
        <v>194.204</v>
      </c>
      <c r="H6339" s="34" t="n">
        <f aca="false">IF(F6339=1,G6339,"")</f>
        <v>194.204</v>
      </c>
    </row>
    <row r="6340" customFormat="false" ht="15" hidden="false" customHeight="false" outlineLevel="0" collapsed="false">
      <c r="A6340" s="31" t="n">
        <v>43000.0833333333</v>
      </c>
      <c r="B6340" s="32" t="n">
        <v>192.585</v>
      </c>
      <c r="D6340" s="33" t="n">
        <f aca="false">WEEKDAY(A6340,2)</f>
        <v>5</v>
      </c>
      <c r="E6340" s="33" t="n">
        <f aca="false">HOUR(A6340)+MINUTE(A6340)/60</f>
        <v>2</v>
      </c>
      <c r="F6340" s="33" t="n">
        <f aca="false">IF(OR(D6340&gt;5,E6340&lt;8,E6340&gt;=18,COUNTIF($K$2:$K$10,INT(A6340))&gt;0),1,0)</f>
        <v>1</v>
      </c>
      <c r="G6340" s="34" t="n">
        <f aca="false">B6340/1</f>
        <v>192.585</v>
      </c>
      <c r="H6340" s="34" t="n">
        <f aca="false">IF(F6340=1,G6340,"")</f>
        <v>192.585</v>
      </c>
    </row>
    <row r="6341" customFormat="false" ht="15" hidden="false" customHeight="false" outlineLevel="0" collapsed="false">
      <c r="A6341" s="31" t="n">
        <v>43000.125</v>
      </c>
      <c r="B6341" s="32" t="n">
        <v>193.013</v>
      </c>
      <c r="D6341" s="33" t="n">
        <f aca="false">WEEKDAY(A6341,2)</f>
        <v>5</v>
      </c>
      <c r="E6341" s="33" t="n">
        <f aca="false">HOUR(A6341)+MINUTE(A6341)/60</f>
        <v>3</v>
      </c>
      <c r="F6341" s="33" t="n">
        <f aca="false">IF(OR(D6341&gt;5,E6341&lt;8,E6341&gt;=18,COUNTIF($K$2:$K$10,INT(A6341))&gt;0),1,0)</f>
        <v>1</v>
      </c>
      <c r="G6341" s="34" t="n">
        <f aca="false">B6341/1</f>
        <v>193.013</v>
      </c>
      <c r="H6341" s="34" t="n">
        <f aca="false">IF(F6341=1,G6341,"")</f>
        <v>193.013</v>
      </c>
    </row>
    <row r="6342" customFormat="false" ht="15" hidden="false" customHeight="false" outlineLevel="0" collapsed="false">
      <c r="A6342" s="31" t="n">
        <v>43000.1666666667</v>
      </c>
      <c r="B6342" s="32" t="n">
        <v>193.184</v>
      </c>
      <c r="D6342" s="33" t="n">
        <f aca="false">WEEKDAY(A6342,2)</f>
        <v>5</v>
      </c>
      <c r="E6342" s="33" t="n">
        <f aca="false">HOUR(A6342)+MINUTE(A6342)/60</f>
        <v>4</v>
      </c>
      <c r="F6342" s="33" t="n">
        <f aca="false">IF(OR(D6342&gt;5,E6342&lt;8,E6342&gt;=18,COUNTIF($K$2:$K$10,INT(A6342))&gt;0),1,0)</f>
        <v>1</v>
      </c>
      <c r="G6342" s="34" t="n">
        <f aca="false">B6342/1</f>
        <v>193.184</v>
      </c>
      <c r="H6342" s="34" t="n">
        <f aca="false">IF(F6342=1,G6342,"")</f>
        <v>193.184</v>
      </c>
    </row>
    <row r="6343" customFormat="false" ht="15" hidden="false" customHeight="false" outlineLevel="0" collapsed="false">
      <c r="A6343" s="31" t="n">
        <v>43000.2083333333</v>
      </c>
      <c r="B6343" s="32" t="n">
        <v>192.586</v>
      </c>
      <c r="D6343" s="33" t="n">
        <f aca="false">WEEKDAY(A6343,2)</f>
        <v>5</v>
      </c>
      <c r="E6343" s="33" t="n">
        <f aca="false">HOUR(A6343)+MINUTE(A6343)/60</f>
        <v>5</v>
      </c>
      <c r="F6343" s="33" t="n">
        <f aca="false">IF(OR(D6343&gt;5,E6343&lt;8,E6343&gt;=18,COUNTIF($K$2:$K$10,INT(A6343))&gt;0),1,0)</f>
        <v>1</v>
      </c>
      <c r="G6343" s="34" t="n">
        <f aca="false">B6343/1</f>
        <v>192.586</v>
      </c>
      <c r="H6343" s="34" t="n">
        <f aca="false">IF(F6343=1,G6343,"")</f>
        <v>192.586</v>
      </c>
    </row>
    <row r="6344" customFormat="false" ht="15" hidden="false" customHeight="false" outlineLevel="0" collapsed="false">
      <c r="A6344" s="31" t="n">
        <v>43000.25</v>
      </c>
      <c r="B6344" s="32" t="n">
        <v>193.611</v>
      </c>
      <c r="D6344" s="33" t="n">
        <f aca="false">WEEKDAY(A6344,2)</f>
        <v>5</v>
      </c>
      <c r="E6344" s="33" t="n">
        <f aca="false">HOUR(A6344)+MINUTE(A6344)/60</f>
        <v>6</v>
      </c>
      <c r="F6344" s="33" t="n">
        <f aca="false">IF(OR(D6344&gt;5,E6344&lt;8,E6344&gt;=18,COUNTIF($K$2:$K$10,INT(A6344))&gt;0),1,0)</f>
        <v>1</v>
      </c>
      <c r="G6344" s="34" t="n">
        <f aca="false">B6344/1</f>
        <v>193.611</v>
      </c>
      <c r="H6344" s="34" t="n">
        <f aca="false">IF(F6344=1,G6344,"")</f>
        <v>193.611</v>
      </c>
    </row>
    <row r="6345" customFormat="false" ht="15" hidden="false" customHeight="false" outlineLevel="0" collapsed="false">
      <c r="A6345" s="31" t="n">
        <v>43000.2916666667</v>
      </c>
      <c r="B6345" s="32" t="n">
        <v>193.881</v>
      </c>
      <c r="D6345" s="33" t="n">
        <f aca="false">WEEKDAY(A6345,2)</f>
        <v>5</v>
      </c>
      <c r="E6345" s="33" t="n">
        <f aca="false">HOUR(A6345)+MINUTE(A6345)/60</f>
        <v>7</v>
      </c>
      <c r="F6345" s="33" t="n">
        <f aca="false">IF(OR(D6345&gt;5,E6345&lt;8,E6345&gt;=18,COUNTIF($K$2:$K$10,INT(A6345))&gt;0),1,0)</f>
        <v>1</v>
      </c>
      <c r="G6345" s="34" t="n">
        <f aca="false">B6345/1</f>
        <v>193.881</v>
      </c>
      <c r="H6345" s="34" t="n">
        <f aca="false">IF(F6345=1,G6345,"")</f>
        <v>193.881</v>
      </c>
    </row>
    <row r="6346" customFormat="false" ht="15" hidden="false" customHeight="false" outlineLevel="0" collapsed="false">
      <c r="A6346" s="31" t="n">
        <v>43000.3333333333</v>
      </c>
      <c r="B6346" s="32" t="n">
        <v>200.694</v>
      </c>
      <c r="D6346" s="33" t="n">
        <f aca="false">WEEKDAY(A6346,2)</f>
        <v>5</v>
      </c>
      <c r="E6346" s="33" t="n">
        <f aca="false">HOUR(A6346)+MINUTE(A6346)/60</f>
        <v>8</v>
      </c>
      <c r="F6346" s="33" t="n">
        <f aca="false">IF(OR(D6346&gt;5,E6346&lt;8,E6346&gt;=18,COUNTIF($K$2:$K$10,INT(A6346))&gt;0),1,0)</f>
        <v>0</v>
      </c>
      <c r="G6346" s="34" t="n">
        <f aca="false">B6346/1</f>
        <v>200.694</v>
      </c>
      <c r="H6346" s="34" t="str">
        <f aca="false">IF(F6346=1,G6346,"")</f>
        <v/>
      </c>
    </row>
    <row r="6347" customFormat="false" ht="15" hidden="false" customHeight="false" outlineLevel="0" collapsed="false">
      <c r="A6347" s="31" t="n">
        <v>43000.375</v>
      </c>
      <c r="B6347" s="32" t="n">
        <v>229.183</v>
      </c>
      <c r="D6347" s="33" t="n">
        <f aca="false">WEEKDAY(A6347,2)</f>
        <v>5</v>
      </c>
      <c r="E6347" s="33" t="n">
        <f aca="false">HOUR(A6347)+MINUTE(A6347)/60</f>
        <v>9</v>
      </c>
      <c r="F6347" s="33" t="n">
        <f aca="false">IF(OR(D6347&gt;5,E6347&lt;8,E6347&gt;=18,COUNTIF($K$2:$K$10,INT(A6347))&gt;0),1,0)</f>
        <v>0</v>
      </c>
      <c r="G6347" s="34" t="n">
        <f aca="false">B6347/1</f>
        <v>229.183</v>
      </c>
      <c r="H6347" s="34" t="str">
        <f aca="false">IF(F6347=1,G6347,"")</f>
        <v/>
      </c>
    </row>
    <row r="6348" customFormat="false" ht="15" hidden="false" customHeight="false" outlineLevel="0" collapsed="false">
      <c r="A6348" s="31" t="n">
        <v>43000.4166666667</v>
      </c>
      <c r="B6348" s="32" t="n">
        <v>272.267</v>
      </c>
      <c r="D6348" s="33" t="n">
        <f aca="false">WEEKDAY(A6348,2)</f>
        <v>5</v>
      </c>
      <c r="E6348" s="33" t="n">
        <f aca="false">HOUR(A6348)+MINUTE(A6348)/60</f>
        <v>10</v>
      </c>
      <c r="F6348" s="33" t="n">
        <f aca="false">IF(OR(D6348&gt;5,E6348&lt;8,E6348&gt;=18,COUNTIF($K$2:$K$10,INT(A6348))&gt;0),1,0)</f>
        <v>0</v>
      </c>
      <c r="G6348" s="34" t="n">
        <f aca="false">B6348/1</f>
        <v>272.267</v>
      </c>
      <c r="H6348" s="34" t="str">
        <f aca="false">IF(F6348=1,G6348,"")</f>
        <v/>
      </c>
    </row>
    <row r="6349" customFormat="false" ht="15" hidden="false" customHeight="false" outlineLevel="0" collapsed="false">
      <c r="A6349" s="31" t="n">
        <v>43000.4583333333</v>
      </c>
      <c r="B6349" s="32" t="n">
        <v>257.461</v>
      </c>
      <c r="D6349" s="33" t="n">
        <f aca="false">WEEKDAY(A6349,2)</f>
        <v>5</v>
      </c>
      <c r="E6349" s="33" t="n">
        <f aca="false">HOUR(A6349)+MINUTE(A6349)/60</f>
        <v>11</v>
      </c>
      <c r="F6349" s="33" t="n">
        <f aca="false">IF(OR(D6349&gt;5,E6349&lt;8,E6349&gt;=18,COUNTIF($K$2:$K$10,INT(A6349))&gt;0),1,0)</f>
        <v>0</v>
      </c>
      <c r="G6349" s="34" t="n">
        <f aca="false">B6349/1</f>
        <v>257.461</v>
      </c>
      <c r="H6349" s="34" t="str">
        <f aca="false">IF(F6349=1,G6349,"")</f>
        <v/>
      </c>
    </row>
    <row r="6350" customFormat="false" ht="15" hidden="false" customHeight="false" outlineLevel="0" collapsed="false">
      <c r="A6350" s="31" t="n">
        <v>43000.5</v>
      </c>
      <c r="B6350" s="32" t="n">
        <v>258.656</v>
      </c>
      <c r="D6350" s="33" t="n">
        <f aca="false">WEEKDAY(A6350,2)</f>
        <v>5</v>
      </c>
      <c r="E6350" s="33" t="n">
        <f aca="false">HOUR(A6350)+MINUTE(A6350)/60</f>
        <v>12</v>
      </c>
      <c r="F6350" s="33" t="n">
        <f aca="false">IF(OR(D6350&gt;5,E6350&lt;8,E6350&gt;=18,COUNTIF($K$2:$K$10,INT(A6350))&gt;0),1,0)</f>
        <v>0</v>
      </c>
      <c r="G6350" s="34" t="n">
        <f aca="false">B6350/1</f>
        <v>258.656</v>
      </c>
      <c r="H6350" s="34" t="str">
        <f aca="false">IF(F6350=1,G6350,"")</f>
        <v/>
      </c>
    </row>
    <row r="6351" customFormat="false" ht="15" hidden="false" customHeight="false" outlineLevel="0" collapsed="false">
      <c r="A6351" s="31" t="n">
        <v>43000.5416666667</v>
      </c>
      <c r="B6351" s="32" t="n">
        <v>263.218</v>
      </c>
      <c r="D6351" s="33" t="n">
        <f aca="false">WEEKDAY(A6351,2)</f>
        <v>5</v>
      </c>
      <c r="E6351" s="33" t="n">
        <f aca="false">HOUR(A6351)+MINUTE(A6351)/60</f>
        <v>13</v>
      </c>
      <c r="F6351" s="33" t="n">
        <f aca="false">IF(OR(D6351&gt;5,E6351&lt;8,E6351&gt;=18,COUNTIF($K$2:$K$10,INT(A6351))&gt;0),1,0)</f>
        <v>0</v>
      </c>
      <c r="G6351" s="34" t="n">
        <f aca="false">B6351/1</f>
        <v>263.218</v>
      </c>
      <c r="H6351" s="34" t="str">
        <f aca="false">IF(F6351=1,G6351,"")</f>
        <v/>
      </c>
    </row>
    <row r="6352" customFormat="false" ht="15" hidden="false" customHeight="false" outlineLevel="0" collapsed="false">
      <c r="A6352" s="31" t="n">
        <v>43000.5833333333</v>
      </c>
      <c r="B6352" s="32" t="n">
        <v>285.32</v>
      </c>
      <c r="D6352" s="33" t="n">
        <f aca="false">WEEKDAY(A6352,2)</f>
        <v>5</v>
      </c>
      <c r="E6352" s="33" t="n">
        <f aca="false">HOUR(A6352)+MINUTE(A6352)/60</f>
        <v>14</v>
      </c>
      <c r="F6352" s="33" t="n">
        <f aca="false">IF(OR(D6352&gt;5,E6352&lt;8,E6352&gt;=18,COUNTIF($K$2:$K$10,INT(A6352))&gt;0),1,0)</f>
        <v>0</v>
      </c>
      <c r="G6352" s="34" t="n">
        <f aca="false">B6352/1</f>
        <v>285.32</v>
      </c>
      <c r="H6352" s="34" t="str">
        <f aca="false">IF(F6352=1,G6352,"")</f>
        <v/>
      </c>
    </row>
    <row r="6353" customFormat="false" ht="15" hidden="false" customHeight="false" outlineLevel="0" collapsed="false">
      <c r="A6353" s="31" t="n">
        <v>43000.625</v>
      </c>
      <c r="B6353" s="32" t="n">
        <v>266.805</v>
      </c>
      <c r="D6353" s="33" t="n">
        <f aca="false">WEEKDAY(A6353,2)</f>
        <v>5</v>
      </c>
      <c r="E6353" s="33" t="n">
        <f aca="false">HOUR(A6353)+MINUTE(A6353)/60</f>
        <v>15</v>
      </c>
      <c r="F6353" s="33" t="n">
        <f aca="false">IF(OR(D6353&gt;5,E6353&lt;8,E6353&gt;=18,COUNTIF($K$2:$K$10,INT(A6353))&gt;0),1,0)</f>
        <v>0</v>
      </c>
      <c r="G6353" s="34" t="n">
        <f aca="false">B6353/1</f>
        <v>266.805</v>
      </c>
      <c r="H6353" s="34" t="str">
        <f aca="false">IF(F6353=1,G6353,"")</f>
        <v/>
      </c>
    </row>
    <row r="6354" customFormat="false" ht="15" hidden="false" customHeight="false" outlineLevel="0" collapsed="false">
      <c r="A6354" s="31" t="n">
        <v>43000.6666666667</v>
      </c>
      <c r="B6354" s="32" t="n">
        <v>249.855</v>
      </c>
      <c r="D6354" s="33" t="n">
        <f aca="false">WEEKDAY(A6354,2)</f>
        <v>5</v>
      </c>
      <c r="E6354" s="33" t="n">
        <f aca="false">HOUR(A6354)+MINUTE(A6354)/60</f>
        <v>16</v>
      </c>
      <c r="F6354" s="33" t="n">
        <f aca="false">IF(OR(D6354&gt;5,E6354&lt;8,E6354&gt;=18,COUNTIF($K$2:$K$10,INT(A6354))&gt;0),1,0)</f>
        <v>0</v>
      </c>
      <c r="G6354" s="34" t="n">
        <f aca="false">B6354/1</f>
        <v>249.855</v>
      </c>
      <c r="H6354" s="34" t="str">
        <f aca="false">IF(F6354=1,G6354,"")</f>
        <v/>
      </c>
    </row>
    <row r="6355" customFormat="false" ht="15" hidden="false" customHeight="false" outlineLevel="0" collapsed="false">
      <c r="A6355" s="31" t="n">
        <v>43000.7083333333</v>
      </c>
      <c r="B6355" s="32" t="n">
        <v>241.265</v>
      </c>
      <c r="D6355" s="33" t="n">
        <f aca="false">WEEKDAY(A6355,2)</f>
        <v>5</v>
      </c>
      <c r="E6355" s="33" t="n">
        <f aca="false">HOUR(A6355)+MINUTE(A6355)/60</f>
        <v>17</v>
      </c>
      <c r="F6355" s="33" t="n">
        <f aca="false">IF(OR(D6355&gt;5,E6355&lt;8,E6355&gt;=18,COUNTIF($K$2:$K$10,INT(A6355))&gt;0),1,0)</f>
        <v>0</v>
      </c>
      <c r="G6355" s="34" t="n">
        <f aca="false">B6355/1</f>
        <v>241.265</v>
      </c>
      <c r="H6355" s="34" t="str">
        <f aca="false">IF(F6355=1,G6355,"")</f>
        <v/>
      </c>
    </row>
    <row r="6356" customFormat="false" ht="15" hidden="false" customHeight="false" outlineLevel="0" collapsed="false">
      <c r="A6356" s="31" t="n">
        <v>43000.75</v>
      </c>
      <c r="B6356" s="32" t="n">
        <v>232.637</v>
      </c>
      <c r="D6356" s="33" t="n">
        <f aca="false">WEEKDAY(A6356,2)</f>
        <v>5</v>
      </c>
      <c r="E6356" s="33" t="n">
        <f aca="false">HOUR(A6356)+MINUTE(A6356)/60</f>
        <v>18</v>
      </c>
      <c r="F6356" s="33" t="n">
        <f aca="false">IF(OR(D6356&gt;5,E6356&lt;8,E6356&gt;=18,COUNTIF($K$2:$K$10,INT(A6356))&gt;0),1,0)</f>
        <v>1</v>
      </c>
      <c r="G6356" s="34" t="n">
        <f aca="false">B6356/1</f>
        <v>232.637</v>
      </c>
      <c r="H6356" s="34" t="n">
        <f aca="false">IF(F6356=1,G6356,"")</f>
        <v>232.637</v>
      </c>
    </row>
    <row r="6357" customFormat="false" ht="15" hidden="false" customHeight="false" outlineLevel="0" collapsed="false">
      <c r="A6357" s="31" t="n">
        <v>43000.7916666667</v>
      </c>
      <c r="B6357" s="32" t="n">
        <v>224.677</v>
      </c>
      <c r="D6357" s="33" t="n">
        <f aca="false">WEEKDAY(A6357,2)</f>
        <v>5</v>
      </c>
      <c r="E6357" s="33" t="n">
        <f aca="false">HOUR(A6357)+MINUTE(A6357)/60</f>
        <v>19</v>
      </c>
      <c r="F6357" s="33" t="n">
        <f aca="false">IF(OR(D6357&gt;5,E6357&lt;8,E6357&gt;=18,COUNTIF($K$2:$K$10,INT(A6357))&gt;0),1,0)</f>
        <v>1</v>
      </c>
      <c r="G6357" s="34" t="n">
        <f aca="false">B6357/1</f>
        <v>224.677</v>
      </c>
      <c r="H6357" s="34" t="n">
        <f aca="false">IF(F6357=1,G6357,"")</f>
        <v>224.677</v>
      </c>
    </row>
    <row r="6358" customFormat="false" ht="15" hidden="false" customHeight="false" outlineLevel="0" collapsed="false">
      <c r="A6358" s="31" t="n">
        <v>43000.8333333333</v>
      </c>
      <c r="B6358" s="32" t="n">
        <v>220.493</v>
      </c>
      <c r="D6358" s="33" t="n">
        <f aca="false">WEEKDAY(A6358,2)</f>
        <v>5</v>
      </c>
      <c r="E6358" s="33" t="n">
        <f aca="false">HOUR(A6358)+MINUTE(A6358)/60</f>
        <v>20</v>
      </c>
      <c r="F6358" s="33" t="n">
        <f aca="false">IF(OR(D6358&gt;5,E6358&lt;8,E6358&gt;=18,COUNTIF($K$2:$K$10,INT(A6358))&gt;0),1,0)</f>
        <v>1</v>
      </c>
      <c r="G6358" s="34" t="n">
        <f aca="false">B6358/1</f>
        <v>220.493</v>
      </c>
      <c r="H6358" s="34" t="n">
        <f aca="false">IF(F6358=1,G6358,"")</f>
        <v>220.493</v>
      </c>
    </row>
    <row r="6359" customFormat="false" ht="15" hidden="false" customHeight="false" outlineLevel="0" collapsed="false">
      <c r="A6359" s="31" t="n">
        <v>43000.875</v>
      </c>
      <c r="B6359" s="32" t="n">
        <v>213.935</v>
      </c>
      <c r="D6359" s="33" t="n">
        <f aca="false">WEEKDAY(A6359,2)</f>
        <v>5</v>
      </c>
      <c r="E6359" s="33" t="n">
        <f aca="false">HOUR(A6359)+MINUTE(A6359)/60</f>
        <v>21</v>
      </c>
      <c r="F6359" s="33" t="n">
        <f aca="false">IF(OR(D6359&gt;5,E6359&lt;8,E6359&gt;=18,COUNTIF($K$2:$K$10,INT(A6359))&gt;0),1,0)</f>
        <v>1</v>
      </c>
      <c r="G6359" s="34" t="n">
        <f aca="false">B6359/1</f>
        <v>213.935</v>
      </c>
      <c r="H6359" s="34" t="n">
        <f aca="false">IF(F6359=1,G6359,"")</f>
        <v>213.935</v>
      </c>
    </row>
    <row r="6360" customFormat="false" ht="15" hidden="false" customHeight="false" outlineLevel="0" collapsed="false">
      <c r="A6360" s="31" t="n">
        <v>43000.9166666667</v>
      </c>
      <c r="B6360" s="32" t="n">
        <v>211.134</v>
      </c>
      <c r="D6360" s="33" t="n">
        <f aca="false">WEEKDAY(A6360,2)</f>
        <v>5</v>
      </c>
      <c r="E6360" s="33" t="n">
        <f aca="false">HOUR(A6360)+MINUTE(A6360)/60</f>
        <v>22</v>
      </c>
      <c r="F6360" s="33" t="n">
        <f aca="false">IF(OR(D6360&gt;5,E6360&lt;8,E6360&gt;=18,COUNTIF($K$2:$K$10,INT(A6360))&gt;0),1,0)</f>
        <v>1</v>
      </c>
      <c r="G6360" s="34" t="n">
        <f aca="false">B6360/1</f>
        <v>211.134</v>
      </c>
      <c r="H6360" s="34" t="n">
        <f aca="false">IF(F6360=1,G6360,"")</f>
        <v>211.134</v>
      </c>
    </row>
    <row r="6361" customFormat="false" ht="15" hidden="false" customHeight="false" outlineLevel="0" collapsed="false">
      <c r="A6361" s="31" t="n">
        <v>43000.9583333333</v>
      </c>
      <c r="B6361" s="32" t="n">
        <v>203.702</v>
      </c>
      <c r="D6361" s="33" t="n">
        <f aca="false">WEEKDAY(A6361,2)</f>
        <v>5</v>
      </c>
      <c r="E6361" s="33" t="n">
        <f aca="false">HOUR(A6361)+MINUTE(A6361)/60</f>
        <v>23</v>
      </c>
      <c r="F6361" s="33" t="n">
        <f aca="false">IF(OR(D6361&gt;5,E6361&lt;8,E6361&gt;=18,COUNTIF($K$2:$K$10,INT(A6361))&gt;0),1,0)</f>
        <v>1</v>
      </c>
      <c r="G6361" s="34" t="n">
        <f aca="false">B6361/1</f>
        <v>203.702</v>
      </c>
      <c r="H6361" s="34" t="n">
        <f aca="false">IF(F6361=1,G6361,"")</f>
        <v>203.702</v>
      </c>
    </row>
    <row r="6362" customFormat="false" ht="15" hidden="false" customHeight="false" outlineLevel="0" collapsed="false">
      <c r="A6362" s="31" t="n">
        <v>43001</v>
      </c>
      <c r="B6362" s="32" t="n">
        <v>199.687</v>
      </c>
      <c r="D6362" s="33" t="n">
        <f aca="false">WEEKDAY(A6362,2)</f>
        <v>6</v>
      </c>
      <c r="E6362" s="33" t="n">
        <f aca="false">HOUR(A6362)+MINUTE(A6362)/60</f>
        <v>0</v>
      </c>
      <c r="F6362" s="33" t="n">
        <f aca="false">IF(OR(D6362&gt;5,E6362&lt;8,E6362&gt;=18,COUNTIF($K$2:$K$10,INT(A6362))&gt;0),1,0)</f>
        <v>1</v>
      </c>
      <c r="G6362" s="34" t="n">
        <f aca="false">B6362/1</f>
        <v>199.687</v>
      </c>
      <c r="H6362" s="34" t="n">
        <f aca="false">IF(F6362=1,G6362,"")</f>
        <v>199.687</v>
      </c>
    </row>
    <row r="6363" customFormat="false" ht="15" hidden="false" customHeight="false" outlineLevel="0" collapsed="false">
      <c r="A6363" s="31" t="n">
        <v>43001.0416666667</v>
      </c>
      <c r="B6363" s="32" t="n">
        <v>197.669</v>
      </c>
      <c r="D6363" s="33" t="n">
        <f aca="false">WEEKDAY(A6363,2)</f>
        <v>6</v>
      </c>
      <c r="E6363" s="33" t="n">
        <f aca="false">HOUR(A6363)+MINUTE(A6363)/60</f>
        <v>1</v>
      </c>
      <c r="F6363" s="33" t="n">
        <f aca="false">IF(OR(D6363&gt;5,E6363&lt;8,E6363&gt;=18,COUNTIF($K$2:$K$10,INT(A6363))&gt;0),1,0)</f>
        <v>1</v>
      </c>
      <c r="G6363" s="34" t="n">
        <f aca="false">B6363/1</f>
        <v>197.669</v>
      </c>
      <c r="H6363" s="34" t="n">
        <f aca="false">IF(F6363=1,G6363,"")</f>
        <v>197.669</v>
      </c>
    </row>
    <row r="6364" customFormat="false" ht="15" hidden="false" customHeight="false" outlineLevel="0" collapsed="false">
      <c r="A6364" s="31" t="n">
        <v>43001.0833333333</v>
      </c>
      <c r="B6364" s="32" t="n">
        <v>197.704</v>
      </c>
      <c r="D6364" s="33" t="n">
        <f aca="false">WEEKDAY(A6364,2)</f>
        <v>6</v>
      </c>
      <c r="E6364" s="33" t="n">
        <f aca="false">HOUR(A6364)+MINUTE(A6364)/60</f>
        <v>2</v>
      </c>
      <c r="F6364" s="33" t="n">
        <f aca="false">IF(OR(D6364&gt;5,E6364&lt;8,E6364&gt;=18,COUNTIF($K$2:$K$10,INT(A6364))&gt;0),1,0)</f>
        <v>1</v>
      </c>
      <c r="G6364" s="34" t="n">
        <f aca="false">B6364/1</f>
        <v>197.704</v>
      </c>
      <c r="H6364" s="34" t="n">
        <f aca="false">IF(F6364=1,G6364,"")</f>
        <v>197.704</v>
      </c>
    </row>
    <row r="6365" customFormat="false" ht="15" hidden="false" customHeight="false" outlineLevel="0" collapsed="false">
      <c r="A6365" s="31" t="n">
        <v>43001.125</v>
      </c>
      <c r="B6365" s="32" t="n">
        <v>198.258</v>
      </c>
      <c r="D6365" s="33" t="n">
        <f aca="false">WEEKDAY(A6365,2)</f>
        <v>6</v>
      </c>
      <c r="E6365" s="33" t="n">
        <f aca="false">HOUR(A6365)+MINUTE(A6365)/60</f>
        <v>3</v>
      </c>
      <c r="F6365" s="33" t="n">
        <f aca="false">IF(OR(D6365&gt;5,E6365&lt;8,E6365&gt;=18,COUNTIF($K$2:$K$10,INT(A6365))&gt;0),1,0)</f>
        <v>1</v>
      </c>
      <c r="G6365" s="34" t="n">
        <f aca="false">B6365/1</f>
        <v>198.258</v>
      </c>
      <c r="H6365" s="34" t="n">
        <f aca="false">IF(F6365=1,G6365,"")</f>
        <v>198.258</v>
      </c>
    </row>
    <row r="6366" customFormat="false" ht="15" hidden="false" customHeight="false" outlineLevel="0" collapsed="false">
      <c r="A6366" s="31" t="n">
        <v>43001.1666666667</v>
      </c>
      <c r="B6366" s="32" t="n">
        <v>198.051</v>
      </c>
      <c r="D6366" s="33" t="n">
        <f aca="false">WEEKDAY(A6366,2)</f>
        <v>6</v>
      </c>
      <c r="E6366" s="33" t="n">
        <f aca="false">HOUR(A6366)+MINUTE(A6366)/60</f>
        <v>4</v>
      </c>
      <c r="F6366" s="33" t="n">
        <f aca="false">IF(OR(D6366&gt;5,E6366&lt;8,E6366&gt;=18,COUNTIF($K$2:$K$10,INT(A6366))&gt;0),1,0)</f>
        <v>1</v>
      </c>
      <c r="G6366" s="34" t="n">
        <f aca="false">B6366/1</f>
        <v>198.051</v>
      </c>
      <c r="H6366" s="34" t="n">
        <f aca="false">IF(F6366=1,G6366,"")</f>
        <v>198.051</v>
      </c>
    </row>
    <row r="6367" customFormat="false" ht="15" hidden="false" customHeight="false" outlineLevel="0" collapsed="false">
      <c r="A6367" s="31" t="n">
        <v>43001.2083333333</v>
      </c>
      <c r="B6367" s="32" t="n">
        <v>197.774</v>
      </c>
      <c r="D6367" s="33" t="n">
        <f aca="false">WEEKDAY(A6367,2)</f>
        <v>6</v>
      </c>
      <c r="E6367" s="33" t="n">
        <f aca="false">HOUR(A6367)+MINUTE(A6367)/60</f>
        <v>5</v>
      </c>
      <c r="F6367" s="33" t="n">
        <f aca="false">IF(OR(D6367&gt;5,E6367&lt;8,E6367&gt;=18,COUNTIF($K$2:$K$10,INT(A6367))&gt;0),1,0)</f>
        <v>1</v>
      </c>
      <c r="G6367" s="34" t="n">
        <f aca="false">B6367/1</f>
        <v>197.774</v>
      </c>
      <c r="H6367" s="34" t="n">
        <f aca="false">IF(F6367=1,G6367,"")</f>
        <v>197.774</v>
      </c>
    </row>
    <row r="6368" customFormat="false" ht="15" hidden="false" customHeight="false" outlineLevel="0" collapsed="false">
      <c r="A6368" s="31" t="n">
        <v>43001.25</v>
      </c>
      <c r="B6368" s="32" t="n">
        <v>197.486</v>
      </c>
      <c r="D6368" s="33" t="n">
        <f aca="false">WEEKDAY(A6368,2)</f>
        <v>6</v>
      </c>
      <c r="E6368" s="33" t="n">
        <f aca="false">HOUR(A6368)+MINUTE(A6368)/60</f>
        <v>6</v>
      </c>
      <c r="F6368" s="33" t="n">
        <f aca="false">IF(OR(D6368&gt;5,E6368&lt;8,E6368&gt;=18,COUNTIF($K$2:$K$10,INT(A6368))&gt;0),1,0)</f>
        <v>1</v>
      </c>
      <c r="G6368" s="34" t="n">
        <f aca="false">B6368/1</f>
        <v>197.486</v>
      </c>
      <c r="H6368" s="34" t="n">
        <f aca="false">IF(F6368=1,G6368,"")</f>
        <v>197.486</v>
      </c>
    </row>
    <row r="6369" customFormat="false" ht="15" hidden="false" customHeight="false" outlineLevel="0" collapsed="false">
      <c r="A6369" s="31" t="n">
        <v>43001.2916666667</v>
      </c>
      <c r="B6369" s="32" t="n">
        <v>198.133</v>
      </c>
      <c r="D6369" s="33" t="n">
        <f aca="false">WEEKDAY(A6369,2)</f>
        <v>6</v>
      </c>
      <c r="E6369" s="33" t="n">
        <f aca="false">HOUR(A6369)+MINUTE(A6369)/60</f>
        <v>7</v>
      </c>
      <c r="F6369" s="33" t="n">
        <f aca="false">IF(OR(D6369&gt;5,E6369&lt;8,E6369&gt;=18,COUNTIF($K$2:$K$10,INT(A6369))&gt;0),1,0)</f>
        <v>1</v>
      </c>
      <c r="G6369" s="34" t="n">
        <f aca="false">B6369/1</f>
        <v>198.133</v>
      </c>
      <c r="H6369" s="34" t="n">
        <f aca="false">IF(F6369=1,G6369,"")</f>
        <v>198.133</v>
      </c>
    </row>
    <row r="6370" customFormat="false" ht="15" hidden="false" customHeight="false" outlineLevel="0" collapsed="false">
      <c r="A6370" s="31" t="n">
        <v>43001.3333333333</v>
      </c>
      <c r="B6370" s="32" t="n">
        <v>194.733</v>
      </c>
      <c r="D6370" s="33" t="n">
        <f aca="false">WEEKDAY(A6370,2)</f>
        <v>6</v>
      </c>
      <c r="E6370" s="33" t="n">
        <f aca="false">HOUR(A6370)+MINUTE(A6370)/60</f>
        <v>8</v>
      </c>
      <c r="F6370" s="33" t="n">
        <f aca="false">IF(OR(D6370&gt;5,E6370&lt;8,E6370&gt;=18,COUNTIF($K$2:$K$10,INT(A6370))&gt;0),1,0)</f>
        <v>1</v>
      </c>
      <c r="G6370" s="34" t="n">
        <f aca="false">B6370/1</f>
        <v>194.733</v>
      </c>
      <c r="H6370" s="34" t="n">
        <f aca="false">IF(F6370=1,G6370,"")</f>
        <v>194.733</v>
      </c>
    </row>
    <row r="6371" customFormat="false" ht="15" hidden="false" customHeight="false" outlineLevel="0" collapsed="false">
      <c r="A6371" s="31" t="n">
        <v>43001.375</v>
      </c>
      <c r="B6371" s="32" t="n">
        <v>194.481</v>
      </c>
      <c r="D6371" s="33" t="n">
        <f aca="false">WEEKDAY(A6371,2)</f>
        <v>6</v>
      </c>
      <c r="E6371" s="33" t="n">
        <f aca="false">HOUR(A6371)+MINUTE(A6371)/60</f>
        <v>9</v>
      </c>
      <c r="F6371" s="33" t="n">
        <f aca="false">IF(OR(D6371&gt;5,E6371&lt;8,E6371&gt;=18,COUNTIF($K$2:$K$10,INT(A6371))&gt;0),1,0)</f>
        <v>1</v>
      </c>
      <c r="G6371" s="34" t="n">
        <f aca="false">B6371/1</f>
        <v>194.481</v>
      </c>
      <c r="H6371" s="34" t="n">
        <f aca="false">IF(F6371=1,G6371,"")</f>
        <v>194.481</v>
      </c>
    </row>
    <row r="6372" customFormat="false" ht="15" hidden="false" customHeight="false" outlineLevel="0" collapsed="false">
      <c r="A6372" s="31" t="n">
        <v>43001.4166666667</v>
      </c>
      <c r="B6372" s="32" t="n">
        <v>196.956</v>
      </c>
      <c r="D6372" s="33" t="n">
        <f aca="false">WEEKDAY(A6372,2)</f>
        <v>6</v>
      </c>
      <c r="E6372" s="33" t="n">
        <f aca="false">HOUR(A6372)+MINUTE(A6372)/60</f>
        <v>10</v>
      </c>
      <c r="F6372" s="33" t="n">
        <f aca="false">IF(OR(D6372&gt;5,E6372&lt;8,E6372&gt;=18,COUNTIF($K$2:$K$10,INT(A6372))&gt;0),1,0)</f>
        <v>1</v>
      </c>
      <c r="G6372" s="34" t="n">
        <f aca="false">B6372/1</f>
        <v>196.956</v>
      </c>
      <c r="H6372" s="34" t="n">
        <f aca="false">IF(F6372=1,G6372,"")</f>
        <v>196.956</v>
      </c>
    </row>
    <row r="6373" customFormat="false" ht="15" hidden="false" customHeight="false" outlineLevel="0" collapsed="false">
      <c r="A6373" s="31" t="n">
        <v>43001.4583333333</v>
      </c>
      <c r="B6373" s="32" t="n">
        <v>200.386</v>
      </c>
      <c r="D6373" s="33" t="n">
        <f aca="false">WEEKDAY(A6373,2)</f>
        <v>6</v>
      </c>
      <c r="E6373" s="33" t="n">
        <f aca="false">HOUR(A6373)+MINUTE(A6373)/60</f>
        <v>11</v>
      </c>
      <c r="F6373" s="33" t="n">
        <f aca="false">IF(OR(D6373&gt;5,E6373&lt;8,E6373&gt;=18,COUNTIF($K$2:$K$10,INT(A6373))&gt;0),1,0)</f>
        <v>1</v>
      </c>
      <c r="G6373" s="34" t="n">
        <f aca="false">B6373/1</f>
        <v>200.386</v>
      </c>
      <c r="H6373" s="34" t="n">
        <f aca="false">IF(F6373=1,G6373,"")</f>
        <v>200.386</v>
      </c>
    </row>
    <row r="6374" customFormat="false" ht="15" hidden="false" customHeight="false" outlineLevel="0" collapsed="false">
      <c r="A6374" s="31" t="n">
        <v>43001.5</v>
      </c>
      <c r="B6374" s="32" t="n">
        <v>203.068</v>
      </c>
      <c r="D6374" s="33" t="n">
        <f aca="false">WEEKDAY(A6374,2)</f>
        <v>6</v>
      </c>
      <c r="E6374" s="33" t="n">
        <f aca="false">HOUR(A6374)+MINUTE(A6374)/60</f>
        <v>12</v>
      </c>
      <c r="F6374" s="33" t="n">
        <f aca="false">IF(OR(D6374&gt;5,E6374&lt;8,E6374&gt;=18,COUNTIF($K$2:$K$10,INT(A6374))&gt;0),1,0)</f>
        <v>1</v>
      </c>
      <c r="G6374" s="34" t="n">
        <f aca="false">B6374/1</f>
        <v>203.068</v>
      </c>
      <c r="H6374" s="34" t="n">
        <f aca="false">IF(F6374=1,G6374,"")</f>
        <v>203.068</v>
      </c>
    </row>
    <row r="6375" customFormat="false" ht="15" hidden="false" customHeight="false" outlineLevel="0" collapsed="false">
      <c r="A6375" s="31" t="n">
        <v>43001.5416666667</v>
      </c>
      <c r="B6375" s="32" t="n">
        <v>203.992</v>
      </c>
      <c r="D6375" s="33" t="n">
        <f aca="false">WEEKDAY(A6375,2)</f>
        <v>6</v>
      </c>
      <c r="E6375" s="33" t="n">
        <f aca="false">HOUR(A6375)+MINUTE(A6375)/60</f>
        <v>13</v>
      </c>
      <c r="F6375" s="33" t="n">
        <f aca="false">IF(OR(D6375&gt;5,E6375&lt;8,E6375&gt;=18,COUNTIF($K$2:$K$10,INT(A6375))&gt;0),1,0)</f>
        <v>1</v>
      </c>
      <c r="G6375" s="34" t="n">
        <f aca="false">B6375/1</f>
        <v>203.992</v>
      </c>
      <c r="H6375" s="34" t="n">
        <f aca="false">IF(F6375=1,G6375,"")</f>
        <v>203.992</v>
      </c>
    </row>
    <row r="6376" customFormat="false" ht="15" hidden="false" customHeight="false" outlineLevel="0" collapsed="false">
      <c r="A6376" s="31" t="n">
        <v>43001.5833333333</v>
      </c>
      <c r="B6376" s="32" t="n">
        <v>205.677</v>
      </c>
      <c r="D6376" s="33" t="n">
        <f aca="false">WEEKDAY(A6376,2)</f>
        <v>6</v>
      </c>
      <c r="E6376" s="33" t="n">
        <f aca="false">HOUR(A6376)+MINUTE(A6376)/60</f>
        <v>14</v>
      </c>
      <c r="F6376" s="33" t="n">
        <f aca="false">IF(OR(D6376&gt;5,E6376&lt;8,E6376&gt;=18,COUNTIF($K$2:$K$10,INT(A6376))&gt;0),1,0)</f>
        <v>1</v>
      </c>
      <c r="G6376" s="34" t="n">
        <f aca="false">B6376/1</f>
        <v>205.677</v>
      </c>
      <c r="H6376" s="34" t="n">
        <f aca="false">IF(F6376=1,G6376,"")</f>
        <v>205.677</v>
      </c>
    </row>
    <row r="6377" customFormat="false" ht="15" hidden="false" customHeight="false" outlineLevel="0" collapsed="false">
      <c r="A6377" s="31" t="n">
        <v>43001.625</v>
      </c>
      <c r="B6377" s="32" t="n">
        <v>207.051</v>
      </c>
      <c r="D6377" s="33" t="n">
        <f aca="false">WEEKDAY(A6377,2)</f>
        <v>6</v>
      </c>
      <c r="E6377" s="33" t="n">
        <f aca="false">HOUR(A6377)+MINUTE(A6377)/60</f>
        <v>15</v>
      </c>
      <c r="F6377" s="33" t="n">
        <f aca="false">IF(OR(D6377&gt;5,E6377&lt;8,E6377&gt;=18,COUNTIF($K$2:$K$10,INT(A6377))&gt;0),1,0)</f>
        <v>1</v>
      </c>
      <c r="G6377" s="34" t="n">
        <f aca="false">B6377/1</f>
        <v>207.051</v>
      </c>
      <c r="H6377" s="34" t="n">
        <f aca="false">IF(F6377=1,G6377,"")</f>
        <v>207.051</v>
      </c>
    </row>
    <row r="6378" customFormat="false" ht="15" hidden="false" customHeight="false" outlineLevel="0" collapsed="false">
      <c r="A6378" s="31" t="n">
        <v>43001.6666666667</v>
      </c>
      <c r="B6378" s="32" t="n">
        <v>206.017</v>
      </c>
      <c r="D6378" s="33" t="n">
        <f aca="false">WEEKDAY(A6378,2)</f>
        <v>6</v>
      </c>
      <c r="E6378" s="33" t="n">
        <f aca="false">HOUR(A6378)+MINUTE(A6378)/60</f>
        <v>16</v>
      </c>
      <c r="F6378" s="33" t="n">
        <f aca="false">IF(OR(D6378&gt;5,E6378&lt;8,E6378&gt;=18,COUNTIF($K$2:$K$10,INT(A6378))&gt;0),1,0)</f>
        <v>1</v>
      </c>
      <c r="G6378" s="34" t="n">
        <f aca="false">B6378/1</f>
        <v>206.017</v>
      </c>
      <c r="H6378" s="34" t="n">
        <f aca="false">IF(F6378=1,G6378,"")</f>
        <v>206.017</v>
      </c>
    </row>
    <row r="6379" customFormat="false" ht="15" hidden="false" customHeight="false" outlineLevel="0" collapsed="false">
      <c r="A6379" s="31" t="n">
        <v>43001.7083333333</v>
      </c>
      <c r="B6379" s="32" t="n">
        <v>204.716</v>
      </c>
      <c r="D6379" s="33" t="n">
        <f aca="false">WEEKDAY(A6379,2)</f>
        <v>6</v>
      </c>
      <c r="E6379" s="33" t="n">
        <f aca="false">HOUR(A6379)+MINUTE(A6379)/60</f>
        <v>17</v>
      </c>
      <c r="F6379" s="33" t="n">
        <f aca="false">IF(OR(D6379&gt;5,E6379&lt;8,E6379&gt;=18,COUNTIF($K$2:$K$10,INT(A6379))&gt;0),1,0)</f>
        <v>1</v>
      </c>
      <c r="G6379" s="34" t="n">
        <f aca="false">B6379/1</f>
        <v>204.716</v>
      </c>
      <c r="H6379" s="34" t="n">
        <f aca="false">IF(F6379=1,G6379,"")</f>
        <v>204.716</v>
      </c>
    </row>
    <row r="6380" customFormat="false" ht="15" hidden="false" customHeight="false" outlineLevel="0" collapsed="false">
      <c r="A6380" s="31" t="n">
        <v>43001.75</v>
      </c>
      <c r="B6380" s="32" t="n">
        <v>200.589</v>
      </c>
      <c r="D6380" s="33" t="n">
        <f aca="false">WEEKDAY(A6380,2)</f>
        <v>6</v>
      </c>
      <c r="E6380" s="33" t="n">
        <f aca="false">HOUR(A6380)+MINUTE(A6380)/60</f>
        <v>18</v>
      </c>
      <c r="F6380" s="33" t="n">
        <f aca="false">IF(OR(D6380&gt;5,E6380&lt;8,E6380&gt;=18,COUNTIF($K$2:$K$10,INT(A6380))&gt;0),1,0)</f>
        <v>1</v>
      </c>
      <c r="G6380" s="34" t="n">
        <f aca="false">B6380/1</f>
        <v>200.589</v>
      </c>
      <c r="H6380" s="34" t="n">
        <f aca="false">IF(F6380=1,G6380,"")</f>
        <v>200.589</v>
      </c>
    </row>
    <row r="6381" customFormat="false" ht="15" hidden="false" customHeight="false" outlineLevel="0" collapsed="false">
      <c r="A6381" s="31" t="n">
        <v>43001.7916666667</v>
      </c>
      <c r="B6381" s="32" t="n">
        <v>200.422</v>
      </c>
      <c r="D6381" s="33" t="n">
        <f aca="false">WEEKDAY(A6381,2)</f>
        <v>6</v>
      </c>
      <c r="E6381" s="33" t="n">
        <f aca="false">HOUR(A6381)+MINUTE(A6381)/60</f>
        <v>19</v>
      </c>
      <c r="F6381" s="33" t="n">
        <f aca="false">IF(OR(D6381&gt;5,E6381&lt;8,E6381&gt;=18,COUNTIF($K$2:$K$10,INT(A6381))&gt;0),1,0)</f>
        <v>1</v>
      </c>
      <c r="G6381" s="34" t="n">
        <f aca="false">B6381/1</f>
        <v>200.422</v>
      </c>
      <c r="H6381" s="34" t="n">
        <f aca="false">IF(F6381=1,G6381,"")</f>
        <v>200.422</v>
      </c>
    </row>
    <row r="6382" customFormat="false" ht="15" hidden="false" customHeight="false" outlineLevel="0" collapsed="false">
      <c r="A6382" s="31" t="n">
        <v>43001.8333333333</v>
      </c>
      <c r="B6382" s="32" t="n">
        <v>202.589</v>
      </c>
      <c r="D6382" s="33" t="n">
        <f aca="false">WEEKDAY(A6382,2)</f>
        <v>6</v>
      </c>
      <c r="E6382" s="33" t="n">
        <f aca="false">HOUR(A6382)+MINUTE(A6382)/60</f>
        <v>20</v>
      </c>
      <c r="F6382" s="33" t="n">
        <f aca="false">IF(OR(D6382&gt;5,E6382&lt;8,E6382&gt;=18,COUNTIF($K$2:$K$10,INT(A6382))&gt;0),1,0)</f>
        <v>1</v>
      </c>
      <c r="G6382" s="34" t="n">
        <f aca="false">B6382/1</f>
        <v>202.589</v>
      </c>
      <c r="H6382" s="34" t="n">
        <f aca="false">IF(F6382=1,G6382,"")</f>
        <v>202.589</v>
      </c>
    </row>
    <row r="6383" customFormat="false" ht="15" hidden="false" customHeight="false" outlineLevel="0" collapsed="false">
      <c r="A6383" s="31" t="n">
        <v>43001.875</v>
      </c>
      <c r="B6383" s="32" t="n">
        <v>202.252</v>
      </c>
      <c r="D6383" s="33" t="n">
        <f aca="false">WEEKDAY(A6383,2)</f>
        <v>6</v>
      </c>
      <c r="E6383" s="33" t="n">
        <f aca="false">HOUR(A6383)+MINUTE(A6383)/60</f>
        <v>21</v>
      </c>
      <c r="F6383" s="33" t="n">
        <f aca="false">IF(OR(D6383&gt;5,E6383&lt;8,E6383&gt;=18,COUNTIF($K$2:$K$10,INT(A6383))&gt;0),1,0)</f>
        <v>1</v>
      </c>
      <c r="G6383" s="34" t="n">
        <f aca="false">B6383/1</f>
        <v>202.252</v>
      </c>
      <c r="H6383" s="34" t="n">
        <f aca="false">IF(F6383=1,G6383,"")</f>
        <v>202.252</v>
      </c>
    </row>
    <row r="6384" customFormat="false" ht="15" hidden="false" customHeight="false" outlineLevel="0" collapsed="false">
      <c r="A6384" s="31" t="n">
        <v>43001.9166666667</v>
      </c>
      <c r="B6384" s="32" t="n">
        <v>199.956</v>
      </c>
      <c r="D6384" s="33" t="n">
        <f aca="false">WEEKDAY(A6384,2)</f>
        <v>6</v>
      </c>
      <c r="E6384" s="33" t="n">
        <f aca="false">HOUR(A6384)+MINUTE(A6384)/60</f>
        <v>22</v>
      </c>
      <c r="F6384" s="33" t="n">
        <f aca="false">IF(OR(D6384&gt;5,E6384&lt;8,E6384&gt;=18,COUNTIF($K$2:$K$10,INT(A6384))&gt;0),1,0)</f>
        <v>1</v>
      </c>
      <c r="G6384" s="34" t="n">
        <f aca="false">B6384/1</f>
        <v>199.956</v>
      </c>
      <c r="H6384" s="34" t="n">
        <f aca="false">IF(F6384=1,G6384,"")</f>
        <v>199.956</v>
      </c>
    </row>
    <row r="6385" customFormat="false" ht="15" hidden="false" customHeight="false" outlineLevel="0" collapsed="false">
      <c r="A6385" s="31" t="n">
        <v>43001.9583333333</v>
      </c>
      <c r="B6385" s="32" t="n">
        <v>199.892</v>
      </c>
      <c r="D6385" s="33" t="n">
        <f aca="false">WEEKDAY(A6385,2)</f>
        <v>6</v>
      </c>
      <c r="E6385" s="33" t="n">
        <f aca="false">HOUR(A6385)+MINUTE(A6385)/60</f>
        <v>23</v>
      </c>
      <c r="F6385" s="33" t="n">
        <f aca="false">IF(OR(D6385&gt;5,E6385&lt;8,E6385&gt;=18,COUNTIF($K$2:$K$10,INT(A6385))&gt;0),1,0)</f>
        <v>1</v>
      </c>
      <c r="G6385" s="34" t="n">
        <f aca="false">B6385/1</f>
        <v>199.892</v>
      </c>
      <c r="H6385" s="34" t="n">
        <f aca="false">IF(F6385=1,G6385,"")</f>
        <v>199.892</v>
      </c>
    </row>
    <row r="6386" customFormat="false" ht="15" hidden="false" customHeight="false" outlineLevel="0" collapsed="false">
      <c r="A6386" s="31" t="n">
        <v>43002</v>
      </c>
      <c r="B6386" s="32" t="n">
        <v>198.591</v>
      </c>
      <c r="D6386" s="33" t="n">
        <f aca="false">WEEKDAY(A6386,2)</f>
        <v>7</v>
      </c>
      <c r="E6386" s="33" t="n">
        <f aca="false">HOUR(A6386)+MINUTE(A6386)/60</f>
        <v>0</v>
      </c>
      <c r="F6386" s="33" t="n">
        <f aca="false">IF(OR(D6386&gt;5,E6386&lt;8,E6386&gt;=18,COUNTIF($K$2:$K$10,INT(A6386))&gt;0),1,0)</f>
        <v>1</v>
      </c>
      <c r="G6386" s="34" t="n">
        <f aca="false">B6386/1</f>
        <v>198.591</v>
      </c>
      <c r="H6386" s="34" t="n">
        <f aca="false">IF(F6386=1,G6386,"")</f>
        <v>198.591</v>
      </c>
    </row>
    <row r="6387" customFormat="false" ht="15" hidden="false" customHeight="false" outlineLevel="0" collapsed="false">
      <c r="A6387" s="31" t="n">
        <v>43002.0416666667</v>
      </c>
      <c r="B6387" s="32" t="n">
        <v>144.581</v>
      </c>
      <c r="D6387" s="33" t="n">
        <f aca="false">WEEKDAY(A6387,2)</f>
        <v>7</v>
      </c>
      <c r="E6387" s="33" t="n">
        <f aca="false">HOUR(A6387)+MINUTE(A6387)/60</f>
        <v>1</v>
      </c>
      <c r="F6387" s="33" t="n">
        <f aca="false">IF(OR(D6387&gt;5,E6387&lt;8,E6387&gt;=18,COUNTIF($K$2:$K$10,INT(A6387))&gt;0),1,0)</f>
        <v>1</v>
      </c>
      <c r="G6387" s="34" t="n">
        <f aca="false">B6387/1</f>
        <v>144.581</v>
      </c>
      <c r="H6387" s="34" t="n">
        <f aca="false">IF(F6387=1,G6387,"")</f>
        <v>144.581</v>
      </c>
    </row>
    <row r="6388" customFormat="false" ht="15" hidden="false" customHeight="false" outlineLevel="0" collapsed="false">
      <c r="A6388" s="31" t="n">
        <v>43002.0833333333</v>
      </c>
      <c r="B6388" s="32" t="n">
        <v>92.412</v>
      </c>
      <c r="D6388" s="33" t="n">
        <f aca="false">WEEKDAY(A6388,2)</f>
        <v>7</v>
      </c>
      <c r="E6388" s="33" t="n">
        <f aca="false">HOUR(A6388)+MINUTE(A6388)/60</f>
        <v>2</v>
      </c>
      <c r="F6388" s="33" t="n">
        <f aca="false">IF(OR(D6388&gt;5,E6388&lt;8,E6388&gt;=18,COUNTIF($K$2:$K$10,INT(A6388))&gt;0),1,0)</f>
        <v>1</v>
      </c>
      <c r="G6388" s="34" t="n">
        <f aca="false">B6388/1</f>
        <v>92.412</v>
      </c>
      <c r="H6388" s="34" t="n">
        <f aca="false">IF(F6388=1,G6388,"")</f>
        <v>92.412</v>
      </c>
    </row>
    <row r="6389" customFormat="false" ht="15" hidden="false" customHeight="false" outlineLevel="0" collapsed="false">
      <c r="A6389" s="31" t="n">
        <v>43002.125</v>
      </c>
      <c r="B6389" s="32" t="n">
        <v>91.926</v>
      </c>
      <c r="D6389" s="33" t="n">
        <f aca="false">WEEKDAY(A6389,2)</f>
        <v>7</v>
      </c>
      <c r="E6389" s="33" t="n">
        <f aca="false">HOUR(A6389)+MINUTE(A6389)/60</f>
        <v>3</v>
      </c>
      <c r="F6389" s="33" t="n">
        <f aca="false">IF(OR(D6389&gt;5,E6389&lt;8,E6389&gt;=18,COUNTIF($K$2:$K$10,INT(A6389))&gt;0),1,0)</f>
        <v>1</v>
      </c>
      <c r="G6389" s="34" t="n">
        <f aca="false">B6389/1</f>
        <v>91.926</v>
      </c>
      <c r="H6389" s="34" t="n">
        <f aca="false">IF(F6389=1,G6389,"")</f>
        <v>91.926</v>
      </c>
    </row>
    <row r="6390" customFormat="false" ht="15" hidden="false" customHeight="false" outlineLevel="0" collapsed="false">
      <c r="A6390" s="31" t="n">
        <v>43002.1666666667</v>
      </c>
      <c r="B6390" s="32" t="n">
        <v>91.372</v>
      </c>
      <c r="D6390" s="33" t="n">
        <f aca="false">WEEKDAY(A6390,2)</f>
        <v>7</v>
      </c>
      <c r="E6390" s="33" t="n">
        <f aca="false">HOUR(A6390)+MINUTE(A6390)/60</f>
        <v>4</v>
      </c>
      <c r="F6390" s="33" t="n">
        <f aca="false">IF(OR(D6390&gt;5,E6390&lt;8,E6390&gt;=18,COUNTIF($K$2:$K$10,INT(A6390))&gt;0),1,0)</f>
        <v>1</v>
      </c>
      <c r="G6390" s="34" t="n">
        <f aca="false">B6390/1</f>
        <v>91.372</v>
      </c>
      <c r="H6390" s="34" t="n">
        <f aca="false">IF(F6390=1,G6390,"")</f>
        <v>91.372</v>
      </c>
    </row>
    <row r="6391" customFormat="false" ht="15" hidden="false" customHeight="false" outlineLevel="0" collapsed="false">
      <c r="A6391" s="31" t="n">
        <v>43002.2083333333</v>
      </c>
      <c r="B6391" s="32" t="n">
        <v>91.478</v>
      </c>
      <c r="D6391" s="33" t="n">
        <f aca="false">WEEKDAY(A6391,2)</f>
        <v>7</v>
      </c>
      <c r="E6391" s="33" t="n">
        <f aca="false">HOUR(A6391)+MINUTE(A6391)/60</f>
        <v>5</v>
      </c>
      <c r="F6391" s="33" t="n">
        <f aca="false">IF(OR(D6391&gt;5,E6391&lt;8,E6391&gt;=18,COUNTIF($K$2:$K$10,INT(A6391))&gt;0),1,0)</f>
        <v>1</v>
      </c>
      <c r="G6391" s="34" t="n">
        <f aca="false">B6391/1</f>
        <v>91.478</v>
      </c>
      <c r="H6391" s="34" t="n">
        <f aca="false">IF(F6391=1,G6391,"")</f>
        <v>91.478</v>
      </c>
    </row>
    <row r="6392" customFormat="false" ht="15" hidden="false" customHeight="false" outlineLevel="0" collapsed="false">
      <c r="A6392" s="31" t="n">
        <v>43002.25</v>
      </c>
      <c r="B6392" s="32" t="n">
        <v>91.2</v>
      </c>
      <c r="D6392" s="33" t="n">
        <f aca="false">WEEKDAY(A6392,2)</f>
        <v>7</v>
      </c>
      <c r="E6392" s="33" t="n">
        <f aca="false">HOUR(A6392)+MINUTE(A6392)/60</f>
        <v>6</v>
      </c>
      <c r="F6392" s="33" t="n">
        <f aca="false">IF(OR(D6392&gt;5,E6392&lt;8,E6392&gt;=18,COUNTIF($K$2:$K$10,INT(A6392))&gt;0),1,0)</f>
        <v>1</v>
      </c>
      <c r="G6392" s="34" t="n">
        <f aca="false">B6392/1</f>
        <v>91.2</v>
      </c>
      <c r="H6392" s="34" t="n">
        <f aca="false">IF(F6392=1,G6392,"")</f>
        <v>91.2</v>
      </c>
    </row>
    <row r="6393" customFormat="false" ht="15" hidden="false" customHeight="false" outlineLevel="0" collapsed="false">
      <c r="A6393" s="31" t="n">
        <v>43002.2916666667</v>
      </c>
      <c r="B6393" s="32" t="n">
        <v>92.098</v>
      </c>
      <c r="D6393" s="33" t="n">
        <f aca="false">WEEKDAY(A6393,2)</f>
        <v>7</v>
      </c>
      <c r="E6393" s="33" t="n">
        <f aca="false">HOUR(A6393)+MINUTE(A6393)/60</f>
        <v>7</v>
      </c>
      <c r="F6393" s="33" t="n">
        <f aca="false">IF(OR(D6393&gt;5,E6393&lt;8,E6393&gt;=18,COUNTIF($K$2:$K$10,INT(A6393))&gt;0),1,0)</f>
        <v>1</v>
      </c>
      <c r="G6393" s="34" t="n">
        <f aca="false">B6393/1</f>
        <v>92.098</v>
      </c>
      <c r="H6393" s="34" t="n">
        <f aca="false">IF(F6393=1,G6393,"")</f>
        <v>92.098</v>
      </c>
    </row>
    <row r="6394" customFormat="false" ht="15" hidden="false" customHeight="false" outlineLevel="0" collapsed="false">
      <c r="A6394" s="31" t="n">
        <v>43002.3333333333</v>
      </c>
      <c r="B6394" s="32" t="n">
        <v>91.014</v>
      </c>
      <c r="D6394" s="33" t="n">
        <f aca="false">WEEKDAY(A6394,2)</f>
        <v>7</v>
      </c>
      <c r="E6394" s="33" t="n">
        <f aca="false">HOUR(A6394)+MINUTE(A6394)/60</f>
        <v>8</v>
      </c>
      <c r="F6394" s="33" t="n">
        <f aca="false">IF(OR(D6394&gt;5,E6394&lt;8,E6394&gt;=18,COUNTIF($K$2:$K$10,INT(A6394))&gt;0),1,0)</f>
        <v>1</v>
      </c>
      <c r="G6394" s="34" t="n">
        <f aca="false">B6394/1</f>
        <v>91.014</v>
      </c>
      <c r="H6394" s="34" t="n">
        <f aca="false">IF(F6394=1,G6394,"")</f>
        <v>91.014</v>
      </c>
    </row>
    <row r="6395" customFormat="false" ht="15" hidden="false" customHeight="false" outlineLevel="0" collapsed="false">
      <c r="A6395" s="31" t="n">
        <v>43002.375</v>
      </c>
      <c r="B6395" s="32" t="n">
        <v>89.076</v>
      </c>
      <c r="D6395" s="33" t="n">
        <f aca="false">WEEKDAY(A6395,2)</f>
        <v>7</v>
      </c>
      <c r="E6395" s="33" t="n">
        <f aca="false">HOUR(A6395)+MINUTE(A6395)/60</f>
        <v>9</v>
      </c>
      <c r="F6395" s="33" t="n">
        <f aca="false">IF(OR(D6395&gt;5,E6395&lt;8,E6395&gt;=18,COUNTIF($K$2:$K$10,INT(A6395))&gt;0),1,0)</f>
        <v>1</v>
      </c>
      <c r="G6395" s="34" t="n">
        <f aca="false">B6395/1</f>
        <v>89.076</v>
      </c>
      <c r="H6395" s="34" t="n">
        <f aca="false">IF(F6395=1,G6395,"")</f>
        <v>89.076</v>
      </c>
    </row>
    <row r="6396" customFormat="false" ht="15" hidden="false" customHeight="false" outlineLevel="0" collapsed="false">
      <c r="A6396" s="31" t="n">
        <v>43002.4166666667</v>
      </c>
      <c r="B6396" s="32" t="n">
        <v>91.23</v>
      </c>
      <c r="D6396" s="33" t="n">
        <f aca="false">WEEKDAY(A6396,2)</f>
        <v>7</v>
      </c>
      <c r="E6396" s="33" t="n">
        <f aca="false">HOUR(A6396)+MINUTE(A6396)/60</f>
        <v>10</v>
      </c>
      <c r="F6396" s="33" t="n">
        <f aca="false">IF(OR(D6396&gt;5,E6396&lt;8,E6396&gt;=18,COUNTIF($K$2:$K$10,INT(A6396))&gt;0),1,0)</f>
        <v>1</v>
      </c>
      <c r="G6396" s="34" t="n">
        <f aca="false">B6396/1</f>
        <v>91.23</v>
      </c>
      <c r="H6396" s="34" t="n">
        <f aca="false">IF(F6396=1,G6396,"")</f>
        <v>91.23</v>
      </c>
    </row>
    <row r="6397" customFormat="false" ht="15" hidden="false" customHeight="false" outlineLevel="0" collapsed="false">
      <c r="A6397" s="31" t="n">
        <v>43002.4583333333</v>
      </c>
      <c r="B6397" s="32" t="n">
        <v>136.139</v>
      </c>
      <c r="D6397" s="33" t="n">
        <f aca="false">WEEKDAY(A6397,2)</f>
        <v>7</v>
      </c>
      <c r="E6397" s="33" t="n">
        <f aca="false">HOUR(A6397)+MINUTE(A6397)/60</f>
        <v>11</v>
      </c>
      <c r="F6397" s="33" t="n">
        <f aca="false">IF(OR(D6397&gt;5,E6397&lt;8,E6397&gt;=18,COUNTIF($K$2:$K$10,INT(A6397))&gt;0),1,0)</f>
        <v>1</v>
      </c>
      <c r="G6397" s="34" t="n">
        <f aca="false">B6397/1</f>
        <v>136.139</v>
      </c>
      <c r="H6397" s="34" t="n">
        <f aca="false">IF(F6397=1,G6397,"")</f>
        <v>136.139</v>
      </c>
    </row>
    <row r="6398" customFormat="false" ht="15" hidden="false" customHeight="false" outlineLevel="0" collapsed="false">
      <c r="A6398" s="31" t="n">
        <v>43002.5</v>
      </c>
      <c r="B6398" s="32" t="n">
        <v>205.832</v>
      </c>
      <c r="D6398" s="33" t="n">
        <f aca="false">WEEKDAY(A6398,2)</f>
        <v>7</v>
      </c>
      <c r="E6398" s="33" t="n">
        <f aca="false">HOUR(A6398)+MINUTE(A6398)/60</f>
        <v>12</v>
      </c>
      <c r="F6398" s="33" t="n">
        <f aca="false">IF(OR(D6398&gt;5,E6398&lt;8,E6398&gt;=18,COUNTIF($K$2:$K$10,INT(A6398))&gt;0),1,0)</f>
        <v>1</v>
      </c>
      <c r="G6398" s="34" t="n">
        <f aca="false">B6398/1</f>
        <v>205.832</v>
      </c>
      <c r="H6398" s="34" t="n">
        <f aca="false">IF(F6398=1,G6398,"")</f>
        <v>205.832</v>
      </c>
    </row>
    <row r="6399" customFormat="false" ht="15" hidden="false" customHeight="false" outlineLevel="0" collapsed="false">
      <c r="A6399" s="31" t="n">
        <v>43002.5416666667</v>
      </c>
      <c r="B6399" s="32" t="n">
        <v>209.02</v>
      </c>
      <c r="D6399" s="33" t="n">
        <f aca="false">WEEKDAY(A6399,2)</f>
        <v>7</v>
      </c>
      <c r="E6399" s="33" t="n">
        <f aca="false">HOUR(A6399)+MINUTE(A6399)/60</f>
        <v>13</v>
      </c>
      <c r="F6399" s="33" t="n">
        <f aca="false">IF(OR(D6399&gt;5,E6399&lt;8,E6399&gt;=18,COUNTIF($K$2:$K$10,INT(A6399))&gt;0),1,0)</f>
        <v>1</v>
      </c>
      <c r="G6399" s="34" t="n">
        <f aca="false">B6399/1</f>
        <v>209.02</v>
      </c>
      <c r="H6399" s="34" t="n">
        <f aca="false">IF(F6399=1,G6399,"")</f>
        <v>209.02</v>
      </c>
    </row>
    <row r="6400" customFormat="false" ht="15" hidden="false" customHeight="false" outlineLevel="0" collapsed="false">
      <c r="A6400" s="31" t="n">
        <v>43002.5833333333</v>
      </c>
      <c r="B6400" s="32" t="n">
        <v>209.573</v>
      </c>
      <c r="D6400" s="33" t="n">
        <f aca="false">WEEKDAY(A6400,2)</f>
        <v>7</v>
      </c>
      <c r="E6400" s="33" t="n">
        <f aca="false">HOUR(A6400)+MINUTE(A6400)/60</f>
        <v>14</v>
      </c>
      <c r="F6400" s="33" t="n">
        <f aca="false">IF(OR(D6400&gt;5,E6400&lt;8,E6400&gt;=18,COUNTIF($K$2:$K$10,INT(A6400))&gt;0),1,0)</f>
        <v>1</v>
      </c>
      <c r="G6400" s="34" t="n">
        <f aca="false">B6400/1</f>
        <v>209.573</v>
      </c>
      <c r="H6400" s="34" t="n">
        <f aca="false">IF(F6400=1,G6400,"")</f>
        <v>209.573</v>
      </c>
    </row>
    <row r="6401" customFormat="false" ht="15" hidden="false" customHeight="false" outlineLevel="0" collapsed="false">
      <c r="A6401" s="31" t="n">
        <v>43002.625</v>
      </c>
      <c r="B6401" s="32" t="n">
        <v>209.811</v>
      </c>
      <c r="D6401" s="33" t="n">
        <f aca="false">WEEKDAY(A6401,2)</f>
        <v>7</v>
      </c>
      <c r="E6401" s="33" t="n">
        <f aca="false">HOUR(A6401)+MINUTE(A6401)/60</f>
        <v>15</v>
      </c>
      <c r="F6401" s="33" t="n">
        <f aca="false">IF(OR(D6401&gt;5,E6401&lt;8,E6401&gt;=18,COUNTIF($K$2:$K$10,INT(A6401))&gt;0),1,0)</f>
        <v>1</v>
      </c>
      <c r="G6401" s="34" t="n">
        <f aca="false">B6401/1</f>
        <v>209.811</v>
      </c>
      <c r="H6401" s="34" t="n">
        <f aca="false">IF(F6401=1,G6401,"")</f>
        <v>209.811</v>
      </c>
    </row>
    <row r="6402" customFormat="false" ht="15" hidden="false" customHeight="false" outlineLevel="0" collapsed="false">
      <c r="A6402" s="31" t="n">
        <v>43002.6666666667</v>
      </c>
      <c r="B6402" s="32" t="n">
        <v>207.798</v>
      </c>
      <c r="D6402" s="33" t="n">
        <f aca="false">WEEKDAY(A6402,2)</f>
        <v>7</v>
      </c>
      <c r="E6402" s="33" t="n">
        <f aca="false">HOUR(A6402)+MINUTE(A6402)/60</f>
        <v>16</v>
      </c>
      <c r="F6402" s="33" t="n">
        <f aca="false">IF(OR(D6402&gt;5,E6402&lt;8,E6402&gt;=18,COUNTIF($K$2:$K$10,INT(A6402))&gt;0),1,0)</f>
        <v>1</v>
      </c>
      <c r="G6402" s="34" t="n">
        <f aca="false">B6402/1</f>
        <v>207.798</v>
      </c>
      <c r="H6402" s="34" t="n">
        <f aca="false">IF(F6402=1,G6402,"")</f>
        <v>207.798</v>
      </c>
    </row>
    <row r="6403" customFormat="false" ht="15" hidden="false" customHeight="false" outlineLevel="0" collapsed="false">
      <c r="A6403" s="31" t="n">
        <v>43002.7083333333</v>
      </c>
      <c r="B6403" s="32" t="n">
        <v>208.02</v>
      </c>
      <c r="D6403" s="33" t="n">
        <f aca="false">WEEKDAY(A6403,2)</f>
        <v>7</v>
      </c>
      <c r="E6403" s="33" t="n">
        <f aca="false">HOUR(A6403)+MINUTE(A6403)/60</f>
        <v>17</v>
      </c>
      <c r="F6403" s="33" t="n">
        <f aca="false">IF(OR(D6403&gt;5,E6403&lt;8,E6403&gt;=18,COUNTIF($K$2:$K$10,INT(A6403))&gt;0),1,0)</f>
        <v>1</v>
      </c>
      <c r="G6403" s="34" t="n">
        <f aca="false">B6403/1</f>
        <v>208.02</v>
      </c>
      <c r="H6403" s="34" t="n">
        <f aca="false">IF(F6403=1,G6403,"")</f>
        <v>208.02</v>
      </c>
    </row>
    <row r="6404" customFormat="false" ht="15" hidden="false" customHeight="false" outlineLevel="0" collapsed="false">
      <c r="A6404" s="31" t="n">
        <v>43002.75</v>
      </c>
      <c r="B6404" s="32" t="n">
        <v>204.971</v>
      </c>
      <c r="D6404" s="33" t="n">
        <f aca="false">WEEKDAY(A6404,2)</f>
        <v>7</v>
      </c>
      <c r="E6404" s="33" t="n">
        <f aca="false">HOUR(A6404)+MINUTE(A6404)/60</f>
        <v>18</v>
      </c>
      <c r="F6404" s="33" t="n">
        <f aca="false">IF(OR(D6404&gt;5,E6404&lt;8,E6404&gt;=18,COUNTIF($K$2:$K$10,INT(A6404))&gt;0),1,0)</f>
        <v>1</v>
      </c>
      <c r="G6404" s="34" t="n">
        <f aca="false">B6404/1</f>
        <v>204.971</v>
      </c>
      <c r="H6404" s="34" t="n">
        <f aca="false">IF(F6404=1,G6404,"")</f>
        <v>204.971</v>
      </c>
    </row>
    <row r="6405" customFormat="false" ht="15" hidden="false" customHeight="false" outlineLevel="0" collapsed="false">
      <c r="A6405" s="31" t="n">
        <v>43002.7916666667</v>
      </c>
      <c r="B6405" s="32" t="n">
        <v>202.816</v>
      </c>
      <c r="D6405" s="33" t="n">
        <f aca="false">WEEKDAY(A6405,2)</f>
        <v>7</v>
      </c>
      <c r="E6405" s="33" t="n">
        <f aca="false">HOUR(A6405)+MINUTE(A6405)/60</f>
        <v>19</v>
      </c>
      <c r="F6405" s="33" t="n">
        <f aca="false">IF(OR(D6405&gt;5,E6405&lt;8,E6405&gt;=18,COUNTIF($K$2:$K$10,INT(A6405))&gt;0),1,0)</f>
        <v>1</v>
      </c>
      <c r="G6405" s="34" t="n">
        <f aca="false">B6405/1</f>
        <v>202.816</v>
      </c>
      <c r="H6405" s="34" t="n">
        <f aca="false">IF(F6405=1,G6405,"")</f>
        <v>202.816</v>
      </c>
    </row>
    <row r="6406" customFormat="false" ht="15" hidden="false" customHeight="false" outlineLevel="0" collapsed="false">
      <c r="A6406" s="31" t="n">
        <v>43002.8333333333</v>
      </c>
      <c r="B6406" s="32" t="n">
        <v>193.21</v>
      </c>
      <c r="D6406" s="33" t="n">
        <f aca="false">WEEKDAY(A6406,2)</f>
        <v>7</v>
      </c>
      <c r="E6406" s="33" t="n">
        <f aca="false">HOUR(A6406)+MINUTE(A6406)/60</f>
        <v>20</v>
      </c>
      <c r="F6406" s="33" t="n">
        <f aca="false">IF(OR(D6406&gt;5,E6406&lt;8,E6406&gt;=18,COUNTIF($K$2:$K$10,INT(A6406))&gt;0),1,0)</f>
        <v>1</v>
      </c>
      <c r="G6406" s="34" t="n">
        <f aca="false">B6406/1</f>
        <v>193.21</v>
      </c>
      <c r="H6406" s="34" t="n">
        <f aca="false">IF(F6406=1,G6406,"")</f>
        <v>193.21</v>
      </c>
    </row>
    <row r="6407" customFormat="false" ht="15" hidden="false" customHeight="false" outlineLevel="0" collapsed="false">
      <c r="A6407" s="31" t="n">
        <v>43002.875</v>
      </c>
      <c r="B6407" s="32" t="n">
        <v>99.893</v>
      </c>
      <c r="D6407" s="33" t="n">
        <f aca="false">WEEKDAY(A6407,2)</f>
        <v>7</v>
      </c>
      <c r="E6407" s="33" t="n">
        <f aca="false">HOUR(A6407)+MINUTE(A6407)/60</f>
        <v>21</v>
      </c>
      <c r="F6407" s="33" t="n">
        <f aca="false">IF(OR(D6407&gt;5,E6407&lt;8,E6407&gt;=18,COUNTIF($K$2:$K$10,INT(A6407))&gt;0),1,0)</f>
        <v>1</v>
      </c>
      <c r="G6407" s="34" t="n">
        <f aca="false">B6407/1</f>
        <v>99.893</v>
      </c>
      <c r="H6407" s="34" t="n">
        <f aca="false">IF(F6407=1,G6407,"")</f>
        <v>99.893</v>
      </c>
    </row>
    <row r="6408" customFormat="false" ht="15" hidden="false" customHeight="false" outlineLevel="0" collapsed="false">
      <c r="A6408" s="31" t="n">
        <v>43002.9166666667</v>
      </c>
      <c r="B6408" s="32" t="n">
        <v>97.627</v>
      </c>
      <c r="D6408" s="33" t="n">
        <f aca="false">WEEKDAY(A6408,2)</f>
        <v>7</v>
      </c>
      <c r="E6408" s="33" t="n">
        <f aca="false">HOUR(A6408)+MINUTE(A6408)/60</f>
        <v>22</v>
      </c>
      <c r="F6408" s="33" t="n">
        <f aca="false">IF(OR(D6408&gt;5,E6408&lt;8,E6408&gt;=18,COUNTIF($K$2:$K$10,INT(A6408))&gt;0),1,0)</f>
        <v>1</v>
      </c>
      <c r="G6408" s="34" t="n">
        <f aca="false">B6408/1</f>
        <v>97.627</v>
      </c>
      <c r="H6408" s="34" t="n">
        <f aca="false">IF(F6408=1,G6408,"")</f>
        <v>97.627</v>
      </c>
    </row>
    <row r="6409" customFormat="false" ht="15" hidden="false" customHeight="false" outlineLevel="0" collapsed="false">
      <c r="A6409" s="31" t="n">
        <v>43002.9583333333</v>
      </c>
      <c r="B6409" s="32" t="n">
        <v>95.407</v>
      </c>
      <c r="D6409" s="33" t="n">
        <f aca="false">WEEKDAY(A6409,2)</f>
        <v>7</v>
      </c>
      <c r="E6409" s="33" t="n">
        <f aca="false">HOUR(A6409)+MINUTE(A6409)/60</f>
        <v>23</v>
      </c>
      <c r="F6409" s="33" t="n">
        <f aca="false">IF(OR(D6409&gt;5,E6409&lt;8,E6409&gt;=18,COUNTIF($K$2:$K$10,INT(A6409))&gt;0),1,0)</f>
        <v>1</v>
      </c>
      <c r="G6409" s="34" t="n">
        <f aca="false">B6409/1</f>
        <v>95.407</v>
      </c>
      <c r="H6409" s="34" t="n">
        <f aca="false">IF(F6409=1,G6409,"")</f>
        <v>95.407</v>
      </c>
    </row>
    <row r="6410" customFormat="false" ht="15" hidden="false" customHeight="false" outlineLevel="0" collapsed="false">
      <c r="A6410" s="31" t="n">
        <v>43003</v>
      </c>
      <c r="B6410" s="32" t="n">
        <v>91.711</v>
      </c>
      <c r="D6410" s="33" t="n">
        <f aca="false">WEEKDAY(A6410,2)</f>
        <v>1</v>
      </c>
      <c r="E6410" s="33" t="n">
        <f aca="false">HOUR(A6410)+MINUTE(A6410)/60</f>
        <v>0</v>
      </c>
      <c r="F6410" s="33" t="n">
        <f aca="false">IF(OR(D6410&gt;5,E6410&lt;8,E6410&gt;=18,COUNTIF($K$2:$K$10,INT(A6410))&gt;0),1,0)</f>
        <v>1</v>
      </c>
      <c r="G6410" s="34" t="n">
        <f aca="false">B6410/1</f>
        <v>91.711</v>
      </c>
      <c r="H6410" s="34" t="n">
        <f aca="false">IF(F6410=1,G6410,"")</f>
        <v>91.711</v>
      </c>
    </row>
    <row r="6411" customFormat="false" ht="15" hidden="false" customHeight="false" outlineLevel="0" collapsed="false">
      <c r="A6411" s="31" t="n">
        <v>43003.0416666667</v>
      </c>
      <c r="B6411" s="32" t="n">
        <v>93.279</v>
      </c>
      <c r="D6411" s="33" t="n">
        <f aca="false">WEEKDAY(A6411,2)</f>
        <v>1</v>
      </c>
      <c r="E6411" s="33" t="n">
        <f aca="false">HOUR(A6411)+MINUTE(A6411)/60</f>
        <v>1</v>
      </c>
      <c r="F6411" s="33" t="n">
        <f aca="false">IF(OR(D6411&gt;5,E6411&lt;8,E6411&gt;=18,COUNTIF($K$2:$K$10,INT(A6411))&gt;0),1,0)</f>
        <v>1</v>
      </c>
      <c r="G6411" s="34" t="n">
        <f aca="false">B6411/1</f>
        <v>93.279</v>
      </c>
      <c r="H6411" s="34" t="n">
        <f aca="false">IF(F6411=1,G6411,"")</f>
        <v>93.279</v>
      </c>
    </row>
    <row r="6412" customFormat="false" ht="15" hidden="false" customHeight="false" outlineLevel="0" collapsed="false">
      <c r="A6412" s="31" t="n">
        <v>43003.0833333333</v>
      </c>
      <c r="B6412" s="32" t="n">
        <v>89.707</v>
      </c>
      <c r="D6412" s="33" t="n">
        <f aca="false">WEEKDAY(A6412,2)</f>
        <v>1</v>
      </c>
      <c r="E6412" s="33" t="n">
        <f aca="false">HOUR(A6412)+MINUTE(A6412)/60</f>
        <v>2</v>
      </c>
      <c r="F6412" s="33" t="n">
        <f aca="false">IF(OR(D6412&gt;5,E6412&lt;8,E6412&gt;=18,COUNTIF($K$2:$K$10,INT(A6412))&gt;0),1,0)</f>
        <v>1</v>
      </c>
      <c r="G6412" s="34" t="n">
        <f aca="false">B6412/1</f>
        <v>89.707</v>
      </c>
      <c r="H6412" s="34" t="n">
        <f aca="false">IF(F6412=1,G6412,"")</f>
        <v>89.707</v>
      </c>
    </row>
    <row r="6413" customFormat="false" ht="15" hidden="false" customHeight="false" outlineLevel="0" collapsed="false">
      <c r="A6413" s="31" t="n">
        <v>43003.125</v>
      </c>
      <c r="B6413" s="32" t="n">
        <v>89.944</v>
      </c>
      <c r="D6413" s="33" t="n">
        <f aca="false">WEEKDAY(A6413,2)</f>
        <v>1</v>
      </c>
      <c r="E6413" s="33" t="n">
        <f aca="false">HOUR(A6413)+MINUTE(A6413)/60</f>
        <v>3</v>
      </c>
      <c r="F6413" s="33" t="n">
        <f aca="false">IF(OR(D6413&gt;5,E6413&lt;8,E6413&gt;=18,COUNTIF($K$2:$K$10,INT(A6413))&gt;0),1,0)</f>
        <v>1</v>
      </c>
      <c r="G6413" s="34" t="n">
        <f aca="false">B6413/1</f>
        <v>89.944</v>
      </c>
      <c r="H6413" s="34" t="n">
        <f aca="false">IF(F6413=1,G6413,"")</f>
        <v>89.944</v>
      </c>
    </row>
    <row r="6414" customFormat="false" ht="15" hidden="false" customHeight="false" outlineLevel="0" collapsed="false">
      <c r="A6414" s="31" t="n">
        <v>43003.1666666667</v>
      </c>
      <c r="B6414" s="32" t="n">
        <v>89.315</v>
      </c>
      <c r="D6414" s="33" t="n">
        <f aca="false">WEEKDAY(A6414,2)</f>
        <v>1</v>
      </c>
      <c r="E6414" s="33" t="n">
        <f aca="false">HOUR(A6414)+MINUTE(A6414)/60</f>
        <v>4</v>
      </c>
      <c r="F6414" s="33" t="n">
        <f aca="false">IF(OR(D6414&gt;5,E6414&lt;8,E6414&gt;=18,COUNTIF($K$2:$K$10,INT(A6414))&gt;0),1,0)</f>
        <v>1</v>
      </c>
      <c r="G6414" s="34" t="n">
        <f aca="false">B6414/1</f>
        <v>89.315</v>
      </c>
      <c r="H6414" s="34" t="n">
        <f aca="false">IF(F6414=1,G6414,"")</f>
        <v>89.315</v>
      </c>
    </row>
    <row r="6415" customFormat="false" ht="15" hidden="false" customHeight="false" outlineLevel="0" collapsed="false">
      <c r="A6415" s="31" t="n">
        <v>43003.2083333333</v>
      </c>
      <c r="B6415" s="32" t="n">
        <v>89.266</v>
      </c>
      <c r="D6415" s="33" t="n">
        <f aca="false">WEEKDAY(A6415,2)</f>
        <v>1</v>
      </c>
      <c r="E6415" s="33" t="n">
        <f aca="false">HOUR(A6415)+MINUTE(A6415)/60</f>
        <v>5</v>
      </c>
      <c r="F6415" s="33" t="n">
        <f aca="false">IF(OR(D6415&gt;5,E6415&lt;8,E6415&gt;=18,COUNTIF($K$2:$K$10,INT(A6415))&gt;0),1,0)</f>
        <v>1</v>
      </c>
      <c r="G6415" s="34" t="n">
        <f aca="false">B6415/1</f>
        <v>89.266</v>
      </c>
      <c r="H6415" s="34" t="n">
        <f aca="false">IF(F6415=1,G6415,"")</f>
        <v>89.266</v>
      </c>
    </row>
    <row r="6416" customFormat="false" ht="15" hidden="false" customHeight="false" outlineLevel="0" collapsed="false">
      <c r="A6416" s="31" t="n">
        <v>43003.25</v>
      </c>
      <c r="B6416" s="32" t="n">
        <v>89.974</v>
      </c>
      <c r="D6416" s="33" t="n">
        <f aca="false">WEEKDAY(A6416,2)</f>
        <v>1</v>
      </c>
      <c r="E6416" s="33" t="n">
        <f aca="false">HOUR(A6416)+MINUTE(A6416)/60</f>
        <v>6</v>
      </c>
      <c r="F6416" s="33" t="n">
        <f aca="false">IF(OR(D6416&gt;5,E6416&lt;8,E6416&gt;=18,COUNTIF($K$2:$K$10,INT(A6416))&gt;0),1,0)</f>
        <v>1</v>
      </c>
      <c r="G6416" s="34" t="n">
        <f aca="false">B6416/1</f>
        <v>89.974</v>
      </c>
      <c r="H6416" s="34" t="n">
        <f aca="false">IF(F6416=1,G6416,"")</f>
        <v>89.974</v>
      </c>
    </row>
    <row r="6417" customFormat="false" ht="15" hidden="false" customHeight="false" outlineLevel="0" collapsed="false">
      <c r="A6417" s="31" t="n">
        <v>43003.2916666667</v>
      </c>
      <c r="B6417" s="32" t="n">
        <v>120.742</v>
      </c>
      <c r="D6417" s="33" t="n">
        <f aca="false">WEEKDAY(A6417,2)</f>
        <v>1</v>
      </c>
      <c r="E6417" s="33" t="n">
        <f aca="false">HOUR(A6417)+MINUTE(A6417)/60</f>
        <v>7</v>
      </c>
      <c r="F6417" s="33" t="n">
        <f aca="false">IF(OR(D6417&gt;5,E6417&lt;8,E6417&gt;=18,COUNTIF($K$2:$K$10,INT(A6417))&gt;0),1,0)</f>
        <v>1</v>
      </c>
      <c r="G6417" s="34" t="n">
        <f aca="false">B6417/1</f>
        <v>120.742</v>
      </c>
      <c r="H6417" s="34" t="n">
        <f aca="false">IF(F6417=1,G6417,"")</f>
        <v>120.742</v>
      </c>
    </row>
    <row r="6418" customFormat="false" ht="15" hidden="false" customHeight="false" outlineLevel="0" collapsed="false">
      <c r="A6418" s="31" t="n">
        <v>43003.3333333333</v>
      </c>
      <c r="B6418" s="32" t="n">
        <v>208.814</v>
      </c>
      <c r="D6418" s="33" t="n">
        <f aca="false">WEEKDAY(A6418,2)</f>
        <v>1</v>
      </c>
      <c r="E6418" s="33" t="n">
        <f aca="false">HOUR(A6418)+MINUTE(A6418)/60</f>
        <v>8</v>
      </c>
      <c r="F6418" s="33" t="n">
        <f aca="false">IF(OR(D6418&gt;5,E6418&lt;8,E6418&gt;=18,COUNTIF($K$2:$K$10,INT(A6418))&gt;0),1,0)</f>
        <v>0</v>
      </c>
      <c r="G6418" s="34" t="n">
        <f aca="false">B6418/1</f>
        <v>208.814</v>
      </c>
      <c r="H6418" s="34" t="str">
        <f aca="false">IF(F6418=1,G6418,"")</f>
        <v/>
      </c>
    </row>
    <row r="6419" customFormat="false" ht="15" hidden="false" customHeight="false" outlineLevel="0" collapsed="false">
      <c r="A6419" s="31" t="n">
        <v>43003.375</v>
      </c>
      <c r="B6419" s="32" t="n">
        <v>247.18</v>
      </c>
      <c r="D6419" s="33" t="n">
        <f aca="false">WEEKDAY(A6419,2)</f>
        <v>1</v>
      </c>
      <c r="E6419" s="33" t="n">
        <f aca="false">HOUR(A6419)+MINUTE(A6419)/60</f>
        <v>9</v>
      </c>
      <c r="F6419" s="33" t="n">
        <f aca="false">IF(OR(D6419&gt;5,E6419&lt;8,E6419&gt;=18,COUNTIF($K$2:$K$10,INT(A6419))&gt;0),1,0)</f>
        <v>0</v>
      </c>
      <c r="G6419" s="34" t="n">
        <f aca="false">B6419/1</f>
        <v>247.18</v>
      </c>
      <c r="H6419" s="34" t="str">
        <f aca="false">IF(F6419=1,G6419,"")</f>
        <v/>
      </c>
    </row>
    <row r="6420" customFormat="false" ht="15" hidden="false" customHeight="false" outlineLevel="0" collapsed="false">
      <c r="A6420" s="31" t="n">
        <v>43003.4166666667</v>
      </c>
      <c r="B6420" s="32" t="n">
        <v>271.6</v>
      </c>
      <c r="D6420" s="33" t="n">
        <f aca="false">WEEKDAY(A6420,2)</f>
        <v>1</v>
      </c>
      <c r="E6420" s="33" t="n">
        <f aca="false">HOUR(A6420)+MINUTE(A6420)/60</f>
        <v>10</v>
      </c>
      <c r="F6420" s="33" t="n">
        <f aca="false">IF(OR(D6420&gt;5,E6420&lt;8,E6420&gt;=18,COUNTIF($K$2:$K$10,INT(A6420))&gt;0),1,0)</f>
        <v>0</v>
      </c>
      <c r="G6420" s="34" t="n">
        <f aca="false">B6420/1</f>
        <v>271.6</v>
      </c>
      <c r="H6420" s="34" t="str">
        <f aca="false">IF(F6420=1,G6420,"")</f>
        <v/>
      </c>
    </row>
    <row r="6421" customFormat="false" ht="15" hidden="false" customHeight="false" outlineLevel="0" collapsed="false">
      <c r="A6421" s="31" t="n">
        <v>43003.4583333333</v>
      </c>
      <c r="B6421" s="32" t="n">
        <v>281.017</v>
      </c>
      <c r="D6421" s="33" t="n">
        <f aca="false">WEEKDAY(A6421,2)</f>
        <v>1</v>
      </c>
      <c r="E6421" s="33" t="n">
        <f aca="false">HOUR(A6421)+MINUTE(A6421)/60</f>
        <v>11</v>
      </c>
      <c r="F6421" s="33" t="n">
        <f aca="false">IF(OR(D6421&gt;5,E6421&lt;8,E6421&gt;=18,COUNTIF($K$2:$K$10,INT(A6421))&gt;0),1,0)</f>
        <v>0</v>
      </c>
      <c r="G6421" s="34" t="n">
        <f aca="false">B6421/1</f>
        <v>281.017</v>
      </c>
      <c r="H6421" s="34" t="str">
        <f aca="false">IF(F6421=1,G6421,"")</f>
        <v/>
      </c>
    </row>
    <row r="6422" customFormat="false" ht="15" hidden="false" customHeight="false" outlineLevel="0" collapsed="false">
      <c r="A6422" s="31" t="n">
        <v>43003.5</v>
      </c>
      <c r="B6422" s="32" t="n">
        <v>275.648</v>
      </c>
      <c r="D6422" s="33" t="n">
        <f aca="false">WEEKDAY(A6422,2)</f>
        <v>1</v>
      </c>
      <c r="E6422" s="33" t="n">
        <f aca="false">HOUR(A6422)+MINUTE(A6422)/60</f>
        <v>12</v>
      </c>
      <c r="F6422" s="33" t="n">
        <f aca="false">IF(OR(D6422&gt;5,E6422&lt;8,E6422&gt;=18,COUNTIF($K$2:$K$10,INT(A6422))&gt;0),1,0)</f>
        <v>0</v>
      </c>
      <c r="G6422" s="34" t="n">
        <f aca="false">B6422/1</f>
        <v>275.648</v>
      </c>
      <c r="H6422" s="34" t="str">
        <f aca="false">IF(F6422=1,G6422,"")</f>
        <v/>
      </c>
    </row>
    <row r="6423" customFormat="false" ht="15" hidden="false" customHeight="false" outlineLevel="0" collapsed="false">
      <c r="A6423" s="31" t="n">
        <v>43003.5416666667</v>
      </c>
      <c r="B6423" s="32" t="n">
        <v>269.79</v>
      </c>
      <c r="D6423" s="33" t="n">
        <f aca="false">WEEKDAY(A6423,2)</f>
        <v>1</v>
      </c>
      <c r="E6423" s="33" t="n">
        <f aca="false">HOUR(A6423)+MINUTE(A6423)/60</f>
        <v>13</v>
      </c>
      <c r="F6423" s="33" t="n">
        <f aca="false">IF(OR(D6423&gt;5,E6423&lt;8,E6423&gt;=18,COUNTIF($K$2:$K$10,INT(A6423))&gt;0),1,0)</f>
        <v>0</v>
      </c>
      <c r="G6423" s="34" t="n">
        <f aca="false">B6423/1</f>
        <v>269.79</v>
      </c>
      <c r="H6423" s="34" t="str">
        <f aca="false">IF(F6423=1,G6423,"")</f>
        <v/>
      </c>
    </row>
    <row r="6424" customFormat="false" ht="15" hidden="false" customHeight="false" outlineLevel="0" collapsed="false">
      <c r="A6424" s="31" t="n">
        <v>43003.5833333333</v>
      </c>
      <c r="B6424" s="32" t="n">
        <v>276.45</v>
      </c>
      <c r="D6424" s="33" t="n">
        <f aca="false">WEEKDAY(A6424,2)</f>
        <v>1</v>
      </c>
      <c r="E6424" s="33" t="n">
        <f aca="false">HOUR(A6424)+MINUTE(A6424)/60</f>
        <v>14</v>
      </c>
      <c r="F6424" s="33" t="n">
        <f aca="false">IF(OR(D6424&gt;5,E6424&lt;8,E6424&gt;=18,COUNTIF($K$2:$K$10,INT(A6424))&gt;0),1,0)</f>
        <v>0</v>
      </c>
      <c r="G6424" s="34" t="n">
        <f aca="false">B6424/1</f>
        <v>276.45</v>
      </c>
      <c r="H6424" s="34" t="str">
        <f aca="false">IF(F6424=1,G6424,"")</f>
        <v/>
      </c>
    </row>
    <row r="6425" customFormat="false" ht="15" hidden="false" customHeight="false" outlineLevel="0" collapsed="false">
      <c r="A6425" s="31" t="n">
        <v>43003.625</v>
      </c>
      <c r="B6425" s="32" t="n">
        <v>283.527</v>
      </c>
      <c r="D6425" s="33" t="n">
        <f aca="false">WEEKDAY(A6425,2)</f>
        <v>1</v>
      </c>
      <c r="E6425" s="33" t="n">
        <f aca="false">HOUR(A6425)+MINUTE(A6425)/60</f>
        <v>15</v>
      </c>
      <c r="F6425" s="33" t="n">
        <f aca="false">IF(OR(D6425&gt;5,E6425&lt;8,E6425&gt;=18,COUNTIF($K$2:$K$10,INT(A6425))&gt;0),1,0)</f>
        <v>0</v>
      </c>
      <c r="G6425" s="34" t="n">
        <f aca="false">B6425/1</f>
        <v>283.527</v>
      </c>
      <c r="H6425" s="34" t="str">
        <f aca="false">IF(F6425=1,G6425,"")</f>
        <v/>
      </c>
    </row>
    <row r="6426" customFormat="false" ht="15" hidden="false" customHeight="false" outlineLevel="0" collapsed="false">
      <c r="A6426" s="31" t="n">
        <v>43003.6666666667</v>
      </c>
      <c r="B6426" s="32" t="n">
        <v>280.935</v>
      </c>
      <c r="D6426" s="33" t="n">
        <f aca="false">WEEKDAY(A6426,2)</f>
        <v>1</v>
      </c>
      <c r="E6426" s="33" t="n">
        <f aca="false">HOUR(A6426)+MINUTE(A6426)/60</f>
        <v>16</v>
      </c>
      <c r="F6426" s="33" t="n">
        <f aca="false">IF(OR(D6426&gt;5,E6426&lt;8,E6426&gt;=18,COUNTIF($K$2:$K$10,INT(A6426))&gt;0),1,0)</f>
        <v>0</v>
      </c>
      <c r="G6426" s="34" t="n">
        <f aca="false">B6426/1</f>
        <v>280.935</v>
      </c>
      <c r="H6426" s="34" t="str">
        <f aca="false">IF(F6426=1,G6426,"")</f>
        <v/>
      </c>
    </row>
    <row r="6427" customFormat="false" ht="15" hidden="false" customHeight="false" outlineLevel="0" collapsed="false">
      <c r="A6427" s="31" t="n">
        <v>43003.7083333333</v>
      </c>
      <c r="B6427" s="32" t="n">
        <v>268.692</v>
      </c>
      <c r="D6427" s="33" t="n">
        <f aca="false">WEEKDAY(A6427,2)</f>
        <v>1</v>
      </c>
      <c r="E6427" s="33" t="n">
        <f aca="false">HOUR(A6427)+MINUTE(A6427)/60</f>
        <v>17</v>
      </c>
      <c r="F6427" s="33" t="n">
        <f aca="false">IF(OR(D6427&gt;5,E6427&lt;8,E6427&gt;=18,COUNTIF($K$2:$K$10,INT(A6427))&gt;0),1,0)</f>
        <v>0</v>
      </c>
      <c r="G6427" s="34" t="n">
        <f aca="false">B6427/1</f>
        <v>268.692</v>
      </c>
      <c r="H6427" s="34" t="str">
        <f aca="false">IF(F6427=1,G6427,"")</f>
        <v/>
      </c>
    </row>
    <row r="6428" customFormat="false" ht="15" hidden="false" customHeight="false" outlineLevel="0" collapsed="false">
      <c r="A6428" s="31" t="n">
        <v>43003.75</v>
      </c>
      <c r="B6428" s="32" t="n">
        <v>248.018</v>
      </c>
      <c r="D6428" s="33" t="n">
        <f aca="false">WEEKDAY(A6428,2)</f>
        <v>1</v>
      </c>
      <c r="E6428" s="33" t="n">
        <f aca="false">HOUR(A6428)+MINUTE(A6428)/60</f>
        <v>18</v>
      </c>
      <c r="F6428" s="33" t="n">
        <f aca="false">IF(OR(D6428&gt;5,E6428&lt;8,E6428&gt;=18,COUNTIF($K$2:$K$10,INT(A6428))&gt;0),1,0)</f>
        <v>1</v>
      </c>
      <c r="G6428" s="34" t="n">
        <f aca="false">B6428/1</f>
        <v>248.018</v>
      </c>
      <c r="H6428" s="34" t="n">
        <f aca="false">IF(F6428=1,G6428,"")</f>
        <v>248.018</v>
      </c>
    </row>
    <row r="6429" customFormat="false" ht="15" hidden="false" customHeight="false" outlineLevel="0" collapsed="false">
      <c r="A6429" s="31" t="n">
        <v>43003.7916666667</v>
      </c>
      <c r="B6429" s="32" t="n">
        <v>235.76</v>
      </c>
      <c r="D6429" s="33" t="n">
        <f aca="false">WEEKDAY(A6429,2)</f>
        <v>1</v>
      </c>
      <c r="E6429" s="33" t="n">
        <f aca="false">HOUR(A6429)+MINUTE(A6429)/60</f>
        <v>19</v>
      </c>
      <c r="F6429" s="33" t="n">
        <f aca="false">IF(OR(D6429&gt;5,E6429&lt;8,E6429&gt;=18,COUNTIF($K$2:$K$10,INT(A6429))&gt;0),1,0)</f>
        <v>1</v>
      </c>
      <c r="G6429" s="34" t="n">
        <f aca="false">B6429/1</f>
        <v>235.76</v>
      </c>
      <c r="H6429" s="34" t="n">
        <f aca="false">IF(F6429=1,G6429,"")</f>
        <v>235.76</v>
      </c>
    </row>
    <row r="6430" customFormat="false" ht="15" hidden="false" customHeight="false" outlineLevel="0" collapsed="false">
      <c r="A6430" s="31" t="n">
        <v>43003.8333333333</v>
      </c>
      <c r="B6430" s="32" t="n">
        <v>223.553</v>
      </c>
      <c r="D6430" s="33" t="n">
        <f aca="false">WEEKDAY(A6430,2)</f>
        <v>1</v>
      </c>
      <c r="E6430" s="33" t="n">
        <f aca="false">HOUR(A6430)+MINUTE(A6430)/60</f>
        <v>20</v>
      </c>
      <c r="F6430" s="33" t="n">
        <f aca="false">IF(OR(D6430&gt;5,E6430&lt;8,E6430&gt;=18,COUNTIF($K$2:$K$10,INT(A6430))&gt;0),1,0)</f>
        <v>1</v>
      </c>
      <c r="G6430" s="34" t="n">
        <f aca="false">B6430/1</f>
        <v>223.553</v>
      </c>
      <c r="H6430" s="34" t="n">
        <f aca="false">IF(F6430=1,G6430,"")</f>
        <v>223.553</v>
      </c>
    </row>
    <row r="6431" customFormat="false" ht="15" hidden="false" customHeight="false" outlineLevel="0" collapsed="false">
      <c r="A6431" s="31" t="n">
        <v>43003.875</v>
      </c>
      <c r="B6431" s="32" t="n">
        <v>215.152</v>
      </c>
      <c r="D6431" s="33" t="n">
        <f aca="false">WEEKDAY(A6431,2)</f>
        <v>1</v>
      </c>
      <c r="E6431" s="33" t="n">
        <f aca="false">HOUR(A6431)+MINUTE(A6431)/60</f>
        <v>21</v>
      </c>
      <c r="F6431" s="33" t="n">
        <f aca="false">IF(OR(D6431&gt;5,E6431&lt;8,E6431&gt;=18,COUNTIF($K$2:$K$10,INT(A6431))&gt;0),1,0)</f>
        <v>1</v>
      </c>
      <c r="G6431" s="34" t="n">
        <f aca="false">B6431/1</f>
        <v>215.152</v>
      </c>
      <c r="H6431" s="34" t="n">
        <f aca="false">IF(F6431=1,G6431,"")</f>
        <v>215.152</v>
      </c>
    </row>
    <row r="6432" customFormat="false" ht="15" hidden="false" customHeight="false" outlineLevel="0" collapsed="false">
      <c r="A6432" s="31" t="n">
        <v>43003.9166666667</v>
      </c>
      <c r="B6432" s="32" t="n">
        <v>152.245</v>
      </c>
      <c r="D6432" s="33" t="n">
        <f aca="false">WEEKDAY(A6432,2)</f>
        <v>1</v>
      </c>
      <c r="E6432" s="33" t="n">
        <f aca="false">HOUR(A6432)+MINUTE(A6432)/60</f>
        <v>22</v>
      </c>
      <c r="F6432" s="33" t="n">
        <f aca="false">IF(OR(D6432&gt;5,E6432&lt;8,E6432&gt;=18,COUNTIF($K$2:$K$10,INT(A6432))&gt;0),1,0)</f>
        <v>1</v>
      </c>
      <c r="G6432" s="34" t="n">
        <f aca="false">B6432/1</f>
        <v>152.245</v>
      </c>
      <c r="H6432" s="34" t="n">
        <f aca="false">IF(F6432=1,G6432,"")</f>
        <v>152.245</v>
      </c>
    </row>
    <row r="6433" customFormat="false" ht="15" hidden="false" customHeight="false" outlineLevel="0" collapsed="false">
      <c r="A6433" s="31" t="n">
        <v>43003.9583333333</v>
      </c>
      <c r="B6433" s="32" t="n">
        <v>78.665</v>
      </c>
      <c r="D6433" s="33" t="n">
        <f aca="false">WEEKDAY(A6433,2)</f>
        <v>1</v>
      </c>
      <c r="E6433" s="33" t="n">
        <f aca="false">HOUR(A6433)+MINUTE(A6433)/60</f>
        <v>23</v>
      </c>
      <c r="F6433" s="33" t="n">
        <f aca="false">IF(OR(D6433&gt;5,E6433&lt;8,E6433&gt;=18,COUNTIF($K$2:$K$10,INT(A6433))&gt;0),1,0)</f>
        <v>1</v>
      </c>
      <c r="G6433" s="34" t="n">
        <f aca="false">B6433/1</f>
        <v>78.665</v>
      </c>
      <c r="H6433" s="34" t="n">
        <f aca="false">IF(F6433=1,G6433,"")</f>
        <v>78.665</v>
      </c>
    </row>
    <row r="6434" customFormat="false" ht="15" hidden="false" customHeight="false" outlineLevel="0" collapsed="false">
      <c r="A6434" s="31" t="n">
        <v>43004</v>
      </c>
      <c r="B6434" s="32" t="n">
        <v>75.301</v>
      </c>
      <c r="D6434" s="33" t="n">
        <f aca="false">WEEKDAY(A6434,2)</f>
        <v>2</v>
      </c>
      <c r="E6434" s="33" t="n">
        <f aca="false">HOUR(A6434)+MINUTE(A6434)/60</f>
        <v>0</v>
      </c>
      <c r="F6434" s="33" t="n">
        <f aca="false">IF(OR(D6434&gt;5,E6434&lt;8,E6434&gt;=18,COUNTIF($K$2:$K$10,INT(A6434))&gt;0),1,0)</f>
        <v>1</v>
      </c>
      <c r="G6434" s="34" t="n">
        <f aca="false">B6434/1</f>
        <v>75.301</v>
      </c>
      <c r="H6434" s="34" t="n">
        <f aca="false">IF(F6434=1,G6434,"")</f>
        <v>75.301</v>
      </c>
    </row>
    <row r="6435" customFormat="false" ht="15" hidden="false" customHeight="false" outlineLevel="0" collapsed="false">
      <c r="A6435" s="31" t="n">
        <v>43004.0416666667</v>
      </c>
      <c r="B6435" s="32" t="n">
        <v>74.221</v>
      </c>
      <c r="D6435" s="33" t="n">
        <f aca="false">WEEKDAY(A6435,2)</f>
        <v>2</v>
      </c>
      <c r="E6435" s="33" t="n">
        <f aca="false">HOUR(A6435)+MINUTE(A6435)/60</f>
        <v>1</v>
      </c>
      <c r="F6435" s="33" t="n">
        <f aca="false">IF(OR(D6435&gt;5,E6435&lt;8,E6435&gt;=18,COUNTIF($K$2:$K$10,INT(A6435))&gt;0),1,0)</f>
        <v>1</v>
      </c>
      <c r="G6435" s="34" t="n">
        <f aca="false">B6435/1</f>
        <v>74.221</v>
      </c>
      <c r="H6435" s="34" t="n">
        <f aca="false">IF(F6435=1,G6435,"")</f>
        <v>74.221</v>
      </c>
    </row>
    <row r="6436" customFormat="false" ht="15" hidden="false" customHeight="false" outlineLevel="0" collapsed="false">
      <c r="A6436" s="31" t="n">
        <v>43004.0833333333</v>
      </c>
      <c r="B6436" s="32" t="n">
        <v>71.363</v>
      </c>
      <c r="D6436" s="33" t="n">
        <f aca="false">WEEKDAY(A6436,2)</f>
        <v>2</v>
      </c>
      <c r="E6436" s="33" t="n">
        <f aca="false">HOUR(A6436)+MINUTE(A6436)/60</f>
        <v>2</v>
      </c>
      <c r="F6436" s="33" t="n">
        <f aca="false">IF(OR(D6436&gt;5,E6436&lt;8,E6436&gt;=18,COUNTIF($K$2:$K$10,INT(A6436))&gt;0),1,0)</f>
        <v>1</v>
      </c>
      <c r="G6436" s="34" t="n">
        <f aca="false">B6436/1</f>
        <v>71.363</v>
      </c>
      <c r="H6436" s="34" t="n">
        <f aca="false">IF(F6436=1,G6436,"")</f>
        <v>71.363</v>
      </c>
    </row>
    <row r="6437" customFormat="false" ht="15" hidden="false" customHeight="false" outlineLevel="0" collapsed="false">
      <c r="A6437" s="31" t="n">
        <v>43004.125</v>
      </c>
      <c r="B6437" s="32" t="n">
        <v>71.398</v>
      </c>
      <c r="D6437" s="33" t="n">
        <f aca="false">WEEKDAY(A6437,2)</f>
        <v>2</v>
      </c>
      <c r="E6437" s="33" t="n">
        <f aca="false">HOUR(A6437)+MINUTE(A6437)/60</f>
        <v>3</v>
      </c>
      <c r="F6437" s="33" t="n">
        <f aca="false">IF(OR(D6437&gt;5,E6437&lt;8,E6437&gt;=18,COUNTIF($K$2:$K$10,INT(A6437))&gt;0),1,0)</f>
        <v>1</v>
      </c>
      <c r="G6437" s="34" t="n">
        <f aca="false">B6437/1</f>
        <v>71.398</v>
      </c>
      <c r="H6437" s="34" t="n">
        <f aca="false">IF(F6437=1,G6437,"")</f>
        <v>71.398</v>
      </c>
    </row>
    <row r="6438" customFormat="false" ht="15" hidden="false" customHeight="false" outlineLevel="0" collapsed="false">
      <c r="A6438" s="31" t="n">
        <v>43004.1666666667</v>
      </c>
      <c r="B6438" s="32" t="n">
        <v>71.158</v>
      </c>
      <c r="D6438" s="33" t="n">
        <f aca="false">WEEKDAY(A6438,2)</f>
        <v>2</v>
      </c>
      <c r="E6438" s="33" t="n">
        <f aca="false">HOUR(A6438)+MINUTE(A6438)/60</f>
        <v>4</v>
      </c>
      <c r="F6438" s="33" t="n">
        <f aca="false">IF(OR(D6438&gt;5,E6438&lt;8,E6438&gt;=18,COUNTIF($K$2:$K$10,INT(A6438))&gt;0),1,0)</f>
        <v>1</v>
      </c>
      <c r="G6438" s="34" t="n">
        <f aca="false">B6438/1</f>
        <v>71.158</v>
      </c>
      <c r="H6438" s="34" t="n">
        <f aca="false">IF(F6438=1,G6438,"")</f>
        <v>71.158</v>
      </c>
    </row>
    <row r="6439" customFormat="false" ht="15" hidden="false" customHeight="false" outlineLevel="0" collapsed="false">
      <c r="A6439" s="31" t="n">
        <v>43004.2083333333</v>
      </c>
      <c r="B6439" s="32" t="n">
        <v>71.061</v>
      </c>
      <c r="D6439" s="33" t="n">
        <f aca="false">WEEKDAY(A6439,2)</f>
        <v>2</v>
      </c>
      <c r="E6439" s="33" t="n">
        <f aca="false">HOUR(A6439)+MINUTE(A6439)/60</f>
        <v>5</v>
      </c>
      <c r="F6439" s="33" t="n">
        <f aca="false">IF(OR(D6439&gt;5,E6439&lt;8,E6439&gt;=18,COUNTIF($K$2:$K$10,INT(A6439))&gt;0),1,0)</f>
        <v>1</v>
      </c>
      <c r="G6439" s="34" t="n">
        <f aca="false">B6439/1</f>
        <v>71.061</v>
      </c>
      <c r="H6439" s="34" t="n">
        <f aca="false">IF(F6439=1,G6439,"")</f>
        <v>71.061</v>
      </c>
    </row>
    <row r="6440" customFormat="false" ht="15" hidden="false" customHeight="false" outlineLevel="0" collapsed="false">
      <c r="A6440" s="31" t="n">
        <v>43004.25</v>
      </c>
      <c r="B6440" s="32" t="n">
        <v>71.478</v>
      </c>
      <c r="D6440" s="33" t="n">
        <f aca="false">WEEKDAY(A6440,2)</f>
        <v>2</v>
      </c>
      <c r="E6440" s="33" t="n">
        <f aca="false">HOUR(A6440)+MINUTE(A6440)/60</f>
        <v>6</v>
      </c>
      <c r="F6440" s="33" t="n">
        <f aca="false">IF(OR(D6440&gt;5,E6440&lt;8,E6440&gt;=18,COUNTIF($K$2:$K$10,INT(A6440))&gt;0),1,0)</f>
        <v>1</v>
      </c>
      <c r="G6440" s="34" t="n">
        <f aca="false">B6440/1</f>
        <v>71.478</v>
      </c>
      <c r="H6440" s="34" t="n">
        <f aca="false">IF(F6440=1,G6440,"")</f>
        <v>71.478</v>
      </c>
    </row>
    <row r="6441" customFormat="false" ht="15" hidden="false" customHeight="false" outlineLevel="0" collapsed="false">
      <c r="A6441" s="31" t="n">
        <v>43004.2916666667</v>
      </c>
      <c r="B6441" s="32" t="n">
        <v>77.805</v>
      </c>
      <c r="D6441" s="33" t="n">
        <f aca="false">WEEKDAY(A6441,2)</f>
        <v>2</v>
      </c>
      <c r="E6441" s="33" t="n">
        <f aca="false">HOUR(A6441)+MINUTE(A6441)/60</f>
        <v>7</v>
      </c>
      <c r="F6441" s="33" t="n">
        <f aca="false">IF(OR(D6441&gt;5,E6441&lt;8,E6441&gt;=18,COUNTIF($K$2:$K$10,INT(A6441))&gt;0),1,0)</f>
        <v>1</v>
      </c>
      <c r="G6441" s="34" t="n">
        <f aca="false">B6441/1</f>
        <v>77.805</v>
      </c>
      <c r="H6441" s="34" t="n">
        <f aca="false">IF(F6441=1,G6441,"")</f>
        <v>77.805</v>
      </c>
    </row>
    <row r="6442" customFormat="false" ht="15" hidden="false" customHeight="false" outlineLevel="0" collapsed="false">
      <c r="A6442" s="31" t="n">
        <v>43004.3333333333</v>
      </c>
      <c r="B6442" s="32" t="n">
        <v>197.771</v>
      </c>
      <c r="D6442" s="33" t="n">
        <f aca="false">WEEKDAY(A6442,2)</f>
        <v>2</v>
      </c>
      <c r="E6442" s="33" t="n">
        <f aca="false">HOUR(A6442)+MINUTE(A6442)/60</f>
        <v>8</v>
      </c>
      <c r="F6442" s="33" t="n">
        <f aca="false">IF(OR(D6442&gt;5,E6442&lt;8,E6442&gt;=18,COUNTIF($K$2:$K$10,INT(A6442))&gt;0),1,0)</f>
        <v>0</v>
      </c>
      <c r="G6442" s="34" t="n">
        <f aca="false">B6442/1</f>
        <v>197.771</v>
      </c>
      <c r="H6442" s="34" t="str">
        <f aca="false">IF(F6442=1,G6442,"")</f>
        <v/>
      </c>
    </row>
    <row r="6443" customFormat="false" ht="15" hidden="false" customHeight="false" outlineLevel="0" collapsed="false">
      <c r="A6443" s="31" t="n">
        <v>43004.375</v>
      </c>
      <c r="B6443" s="32" t="n">
        <v>235.35</v>
      </c>
      <c r="D6443" s="33" t="n">
        <f aca="false">WEEKDAY(A6443,2)</f>
        <v>2</v>
      </c>
      <c r="E6443" s="33" t="n">
        <f aca="false">HOUR(A6443)+MINUTE(A6443)/60</f>
        <v>9</v>
      </c>
      <c r="F6443" s="33" t="n">
        <f aca="false">IF(OR(D6443&gt;5,E6443&lt;8,E6443&gt;=18,COUNTIF($K$2:$K$10,INT(A6443))&gt;0),1,0)</f>
        <v>0</v>
      </c>
      <c r="G6443" s="34" t="n">
        <f aca="false">B6443/1</f>
        <v>235.35</v>
      </c>
      <c r="H6443" s="34" t="str">
        <f aca="false">IF(F6443=1,G6443,"")</f>
        <v/>
      </c>
    </row>
    <row r="6444" customFormat="false" ht="15" hidden="false" customHeight="false" outlineLevel="0" collapsed="false">
      <c r="A6444" s="31" t="n">
        <v>43004.4166666667</v>
      </c>
      <c r="B6444" s="32" t="n">
        <v>258.568</v>
      </c>
      <c r="D6444" s="33" t="n">
        <f aca="false">WEEKDAY(A6444,2)</f>
        <v>2</v>
      </c>
      <c r="E6444" s="33" t="n">
        <f aca="false">HOUR(A6444)+MINUTE(A6444)/60</f>
        <v>10</v>
      </c>
      <c r="F6444" s="33" t="n">
        <f aca="false">IF(OR(D6444&gt;5,E6444&lt;8,E6444&gt;=18,COUNTIF($K$2:$K$10,INT(A6444))&gt;0),1,0)</f>
        <v>0</v>
      </c>
      <c r="G6444" s="34" t="n">
        <f aca="false">B6444/1</f>
        <v>258.568</v>
      </c>
      <c r="H6444" s="34" t="str">
        <f aca="false">IF(F6444=1,G6444,"")</f>
        <v/>
      </c>
    </row>
    <row r="6445" customFormat="false" ht="15" hidden="false" customHeight="false" outlineLevel="0" collapsed="false">
      <c r="A6445" s="31" t="n">
        <v>43004.4583333333</v>
      </c>
      <c r="B6445" s="32" t="n">
        <v>278.494</v>
      </c>
      <c r="D6445" s="33" t="n">
        <f aca="false">WEEKDAY(A6445,2)</f>
        <v>2</v>
      </c>
      <c r="E6445" s="33" t="n">
        <f aca="false">HOUR(A6445)+MINUTE(A6445)/60</f>
        <v>11</v>
      </c>
      <c r="F6445" s="33" t="n">
        <f aca="false">IF(OR(D6445&gt;5,E6445&lt;8,E6445&gt;=18,COUNTIF($K$2:$K$10,INT(A6445))&gt;0),1,0)</f>
        <v>0</v>
      </c>
      <c r="G6445" s="34" t="n">
        <f aca="false">B6445/1</f>
        <v>278.494</v>
      </c>
      <c r="H6445" s="34" t="str">
        <f aca="false">IF(F6445=1,G6445,"")</f>
        <v/>
      </c>
    </row>
    <row r="6446" customFormat="false" ht="15" hidden="false" customHeight="false" outlineLevel="0" collapsed="false">
      <c r="A6446" s="31" t="n">
        <v>43004.5</v>
      </c>
      <c r="B6446" s="32" t="n">
        <v>289.943</v>
      </c>
      <c r="D6446" s="33" t="n">
        <f aca="false">WEEKDAY(A6446,2)</f>
        <v>2</v>
      </c>
      <c r="E6446" s="33" t="n">
        <f aca="false">HOUR(A6446)+MINUTE(A6446)/60</f>
        <v>12</v>
      </c>
      <c r="F6446" s="33" t="n">
        <f aca="false">IF(OR(D6446&gt;5,E6446&lt;8,E6446&gt;=18,COUNTIF($K$2:$K$10,INT(A6446))&gt;0),1,0)</f>
        <v>0</v>
      </c>
      <c r="G6446" s="34" t="n">
        <f aca="false">B6446/1</f>
        <v>289.943</v>
      </c>
      <c r="H6446" s="34" t="str">
        <f aca="false">IF(F6446=1,G6446,"")</f>
        <v/>
      </c>
    </row>
    <row r="6447" customFormat="false" ht="15" hidden="false" customHeight="false" outlineLevel="0" collapsed="false">
      <c r="A6447" s="31" t="n">
        <v>43004.5416666667</v>
      </c>
      <c r="B6447" s="32" t="n">
        <v>288.09</v>
      </c>
      <c r="D6447" s="33" t="n">
        <f aca="false">WEEKDAY(A6447,2)</f>
        <v>2</v>
      </c>
      <c r="E6447" s="33" t="n">
        <f aca="false">HOUR(A6447)+MINUTE(A6447)/60</f>
        <v>13</v>
      </c>
      <c r="F6447" s="33" t="n">
        <f aca="false">IF(OR(D6447&gt;5,E6447&lt;8,E6447&gt;=18,COUNTIF($K$2:$K$10,INT(A6447))&gt;0),1,0)</f>
        <v>0</v>
      </c>
      <c r="G6447" s="34" t="n">
        <f aca="false">B6447/1</f>
        <v>288.09</v>
      </c>
      <c r="H6447" s="34" t="str">
        <f aca="false">IF(F6447=1,G6447,"")</f>
        <v/>
      </c>
    </row>
    <row r="6448" customFormat="false" ht="15" hidden="false" customHeight="false" outlineLevel="0" collapsed="false">
      <c r="A6448" s="31" t="n">
        <v>43004.5833333333</v>
      </c>
      <c r="B6448" s="32" t="n">
        <v>308.475</v>
      </c>
      <c r="D6448" s="33" t="n">
        <f aca="false">WEEKDAY(A6448,2)</f>
        <v>2</v>
      </c>
      <c r="E6448" s="33" t="n">
        <f aca="false">HOUR(A6448)+MINUTE(A6448)/60</f>
        <v>14</v>
      </c>
      <c r="F6448" s="33" t="n">
        <f aca="false">IF(OR(D6448&gt;5,E6448&lt;8,E6448&gt;=18,COUNTIF($K$2:$K$10,INT(A6448))&gt;0),1,0)</f>
        <v>0</v>
      </c>
      <c r="G6448" s="34" t="n">
        <f aca="false">B6448/1</f>
        <v>308.475</v>
      </c>
      <c r="H6448" s="34" t="str">
        <f aca="false">IF(F6448=1,G6448,"")</f>
        <v/>
      </c>
    </row>
    <row r="6449" customFormat="false" ht="15" hidden="false" customHeight="false" outlineLevel="0" collapsed="false">
      <c r="A6449" s="31" t="n">
        <v>43004.625</v>
      </c>
      <c r="B6449" s="32" t="n">
        <v>268.771</v>
      </c>
      <c r="D6449" s="33" t="n">
        <f aca="false">WEEKDAY(A6449,2)</f>
        <v>2</v>
      </c>
      <c r="E6449" s="33" t="n">
        <f aca="false">HOUR(A6449)+MINUTE(A6449)/60</f>
        <v>15</v>
      </c>
      <c r="F6449" s="33" t="n">
        <f aca="false">IF(OR(D6449&gt;5,E6449&lt;8,E6449&gt;=18,COUNTIF($K$2:$K$10,INT(A6449))&gt;0),1,0)</f>
        <v>0</v>
      </c>
      <c r="G6449" s="34" t="n">
        <f aca="false">B6449/1</f>
        <v>268.771</v>
      </c>
      <c r="H6449" s="34" t="str">
        <f aca="false">IF(F6449=1,G6449,"")</f>
        <v/>
      </c>
    </row>
    <row r="6450" customFormat="false" ht="15" hidden="false" customHeight="false" outlineLevel="0" collapsed="false">
      <c r="A6450" s="31" t="n">
        <v>43004.6666666667</v>
      </c>
      <c r="B6450" s="32" t="n">
        <v>262.53</v>
      </c>
      <c r="D6450" s="33" t="n">
        <f aca="false">WEEKDAY(A6450,2)</f>
        <v>2</v>
      </c>
      <c r="E6450" s="33" t="n">
        <f aca="false">HOUR(A6450)+MINUTE(A6450)/60</f>
        <v>16</v>
      </c>
      <c r="F6450" s="33" t="n">
        <f aca="false">IF(OR(D6450&gt;5,E6450&lt;8,E6450&gt;=18,COUNTIF($K$2:$K$10,INT(A6450))&gt;0),1,0)</f>
        <v>0</v>
      </c>
      <c r="G6450" s="34" t="n">
        <f aca="false">B6450/1</f>
        <v>262.53</v>
      </c>
      <c r="H6450" s="34" t="str">
        <f aca="false">IF(F6450=1,G6450,"")</f>
        <v/>
      </c>
    </row>
    <row r="6451" customFormat="false" ht="15" hidden="false" customHeight="false" outlineLevel="0" collapsed="false">
      <c r="A6451" s="31" t="n">
        <v>43004.7083333333</v>
      </c>
      <c r="B6451" s="32" t="n">
        <v>256.633</v>
      </c>
      <c r="D6451" s="33" t="n">
        <f aca="false">WEEKDAY(A6451,2)</f>
        <v>2</v>
      </c>
      <c r="E6451" s="33" t="n">
        <f aca="false">HOUR(A6451)+MINUTE(A6451)/60</f>
        <v>17</v>
      </c>
      <c r="F6451" s="33" t="n">
        <f aca="false">IF(OR(D6451&gt;5,E6451&lt;8,E6451&gt;=18,COUNTIF($K$2:$K$10,INT(A6451))&gt;0),1,0)</f>
        <v>0</v>
      </c>
      <c r="G6451" s="34" t="n">
        <f aca="false">B6451/1</f>
        <v>256.633</v>
      </c>
      <c r="H6451" s="34" t="str">
        <f aca="false">IF(F6451=1,G6451,"")</f>
        <v/>
      </c>
    </row>
    <row r="6452" customFormat="false" ht="15" hidden="false" customHeight="false" outlineLevel="0" collapsed="false">
      <c r="A6452" s="31" t="n">
        <v>43004.75</v>
      </c>
      <c r="B6452" s="32" t="n">
        <v>225.447</v>
      </c>
      <c r="D6452" s="33" t="n">
        <f aca="false">WEEKDAY(A6452,2)</f>
        <v>2</v>
      </c>
      <c r="E6452" s="33" t="n">
        <f aca="false">HOUR(A6452)+MINUTE(A6452)/60</f>
        <v>18</v>
      </c>
      <c r="F6452" s="33" t="n">
        <f aca="false">IF(OR(D6452&gt;5,E6452&lt;8,E6452&gt;=18,COUNTIF($K$2:$K$10,INT(A6452))&gt;0),1,0)</f>
        <v>1</v>
      </c>
      <c r="G6452" s="34" t="n">
        <f aca="false">B6452/1</f>
        <v>225.447</v>
      </c>
      <c r="H6452" s="34" t="n">
        <f aca="false">IF(F6452=1,G6452,"")</f>
        <v>225.447</v>
      </c>
    </row>
    <row r="6453" customFormat="false" ht="15" hidden="false" customHeight="false" outlineLevel="0" collapsed="false">
      <c r="A6453" s="31" t="n">
        <v>43004.7916666667</v>
      </c>
      <c r="B6453" s="32" t="n">
        <v>209.092</v>
      </c>
      <c r="D6453" s="33" t="n">
        <f aca="false">WEEKDAY(A6453,2)</f>
        <v>2</v>
      </c>
      <c r="E6453" s="33" t="n">
        <f aca="false">HOUR(A6453)+MINUTE(A6453)/60</f>
        <v>19</v>
      </c>
      <c r="F6453" s="33" t="n">
        <f aca="false">IF(OR(D6453&gt;5,E6453&lt;8,E6453&gt;=18,COUNTIF($K$2:$K$10,INT(A6453))&gt;0),1,0)</f>
        <v>1</v>
      </c>
      <c r="G6453" s="34" t="n">
        <f aca="false">B6453/1</f>
        <v>209.092</v>
      </c>
      <c r="H6453" s="34" t="n">
        <f aca="false">IF(F6453=1,G6453,"")</f>
        <v>209.092</v>
      </c>
    </row>
    <row r="6454" customFormat="false" ht="15" hidden="false" customHeight="false" outlineLevel="0" collapsed="false">
      <c r="A6454" s="31" t="n">
        <v>43004.8333333333</v>
      </c>
      <c r="B6454" s="32" t="n">
        <v>203.504</v>
      </c>
      <c r="D6454" s="33" t="n">
        <f aca="false">WEEKDAY(A6454,2)</f>
        <v>2</v>
      </c>
      <c r="E6454" s="33" t="n">
        <f aca="false">HOUR(A6454)+MINUTE(A6454)/60</f>
        <v>20</v>
      </c>
      <c r="F6454" s="33" t="n">
        <f aca="false">IF(OR(D6454&gt;5,E6454&lt;8,E6454&gt;=18,COUNTIF($K$2:$K$10,INT(A6454))&gt;0),1,0)</f>
        <v>1</v>
      </c>
      <c r="G6454" s="34" t="n">
        <f aca="false">B6454/1</f>
        <v>203.504</v>
      </c>
      <c r="H6454" s="34" t="n">
        <f aca="false">IF(F6454=1,G6454,"")</f>
        <v>203.504</v>
      </c>
    </row>
    <row r="6455" customFormat="false" ht="15" hidden="false" customHeight="false" outlineLevel="0" collapsed="false">
      <c r="A6455" s="31" t="n">
        <v>43004.875</v>
      </c>
      <c r="B6455" s="32" t="n">
        <v>201.773</v>
      </c>
      <c r="D6455" s="33" t="n">
        <f aca="false">WEEKDAY(A6455,2)</f>
        <v>2</v>
      </c>
      <c r="E6455" s="33" t="n">
        <f aca="false">HOUR(A6455)+MINUTE(A6455)/60</f>
        <v>21</v>
      </c>
      <c r="F6455" s="33" t="n">
        <f aca="false">IF(OR(D6455&gt;5,E6455&lt;8,E6455&gt;=18,COUNTIF($K$2:$K$10,INT(A6455))&gt;0),1,0)</f>
        <v>1</v>
      </c>
      <c r="G6455" s="34" t="n">
        <f aca="false">B6455/1</f>
        <v>201.773</v>
      </c>
      <c r="H6455" s="34" t="n">
        <f aca="false">IF(F6455=1,G6455,"")</f>
        <v>201.773</v>
      </c>
    </row>
    <row r="6456" customFormat="false" ht="15" hidden="false" customHeight="false" outlineLevel="0" collapsed="false">
      <c r="A6456" s="31" t="n">
        <v>43004.9166666667</v>
      </c>
      <c r="B6456" s="32" t="n">
        <v>128.892</v>
      </c>
      <c r="D6456" s="33" t="n">
        <f aca="false">WEEKDAY(A6456,2)</f>
        <v>2</v>
      </c>
      <c r="E6456" s="33" t="n">
        <f aca="false">HOUR(A6456)+MINUTE(A6456)/60</f>
        <v>22</v>
      </c>
      <c r="F6456" s="33" t="n">
        <f aca="false">IF(OR(D6456&gt;5,E6456&lt;8,E6456&gt;=18,COUNTIF($K$2:$K$10,INT(A6456))&gt;0),1,0)</f>
        <v>1</v>
      </c>
      <c r="G6456" s="34" t="n">
        <f aca="false">B6456/1</f>
        <v>128.892</v>
      </c>
      <c r="H6456" s="34" t="n">
        <f aca="false">IF(F6456=1,G6456,"")</f>
        <v>128.892</v>
      </c>
    </row>
    <row r="6457" customFormat="false" ht="15" hidden="false" customHeight="false" outlineLevel="0" collapsed="false">
      <c r="A6457" s="31" t="n">
        <v>43004.9583333333</v>
      </c>
      <c r="B6457" s="32" t="n">
        <v>60.005</v>
      </c>
      <c r="D6457" s="33" t="n">
        <f aca="false">WEEKDAY(A6457,2)</f>
        <v>2</v>
      </c>
      <c r="E6457" s="33" t="n">
        <f aca="false">HOUR(A6457)+MINUTE(A6457)/60</f>
        <v>23</v>
      </c>
      <c r="F6457" s="33" t="n">
        <f aca="false">IF(OR(D6457&gt;5,E6457&lt;8,E6457&gt;=18,COUNTIF($K$2:$K$10,INT(A6457))&gt;0),1,0)</f>
        <v>1</v>
      </c>
      <c r="G6457" s="34" t="n">
        <f aca="false">B6457/1</f>
        <v>60.005</v>
      </c>
      <c r="H6457" s="34" t="n">
        <f aca="false">IF(F6457=1,G6457,"")</f>
        <v>60.005</v>
      </c>
    </row>
    <row r="6458" customFormat="false" ht="15" hidden="false" customHeight="false" outlineLevel="0" collapsed="false">
      <c r="A6458" s="31" t="n">
        <v>43005</v>
      </c>
      <c r="B6458" s="32" t="n">
        <v>57.325</v>
      </c>
      <c r="D6458" s="33" t="n">
        <f aca="false">WEEKDAY(A6458,2)</f>
        <v>3</v>
      </c>
      <c r="E6458" s="33" t="n">
        <f aca="false">HOUR(A6458)+MINUTE(A6458)/60</f>
        <v>0</v>
      </c>
      <c r="F6458" s="33" t="n">
        <f aca="false">IF(OR(D6458&gt;5,E6458&lt;8,E6458&gt;=18,COUNTIF($K$2:$K$10,INT(A6458))&gt;0),1,0)</f>
        <v>1</v>
      </c>
      <c r="G6458" s="34" t="n">
        <f aca="false">B6458/1</f>
        <v>57.325</v>
      </c>
      <c r="H6458" s="34" t="n">
        <f aca="false">IF(F6458=1,G6458,"")</f>
        <v>57.325</v>
      </c>
    </row>
    <row r="6459" customFormat="false" ht="15" hidden="false" customHeight="false" outlineLevel="0" collapsed="false">
      <c r="A6459" s="31" t="n">
        <v>43005.0416666667</v>
      </c>
      <c r="B6459" s="32" t="n">
        <v>50.923</v>
      </c>
      <c r="D6459" s="33" t="n">
        <f aca="false">WEEKDAY(A6459,2)</f>
        <v>3</v>
      </c>
      <c r="E6459" s="33" t="n">
        <f aca="false">HOUR(A6459)+MINUTE(A6459)/60</f>
        <v>1</v>
      </c>
      <c r="F6459" s="33" t="n">
        <f aca="false">IF(OR(D6459&gt;5,E6459&lt;8,E6459&gt;=18,COUNTIF($K$2:$K$10,INT(A6459))&gt;0),1,0)</f>
        <v>1</v>
      </c>
      <c r="G6459" s="34" t="n">
        <f aca="false">B6459/1</f>
        <v>50.923</v>
      </c>
      <c r="H6459" s="34" t="n">
        <f aca="false">IF(F6459=1,G6459,"")</f>
        <v>50.923</v>
      </c>
    </row>
    <row r="6460" customFormat="false" ht="15" hidden="false" customHeight="false" outlineLevel="0" collapsed="false">
      <c r="A6460" s="31" t="n">
        <v>43005.0833333333</v>
      </c>
      <c r="B6460" s="32" t="n">
        <v>49.371</v>
      </c>
      <c r="D6460" s="33" t="n">
        <f aca="false">WEEKDAY(A6460,2)</f>
        <v>3</v>
      </c>
      <c r="E6460" s="33" t="n">
        <f aca="false">HOUR(A6460)+MINUTE(A6460)/60</f>
        <v>2</v>
      </c>
      <c r="F6460" s="33" t="n">
        <f aca="false">IF(OR(D6460&gt;5,E6460&lt;8,E6460&gt;=18,COUNTIF($K$2:$K$10,INT(A6460))&gt;0),1,0)</f>
        <v>1</v>
      </c>
      <c r="G6460" s="34" t="n">
        <f aca="false">B6460/1</f>
        <v>49.371</v>
      </c>
      <c r="H6460" s="34" t="n">
        <f aca="false">IF(F6460=1,G6460,"")</f>
        <v>49.371</v>
      </c>
    </row>
    <row r="6461" customFormat="false" ht="15" hidden="false" customHeight="false" outlineLevel="0" collapsed="false">
      <c r="A6461" s="31" t="n">
        <v>43005.125</v>
      </c>
      <c r="B6461" s="32" t="n">
        <v>50.993</v>
      </c>
      <c r="D6461" s="33" t="n">
        <f aca="false">WEEKDAY(A6461,2)</f>
        <v>3</v>
      </c>
      <c r="E6461" s="33" t="n">
        <f aca="false">HOUR(A6461)+MINUTE(A6461)/60</f>
        <v>3</v>
      </c>
      <c r="F6461" s="33" t="n">
        <f aca="false">IF(OR(D6461&gt;5,E6461&lt;8,E6461&gt;=18,COUNTIF($K$2:$K$10,INT(A6461))&gt;0),1,0)</f>
        <v>1</v>
      </c>
      <c r="G6461" s="34" t="n">
        <f aca="false">B6461/1</f>
        <v>50.993</v>
      </c>
      <c r="H6461" s="34" t="n">
        <f aca="false">IF(F6461=1,G6461,"")</f>
        <v>50.993</v>
      </c>
    </row>
    <row r="6462" customFormat="false" ht="15" hidden="false" customHeight="false" outlineLevel="0" collapsed="false">
      <c r="A6462" s="31" t="n">
        <v>43005.1666666667</v>
      </c>
      <c r="B6462" s="32" t="n">
        <v>50.637</v>
      </c>
      <c r="D6462" s="33" t="n">
        <f aca="false">WEEKDAY(A6462,2)</f>
        <v>3</v>
      </c>
      <c r="E6462" s="33" t="n">
        <f aca="false">HOUR(A6462)+MINUTE(A6462)/60</f>
        <v>4</v>
      </c>
      <c r="F6462" s="33" t="n">
        <f aca="false">IF(OR(D6462&gt;5,E6462&lt;8,E6462&gt;=18,COUNTIF($K$2:$K$10,INT(A6462))&gt;0),1,0)</f>
        <v>1</v>
      </c>
      <c r="G6462" s="34" t="n">
        <f aca="false">B6462/1</f>
        <v>50.637</v>
      </c>
      <c r="H6462" s="34" t="n">
        <f aca="false">IF(F6462=1,G6462,"")</f>
        <v>50.637</v>
      </c>
    </row>
    <row r="6463" customFormat="false" ht="15" hidden="false" customHeight="false" outlineLevel="0" collapsed="false">
      <c r="A6463" s="31" t="n">
        <v>43005.2083333333</v>
      </c>
      <c r="B6463" s="32" t="n">
        <v>49.964</v>
      </c>
      <c r="D6463" s="33" t="n">
        <f aca="false">WEEKDAY(A6463,2)</f>
        <v>3</v>
      </c>
      <c r="E6463" s="33" t="n">
        <f aca="false">HOUR(A6463)+MINUTE(A6463)/60</f>
        <v>5</v>
      </c>
      <c r="F6463" s="33" t="n">
        <f aca="false">IF(OR(D6463&gt;5,E6463&lt;8,E6463&gt;=18,COUNTIF($K$2:$K$10,INT(A6463))&gt;0),1,0)</f>
        <v>1</v>
      </c>
      <c r="G6463" s="34" t="n">
        <f aca="false">B6463/1</f>
        <v>49.964</v>
      </c>
      <c r="H6463" s="34" t="n">
        <f aca="false">IF(F6463=1,G6463,"")</f>
        <v>49.964</v>
      </c>
    </row>
    <row r="6464" customFormat="false" ht="15" hidden="false" customHeight="false" outlineLevel="0" collapsed="false">
      <c r="A6464" s="31" t="n">
        <v>43005.25</v>
      </c>
      <c r="B6464" s="32" t="n">
        <v>52.165</v>
      </c>
      <c r="D6464" s="33" t="n">
        <f aca="false">WEEKDAY(A6464,2)</f>
        <v>3</v>
      </c>
      <c r="E6464" s="33" t="n">
        <f aca="false">HOUR(A6464)+MINUTE(A6464)/60</f>
        <v>6</v>
      </c>
      <c r="F6464" s="33" t="n">
        <f aca="false">IF(OR(D6464&gt;5,E6464&lt;8,E6464&gt;=18,COUNTIF($K$2:$K$10,INT(A6464))&gt;0),1,0)</f>
        <v>1</v>
      </c>
      <c r="G6464" s="34" t="n">
        <f aca="false">B6464/1</f>
        <v>52.165</v>
      </c>
      <c r="H6464" s="34" t="n">
        <f aca="false">IF(F6464=1,G6464,"")</f>
        <v>52.165</v>
      </c>
    </row>
    <row r="6465" customFormat="false" ht="15" hidden="false" customHeight="false" outlineLevel="0" collapsed="false">
      <c r="A6465" s="31" t="n">
        <v>43005.2916666667</v>
      </c>
      <c r="B6465" s="32" t="n">
        <v>58.194</v>
      </c>
      <c r="D6465" s="33" t="n">
        <f aca="false">WEEKDAY(A6465,2)</f>
        <v>3</v>
      </c>
      <c r="E6465" s="33" t="n">
        <f aca="false">HOUR(A6465)+MINUTE(A6465)/60</f>
        <v>7</v>
      </c>
      <c r="F6465" s="33" t="n">
        <f aca="false">IF(OR(D6465&gt;5,E6465&lt;8,E6465&gt;=18,COUNTIF($K$2:$K$10,INT(A6465))&gt;0),1,0)</f>
        <v>1</v>
      </c>
      <c r="G6465" s="34" t="n">
        <f aca="false">B6465/1</f>
        <v>58.194</v>
      </c>
      <c r="H6465" s="34" t="n">
        <f aca="false">IF(F6465=1,G6465,"")</f>
        <v>58.194</v>
      </c>
    </row>
    <row r="6466" customFormat="false" ht="15" hidden="false" customHeight="false" outlineLevel="0" collapsed="false">
      <c r="A6466" s="31" t="n">
        <v>43005.3333333333</v>
      </c>
      <c r="B6466" s="32" t="n">
        <v>182.738</v>
      </c>
      <c r="D6466" s="33" t="n">
        <f aca="false">WEEKDAY(A6466,2)</f>
        <v>3</v>
      </c>
      <c r="E6466" s="33" t="n">
        <f aca="false">HOUR(A6466)+MINUTE(A6466)/60</f>
        <v>8</v>
      </c>
      <c r="F6466" s="33" t="n">
        <f aca="false">IF(OR(D6466&gt;5,E6466&lt;8,E6466&gt;=18,COUNTIF($K$2:$K$10,INT(A6466))&gt;0),1,0)</f>
        <v>0</v>
      </c>
      <c r="G6466" s="34" t="n">
        <f aca="false">B6466/1</f>
        <v>182.738</v>
      </c>
      <c r="H6466" s="34" t="str">
        <f aca="false">IF(F6466=1,G6466,"")</f>
        <v/>
      </c>
    </row>
    <row r="6467" customFormat="false" ht="15" hidden="false" customHeight="false" outlineLevel="0" collapsed="false">
      <c r="A6467" s="31" t="n">
        <v>43005.375</v>
      </c>
      <c r="B6467" s="32" t="n">
        <v>224.906</v>
      </c>
      <c r="D6467" s="33" t="n">
        <f aca="false">WEEKDAY(A6467,2)</f>
        <v>3</v>
      </c>
      <c r="E6467" s="33" t="n">
        <f aca="false">HOUR(A6467)+MINUTE(A6467)/60</f>
        <v>9</v>
      </c>
      <c r="F6467" s="33" t="n">
        <f aca="false">IF(OR(D6467&gt;5,E6467&lt;8,E6467&gt;=18,COUNTIF($K$2:$K$10,INT(A6467))&gt;0),1,0)</f>
        <v>0</v>
      </c>
      <c r="G6467" s="34" t="n">
        <f aca="false">B6467/1</f>
        <v>224.906</v>
      </c>
      <c r="H6467" s="34" t="str">
        <f aca="false">IF(F6467=1,G6467,"")</f>
        <v/>
      </c>
    </row>
    <row r="6468" customFormat="false" ht="15" hidden="false" customHeight="false" outlineLevel="0" collapsed="false">
      <c r="A6468" s="31" t="n">
        <v>43005.4166666667</v>
      </c>
      <c r="B6468" s="32" t="n">
        <v>249.741</v>
      </c>
      <c r="D6468" s="33" t="n">
        <f aca="false">WEEKDAY(A6468,2)</f>
        <v>3</v>
      </c>
      <c r="E6468" s="33" t="n">
        <f aca="false">HOUR(A6468)+MINUTE(A6468)/60</f>
        <v>10</v>
      </c>
      <c r="F6468" s="33" t="n">
        <f aca="false">IF(OR(D6468&gt;5,E6468&lt;8,E6468&gt;=18,COUNTIF($K$2:$K$10,INT(A6468))&gt;0),1,0)</f>
        <v>0</v>
      </c>
      <c r="G6468" s="34" t="n">
        <f aca="false">B6468/1</f>
        <v>249.741</v>
      </c>
      <c r="H6468" s="34" t="str">
        <f aca="false">IF(F6468=1,G6468,"")</f>
        <v/>
      </c>
    </row>
    <row r="6469" customFormat="false" ht="15" hidden="false" customHeight="false" outlineLevel="0" collapsed="false">
      <c r="A6469" s="31" t="n">
        <v>43005.4583333333</v>
      </c>
      <c r="B6469" s="32" t="n">
        <v>263.428</v>
      </c>
      <c r="D6469" s="33" t="n">
        <f aca="false">WEEKDAY(A6469,2)</f>
        <v>3</v>
      </c>
      <c r="E6469" s="33" t="n">
        <f aca="false">HOUR(A6469)+MINUTE(A6469)/60</f>
        <v>11</v>
      </c>
      <c r="F6469" s="33" t="n">
        <f aca="false">IF(OR(D6469&gt;5,E6469&lt;8,E6469&gt;=18,COUNTIF($K$2:$K$10,INT(A6469))&gt;0),1,0)</f>
        <v>0</v>
      </c>
      <c r="G6469" s="34" t="n">
        <f aca="false">B6469/1</f>
        <v>263.428</v>
      </c>
      <c r="H6469" s="34" t="str">
        <f aca="false">IF(F6469=1,G6469,"")</f>
        <v/>
      </c>
    </row>
    <row r="6470" customFormat="false" ht="15" hidden="false" customHeight="false" outlineLevel="0" collapsed="false">
      <c r="A6470" s="31" t="n">
        <v>43005.5</v>
      </c>
      <c r="B6470" s="32" t="n">
        <v>266.531</v>
      </c>
      <c r="D6470" s="33" t="n">
        <f aca="false">WEEKDAY(A6470,2)</f>
        <v>3</v>
      </c>
      <c r="E6470" s="33" t="n">
        <f aca="false">HOUR(A6470)+MINUTE(A6470)/60</f>
        <v>12</v>
      </c>
      <c r="F6470" s="33" t="n">
        <f aca="false">IF(OR(D6470&gt;5,E6470&lt;8,E6470&gt;=18,COUNTIF($K$2:$K$10,INT(A6470))&gt;0),1,0)</f>
        <v>0</v>
      </c>
      <c r="G6470" s="34" t="n">
        <f aca="false">B6470/1</f>
        <v>266.531</v>
      </c>
      <c r="H6470" s="34" t="str">
        <f aca="false">IF(F6470=1,G6470,"")</f>
        <v/>
      </c>
    </row>
    <row r="6471" customFormat="false" ht="15" hidden="false" customHeight="false" outlineLevel="0" collapsed="false">
      <c r="A6471" s="31" t="n">
        <v>43005.5416666667</v>
      </c>
      <c r="B6471" s="32" t="n">
        <v>261.896</v>
      </c>
      <c r="D6471" s="33" t="n">
        <f aca="false">WEEKDAY(A6471,2)</f>
        <v>3</v>
      </c>
      <c r="E6471" s="33" t="n">
        <f aca="false">HOUR(A6471)+MINUTE(A6471)/60</f>
        <v>13</v>
      </c>
      <c r="F6471" s="33" t="n">
        <f aca="false">IF(OR(D6471&gt;5,E6471&lt;8,E6471&gt;=18,COUNTIF($K$2:$K$10,INT(A6471))&gt;0),1,0)</f>
        <v>0</v>
      </c>
      <c r="G6471" s="34" t="n">
        <f aca="false">B6471/1</f>
        <v>261.896</v>
      </c>
      <c r="H6471" s="34" t="str">
        <f aca="false">IF(F6471=1,G6471,"")</f>
        <v/>
      </c>
    </row>
    <row r="6472" customFormat="false" ht="15" hidden="false" customHeight="false" outlineLevel="0" collapsed="false">
      <c r="A6472" s="31" t="n">
        <v>43005.5833333333</v>
      </c>
      <c r="B6472" s="32" t="n">
        <v>267.701</v>
      </c>
      <c r="D6472" s="33" t="n">
        <f aca="false">WEEKDAY(A6472,2)</f>
        <v>3</v>
      </c>
      <c r="E6472" s="33" t="n">
        <f aca="false">HOUR(A6472)+MINUTE(A6472)/60</f>
        <v>14</v>
      </c>
      <c r="F6472" s="33" t="n">
        <f aca="false">IF(OR(D6472&gt;5,E6472&lt;8,E6472&gt;=18,COUNTIF($K$2:$K$10,INT(A6472))&gt;0),1,0)</f>
        <v>0</v>
      </c>
      <c r="G6472" s="34" t="n">
        <f aca="false">B6472/1</f>
        <v>267.701</v>
      </c>
      <c r="H6472" s="34" t="str">
        <f aca="false">IF(F6472=1,G6472,"")</f>
        <v/>
      </c>
    </row>
    <row r="6473" customFormat="false" ht="15" hidden="false" customHeight="false" outlineLevel="0" collapsed="false">
      <c r="A6473" s="31" t="n">
        <v>43005.625</v>
      </c>
      <c r="B6473" s="32" t="n">
        <v>266.436</v>
      </c>
      <c r="D6473" s="33" t="n">
        <f aca="false">WEEKDAY(A6473,2)</f>
        <v>3</v>
      </c>
      <c r="E6473" s="33" t="n">
        <f aca="false">HOUR(A6473)+MINUTE(A6473)/60</f>
        <v>15</v>
      </c>
      <c r="F6473" s="33" t="n">
        <f aca="false">IF(OR(D6473&gt;5,E6473&lt;8,E6473&gt;=18,COUNTIF($K$2:$K$10,INT(A6473))&gt;0),1,0)</f>
        <v>0</v>
      </c>
      <c r="G6473" s="34" t="n">
        <f aca="false">B6473/1</f>
        <v>266.436</v>
      </c>
      <c r="H6473" s="34" t="str">
        <f aca="false">IF(F6473=1,G6473,"")</f>
        <v/>
      </c>
    </row>
    <row r="6474" customFormat="false" ht="15" hidden="false" customHeight="false" outlineLevel="0" collapsed="false">
      <c r="A6474" s="31" t="n">
        <v>43005.6666666667</v>
      </c>
      <c r="B6474" s="32" t="n">
        <v>267.999</v>
      </c>
      <c r="D6474" s="33" t="n">
        <f aca="false">WEEKDAY(A6474,2)</f>
        <v>3</v>
      </c>
      <c r="E6474" s="33" t="n">
        <f aca="false">HOUR(A6474)+MINUTE(A6474)/60</f>
        <v>16</v>
      </c>
      <c r="F6474" s="33" t="n">
        <f aca="false">IF(OR(D6474&gt;5,E6474&lt;8,E6474&gt;=18,COUNTIF($K$2:$K$10,INT(A6474))&gt;0),1,0)</f>
        <v>0</v>
      </c>
      <c r="G6474" s="34" t="n">
        <f aca="false">B6474/1</f>
        <v>267.999</v>
      </c>
      <c r="H6474" s="34" t="str">
        <f aca="false">IF(F6474=1,G6474,"")</f>
        <v/>
      </c>
    </row>
    <row r="6475" customFormat="false" ht="15" hidden="false" customHeight="false" outlineLevel="0" collapsed="false">
      <c r="A6475" s="31" t="n">
        <v>43005.7083333333</v>
      </c>
      <c r="B6475" s="32" t="n">
        <v>255.362</v>
      </c>
      <c r="D6475" s="33" t="n">
        <f aca="false">WEEKDAY(A6475,2)</f>
        <v>3</v>
      </c>
      <c r="E6475" s="33" t="n">
        <f aca="false">HOUR(A6475)+MINUTE(A6475)/60</f>
        <v>17</v>
      </c>
      <c r="F6475" s="33" t="n">
        <f aca="false">IF(OR(D6475&gt;5,E6475&lt;8,E6475&gt;=18,COUNTIF($K$2:$K$10,INT(A6475))&gt;0),1,0)</f>
        <v>0</v>
      </c>
      <c r="G6475" s="34" t="n">
        <f aca="false">B6475/1</f>
        <v>255.362</v>
      </c>
      <c r="H6475" s="34" t="str">
        <f aca="false">IF(F6475=1,G6475,"")</f>
        <v/>
      </c>
    </row>
    <row r="6476" customFormat="false" ht="15" hidden="false" customHeight="false" outlineLevel="0" collapsed="false">
      <c r="A6476" s="31" t="n">
        <v>43005.75</v>
      </c>
      <c r="B6476" s="32" t="n">
        <v>240.793</v>
      </c>
      <c r="D6476" s="33" t="n">
        <f aca="false">WEEKDAY(A6476,2)</f>
        <v>3</v>
      </c>
      <c r="E6476" s="33" t="n">
        <f aca="false">HOUR(A6476)+MINUTE(A6476)/60</f>
        <v>18</v>
      </c>
      <c r="F6476" s="33" t="n">
        <f aca="false">IF(OR(D6476&gt;5,E6476&lt;8,E6476&gt;=18,COUNTIF($K$2:$K$10,INT(A6476))&gt;0),1,0)</f>
        <v>1</v>
      </c>
      <c r="G6476" s="34" t="n">
        <f aca="false">B6476/1</f>
        <v>240.793</v>
      </c>
      <c r="H6476" s="34" t="n">
        <f aca="false">IF(F6476=1,G6476,"")</f>
        <v>240.793</v>
      </c>
    </row>
    <row r="6477" customFormat="false" ht="15" hidden="false" customHeight="false" outlineLevel="0" collapsed="false">
      <c r="A6477" s="31" t="n">
        <v>43005.7916666667</v>
      </c>
      <c r="B6477" s="32" t="n">
        <v>227.856</v>
      </c>
      <c r="D6477" s="33" t="n">
        <f aca="false">WEEKDAY(A6477,2)</f>
        <v>3</v>
      </c>
      <c r="E6477" s="33" t="n">
        <f aca="false">HOUR(A6477)+MINUTE(A6477)/60</f>
        <v>19</v>
      </c>
      <c r="F6477" s="33" t="n">
        <f aca="false">IF(OR(D6477&gt;5,E6477&lt;8,E6477&gt;=18,COUNTIF($K$2:$K$10,INT(A6477))&gt;0),1,0)</f>
        <v>1</v>
      </c>
      <c r="G6477" s="34" t="n">
        <f aca="false">B6477/1</f>
        <v>227.856</v>
      </c>
      <c r="H6477" s="34" t="n">
        <f aca="false">IF(F6477=1,G6477,"")</f>
        <v>227.856</v>
      </c>
    </row>
    <row r="6478" customFormat="false" ht="15" hidden="false" customHeight="false" outlineLevel="0" collapsed="false">
      <c r="A6478" s="31" t="n">
        <v>43005.8333333333</v>
      </c>
      <c r="B6478" s="32" t="n">
        <v>220.012</v>
      </c>
      <c r="D6478" s="33" t="n">
        <f aca="false">WEEKDAY(A6478,2)</f>
        <v>3</v>
      </c>
      <c r="E6478" s="33" t="n">
        <f aca="false">HOUR(A6478)+MINUTE(A6478)/60</f>
        <v>20</v>
      </c>
      <c r="F6478" s="33" t="n">
        <f aca="false">IF(OR(D6478&gt;5,E6478&lt;8,E6478&gt;=18,COUNTIF($K$2:$K$10,INT(A6478))&gt;0),1,0)</f>
        <v>1</v>
      </c>
      <c r="G6478" s="34" t="n">
        <f aca="false">B6478/1</f>
        <v>220.012</v>
      </c>
      <c r="H6478" s="34" t="n">
        <f aca="false">IF(F6478=1,G6478,"")</f>
        <v>220.012</v>
      </c>
    </row>
    <row r="6479" customFormat="false" ht="15" hidden="false" customHeight="false" outlineLevel="0" collapsed="false">
      <c r="A6479" s="31" t="n">
        <v>43005.875</v>
      </c>
      <c r="B6479" s="32" t="n">
        <v>203.674</v>
      </c>
      <c r="D6479" s="33" t="n">
        <f aca="false">WEEKDAY(A6479,2)</f>
        <v>3</v>
      </c>
      <c r="E6479" s="33" t="n">
        <f aca="false">HOUR(A6479)+MINUTE(A6479)/60</f>
        <v>21</v>
      </c>
      <c r="F6479" s="33" t="n">
        <f aca="false">IF(OR(D6479&gt;5,E6479&lt;8,E6479&gt;=18,COUNTIF($K$2:$K$10,INT(A6479))&gt;0),1,0)</f>
        <v>1</v>
      </c>
      <c r="G6479" s="34" t="n">
        <f aca="false">B6479/1</f>
        <v>203.674</v>
      </c>
      <c r="H6479" s="34" t="n">
        <f aca="false">IF(F6479=1,G6479,"")</f>
        <v>203.674</v>
      </c>
    </row>
    <row r="6480" customFormat="false" ht="15" hidden="false" customHeight="false" outlineLevel="0" collapsed="false">
      <c r="A6480" s="31" t="n">
        <v>43005.9166666667</v>
      </c>
      <c r="B6480" s="32" t="n">
        <v>133.532</v>
      </c>
      <c r="D6480" s="33" t="n">
        <f aca="false">WEEKDAY(A6480,2)</f>
        <v>3</v>
      </c>
      <c r="E6480" s="33" t="n">
        <f aca="false">HOUR(A6480)+MINUTE(A6480)/60</f>
        <v>22</v>
      </c>
      <c r="F6480" s="33" t="n">
        <f aca="false">IF(OR(D6480&gt;5,E6480&lt;8,E6480&gt;=18,COUNTIF($K$2:$K$10,INT(A6480))&gt;0),1,0)</f>
        <v>1</v>
      </c>
      <c r="G6480" s="34" t="n">
        <f aca="false">B6480/1</f>
        <v>133.532</v>
      </c>
      <c r="H6480" s="34" t="n">
        <f aca="false">IF(F6480=1,G6480,"")</f>
        <v>133.532</v>
      </c>
    </row>
    <row r="6481" customFormat="false" ht="15" hidden="false" customHeight="false" outlineLevel="0" collapsed="false">
      <c r="A6481" s="31" t="n">
        <v>43005.9583333333</v>
      </c>
      <c r="B6481" s="32" t="n">
        <v>55.221</v>
      </c>
      <c r="D6481" s="33" t="n">
        <f aca="false">WEEKDAY(A6481,2)</f>
        <v>3</v>
      </c>
      <c r="E6481" s="33" t="n">
        <f aca="false">HOUR(A6481)+MINUTE(A6481)/60</f>
        <v>23</v>
      </c>
      <c r="F6481" s="33" t="n">
        <f aca="false">IF(OR(D6481&gt;5,E6481&lt;8,E6481&gt;=18,COUNTIF($K$2:$K$10,INT(A6481))&gt;0),1,0)</f>
        <v>1</v>
      </c>
      <c r="G6481" s="34" t="n">
        <f aca="false">B6481/1</f>
        <v>55.221</v>
      </c>
      <c r="H6481" s="34" t="n">
        <f aca="false">IF(F6481=1,G6481,"")</f>
        <v>55.221</v>
      </c>
    </row>
    <row r="6482" customFormat="false" ht="15" hidden="false" customHeight="false" outlineLevel="0" collapsed="false">
      <c r="A6482" s="31" t="n">
        <v>43006</v>
      </c>
      <c r="B6482" s="32" t="n">
        <v>52.969</v>
      </c>
      <c r="D6482" s="33" t="n">
        <f aca="false">WEEKDAY(A6482,2)</f>
        <v>4</v>
      </c>
      <c r="E6482" s="33" t="n">
        <f aca="false">HOUR(A6482)+MINUTE(A6482)/60</f>
        <v>0</v>
      </c>
      <c r="F6482" s="33" t="n">
        <f aca="false">IF(OR(D6482&gt;5,E6482&lt;8,E6482&gt;=18,COUNTIF($K$2:$K$10,INT(A6482))&gt;0),1,0)</f>
        <v>1</v>
      </c>
      <c r="G6482" s="34" t="n">
        <f aca="false">B6482/1</f>
        <v>52.969</v>
      </c>
      <c r="H6482" s="34" t="n">
        <f aca="false">IF(F6482=1,G6482,"")</f>
        <v>52.969</v>
      </c>
    </row>
    <row r="6483" customFormat="false" ht="15" hidden="false" customHeight="false" outlineLevel="0" collapsed="false">
      <c r="A6483" s="31" t="n">
        <v>43006.0416666667</v>
      </c>
      <c r="B6483" s="32" t="n">
        <v>48.637</v>
      </c>
      <c r="D6483" s="33" t="n">
        <f aca="false">WEEKDAY(A6483,2)</f>
        <v>4</v>
      </c>
      <c r="E6483" s="33" t="n">
        <f aca="false">HOUR(A6483)+MINUTE(A6483)/60</f>
        <v>1</v>
      </c>
      <c r="F6483" s="33" t="n">
        <f aca="false">IF(OR(D6483&gt;5,E6483&lt;8,E6483&gt;=18,COUNTIF($K$2:$K$10,INT(A6483))&gt;0),1,0)</f>
        <v>1</v>
      </c>
      <c r="G6483" s="34" t="n">
        <f aca="false">B6483/1</f>
        <v>48.637</v>
      </c>
      <c r="H6483" s="34" t="n">
        <f aca="false">IF(F6483=1,G6483,"")</f>
        <v>48.637</v>
      </c>
    </row>
    <row r="6484" customFormat="false" ht="15" hidden="false" customHeight="false" outlineLevel="0" collapsed="false">
      <c r="A6484" s="31" t="n">
        <v>43006.0833333333</v>
      </c>
      <c r="B6484" s="32" t="n">
        <v>49.153</v>
      </c>
      <c r="D6484" s="33" t="n">
        <f aca="false">WEEKDAY(A6484,2)</f>
        <v>4</v>
      </c>
      <c r="E6484" s="33" t="n">
        <f aca="false">HOUR(A6484)+MINUTE(A6484)/60</f>
        <v>2</v>
      </c>
      <c r="F6484" s="33" t="n">
        <f aca="false">IF(OR(D6484&gt;5,E6484&lt;8,E6484&gt;=18,COUNTIF($K$2:$K$10,INT(A6484))&gt;0),1,0)</f>
        <v>1</v>
      </c>
      <c r="G6484" s="34" t="n">
        <f aca="false">B6484/1</f>
        <v>49.153</v>
      </c>
      <c r="H6484" s="34" t="n">
        <f aca="false">IF(F6484=1,G6484,"")</f>
        <v>49.153</v>
      </c>
    </row>
    <row r="6485" customFormat="false" ht="15" hidden="false" customHeight="false" outlineLevel="0" collapsed="false">
      <c r="A6485" s="31" t="n">
        <v>43006.125</v>
      </c>
      <c r="B6485" s="32" t="n">
        <v>47.868</v>
      </c>
      <c r="D6485" s="33" t="n">
        <f aca="false">WEEKDAY(A6485,2)</f>
        <v>4</v>
      </c>
      <c r="E6485" s="33" t="n">
        <f aca="false">HOUR(A6485)+MINUTE(A6485)/60</f>
        <v>3</v>
      </c>
      <c r="F6485" s="33" t="n">
        <f aca="false">IF(OR(D6485&gt;5,E6485&lt;8,E6485&gt;=18,COUNTIF($K$2:$K$10,INT(A6485))&gt;0),1,0)</f>
        <v>1</v>
      </c>
      <c r="G6485" s="34" t="n">
        <f aca="false">B6485/1</f>
        <v>47.868</v>
      </c>
      <c r="H6485" s="34" t="n">
        <f aca="false">IF(F6485=1,G6485,"")</f>
        <v>47.868</v>
      </c>
    </row>
    <row r="6486" customFormat="false" ht="15" hidden="false" customHeight="false" outlineLevel="0" collapsed="false">
      <c r="A6486" s="31" t="n">
        <v>43006.1666666667</v>
      </c>
      <c r="B6486" s="32" t="n">
        <v>50.199</v>
      </c>
      <c r="D6486" s="33" t="n">
        <f aca="false">WEEKDAY(A6486,2)</f>
        <v>4</v>
      </c>
      <c r="E6486" s="33" t="n">
        <f aca="false">HOUR(A6486)+MINUTE(A6486)/60</f>
        <v>4</v>
      </c>
      <c r="F6486" s="33" t="n">
        <f aca="false">IF(OR(D6486&gt;5,E6486&lt;8,E6486&gt;=18,COUNTIF($K$2:$K$10,INT(A6486))&gt;0),1,0)</f>
        <v>1</v>
      </c>
      <c r="G6486" s="34" t="n">
        <f aca="false">B6486/1</f>
        <v>50.199</v>
      </c>
      <c r="H6486" s="34" t="n">
        <f aca="false">IF(F6486=1,G6486,"")</f>
        <v>50.199</v>
      </c>
    </row>
    <row r="6487" customFormat="false" ht="15" hidden="false" customHeight="false" outlineLevel="0" collapsed="false">
      <c r="A6487" s="31" t="n">
        <v>43006.2083333333</v>
      </c>
      <c r="B6487" s="32" t="n">
        <v>47.12</v>
      </c>
      <c r="D6487" s="33" t="n">
        <f aca="false">WEEKDAY(A6487,2)</f>
        <v>4</v>
      </c>
      <c r="E6487" s="33" t="n">
        <f aca="false">HOUR(A6487)+MINUTE(A6487)/60</f>
        <v>5</v>
      </c>
      <c r="F6487" s="33" t="n">
        <f aca="false">IF(OR(D6487&gt;5,E6487&lt;8,E6487&gt;=18,COUNTIF($K$2:$K$10,INT(A6487))&gt;0),1,0)</f>
        <v>1</v>
      </c>
      <c r="G6487" s="34" t="n">
        <f aca="false">B6487/1</f>
        <v>47.12</v>
      </c>
      <c r="H6487" s="34" t="n">
        <f aca="false">IF(F6487=1,G6487,"")</f>
        <v>47.12</v>
      </c>
    </row>
    <row r="6488" customFormat="false" ht="15" hidden="false" customHeight="false" outlineLevel="0" collapsed="false">
      <c r="A6488" s="31" t="n">
        <v>43006.25</v>
      </c>
      <c r="B6488" s="32" t="n">
        <v>51.151</v>
      </c>
      <c r="D6488" s="33" t="n">
        <f aca="false">WEEKDAY(A6488,2)</f>
        <v>4</v>
      </c>
      <c r="E6488" s="33" t="n">
        <f aca="false">HOUR(A6488)+MINUTE(A6488)/60</f>
        <v>6</v>
      </c>
      <c r="F6488" s="33" t="n">
        <f aca="false">IF(OR(D6488&gt;5,E6488&lt;8,E6488&gt;=18,COUNTIF($K$2:$K$10,INT(A6488))&gt;0),1,0)</f>
        <v>1</v>
      </c>
      <c r="G6488" s="34" t="n">
        <f aca="false">B6488/1</f>
        <v>51.151</v>
      </c>
      <c r="H6488" s="34" t="n">
        <f aca="false">IF(F6488=1,G6488,"")</f>
        <v>51.151</v>
      </c>
    </row>
    <row r="6489" customFormat="false" ht="15" hidden="false" customHeight="false" outlineLevel="0" collapsed="false">
      <c r="A6489" s="31" t="n">
        <v>43006.2916666667</v>
      </c>
      <c r="B6489" s="32" t="n">
        <v>54.755</v>
      </c>
      <c r="D6489" s="33" t="n">
        <f aca="false">WEEKDAY(A6489,2)</f>
        <v>4</v>
      </c>
      <c r="E6489" s="33" t="n">
        <f aca="false">HOUR(A6489)+MINUTE(A6489)/60</f>
        <v>7</v>
      </c>
      <c r="F6489" s="33" t="n">
        <f aca="false">IF(OR(D6489&gt;5,E6489&lt;8,E6489&gt;=18,COUNTIF($K$2:$K$10,INT(A6489))&gt;0),1,0)</f>
        <v>1</v>
      </c>
      <c r="G6489" s="34" t="n">
        <f aca="false">B6489/1</f>
        <v>54.755</v>
      </c>
      <c r="H6489" s="34" t="n">
        <f aca="false">IF(F6489=1,G6489,"")</f>
        <v>54.755</v>
      </c>
    </row>
    <row r="6490" customFormat="false" ht="15" hidden="false" customHeight="false" outlineLevel="0" collapsed="false">
      <c r="A6490" s="31" t="n">
        <v>43006.3333333333</v>
      </c>
      <c r="B6490" s="32" t="n">
        <v>176.934</v>
      </c>
      <c r="D6490" s="33" t="n">
        <f aca="false">WEEKDAY(A6490,2)</f>
        <v>4</v>
      </c>
      <c r="E6490" s="33" t="n">
        <f aca="false">HOUR(A6490)+MINUTE(A6490)/60</f>
        <v>8</v>
      </c>
      <c r="F6490" s="33" t="n">
        <f aca="false">IF(OR(D6490&gt;5,E6490&lt;8,E6490&gt;=18,COUNTIF($K$2:$K$10,INT(A6490))&gt;0),1,0)</f>
        <v>0</v>
      </c>
      <c r="G6490" s="34" t="n">
        <f aca="false">B6490/1</f>
        <v>176.934</v>
      </c>
      <c r="H6490" s="34" t="str">
        <f aca="false">IF(F6490=1,G6490,"")</f>
        <v/>
      </c>
    </row>
    <row r="6491" customFormat="false" ht="15" hidden="false" customHeight="false" outlineLevel="0" collapsed="false">
      <c r="A6491" s="31" t="n">
        <v>43006.375</v>
      </c>
      <c r="B6491" s="32" t="n">
        <v>221.032</v>
      </c>
      <c r="D6491" s="33" t="n">
        <f aca="false">WEEKDAY(A6491,2)</f>
        <v>4</v>
      </c>
      <c r="E6491" s="33" t="n">
        <f aca="false">HOUR(A6491)+MINUTE(A6491)/60</f>
        <v>9</v>
      </c>
      <c r="F6491" s="33" t="n">
        <f aca="false">IF(OR(D6491&gt;5,E6491&lt;8,E6491&gt;=18,COUNTIF($K$2:$K$10,INT(A6491))&gt;0),1,0)</f>
        <v>0</v>
      </c>
      <c r="G6491" s="34" t="n">
        <f aca="false">B6491/1</f>
        <v>221.032</v>
      </c>
      <c r="H6491" s="34" t="str">
        <f aca="false">IF(F6491=1,G6491,"")</f>
        <v/>
      </c>
    </row>
    <row r="6492" customFormat="false" ht="15" hidden="false" customHeight="false" outlineLevel="0" collapsed="false">
      <c r="A6492" s="31" t="n">
        <v>43006.4166666667</v>
      </c>
      <c r="B6492" s="32" t="n">
        <v>250.078</v>
      </c>
      <c r="D6492" s="33" t="n">
        <f aca="false">WEEKDAY(A6492,2)</f>
        <v>4</v>
      </c>
      <c r="E6492" s="33" t="n">
        <f aca="false">HOUR(A6492)+MINUTE(A6492)/60</f>
        <v>10</v>
      </c>
      <c r="F6492" s="33" t="n">
        <f aca="false">IF(OR(D6492&gt;5,E6492&lt;8,E6492&gt;=18,COUNTIF($K$2:$K$10,INT(A6492))&gt;0),1,0)</f>
        <v>0</v>
      </c>
      <c r="G6492" s="34" t="n">
        <f aca="false">B6492/1</f>
        <v>250.078</v>
      </c>
      <c r="H6492" s="34" t="str">
        <f aca="false">IF(F6492=1,G6492,"")</f>
        <v/>
      </c>
    </row>
    <row r="6493" customFormat="false" ht="15" hidden="false" customHeight="false" outlineLevel="0" collapsed="false">
      <c r="A6493" s="31" t="n">
        <v>43006.4583333333</v>
      </c>
      <c r="B6493" s="32" t="n">
        <v>265.809</v>
      </c>
      <c r="D6493" s="33" t="n">
        <f aca="false">WEEKDAY(A6493,2)</f>
        <v>4</v>
      </c>
      <c r="E6493" s="33" t="n">
        <f aca="false">HOUR(A6493)+MINUTE(A6493)/60</f>
        <v>11</v>
      </c>
      <c r="F6493" s="33" t="n">
        <f aca="false">IF(OR(D6493&gt;5,E6493&lt;8,E6493&gt;=18,COUNTIF($K$2:$K$10,INT(A6493))&gt;0),1,0)</f>
        <v>0</v>
      </c>
      <c r="G6493" s="34" t="n">
        <f aca="false">B6493/1</f>
        <v>265.809</v>
      </c>
      <c r="H6493" s="34" t="str">
        <f aca="false">IF(F6493=1,G6493,"")</f>
        <v/>
      </c>
    </row>
    <row r="6494" customFormat="false" ht="15" hidden="false" customHeight="false" outlineLevel="0" collapsed="false">
      <c r="A6494" s="31" t="n">
        <v>43006.5</v>
      </c>
      <c r="B6494" s="32" t="n">
        <v>272.222</v>
      </c>
      <c r="D6494" s="33" t="n">
        <f aca="false">WEEKDAY(A6494,2)</f>
        <v>4</v>
      </c>
      <c r="E6494" s="33" t="n">
        <f aca="false">HOUR(A6494)+MINUTE(A6494)/60</f>
        <v>12</v>
      </c>
      <c r="F6494" s="33" t="n">
        <f aca="false">IF(OR(D6494&gt;5,E6494&lt;8,E6494&gt;=18,COUNTIF($K$2:$K$10,INT(A6494))&gt;0),1,0)</f>
        <v>0</v>
      </c>
      <c r="G6494" s="34" t="n">
        <f aca="false">B6494/1</f>
        <v>272.222</v>
      </c>
      <c r="H6494" s="34" t="str">
        <f aca="false">IF(F6494=1,G6494,"")</f>
        <v/>
      </c>
    </row>
    <row r="6495" customFormat="false" ht="15" hidden="false" customHeight="false" outlineLevel="0" collapsed="false">
      <c r="A6495" s="31" t="n">
        <v>43006.5416666667</v>
      </c>
      <c r="B6495" s="32" t="n">
        <v>252.979</v>
      </c>
      <c r="D6495" s="33" t="n">
        <f aca="false">WEEKDAY(A6495,2)</f>
        <v>4</v>
      </c>
      <c r="E6495" s="33" t="n">
        <f aca="false">HOUR(A6495)+MINUTE(A6495)/60</f>
        <v>13</v>
      </c>
      <c r="F6495" s="33" t="n">
        <f aca="false">IF(OR(D6495&gt;5,E6495&lt;8,E6495&gt;=18,COUNTIF($K$2:$K$10,INT(A6495))&gt;0),1,0)</f>
        <v>0</v>
      </c>
      <c r="G6495" s="34" t="n">
        <f aca="false">B6495/1</f>
        <v>252.979</v>
      </c>
      <c r="H6495" s="34" t="str">
        <f aca="false">IF(F6495=1,G6495,"")</f>
        <v/>
      </c>
    </row>
    <row r="6496" customFormat="false" ht="15" hidden="false" customHeight="false" outlineLevel="0" collapsed="false">
      <c r="A6496" s="31" t="n">
        <v>43006.5833333333</v>
      </c>
      <c r="B6496" s="32" t="n">
        <v>277.048</v>
      </c>
      <c r="D6496" s="33" t="n">
        <f aca="false">WEEKDAY(A6496,2)</f>
        <v>4</v>
      </c>
      <c r="E6496" s="33" t="n">
        <f aca="false">HOUR(A6496)+MINUTE(A6496)/60</f>
        <v>14</v>
      </c>
      <c r="F6496" s="33" t="n">
        <f aca="false">IF(OR(D6496&gt;5,E6496&lt;8,E6496&gt;=18,COUNTIF($K$2:$K$10,INT(A6496))&gt;0),1,0)</f>
        <v>0</v>
      </c>
      <c r="G6496" s="34" t="n">
        <f aca="false">B6496/1</f>
        <v>277.048</v>
      </c>
      <c r="H6496" s="34" t="str">
        <f aca="false">IF(F6496=1,G6496,"")</f>
        <v/>
      </c>
    </row>
    <row r="6497" customFormat="false" ht="15" hidden="false" customHeight="false" outlineLevel="0" collapsed="false">
      <c r="A6497" s="31" t="n">
        <v>43006.625</v>
      </c>
      <c r="B6497" s="32" t="n">
        <v>252.466</v>
      </c>
      <c r="D6497" s="33" t="n">
        <f aca="false">WEEKDAY(A6497,2)</f>
        <v>4</v>
      </c>
      <c r="E6497" s="33" t="n">
        <f aca="false">HOUR(A6497)+MINUTE(A6497)/60</f>
        <v>15</v>
      </c>
      <c r="F6497" s="33" t="n">
        <f aca="false">IF(OR(D6497&gt;5,E6497&lt;8,E6497&gt;=18,COUNTIF($K$2:$K$10,INT(A6497))&gt;0),1,0)</f>
        <v>0</v>
      </c>
      <c r="G6497" s="34" t="n">
        <f aca="false">B6497/1</f>
        <v>252.466</v>
      </c>
      <c r="H6497" s="34" t="str">
        <f aca="false">IF(F6497=1,G6497,"")</f>
        <v/>
      </c>
    </row>
    <row r="6498" customFormat="false" ht="15" hidden="false" customHeight="false" outlineLevel="0" collapsed="false">
      <c r="A6498" s="31" t="n">
        <v>43006.6666666667</v>
      </c>
      <c r="B6498" s="32" t="n">
        <v>257.904</v>
      </c>
      <c r="D6498" s="33" t="n">
        <f aca="false">WEEKDAY(A6498,2)</f>
        <v>4</v>
      </c>
      <c r="E6498" s="33" t="n">
        <f aca="false">HOUR(A6498)+MINUTE(A6498)/60</f>
        <v>16</v>
      </c>
      <c r="F6498" s="33" t="n">
        <f aca="false">IF(OR(D6498&gt;5,E6498&lt;8,E6498&gt;=18,COUNTIF($K$2:$K$10,INT(A6498))&gt;0),1,0)</f>
        <v>0</v>
      </c>
      <c r="G6498" s="34" t="n">
        <f aca="false">B6498/1</f>
        <v>257.904</v>
      </c>
      <c r="H6498" s="34" t="str">
        <f aca="false">IF(F6498=1,G6498,"")</f>
        <v/>
      </c>
    </row>
    <row r="6499" customFormat="false" ht="15" hidden="false" customHeight="false" outlineLevel="0" collapsed="false">
      <c r="A6499" s="31" t="n">
        <v>43006.7083333333</v>
      </c>
      <c r="B6499" s="32" t="n">
        <v>246.622</v>
      </c>
      <c r="D6499" s="33" t="n">
        <f aca="false">WEEKDAY(A6499,2)</f>
        <v>4</v>
      </c>
      <c r="E6499" s="33" t="n">
        <f aca="false">HOUR(A6499)+MINUTE(A6499)/60</f>
        <v>17</v>
      </c>
      <c r="F6499" s="33" t="n">
        <f aca="false">IF(OR(D6499&gt;5,E6499&lt;8,E6499&gt;=18,COUNTIF($K$2:$K$10,INT(A6499))&gt;0),1,0)</f>
        <v>0</v>
      </c>
      <c r="G6499" s="34" t="n">
        <f aca="false">B6499/1</f>
        <v>246.622</v>
      </c>
      <c r="H6499" s="34" t="str">
        <f aca="false">IF(F6499=1,G6499,"")</f>
        <v/>
      </c>
    </row>
    <row r="6500" customFormat="false" ht="15" hidden="false" customHeight="false" outlineLevel="0" collapsed="false">
      <c r="A6500" s="31" t="n">
        <v>43006.75</v>
      </c>
      <c r="B6500" s="32" t="n">
        <v>226.441</v>
      </c>
      <c r="D6500" s="33" t="n">
        <f aca="false">WEEKDAY(A6500,2)</f>
        <v>4</v>
      </c>
      <c r="E6500" s="33" t="n">
        <f aca="false">HOUR(A6500)+MINUTE(A6500)/60</f>
        <v>18</v>
      </c>
      <c r="F6500" s="33" t="n">
        <f aca="false">IF(OR(D6500&gt;5,E6500&lt;8,E6500&gt;=18,COUNTIF($K$2:$K$10,INT(A6500))&gt;0),1,0)</f>
        <v>1</v>
      </c>
      <c r="G6500" s="34" t="n">
        <f aca="false">B6500/1</f>
        <v>226.441</v>
      </c>
      <c r="H6500" s="34" t="n">
        <f aca="false">IF(F6500=1,G6500,"")</f>
        <v>226.441</v>
      </c>
    </row>
    <row r="6501" customFormat="false" ht="15" hidden="false" customHeight="false" outlineLevel="0" collapsed="false">
      <c r="A6501" s="31" t="n">
        <v>43006.7916666667</v>
      </c>
      <c r="B6501" s="32" t="n">
        <v>212.707</v>
      </c>
      <c r="D6501" s="33" t="n">
        <f aca="false">WEEKDAY(A6501,2)</f>
        <v>4</v>
      </c>
      <c r="E6501" s="33" t="n">
        <f aca="false">HOUR(A6501)+MINUTE(A6501)/60</f>
        <v>19</v>
      </c>
      <c r="F6501" s="33" t="n">
        <f aca="false">IF(OR(D6501&gt;5,E6501&lt;8,E6501&gt;=18,COUNTIF($K$2:$K$10,INT(A6501))&gt;0),1,0)</f>
        <v>1</v>
      </c>
      <c r="G6501" s="34" t="n">
        <f aca="false">B6501/1</f>
        <v>212.707</v>
      </c>
      <c r="H6501" s="34" t="n">
        <f aca="false">IF(F6501=1,G6501,"")</f>
        <v>212.707</v>
      </c>
    </row>
    <row r="6502" customFormat="false" ht="15" hidden="false" customHeight="false" outlineLevel="0" collapsed="false">
      <c r="A6502" s="31" t="n">
        <v>43006.8333333333</v>
      </c>
      <c r="B6502" s="32" t="n">
        <v>199.121</v>
      </c>
      <c r="D6502" s="33" t="n">
        <f aca="false">WEEKDAY(A6502,2)</f>
        <v>4</v>
      </c>
      <c r="E6502" s="33" t="n">
        <f aca="false">HOUR(A6502)+MINUTE(A6502)/60</f>
        <v>20</v>
      </c>
      <c r="F6502" s="33" t="n">
        <f aca="false">IF(OR(D6502&gt;5,E6502&lt;8,E6502&gt;=18,COUNTIF($K$2:$K$10,INT(A6502))&gt;0),1,0)</f>
        <v>1</v>
      </c>
      <c r="G6502" s="34" t="n">
        <f aca="false">B6502/1</f>
        <v>199.121</v>
      </c>
      <c r="H6502" s="34" t="n">
        <f aca="false">IF(F6502=1,G6502,"")</f>
        <v>199.121</v>
      </c>
    </row>
    <row r="6503" customFormat="false" ht="15" hidden="false" customHeight="false" outlineLevel="0" collapsed="false">
      <c r="A6503" s="31" t="n">
        <v>43006.875</v>
      </c>
      <c r="B6503" s="32" t="n">
        <v>189.012</v>
      </c>
      <c r="D6503" s="33" t="n">
        <f aca="false">WEEKDAY(A6503,2)</f>
        <v>4</v>
      </c>
      <c r="E6503" s="33" t="n">
        <f aca="false">HOUR(A6503)+MINUTE(A6503)/60</f>
        <v>21</v>
      </c>
      <c r="F6503" s="33" t="n">
        <f aca="false">IF(OR(D6503&gt;5,E6503&lt;8,E6503&gt;=18,COUNTIF($K$2:$K$10,INT(A6503))&gt;0),1,0)</f>
        <v>1</v>
      </c>
      <c r="G6503" s="34" t="n">
        <f aca="false">B6503/1</f>
        <v>189.012</v>
      </c>
      <c r="H6503" s="34" t="n">
        <f aca="false">IF(F6503=1,G6503,"")</f>
        <v>189.012</v>
      </c>
    </row>
    <row r="6504" customFormat="false" ht="15" hidden="false" customHeight="false" outlineLevel="0" collapsed="false">
      <c r="A6504" s="31" t="n">
        <v>43006.9166666667</v>
      </c>
      <c r="B6504" s="32" t="n">
        <v>121.506</v>
      </c>
      <c r="D6504" s="33" t="n">
        <f aca="false">WEEKDAY(A6504,2)</f>
        <v>4</v>
      </c>
      <c r="E6504" s="33" t="n">
        <f aca="false">HOUR(A6504)+MINUTE(A6504)/60</f>
        <v>22</v>
      </c>
      <c r="F6504" s="33" t="n">
        <f aca="false">IF(OR(D6504&gt;5,E6504&lt;8,E6504&gt;=18,COUNTIF($K$2:$K$10,INT(A6504))&gt;0),1,0)</f>
        <v>1</v>
      </c>
      <c r="G6504" s="34" t="n">
        <f aca="false">B6504/1</f>
        <v>121.506</v>
      </c>
      <c r="H6504" s="34" t="n">
        <f aca="false">IF(F6504=1,G6504,"")</f>
        <v>121.506</v>
      </c>
    </row>
    <row r="6505" customFormat="false" ht="15" hidden="false" customHeight="false" outlineLevel="0" collapsed="false">
      <c r="A6505" s="31" t="n">
        <v>43006.9583333333</v>
      </c>
      <c r="B6505" s="32" t="n">
        <v>55.061</v>
      </c>
      <c r="D6505" s="33" t="n">
        <f aca="false">WEEKDAY(A6505,2)</f>
        <v>4</v>
      </c>
      <c r="E6505" s="33" t="n">
        <f aca="false">HOUR(A6505)+MINUTE(A6505)/60</f>
        <v>23</v>
      </c>
      <c r="F6505" s="33" t="n">
        <f aca="false">IF(OR(D6505&gt;5,E6505&lt;8,E6505&gt;=18,COUNTIF($K$2:$K$10,INT(A6505))&gt;0),1,0)</f>
        <v>1</v>
      </c>
      <c r="G6505" s="34" t="n">
        <f aca="false">B6505/1</f>
        <v>55.061</v>
      </c>
      <c r="H6505" s="34" t="n">
        <f aca="false">IF(F6505=1,G6505,"")</f>
        <v>55.061</v>
      </c>
    </row>
    <row r="6506" customFormat="false" ht="15" hidden="false" customHeight="false" outlineLevel="0" collapsed="false">
      <c r="A6506" s="31" t="n">
        <v>43007</v>
      </c>
      <c r="B6506" s="32" t="n">
        <v>53.964</v>
      </c>
      <c r="D6506" s="33" t="n">
        <f aca="false">WEEKDAY(A6506,2)</f>
        <v>5</v>
      </c>
      <c r="E6506" s="33" t="n">
        <f aca="false">HOUR(A6506)+MINUTE(A6506)/60</f>
        <v>0</v>
      </c>
      <c r="F6506" s="33" t="n">
        <f aca="false">IF(OR(D6506&gt;5,E6506&lt;8,E6506&gt;=18,COUNTIF($K$2:$K$10,INT(A6506))&gt;0),1,0)</f>
        <v>1</v>
      </c>
      <c r="G6506" s="34" t="n">
        <f aca="false">B6506/1</f>
        <v>53.964</v>
      </c>
      <c r="H6506" s="34" t="n">
        <f aca="false">IF(F6506=1,G6506,"")</f>
        <v>53.964</v>
      </c>
    </row>
    <row r="6507" customFormat="false" ht="15" hidden="false" customHeight="false" outlineLevel="0" collapsed="false">
      <c r="A6507" s="31" t="n">
        <v>43007.0416666667</v>
      </c>
      <c r="B6507" s="32" t="n">
        <v>51.452</v>
      </c>
      <c r="D6507" s="33" t="n">
        <f aca="false">WEEKDAY(A6507,2)</f>
        <v>5</v>
      </c>
      <c r="E6507" s="33" t="n">
        <f aca="false">HOUR(A6507)+MINUTE(A6507)/60</f>
        <v>1</v>
      </c>
      <c r="F6507" s="33" t="n">
        <f aca="false">IF(OR(D6507&gt;5,E6507&lt;8,E6507&gt;=18,COUNTIF($K$2:$K$10,INT(A6507))&gt;0),1,0)</f>
        <v>1</v>
      </c>
      <c r="G6507" s="34" t="n">
        <f aca="false">B6507/1</f>
        <v>51.452</v>
      </c>
      <c r="H6507" s="34" t="n">
        <f aca="false">IF(F6507=1,G6507,"")</f>
        <v>51.452</v>
      </c>
    </row>
    <row r="6508" customFormat="false" ht="15" hidden="false" customHeight="false" outlineLevel="0" collapsed="false">
      <c r="A6508" s="31" t="n">
        <v>43007.0833333333</v>
      </c>
      <c r="B6508" s="32" t="n">
        <v>50.606</v>
      </c>
      <c r="D6508" s="33" t="n">
        <f aca="false">WEEKDAY(A6508,2)</f>
        <v>5</v>
      </c>
      <c r="E6508" s="33" t="n">
        <f aca="false">HOUR(A6508)+MINUTE(A6508)/60</f>
        <v>2</v>
      </c>
      <c r="F6508" s="33" t="n">
        <f aca="false">IF(OR(D6508&gt;5,E6508&lt;8,E6508&gt;=18,COUNTIF($K$2:$K$10,INT(A6508))&gt;0),1,0)</f>
        <v>1</v>
      </c>
      <c r="G6508" s="34" t="n">
        <f aca="false">B6508/1</f>
        <v>50.606</v>
      </c>
      <c r="H6508" s="34" t="n">
        <f aca="false">IF(F6508=1,G6508,"")</f>
        <v>50.606</v>
      </c>
    </row>
    <row r="6509" customFormat="false" ht="15" hidden="false" customHeight="false" outlineLevel="0" collapsed="false">
      <c r="A6509" s="31" t="n">
        <v>43007.125</v>
      </c>
      <c r="B6509" s="32" t="n">
        <v>52.817</v>
      </c>
      <c r="D6509" s="33" t="n">
        <f aca="false">WEEKDAY(A6509,2)</f>
        <v>5</v>
      </c>
      <c r="E6509" s="33" t="n">
        <f aca="false">HOUR(A6509)+MINUTE(A6509)/60</f>
        <v>3</v>
      </c>
      <c r="F6509" s="33" t="n">
        <f aca="false">IF(OR(D6509&gt;5,E6509&lt;8,E6509&gt;=18,COUNTIF($K$2:$K$10,INT(A6509))&gt;0),1,0)</f>
        <v>1</v>
      </c>
      <c r="G6509" s="34" t="n">
        <f aca="false">B6509/1</f>
        <v>52.817</v>
      </c>
      <c r="H6509" s="34" t="n">
        <f aca="false">IF(F6509=1,G6509,"")</f>
        <v>52.817</v>
      </c>
    </row>
    <row r="6510" customFormat="false" ht="15" hidden="false" customHeight="false" outlineLevel="0" collapsed="false">
      <c r="A6510" s="31" t="n">
        <v>43007.1666666667</v>
      </c>
      <c r="B6510" s="32" t="n">
        <v>51.213</v>
      </c>
      <c r="D6510" s="33" t="n">
        <f aca="false">WEEKDAY(A6510,2)</f>
        <v>5</v>
      </c>
      <c r="E6510" s="33" t="n">
        <f aca="false">HOUR(A6510)+MINUTE(A6510)/60</f>
        <v>4</v>
      </c>
      <c r="F6510" s="33" t="n">
        <f aca="false">IF(OR(D6510&gt;5,E6510&lt;8,E6510&gt;=18,COUNTIF($K$2:$K$10,INT(A6510))&gt;0),1,0)</f>
        <v>1</v>
      </c>
      <c r="G6510" s="34" t="n">
        <f aca="false">B6510/1</f>
        <v>51.213</v>
      </c>
      <c r="H6510" s="34" t="n">
        <f aca="false">IF(F6510=1,G6510,"")</f>
        <v>51.213</v>
      </c>
    </row>
    <row r="6511" customFormat="false" ht="15" hidden="false" customHeight="false" outlineLevel="0" collapsed="false">
      <c r="A6511" s="31" t="n">
        <v>43007.2083333333</v>
      </c>
      <c r="B6511" s="32" t="n">
        <v>51.747</v>
      </c>
      <c r="D6511" s="33" t="n">
        <f aca="false">WEEKDAY(A6511,2)</f>
        <v>5</v>
      </c>
      <c r="E6511" s="33" t="n">
        <f aca="false">HOUR(A6511)+MINUTE(A6511)/60</f>
        <v>5</v>
      </c>
      <c r="F6511" s="33" t="n">
        <f aca="false">IF(OR(D6511&gt;5,E6511&lt;8,E6511&gt;=18,COUNTIF($K$2:$K$10,INT(A6511))&gt;0),1,0)</f>
        <v>1</v>
      </c>
      <c r="G6511" s="34" t="n">
        <f aca="false">B6511/1</f>
        <v>51.747</v>
      </c>
      <c r="H6511" s="34" t="n">
        <f aca="false">IF(F6511=1,G6511,"")</f>
        <v>51.747</v>
      </c>
    </row>
    <row r="6512" customFormat="false" ht="15" hidden="false" customHeight="false" outlineLevel="0" collapsed="false">
      <c r="A6512" s="31" t="n">
        <v>43007.25</v>
      </c>
      <c r="B6512" s="32" t="n">
        <v>53.086</v>
      </c>
      <c r="D6512" s="33" t="n">
        <f aca="false">WEEKDAY(A6512,2)</f>
        <v>5</v>
      </c>
      <c r="E6512" s="33" t="n">
        <f aca="false">HOUR(A6512)+MINUTE(A6512)/60</f>
        <v>6</v>
      </c>
      <c r="F6512" s="33" t="n">
        <f aca="false">IF(OR(D6512&gt;5,E6512&lt;8,E6512&gt;=18,COUNTIF($K$2:$K$10,INT(A6512))&gt;0),1,0)</f>
        <v>1</v>
      </c>
      <c r="G6512" s="34" t="n">
        <f aca="false">B6512/1</f>
        <v>53.086</v>
      </c>
      <c r="H6512" s="34" t="n">
        <f aca="false">IF(F6512=1,G6512,"")</f>
        <v>53.086</v>
      </c>
    </row>
    <row r="6513" customFormat="false" ht="15" hidden="false" customHeight="false" outlineLevel="0" collapsed="false">
      <c r="A6513" s="31" t="n">
        <v>43007.2916666667</v>
      </c>
      <c r="B6513" s="32" t="n">
        <v>59.505</v>
      </c>
      <c r="D6513" s="33" t="n">
        <f aca="false">WEEKDAY(A6513,2)</f>
        <v>5</v>
      </c>
      <c r="E6513" s="33" t="n">
        <f aca="false">HOUR(A6513)+MINUTE(A6513)/60</f>
        <v>7</v>
      </c>
      <c r="F6513" s="33" t="n">
        <f aca="false">IF(OR(D6513&gt;5,E6513&lt;8,E6513&gt;=18,COUNTIF($K$2:$K$10,INT(A6513))&gt;0),1,0)</f>
        <v>1</v>
      </c>
      <c r="G6513" s="34" t="n">
        <f aca="false">B6513/1</f>
        <v>59.505</v>
      </c>
      <c r="H6513" s="34" t="n">
        <f aca="false">IF(F6513=1,G6513,"")</f>
        <v>59.505</v>
      </c>
    </row>
    <row r="6514" customFormat="false" ht="15" hidden="false" customHeight="false" outlineLevel="0" collapsed="false">
      <c r="A6514" s="31" t="n">
        <v>43007.3333333333</v>
      </c>
      <c r="B6514" s="32" t="n">
        <v>177.621</v>
      </c>
      <c r="D6514" s="33" t="n">
        <f aca="false">WEEKDAY(A6514,2)</f>
        <v>5</v>
      </c>
      <c r="E6514" s="33" t="n">
        <f aca="false">HOUR(A6514)+MINUTE(A6514)/60</f>
        <v>8</v>
      </c>
      <c r="F6514" s="33" t="n">
        <f aca="false">IF(OR(D6514&gt;5,E6514&lt;8,E6514&gt;=18,COUNTIF($K$2:$K$10,INT(A6514))&gt;0),1,0)</f>
        <v>0</v>
      </c>
      <c r="G6514" s="34" t="n">
        <f aca="false">B6514/1</f>
        <v>177.621</v>
      </c>
      <c r="H6514" s="34" t="str">
        <f aca="false">IF(F6514=1,G6514,"")</f>
        <v/>
      </c>
    </row>
    <row r="6515" customFormat="false" ht="15" hidden="false" customHeight="false" outlineLevel="0" collapsed="false">
      <c r="A6515" s="31" t="n">
        <v>43007.375</v>
      </c>
      <c r="B6515" s="32" t="n">
        <v>219.531</v>
      </c>
      <c r="D6515" s="33" t="n">
        <f aca="false">WEEKDAY(A6515,2)</f>
        <v>5</v>
      </c>
      <c r="E6515" s="33" t="n">
        <f aca="false">HOUR(A6515)+MINUTE(A6515)/60</f>
        <v>9</v>
      </c>
      <c r="F6515" s="33" t="n">
        <f aca="false">IF(OR(D6515&gt;5,E6515&lt;8,E6515&gt;=18,COUNTIF($K$2:$K$10,INT(A6515))&gt;0),1,0)</f>
        <v>0</v>
      </c>
      <c r="G6515" s="34" t="n">
        <f aca="false">B6515/1</f>
        <v>219.531</v>
      </c>
      <c r="H6515" s="34" t="str">
        <f aca="false">IF(F6515=1,G6515,"")</f>
        <v/>
      </c>
    </row>
    <row r="6516" customFormat="false" ht="15" hidden="false" customHeight="false" outlineLevel="0" collapsed="false">
      <c r="A6516" s="31" t="n">
        <v>43007.4166666667</v>
      </c>
      <c r="B6516" s="32" t="n">
        <v>243.553</v>
      </c>
      <c r="D6516" s="33" t="n">
        <f aca="false">WEEKDAY(A6516,2)</f>
        <v>5</v>
      </c>
      <c r="E6516" s="33" t="n">
        <f aca="false">HOUR(A6516)+MINUTE(A6516)/60</f>
        <v>10</v>
      </c>
      <c r="F6516" s="33" t="n">
        <f aca="false">IF(OR(D6516&gt;5,E6516&lt;8,E6516&gt;=18,COUNTIF($K$2:$K$10,INT(A6516))&gt;0),1,0)</f>
        <v>0</v>
      </c>
      <c r="G6516" s="34" t="n">
        <f aca="false">B6516/1</f>
        <v>243.553</v>
      </c>
      <c r="H6516" s="34" t="str">
        <f aca="false">IF(F6516=1,G6516,"")</f>
        <v/>
      </c>
    </row>
    <row r="6517" customFormat="false" ht="15" hidden="false" customHeight="false" outlineLevel="0" collapsed="false">
      <c r="A6517" s="31" t="n">
        <v>43007.4583333333</v>
      </c>
      <c r="B6517" s="32" t="n">
        <v>249.561</v>
      </c>
      <c r="D6517" s="33" t="n">
        <f aca="false">WEEKDAY(A6517,2)</f>
        <v>5</v>
      </c>
      <c r="E6517" s="33" t="n">
        <f aca="false">HOUR(A6517)+MINUTE(A6517)/60</f>
        <v>11</v>
      </c>
      <c r="F6517" s="33" t="n">
        <f aca="false">IF(OR(D6517&gt;5,E6517&lt;8,E6517&gt;=18,COUNTIF($K$2:$K$10,INT(A6517))&gt;0),1,0)</f>
        <v>0</v>
      </c>
      <c r="G6517" s="34" t="n">
        <f aca="false">B6517/1</f>
        <v>249.561</v>
      </c>
      <c r="H6517" s="34" t="str">
        <f aca="false">IF(F6517=1,G6517,"")</f>
        <v/>
      </c>
    </row>
    <row r="6518" customFormat="false" ht="15" hidden="false" customHeight="false" outlineLevel="0" collapsed="false">
      <c r="A6518" s="31" t="n">
        <v>43007.5</v>
      </c>
      <c r="B6518" s="32" t="n">
        <v>253.505</v>
      </c>
      <c r="D6518" s="33" t="n">
        <f aca="false">WEEKDAY(A6518,2)</f>
        <v>5</v>
      </c>
      <c r="E6518" s="33" t="n">
        <f aca="false">HOUR(A6518)+MINUTE(A6518)/60</f>
        <v>12</v>
      </c>
      <c r="F6518" s="33" t="n">
        <f aca="false">IF(OR(D6518&gt;5,E6518&lt;8,E6518&gt;=18,COUNTIF($K$2:$K$10,INT(A6518))&gt;0),1,0)</f>
        <v>0</v>
      </c>
      <c r="G6518" s="34" t="n">
        <f aca="false">B6518/1</f>
        <v>253.505</v>
      </c>
      <c r="H6518" s="34" t="str">
        <f aca="false">IF(F6518=1,G6518,"")</f>
        <v/>
      </c>
    </row>
    <row r="6519" customFormat="false" ht="15" hidden="false" customHeight="false" outlineLevel="0" collapsed="false">
      <c r="A6519" s="31" t="n">
        <v>43007.5416666667</v>
      </c>
      <c r="B6519" s="32" t="n">
        <v>254.951</v>
      </c>
      <c r="D6519" s="33" t="n">
        <f aca="false">WEEKDAY(A6519,2)</f>
        <v>5</v>
      </c>
      <c r="E6519" s="33" t="n">
        <f aca="false">HOUR(A6519)+MINUTE(A6519)/60</f>
        <v>13</v>
      </c>
      <c r="F6519" s="33" t="n">
        <f aca="false">IF(OR(D6519&gt;5,E6519&lt;8,E6519&gt;=18,COUNTIF($K$2:$K$10,INT(A6519))&gt;0),1,0)</f>
        <v>0</v>
      </c>
      <c r="G6519" s="34" t="n">
        <f aca="false">B6519/1</f>
        <v>254.951</v>
      </c>
      <c r="H6519" s="34" t="str">
        <f aca="false">IF(F6519=1,G6519,"")</f>
        <v/>
      </c>
    </row>
    <row r="6520" customFormat="false" ht="15" hidden="false" customHeight="false" outlineLevel="0" collapsed="false">
      <c r="A6520" s="31" t="n">
        <v>43007.5833333333</v>
      </c>
      <c r="B6520" s="32" t="n">
        <v>252.587</v>
      </c>
      <c r="D6520" s="33" t="n">
        <f aca="false">WEEKDAY(A6520,2)</f>
        <v>5</v>
      </c>
      <c r="E6520" s="33" t="n">
        <f aca="false">HOUR(A6520)+MINUTE(A6520)/60</f>
        <v>14</v>
      </c>
      <c r="F6520" s="33" t="n">
        <f aca="false">IF(OR(D6520&gt;5,E6520&lt;8,E6520&gt;=18,COUNTIF($K$2:$K$10,INT(A6520))&gt;0),1,0)</f>
        <v>0</v>
      </c>
      <c r="G6520" s="34" t="n">
        <f aca="false">B6520/1</f>
        <v>252.587</v>
      </c>
      <c r="H6520" s="34" t="str">
        <f aca="false">IF(F6520=1,G6520,"")</f>
        <v/>
      </c>
    </row>
    <row r="6521" customFormat="false" ht="15" hidden="false" customHeight="false" outlineLevel="0" collapsed="false">
      <c r="A6521" s="31" t="n">
        <v>43007.625</v>
      </c>
      <c r="B6521" s="32" t="n">
        <v>244.598</v>
      </c>
      <c r="D6521" s="33" t="n">
        <f aca="false">WEEKDAY(A6521,2)</f>
        <v>5</v>
      </c>
      <c r="E6521" s="33" t="n">
        <f aca="false">HOUR(A6521)+MINUTE(A6521)/60</f>
        <v>15</v>
      </c>
      <c r="F6521" s="33" t="n">
        <f aca="false">IF(OR(D6521&gt;5,E6521&lt;8,E6521&gt;=18,COUNTIF($K$2:$K$10,INT(A6521))&gt;0),1,0)</f>
        <v>0</v>
      </c>
      <c r="G6521" s="34" t="n">
        <f aca="false">B6521/1</f>
        <v>244.598</v>
      </c>
      <c r="H6521" s="34" t="str">
        <f aca="false">IF(F6521=1,G6521,"")</f>
        <v/>
      </c>
    </row>
    <row r="6522" customFormat="false" ht="15" hidden="false" customHeight="false" outlineLevel="0" collapsed="false">
      <c r="A6522" s="31" t="n">
        <v>43007.6666666667</v>
      </c>
      <c r="B6522" s="32" t="n">
        <v>233.302</v>
      </c>
      <c r="D6522" s="33" t="n">
        <f aca="false">WEEKDAY(A6522,2)</f>
        <v>5</v>
      </c>
      <c r="E6522" s="33" t="n">
        <f aca="false">HOUR(A6522)+MINUTE(A6522)/60</f>
        <v>16</v>
      </c>
      <c r="F6522" s="33" t="n">
        <f aca="false">IF(OR(D6522&gt;5,E6522&lt;8,E6522&gt;=18,COUNTIF($K$2:$K$10,INT(A6522))&gt;0),1,0)</f>
        <v>0</v>
      </c>
      <c r="G6522" s="34" t="n">
        <f aca="false">B6522/1</f>
        <v>233.302</v>
      </c>
      <c r="H6522" s="34" t="str">
        <f aca="false">IF(F6522=1,G6522,"")</f>
        <v/>
      </c>
    </row>
    <row r="6523" customFormat="false" ht="15" hidden="false" customHeight="false" outlineLevel="0" collapsed="false">
      <c r="A6523" s="31" t="n">
        <v>43007.7083333333</v>
      </c>
      <c r="B6523" s="32" t="n">
        <v>222.184</v>
      </c>
      <c r="D6523" s="33" t="n">
        <f aca="false">WEEKDAY(A6523,2)</f>
        <v>5</v>
      </c>
      <c r="E6523" s="33" t="n">
        <f aca="false">HOUR(A6523)+MINUTE(A6523)/60</f>
        <v>17</v>
      </c>
      <c r="F6523" s="33" t="n">
        <f aca="false">IF(OR(D6523&gt;5,E6523&lt;8,E6523&gt;=18,COUNTIF($K$2:$K$10,INT(A6523))&gt;0),1,0)</f>
        <v>0</v>
      </c>
      <c r="G6523" s="34" t="n">
        <f aca="false">B6523/1</f>
        <v>222.184</v>
      </c>
      <c r="H6523" s="34" t="str">
        <f aca="false">IF(F6523=1,G6523,"")</f>
        <v/>
      </c>
    </row>
    <row r="6524" customFormat="false" ht="15" hidden="false" customHeight="false" outlineLevel="0" collapsed="false">
      <c r="A6524" s="31" t="n">
        <v>43007.75</v>
      </c>
      <c r="B6524" s="32" t="n">
        <v>204.076</v>
      </c>
      <c r="D6524" s="33" t="n">
        <f aca="false">WEEKDAY(A6524,2)</f>
        <v>5</v>
      </c>
      <c r="E6524" s="33" t="n">
        <f aca="false">HOUR(A6524)+MINUTE(A6524)/60</f>
        <v>18</v>
      </c>
      <c r="F6524" s="33" t="n">
        <f aca="false">IF(OR(D6524&gt;5,E6524&lt;8,E6524&gt;=18,COUNTIF($K$2:$K$10,INT(A6524))&gt;0),1,0)</f>
        <v>1</v>
      </c>
      <c r="G6524" s="34" t="n">
        <f aca="false">B6524/1</f>
        <v>204.076</v>
      </c>
      <c r="H6524" s="34" t="n">
        <f aca="false">IF(F6524=1,G6524,"")</f>
        <v>204.076</v>
      </c>
    </row>
    <row r="6525" customFormat="false" ht="15" hidden="false" customHeight="false" outlineLevel="0" collapsed="false">
      <c r="A6525" s="31" t="n">
        <v>43007.7916666667</v>
      </c>
      <c r="B6525" s="32" t="n">
        <v>195.01</v>
      </c>
      <c r="D6525" s="33" t="n">
        <f aca="false">WEEKDAY(A6525,2)</f>
        <v>5</v>
      </c>
      <c r="E6525" s="33" t="n">
        <f aca="false">HOUR(A6525)+MINUTE(A6525)/60</f>
        <v>19</v>
      </c>
      <c r="F6525" s="33" t="n">
        <f aca="false">IF(OR(D6525&gt;5,E6525&lt;8,E6525&gt;=18,COUNTIF($K$2:$K$10,INT(A6525))&gt;0),1,0)</f>
        <v>1</v>
      </c>
      <c r="G6525" s="34" t="n">
        <f aca="false">B6525/1</f>
        <v>195.01</v>
      </c>
      <c r="H6525" s="34" t="n">
        <f aca="false">IF(F6525=1,G6525,"")</f>
        <v>195.01</v>
      </c>
    </row>
    <row r="6526" customFormat="false" ht="15" hidden="false" customHeight="false" outlineLevel="0" collapsed="false">
      <c r="A6526" s="31" t="n">
        <v>43007.8333333333</v>
      </c>
      <c r="B6526" s="32" t="n">
        <v>190.38</v>
      </c>
      <c r="D6526" s="33" t="n">
        <f aca="false">WEEKDAY(A6526,2)</f>
        <v>5</v>
      </c>
      <c r="E6526" s="33" t="n">
        <f aca="false">HOUR(A6526)+MINUTE(A6526)/60</f>
        <v>20</v>
      </c>
      <c r="F6526" s="33" t="n">
        <f aca="false">IF(OR(D6526&gt;5,E6526&lt;8,E6526&gt;=18,COUNTIF($K$2:$K$10,INT(A6526))&gt;0),1,0)</f>
        <v>1</v>
      </c>
      <c r="G6526" s="34" t="n">
        <f aca="false">B6526/1</f>
        <v>190.38</v>
      </c>
      <c r="H6526" s="34" t="n">
        <f aca="false">IF(F6526=1,G6526,"")</f>
        <v>190.38</v>
      </c>
    </row>
    <row r="6527" customFormat="false" ht="15" hidden="false" customHeight="false" outlineLevel="0" collapsed="false">
      <c r="A6527" s="31" t="n">
        <v>43007.875</v>
      </c>
      <c r="B6527" s="32" t="n">
        <v>183.625</v>
      </c>
      <c r="D6527" s="33" t="n">
        <f aca="false">WEEKDAY(A6527,2)</f>
        <v>5</v>
      </c>
      <c r="E6527" s="33" t="n">
        <f aca="false">HOUR(A6527)+MINUTE(A6527)/60</f>
        <v>21</v>
      </c>
      <c r="F6527" s="33" t="n">
        <f aca="false">IF(OR(D6527&gt;5,E6527&lt;8,E6527&gt;=18,COUNTIF($K$2:$K$10,INT(A6527))&gt;0),1,0)</f>
        <v>1</v>
      </c>
      <c r="G6527" s="34" t="n">
        <f aca="false">B6527/1</f>
        <v>183.625</v>
      </c>
      <c r="H6527" s="34" t="n">
        <f aca="false">IF(F6527=1,G6527,"")</f>
        <v>183.625</v>
      </c>
    </row>
    <row r="6528" customFormat="false" ht="15" hidden="false" customHeight="false" outlineLevel="0" collapsed="false">
      <c r="A6528" s="31" t="n">
        <v>43007.9166666667</v>
      </c>
      <c r="B6528" s="32" t="n">
        <v>124.335</v>
      </c>
      <c r="D6528" s="33" t="n">
        <f aca="false">WEEKDAY(A6528,2)</f>
        <v>5</v>
      </c>
      <c r="E6528" s="33" t="n">
        <f aca="false">HOUR(A6528)+MINUTE(A6528)/60</f>
        <v>22</v>
      </c>
      <c r="F6528" s="33" t="n">
        <f aca="false">IF(OR(D6528&gt;5,E6528&lt;8,E6528&gt;=18,COUNTIF($K$2:$K$10,INT(A6528))&gt;0),1,0)</f>
        <v>1</v>
      </c>
      <c r="G6528" s="34" t="n">
        <f aca="false">B6528/1</f>
        <v>124.335</v>
      </c>
      <c r="H6528" s="34" t="n">
        <f aca="false">IF(F6528=1,G6528,"")</f>
        <v>124.335</v>
      </c>
    </row>
    <row r="6529" customFormat="false" ht="15" hidden="false" customHeight="false" outlineLevel="0" collapsed="false">
      <c r="A6529" s="31" t="n">
        <v>43007.9583333333</v>
      </c>
      <c r="B6529" s="32" t="n">
        <v>57.346</v>
      </c>
      <c r="D6529" s="33" t="n">
        <f aca="false">WEEKDAY(A6529,2)</f>
        <v>5</v>
      </c>
      <c r="E6529" s="33" t="n">
        <f aca="false">HOUR(A6529)+MINUTE(A6529)/60</f>
        <v>23</v>
      </c>
      <c r="F6529" s="33" t="n">
        <f aca="false">IF(OR(D6529&gt;5,E6529&lt;8,E6529&gt;=18,COUNTIF($K$2:$K$10,INT(A6529))&gt;0),1,0)</f>
        <v>1</v>
      </c>
      <c r="G6529" s="34" t="n">
        <f aca="false">B6529/1</f>
        <v>57.346</v>
      </c>
      <c r="H6529" s="34" t="n">
        <f aca="false">IF(F6529=1,G6529,"")</f>
        <v>57.346</v>
      </c>
    </row>
    <row r="6530" customFormat="false" ht="15" hidden="false" customHeight="false" outlineLevel="0" collapsed="false">
      <c r="A6530" s="31" t="n">
        <v>43008</v>
      </c>
      <c r="B6530" s="32" t="n">
        <v>55.97</v>
      </c>
      <c r="D6530" s="33" t="n">
        <f aca="false">WEEKDAY(A6530,2)</f>
        <v>6</v>
      </c>
      <c r="E6530" s="33" t="n">
        <f aca="false">HOUR(A6530)+MINUTE(A6530)/60</f>
        <v>0</v>
      </c>
      <c r="F6530" s="33" t="n">
        <f aca="false">IF(OR(D6530&gt;5,E6530&lt;8,E6530&gt;=18,COUNTIF($K$2:$K$10,INT(A6530))&gt;0),1,0)</f>
        <v>1</v>
      </c>
      <c r="G6530" s="34" t="n">
        <f aca="false">B6530/1</f>
        <v>55.97</v>
      </c>
      <c r="H6530" s="34" t="n">
        <f aca="false">IF(F6530=1,G6530,"")</f>
        <v>55.97</v>
      </c>
    </row>
    <row r="6531" customFormat="false" ht="15" hidden="false" customHeight="false" outlineLevel="0" collapsed="false">
      <c r="A6531" s="31" t="n">
        <v>43008.0416666667</v>
      </c>
      <c r="B6531" s="32" t="n">
        <v>52.744</v>
      </c>
      <c r="D6531" s="33" t="n">
        <f aca="false">WEEKDAY(A6531,2)</f>
        <v>6</v>
      </c>
      <c r="E6531" s="33" t="n">
        <f aca="false">HOUR(A6531)+MINUTE(A6531)/60</f>
        <v>1</v>
      </c>
      <c r="F6531" s="33" t="n">
        <f aca="false">IF(OR(D6531&gt;5,E6531&lt;8,E6531&gt;=18,COUNTIF($K$2:$K$10,INT(A6531))&gt;0),1,0)</f>
        <v>1</v>
      </c>
      <c r="G6531" s="34" t="n">
        <f aca="false">B6531/1</f>
        <v>52.744</v>
      </c>
      <c r="H6531" s="34" t="n">
        <f aca="false">IF(F6531=1,G6531,"")</f>
        <v>52.744</v>
      </c>
    </row>
    <row r="6532" customFormat="false" ht="15" hidden="false" customHeight="false" outlineLevel="0" collapsed="false">
      <c r="A6532" s="31" t="n">
        <v>43008.0833333333</v>
      </c>
      <c r="B6532" s="32" t="n">
        <v>53.744</v>
      </c>
      <c r="D6532" s="33" t="n">
        <f aca="false">WEEKDAY(A6532,2)</f>
        <v>6</v>
      </c>
      <c r="E6532" s="33" t="n">
        <f aca="false">HOUR(A6532)+MINUTE(A6532)/60</f>
        <v>2</v>
      </c>
      <c r="F6532" s="33" t="n">
        <f aca="false">IF(OR(D6532&gt;5,E6532&lt;8,E6532&gt;=18,COUNTIF($K$2:$K$10,INT(A6532))&gt;0),1,0)</f>
        <v>1</v>
      </c>
      <c r="G6532" s="34" t="n">
        <f aca="false">B6532/1</f>
        <v>53.744</v>
      </c>
      <c r="H6532" s="34" t="n">
        <f aca="false">IF(F6532=1,G6532,"")</f>
        <v>53.744</v>
      </c>
    </row>
    <row r="6533" customFormat="false" ht="15" hidden="false" customHeight="false" outlineLevel="0" collapsed="false">
      <c r="A6533" s="31" t="n">
        <v>43008.125</v>
      </c>
      <c r="B6533" s="32" t="n">
        <v>54.069</v>
      </c>
      <c r="D6533" s="33" t="n">
        <f aca="false">WEEKDAY(A6533,2)</f>
        <v>6</v>
      </c>
      <c r="E6533" s="33" t="n">
        <f aca="false">HOUR(A6533)+MINUTE(A6533)/60</f>
        <v>3</v>
      </c>
      <c r="F6533" s="33" t="n">
        <f aca="false">IF(OR(D6533&gt;5,E6533&lt;8,E6533&gt;=18,COUNTIF($K$2:$K$10,INT(A6533))&gt;0),1,0)</f>
        <v>1</v>
      </c>
      <c r="G6533" s="34" t="n">
        <f aca="false">B6533/1</f>
        <v>54.069</v>
      </c>
      <c r="H6533" s="34" t="n">
        <f aca="false">IF(F6533=1,G6533,"")</f>
        <v>54.069</v>
      </c>
    </row>
    <row r="6534" customFormat="false" ht="15" hidden="false" customHeight="false" outlineLevel="0" collapsed="false">
      <c r="A6534" s="31" t="n">
        <v>43008.1666666667</v>
      </c>
      <c r="B6534" s="32" t="n">
        <v>53.616</v>
      </c>
      <c r="D6534" s="33" t="n">
        <f aca="false">WEEKDAY(A6534,2)</f>
        <v>6</v>
      </c>
      <c r="E6534" s="33" t="n">
        <f aca="false">HOUR(A6534)+MINUTE(A6534)/60</f>
        <v>4</v>
      </c>
      <c r="F6534" s="33" t="n">
        <f aca="false">IF(OR(D6534&gt;5,E6534&lt;8,E6534&gt;=18,COUNTIF($K$2:$K$10,INT(A6534))&gt;0),1,0)</f>
        <v>1</v>
      </c>
      <c r="G6534" s="34" t="n">
        <f aca="false">B6534/1</f>
        <v>53.616</v>
      </c>
      <c r="H6534" s="34" t="n">
        <f aca="false">IF(F6534=1,G6534,"")</f>
        <v>53.616</v>
      </c>
    </row>
    <row r="6535" customFormat="false" ht="15" hidden="false" customHeight="false" outlineLevel="0" collapsed="false">
      <c r="A6535" s="31" t="n">
        <v>43008.2083333333</v>
      </c>
      <c r="B6535" s="32" t="n">
        <v>54.193</v>
      </c>
      <c r="D6535" s="33" t="n">
        <f aca="false">WEEKDAY(A6535,2)</f>
        <v>6</v>
      </c>
      <c r="E6535" s="33" t="n">
        <f aca="false">HOUR(A6535)+MINUTE(A6535)/60</f>
        <v>5</v>
      </c>
      <c r="F6535" s="33" t="n">
        <f aca="false">IF(OR(D6535&gt;5,E6535&lt;8,E6535&gt;=18,COUNTIF($K$2:$K$10,INT(A6535))&gt;0),1,0)</f>
        <v>1</v>
      </c>
      <c r="G6535" s="34" t="n">
        <f aca="false">B6535/1</f>
        <v>54.193</v>
      </c>
      <c r="H6535" s="34" t="n">
        <f aca="false">IF(F6535=1,G6535,"")</f>
        <v>54.193</v>
      </c>
    </row>
    <row r="6536" customFormat="false" ht="15" hidden="false" customHeight="false" outlineLevel="0" collapsed="false">
      <c r="A6536" s="31" t="n">
        <v>43008.25</v>
      </c>
      <c r="B6536" s="32" t="n">
        <v>55.57</v>
      </c>
      <c r="D6536" s="33" t="n">
        <f aca="false">WEEKDAY(A6536,2)</f>
        <v>6</v>
      </c>
      <c r="E6536" s="33" t="n">
        <f aca="false">HOUR(A6536)+MINUTE(A6536)/60</f>
        <v>6</v>
      </c>
      <c r="F6536" s="33" t="n">
        <f aca="false">IF(OR(D6536&gt;5,E6536&lt;8,E6536&gt;=18,COUNTIF($K$2:$K$10,INT(A6536))&gt;0),1,0)</f>
        <v>1</v>
      </c>
      <c r="G6536" s="34" t="n">
        <f aca="false">B6536/1</f>
        <v>55.57</v>
      </c>
      <c r="H6536" s="34" t="n">
        <f aca="false">IF(F6536=1,G6536,"")</f>
        <v>55.57</v>
      </c>
    </row>
    <row r="6537" customFormat="false" ht="15" hidden="false" customHeight="false" outlineLevel="0" collapsed="false">
      <c r="A6537" s="31" t="n">
        <v>43008.2916666667</v>
      </c>
      <c r="B6537" s="32" t="n">
        <v>52.914</v>
      </c>
      <c r="D6537" s="33" t="n">
        <f aca="false">WEEKDAY(A6537,2)</f>
        <v>6</v>
      </c>
      <c r="E6537" s="33" t="n">
        <f aca="false">HOUR(A6537)+MINUTE(A6537)/60</f>
        <v>7</v>
      </c>
      <c r="F6537" s="33" t="n">
        <f aca="false">IF(OR(D6537&gt;5,E6537&lt;8,E6537&gt;=18,COUNTIF($K$2:$K$10,INT(A6537))&gt;0),1,0)</f>
        <v>1</v>
      </c>
      <c r="G6537" s="34" t="n">
        <f aca="false">B6537/1</f>
        <v>52.914</v>
      </c>
      <c r="H6537" s="34" t="n">
        <f aca="false">IF(F6537=1,G6537,"")</f>
        <v>52.914</v>
      </c>
    </row>
    <row r="6538" customFormat="false" ht="15" hidden="false" customHeight="false" outlineLevel="0" collapsed="false">
      <c r="A6538" s="31" t="n">
        <v>43008.3333333333</v>
      </c>
      <c r="B6538" s="32" t="n">
        <v>118.683</v>
      </c>
      <c r="D6538" s="33" t="n">
        <f aca="false">WEEKDAY(A6538,2)</f>
        <v>6</v>
      </c>
      <c r="E6538" s="33" t="n">
        <f aca="false">HOUR(A6538)+MINUTE(A6538)/60</f>
        <v>8</v>
      </c>
      <c r="F6538" s="33" t="n">
        <f aca="false">IF(OR(D6538&gt;5,E6538&lt;8,E6538&gt;=18,COUNTIF($K$2:$K$10,INT(A6538))&gt;0),1,0)</f>
        <v>1</v>
      </c>
      <c r="G6538" s="34" t="n">
        <f aca="false">B6538/1</f>
        <v>118.683</v>
      </c>
      <c r="H6538" s="34" t="n">
        <f aca="false">IF(F6538=1,G6538,"")</f>
        <v>118.683</v>
      </c>
    </row>
    <row r="6539" customFormat="false" ht="15" hidden="false" customHeight="false" outlineLevel="0" collapsed="false">
      <c r="A6539" s="31" t="n">
        <v>43008.375</v>
      </c>
      <c r="B6539" s="32" t="n">
        <v>166.492</v>
      </c>
      <c r="D6539" s="33" t="n">
        <f aca="false">WEEKDAY(A6539,2)</f>
        <v>6</v>
      </c>
      <c r="E6539" s="33" t="n">
        <f aca="false">HOUR(A6539)+MINUTE(A6539)/60</f>
        <v>9</v>
      </c>
      <c r="F6539" s="33" t="n">
        <f aca="false">IF(OR(D6539&gt;5,E6539&lt;8,E6539&gt;=18,COUNTIF($K$2:$K$10,INT(A6539))&gt;0),1,0)</f>
        <v>1</v>
      </c>
      <c r="G6539" s="34" t="n">
        <f aca="false">B6539/1</f>
        <v>166.492</v>
      </c>
      <c r="H6539" s="34" t="n">
        <f aca="false">IF(F6539=1,G6539,"")</f>
        <v>166.492</v>
      </c>
    </row>
    <row r="6540" customFormat="false" ht="15" hidden="false" customHeight="false" outlineLevel="0" collapsed="false">
      <c r="A6540" s="31" t="n">
        <v>43008.4166666667</v>
      </c>
      <c r="B6540" s="32" t="n">
        <v>173.651</v>
      </c>
      <c r="D6540" s="33" t="n">
        <f aca="false">WEEKDAY(A6540,2)</f>
        <v>6</v>
      </c>
      <c r="E6540" s="33" t="n">
        <f aca="false">HOUR(A6540)+MINUTE(A6540)/60</f>
        <v>10</v>
      </c>
      <c r="F6540" s="33" t="n">
        <f aca="false">IF(OR(D6540&gt;5,E6540&lt;8,E6540&gt;=18,COUNTIF($K$2:$K$10,INT(A6540))&gt;0),1,0)</f>
        <v>1</v>
      </c>
      <c r="G6540" s="34" t="n">
        <f aca="false">B6540/1</f>
        <v>173.651</v>
      </c>
      <c r="H6540" s="34" t="n">
        <f aca="false">IF(F6540=1,G6540,"")</f>
        <v>173.651</v>
      </c>
    </row>
    <row r="6541" customFormat="false" ht="15" hidden="false" customHeight="false" outlineLevel="0" collapsed="false">
      <c r="A6541" s="31" t="n">
        <v>43008.4583333333</v>
      </c>
      <c r="B6541" s="32" t="n">
        <v>172.719</v>
      </c>
      <c r="D6541" s="33" t="n">
        <f aca="false">WEEKDAY(A6541,2)</f>
        <v>6</v>
      </c>
      <c r="E6541" s="33" t="n">
        <f aca="false">HOUR(A6541)+MINUTE(A6541)/60</f>
        <v>11</v>
      </c>
      <c r="F6541" s="33" t="n">
        <f aca="false">IF(OR(D6541&gt;5,E6541&lt;8,E6541&gt;=18,COUNTIF($K$2:$K$10,INT(A6541))&gt;0),1,0)</f>
        <v>1</v>
      </c>
      <c r="G6541" s="34" t="n">
        <f aca="false">B6541/1</f>
        <v>172.719</v>
      </c>
      <c r="H6541" s="34" t="n">
        <f aca="false">IF(F6541=1,G6541,"")</f>
        <v>172.719</v>
      </c>
    </row>
    <row r="6542" customFormat="false" ht="15" hidden="false" customHeight="false" outlineLevel="0" collapsed="false">
      <c r="A6542" s="31" t="n">
        <v>43008.5</v>
      </c>
      <c r="B6542" s="32" t="n">
        <v>178.271</v>
      </c>
      <c r="D6542" s="33" t="n">
        <f aca="false">WEEKDAY(A6542,2)</f>
        <v>6</v>
      </c>
      <c r="E6542" s="33" t="n">
        <f aca="false">HOUR(A6542)+MINUTE(A6542)/60</f>
        <v>12</v>
      </c>
      <c r="F6542" s="33" t="n">
        <f aca="false">IF(OR(D6542&gt;5,E6542&lt;8,E6542&gt;=18,COUNTIF($K$2:$K$10,INT(A6542))&gt;0),1,0)</f>
        <v>1</v>
      </c>
      <c r="G6542" s="34" t="n">
        <f aca="false">B6542/1</f>
        <v>178.271</v>
      </c>
      <c r="H6542" s="34" t="n">
        <f aca="false">IF(F6542=1,G6542,"")</f>
        <v>178.271</v>
      </c>
    </row>
    <row r="6543" customFormat="false" ht="15" hidden="false" customHeight="false" outlineLevel="0" collapsed="false">
      <c r="A6543" s="31" t="n">
        <v>43008.5416666667</v>
      </c>
      <c r="B6543" s="32" t="n">
        <v>176.792</v>
      </c>
      <c r="D6543" s="33" t="n">
        <f aca="false">WEEKDAY(A6543,2)</f>
        <v>6</v>
      </c>
      <c r="E6543" s="33" t="n">
        <f aca="false">HOUR(A6543)+MINUTE(A6543)/60</f>
        <v>13</v>
      </c>
      <c r="F6543" s="33" t="n">
        <f aca="false">IF(OR(D6543&gt;5,E6543&lt;8,E6543&gt;=18,COUNTIF($K$2:$K$10,INT(A6543))&gt;0),1,0)</f>
        <v>1</v>
      </c>
      <c r="G6543" s="34" t="n">
        <f aca="false">B6543/1</f>
        <v>176.792</v>
      </c>
      <c r="H6543" s="34" t="n">
        <f aca="false">IF(F6543=1,G6543,"")</f>
        <v>176.792</v>
      </c>
    </row>
    <row r="6544" customFormat="false" ht="15" hidden="false" customHeight="false" outlineLevel="0" collapsed="false">
      <c r="A6544" s="31" t="n">
        <v>43008.5833333333</v>
      </c>
      <c r="B6544" s="32" t="n">
        <v>179.321</v>
      </c>
      <c r="D6544" s="33" t="n">
        <f aca="false">WEEKDAY(A6544,2)</f>
        <v>6</v>
      </c>
      <c r="E6544" s="33" t="n">
        <f aca="false">HOUR(A6544)+MINUTE(A6544)/60</f>
        <v>14</v>
      </c>
      <c r="F6544" s="33" t="n">
        <f aca="false">IF(OR(D6544&gt;5,E6544&lt;8,E6544&gt;=18,COUNTIF($K$2:$K$10,INT(A6544))&gt;0),1,0)</f>
        <v>1</v>
      </c>
      <c r="G6544" s="34" t="n">
        <f aca="false">B6544/1</f>
        <v>179.321</v>
      </c>
      <c r="H6544" s="34" t="n">
        <f aca="false">IF(F6544=1,G6544,"")</f>
        <v>179.321</v>
      </c>
    </row>
    <row r="6545" customFormat="false" ht="15" hidden="false" customHeight="false" outlineLevel="0" collapsed="false">
      <c r="A6545" s="31" t="n">
        <v>43008.625</v>
      </c>
      <c r="B6545" s="32" t="n">
        <v>180.391</v>
      </c>
      <c r="D6545" s="33" t="n">
        <f aca="false">WEEKDAY(A6545,2)</f>
        <v>6</v>
      </c>
      <c r="E6545" s="33" t="n">
        <f aca="false">HOUR(A6545)+MINUTE(A6545)/60</f>
        <v>15</v>
      </c>
      <c r="F6545" s="33" t="n">
        <f aca="false">IF(OR(D6545&gt;5,E6545&lt;8,E6545&gt;=18,COUNTIF($K$2:$K$10,INT(A6545))&gt;0),1,0)</f>
        <v>1</v>
      </c>
      <c r="G6545" s="34" t="n">
        <f aca="false">B6545/1</f>
        <v>180.391</v>
      </c>
      <c r="H6545" s="34" t="n">
        <f aca="false">IF(F6545=1,G6545,"")</f>
        <v>180.391</v>
      </c>
    </row>
    <row r="6546" customFormat="false" ht="15" hidden="false" customHeight="false" outlineLevel="0" collapsed="false">
      <c r="A6546" s="31" t="n">
        <v>43008.6666666667</v>
      </c>
      <c r="B6546" s="32" t="n">
        <v>179.782</v>
      </c>
      <c r="D6546" s="33" t="n">
        <f aca="false">WEEKDAY(A6546,2)</f>
        <v>6</v>
      </c>
      <c r="E6546" s="33" t="n">
        <f aca="false">HOUR(A6546)+MINUTE(A6546)/60</f>
        <v>16</v>
      </c>
      <c r="F6546" s="33" t="n">
        <f aca="false">IF(OR(D6546&gt;5,E6546&lt;8,E6546&gt;=18,COUNTIF($K$2:$K$10,INT(A6546))&gt;0),1,0)</f>
        <v>1</v>
      </c>
      <c r="G6546" s="34" t="n">
        <f aca="false">B6546/1</f>
        <v>179.782</v>
      </c>
      <c r="H6546" s="34" t="n">
        <f aca="false">IF(F6546=1,G6546,"")</f>
        <v>179.782</v>
      </c>
    </row>
    <row r="6547" customFormat="false" ht="15" hidden="false" customHeight="false" outlineLevel="0" collapsed="false">
      <c r="A6547" s="31" t="n">
        <v>43008.7083333333</v>
      </c>
      <c r="B6547" s="32" t="n">
        <v>174.905</v>
      </c>
      <c r="D6547" s="33" t="n">
        <f aca="false">WEEKDAY(A6547,2)</f>
        <v>6</v>
      </c>
      <c r="E6547" s="33" t="n">
        <f aca="false">HOUR(A6547)+MINUTE(A6547)/60</f>
        <v>17</v>
      </c>
      <c r="F6547" s="33" t="n">
        <f aca="false">IF(OR(D6547&gt;5,E6547&lt;8,E6547&gt;=18,COUNTIF($K$2:$K$10,INT(A6547))&gt;0),1,0)</f>
        <v>1</v>
      </c>
      <c r="G6547" s="34" t="n">
        <f aca="false">B6547/1</f>
        <v>174.905</v>
      </c>
      <c r="H6547" s="34" t="n">
        <f aca="false">IF(F6547=1,G6547,"")</f>
        <v>174.905</v>
      </c>
    </row>
    <row r="6548" customFormat="false" ht="15" hidden="false" customHeight="false" outlineLevel="0" collapsed="false">
      <c r="A6548" s="31" t="n">
        <v>43008.75</v>
      </c>
      <c r="B6548" s="32" t="n">
        <v>79.97</v>
      </c>
      <c r="D6548" s="33" t="n">
        <f aca="false">WEEKDAY(A6548,2)</f>
        <v>6</v>
      </c>
      <c r="E6548" s="33" t="n">
        <f aca="false">HOUR(A6548)+MINUTE(A6548)/60</f>
        <v>18</v>
      </c>
      <c r="F6548" s="33" t="n">
        <f aca="false">IF(OR(D6548&gt;5,E6548&lt;8,E6548&gt;=18,COUNTIF($K$2:$K$10,INT(A6548))&gt;0),1,0)</f>
        <v>1</v>
      </c>
      <c r="G6548" s="34" t="n">
        <f aca="false">B6548/1</f>
        <v>79.97</v>
      </c>
      <c r="H6548" s="34" t="n">
        <f aca="false">IF(F6548=1,G6548,"")</f>
        <v>79.97</v>
      </c>
    </row>
    <row r="6549" customFormat="false" ht="15" hidden="false" customHeight="false" outlineLevel="0" collapsed="false">
      <c r="A6549" s="31" t="n">
        <v>43008.7916666667</v>
      </c>
      <c r="B6549" s="32" t="n">
        <v>57.116</v>
      </c>
      <c r="D6549" s="33" t="n">
        <f aca="false">WEEKDAY(A6549,2)</f>
        <v>6</v>
      </c>
      <c r="E6549" s="33" t="n">
        <f aca="false">HOUR(A6549)+MINUTE(A6549)/60</f>
        <v>19</v>
      </c>
      <c r="F6549" s="33" t="n">
        <f aca="false">IF(OR(D6549&gt;5,E6549&lt;8,E6549&gt;=18,COUNTIF($K$2:$K$10,INT(A6549))&gt;0),1,0)</f>
        <v>1</v>
      </c>
      <c r="G6549" s="34" t="n">
        <f aca="false">B6549/1</f>
        <v>57.116</v>
      </c>
      <c r="H6549" s="34" t="n">
        <f aca="false">IF(F6549=1,G6549,"")</f>
        <v>57.116</v>
      </c>
    </row>
    <row r="6550" customFormat="false" ht="15" hidden="false" customHeight="false" outlineLevel="0" collapsed="false">
      <c r="A6550" s="31" t="n">
        <v>43008.8333333333</v>
      </c>
      <c r="B6550" s="32" t="n">
        <v>58.891</v>
      </c>
      <c r="D6550" s="33" t="n">
        <f aca="false">WEEKDAY(A6550,2)</f>
        <v>6</v>
      </c>
      <c r="E6550" s="33" t="n">
        <f aca="false">HOUR(A6550)+MINUTE(A6550)/60</f>
        <v>20</v>
      </c>
      <c r="F6550" s="33" t="n">
        <f aca="false">IF(OR(D6550&gt;5,E6550&lt;8,E6550&gt;=18,COUNTIF($K$2:$K$10,INT(A6550))&gt;0),1,0)</f>
        <v>1</v>
      </c>
      <c r="G6550" s="34" t="n">
        <f aca="false">B6550/1</f>
        <v>58.891</v>
      </c>
      <c r="H6550" s="34" t="n">
        <f aca="false">IF(F6550=1,G6550,"")</f>
        <v>58.891</v>
      </c>
    </row>
    <row r="6551" customFormat="false" ht="15" hidden="false" customHeight="false" outlineLevel="0" collapsed="false">
      <c r="A6551" s="31" t="n">
        <v>43008.875</v>
      </c>
      <c r="B6551" s="32" t="n">
        <v>57.398</v>
      </c>
      <c r="D6551" s="33" t="n">
        <f aca="false">WEEKDAY(A6551,2)</f>
        <v>6</v>
      </c>
      <c r="E6551" s="33" t="n">
        <f aca="false">HOUR(A6551)+MINUTE(A6551)/60</f>
        <v>21</v>
      </c>
      <c r="F6551" s="33" t="n">
        <f aca="false">IF(OR(D6551&gt;5,E6551&lt;8,E6551&gt;=18,COUNTIF($K$2:$K$10,INT(A6551))&gt;0),1,0)</f>
        <v>1</v>
      </c>
      <c r="G6551" s="34" t="n">
        <f aca="false">B6551/1</f>
        <v>57.398</v>
      </c>
      <c r="H6551" s="34" t="n">
        <f aca="false">IF(F6551=1,G6551,"")</f>
        <v>57.398</v>
      </c>
    </row>
    <row r="6552" customFormat="false" ht="15" hidden="false" customHeight="false" outlineLevel="0" collapsed="false">
      <c r="A6552" s="31" t="n">
        <v>43008.9166666667</v>
      </c>
      <c r="B6552" s="32" t="n">
        <v>57.461</v>
      </c>
      <c r="D6552" s="33" t="n">
        <f aca="false">WEEKDAY(A6552,2)</f>
        <v>6</v>
      </c>
      <c r="E6552" s="33" t="n">
        <f aca="false">HOUR(A6552)+MINUTE(A6552)/60</f>
        <v>22</v>
      </c>
      <c r="F6552" s="33" t="n">
        <f aca="false">IF(OR(D6552&gt;5,E6552&lt;8,E6552&gt;=18,COUNTIF($K$2:$K$10,INT(A6552))&gt;0),1,0)</f>
        <v>1</v>
      </c>
      <c r="G6552" s="34" t="n">
        <f aca="false">B6552/1</f>
        <v>57.461</v>
      </c>
      <c r="H6552" s="34" t="n">
        <f aca="false">IF(F6552=1,G6552,"")</f>
        <v>57.461</v>
      </c>
    </row>
    <row r="6553" customFormat="false" ht="15" hidden="false" customHeight="false" outlineLevel="0" collapsed="false">
      <c r="A6553" s="31" t="n">
        <v>43008.9583333333</v>
      </c>
      <c r="B6553" s="32" t="n">
        <v>52.706</v>
      </c>
      <c r="D6553" s="33" t="n">
        <f aca="false">WEEKDAY(A6553,2)</f>
        <v>6</v>
      </c>
      <c r="E6553" s="33" t="n">
        <f aca="false">HOUR(A6553)+MINUTE(A6553)/60</f>
        <v>23</v>
      </c>
      <c r="F6553" s="33" t="n">
        <f aca="false">IF(OR(D6553&gt;5,E6553&lt;8,E6553&gt;=18,COUNTIF($K$2:$K$10,INT(A6553))&gt;0),1,0)</f>
        <v>1</v>
      </c>
      <c r="G6553" s="34" t="n">
        <f aca="false">B6553/1</f>
        <v>52.706</v>
      </c>
      <c r="H6553" s="34" t="n">
        <f aca="false">IF(F6553=1,G6553,"")</f>
        <v>52.706</v>
      </c>
    </row>
    <row r="6554" customFormat="false" ht="15" hidden="false" customHeight="false" outlineLevel="0" collapsed="false">
      <c r="A6554" s="31" t="n">
        <v>43009</v>
      </c>
      <c r="B6554" s="32" t="n">
        <v>52.857</v>
      </c>
      <c r="D6554" s="33" t="n">
        <f aca="false">WEEKDAY(A6554,2)</f>
        <v>7</v>
      </c>
      <c r="E6554" s="33" t="n">
        <f aca="false">HOUR(A6554)+MINUTE(A6554)/60</f>
        <v>0</v>
      </c>
      <c r="F6554" s="33" t="n">
        <f aca="false">IF(OR(D6554&gt;5,E6554&lt;8,E6554&gt;=18,COUNTIF($K$2:$K$10,INT(A6554))&gt;0),1,0)</f>
        <v>1</v>
      </c>
      <c r="G6554" s="34" t="n">
        <f aca="false">B6554/1</f>
        <v>52.857</v>
      </c>
      <c r="H6554" s="34" t="n">
        <f aca="false">IF(F6554=1,G6554,"")</f>
        <v>52.857</v>
      </c>
    </row>
    <row r="6555" customFormat="false" ht="15" hidden="false" customHeight="false" outlineLevel="0" collapsed="false">
      <c r="A6555" s="31" t="n">
        <v>43009.0416666667</v>
      </c>
      <c r="B6555" s="32" t="n">
        <v>52.434</v>
      </c>
      <c r="D6555" s="33" t="n">
        <f aca="false">WEEKDAY(A6555,2)</f>
        <v>7</v>
      </c>
      <c r="E6555" s="33" t="n">
        <f aca="false">HOUR(A6555)+MINUTE(A6555)/60</f>
        <v>1</v>
      </c>
      <c r="F6555" s="33" t="n">
        <f aca="false">IF(OR(D6555&gt;5,E6555&lt;8,E6555&gt;=18,COUNTIF($K$2:$K$10,INT(A6555))&gt;0),1,0)</f>
        <v>1</v>
      </c>
      <c r="G6555" s="34" t="n">
        <f aca="false">B6555/1</f>
        <v>52.434</v>
      </c>
      <c r="H6555" s="34" t="n">
        <f aca="false">IF(F6555=1,G6555,"")</f>
        <v>52.434</v>
      </c>
    </row>
    <row r="6556" customFormat="false" ht="15" hidden="false" customHeight="false" outlineLevel="0" collapsed="false">
      <c r="A6556" s="31" t="n">
        <v>43009.0833333333</v>
      </c>
      <c r="B6556" s="32" t="n">
        <v>53.821</v>
      </c>
      <c r="D6556" s="33" t="n">
        <f aca="false">WEEKDAY(A6556,2)</f>
        <v>7</v>
      </c>
      <c r="E6556" s="33" t="n">
        <f aca="false">HOUR(A6556)+MINUTE(A6556)/60</f>
        <v>2</v>
      </c>
      <c r="F6556" s="33" t="n">
        <f aca="false">IF(OR(D6556&gt;5,E6556&lt;8,E6556&gt;=18,COUNTIF($K$2:$K$10,INT(A6556))&gt;0),1,0)</f>
        <v>1</v>
      </c>
      <c r="G6556" s="34" t="n">
        <f aca="false">B6556/1</f>
        <v>53.821</v>
      </c>
      <c r="H6556" s="34" t="n">
        <f aca="false">IF(F6556=1,G6556,"")</f>
        <v>53.821</v>
      </c>
    </row>
    <row r="6557" customFormat="false" ht="15" hidden="false" customHeight="false" outlineLevel="0" collapsed="false">
      <c r="A6557" s="31" t="n">
        <v>43009.125</v>
      </c>
      <c r="B6557" s="32" t="n">
        <v>52.973</v>
      </c>
      <c r="D6557" s="33" t="n">
        <f aca="false">WEEKDAY(A6557,2)</f>
        <v>7</v>
      </c>
      <c r="E6557" s="33" t="n">
        <f aca="false">HOUR(A6557)+MINUTE(A6557)/60</f>
        <v>3</v>
      </c>
      <c r="F6557" s="33" t="n">
        <f aca="false">IF(OR(D6557&gt;5,E6557&lt;8,E6557&gt;=18,COUNTIF($K$2:$K$10,INT(A6557))&gt;0),1,0)</f>
        <v>1</v>
      </c>
      <c r="G6557" s="34" t="n">
        <f aca="false">B6557/1</f>
        <v>52.973</v>
      </c>
      <c r="H6557" s="34" t="n">
        <f aca="false">IF(F6557=1,G6557,"")</f>
        <v>52.973</v>
      </c>
    </row>
    <row r="6558" customFormat="false" ht="15" hidden="false" customHeight="false" outlineLevel="0" collapsed="false">
      <c r="A6558" s="31" t="n">
        <v>43009.1666666667</v>
      </c>
      <c r="B6558" s="32" t="n">
        <v>50.01</v>
      </c>
      <c r="D6558" s="33" t="n">
        <f aca="false">WEEKDAY(A6558,2)</f>
        <v>7</v>
      </c>
      <c r="E6558" s="33" t="n">
        <f aca="false">HOUR(A6558)+MINUTE(A6558)/60</f>
        <v>4</v>
      </c>
      <c r="F6558" s="33" t="n">
        <f aca="false">IF(OR(D6558&gt;5,E6558&lt;8,E6558&gt;=18,COUNTIF($K$2:$K$10,INT(A6558))&gt;0),1,0)</f>
        <v>1</v>
      </c>
      <c r="G6558" s="34" t="n">
        <f aca="false">B6558/1</f>
        <v>50.01</v>
      </c>
      <c r="H6558" s="34" t="n">
        <f aca="false">IF(F6558=1,G6558,"")</f>
        <v>50.01</v>
      </c>
    </row>
    <row r="6559" customFormat="false" ht="15" hidden="false" customHeight="false" outlineLevel="0" collapsed="false">
      <c r="A6559" s="31" t="n">
        <v>43009.2083333333</v>
      </c>
      <c r="B6559" s="32" t="n">
        <v>54.864</v>
      </c>
      <c r="D6559" s="33" t="n">
        <f aca="false">WEEKDAY(A6559,2)</f>
        <v>7</v>
      </c>
      <c r="E6559" s="33" t="n">
        <f aca="false">HOUR(A6559)+MINUTE(A6559)/60</f>
        <v>5</v>
      </c>
      <c r="F6559" s="33" t="n">
        <f aca="false">IF(OR(D6559&gt;5,E6559&lt;8,E6559&gt;=18,COUNTIF($K$2:$K$10,INT(A6559))&gt;0),1,0)</f>
        <v>1</v>
      </c>
      <c r="G6559" s="34" t="n">
        <f aca="false">B6559/1</f>
        <v>54.864</v>
      </c>
      <c r="H6559" s="34" t="n">
        <f aca="false">IF(F6559=1,G6559,"")</f>
        <v>54.864</v>
      </c>
    </row>
    <row r="6560" customFormat="false" ht="15" hidden="false" customHeight="false" outlineLevel="0" collapsed="false">
      <c r="A6560" s="31" t="n">
        <v>43009.25</v>
      </c>
      <c r="B6560" s="32" t="n">
        <v>55.615</v>
      </c>
      <c r="D6560" s="33" t="n">
        <f aca="false">WEEKDAY(A6560,2)</f>
        <v>7</v>
      </c>
      <c r="E6560" s="33" t="n">
        <f aca="false">HOUR(A6560)+MINUTE(A6560)/60</f>
        <v>6</v>
      </c>
      <c r="F6560" s="33" t="n">
        <f aca="false">IF(OR(D6560&gt;5,E6560&lt;8,E6560&gt;=18,COUNTIF($K$2:$K$10,INT(A6560))&gt;0),1,0)</f>
        <v>1</v>
      </c>
      <c r="G6560" s="34" t="n">
        <f aca="false">B6560/1</f>
        <v>55.615</v>
      </c>
      <c r="H6560" s="34" t="n">
        <f aca="false">IF(F6560=1,G6560,"")</f>
        <v>55.615</v>
      </c>
    </row>
    <row r="6561" customFormat="false" ht="15" hidden="false" customHeight="false" outlineLevel="0" collapsed="false">
      <c r="A6561" s="31" t="n">
        <v>43009.2916666667</v>
      </c>
      <c r="B6561" s="32" t="n">
        <v>53.254</v>
      </c>
      <c r="D6561" s="33" t="n">
        <f aca="false">WEEKDAY(A6561,2)</f>
        <v>7</v>
      </c>
      <c r="E6561" s="33" t="n">
        <f aca="false">HOUR(A6561)+MINUTE(A6561)/60</f>
        <v>7</v>
      </c>
      <c r="F6561" s="33" t="n">
        <f aca="false">IF(OR(D6561&gt;5,E6561&lt;8,E6561&gt;=18,COUNTIF($K$2:$K$10,INT(A6561))&gt;0),1,0)</f>
        <v>1</v>
      </c>
      <c r="G6561" s="34" t="n">
        <f aca="false">B6561/1</f>
        <v>53.254</v>
      </c>
      <c r="H6561" s="34" t="n">
        <f aca="false">IF(F6561=1,G6561,"")</f>
        <v>53.254</v>
      </c>
    </row>
    <row r="6562" customFormat="false" ht="15" hidden="false" customHeight="false" outlineLevel="0" collapsed="false">
      <c r="A6562" s="31" t="n">
        <v>43009.3333333333</v>
      </c>
      <c r="B6562" s="32" t="n">
        <v>52.931</v>
      </c>
      <c r="D6562" s="33" t="n">
        <f aca="false">WEEKDAY(A6562,2)</f>
        <v>7</v>
      </c>
      <c r="E6562" s="33" t="n">
        <f aca="false">HOUR(A6562)+MINUTE(A6562)/60</f>
        <v>8</v>
      </c>
      <c r="F6562" s="33" t="n">
        <f aca="false">IF(OR(D6562&gt;5,E6562&lt;8,E6562&gt;=18,COUNTIF($K$2:$K$10,INT(A6562))&gt;0),1,0)</f>
        <v>1</v>
      </c>
      <c r="G6562" s="34" t="n">
        <f aca="false">B6562/1</f>
        <v>52.931</v>
      </c>
      <c r="H6562" s="34" t="n">
        <f aca="false">IF(F6562=1,G6562,"")</f>
        <v>52.931</v>
      </c>
    </row>
    <row r="6563" customFormat="false" ht="15" hidden="false" customHeight="false" outlineLevel="0" collapsed="false">
      <c r="A6563" s="31" t="n">
        <v>43009.375</v>
      </c>
      <c r="B6563" s="32" t="n">
        <v>52.056</v>
      </c>
      <c r="D6563" s="33" t="n">
        <f aca="false">WEEKDAY(A6563,2)</f>
        <v>7</v>
      </c>
      <c r="E6563" s="33" t="n">
        <f aca="false">HOUR(A6563)+MINUTE(A6563)/60</f>
        <v>9</v>
      </c>
      <c r="F6563" s="33" t="n">
        <f aca="false">IF(OR(D6563&gt;5,E6563&lt;8,E6563&gt;=18,COUNTIF($K$2:$K$10,INT(A6563))&gt;0),1,0)</f>
        <v>1</v>
      </c>
      <c r="G6563" s="34" t="n">
        <f aca="false">B6563/1</f>
        <v>52.056</v>
      </c>
      <c r="H6563" s="34" t="n">
        <f aca="false">IF(F6563=1,G6563,"")</f>
        <v>52.056</v>
      </c>
    </row>
    <row r="6564" customFormat="false" ht="15" hidden="false" customHeight="false" outlineLevel="0" collapsed="false">
      <c r="A6564" s="31" t="n">
        <v>43009.4166666667</v>
      </c>
      <c r="B6564" s="32" t="n">
        <v>52.027</v>
      </c>
      <c r="D6564" s="33" t="n">
        <f aca="false">WEEKDAY(A6564,2)</f>
        <v>7</v>
      </c>
      <c r="E6564" s="33" t="n">
        <f aca="false">HOUR(A6564)+MINUTE(A6564)/60</f>
        <v>10</v>
      </c>
      <c r="F6564" s="33" t="n">
        <f aca="false">IF(OR(D6564&gt;5,E6564&lt;8,E6564&gt;=18,COUNTIF($K$2:$K$10,INT(A6564))&gt;0),1,0)</f>
        <v>1</v>
      </c>
      <c r="G6564" s="34" t="n">
        <f aca="false">B6564/1</f>
        <v>52.027</v>
      </c>
      <c r="H6564" s="34" t="n">
        <f aca="false">IF(F6564=1,G6564,"")</f>
        <v>52.027</v>
      </c>
    </row>
    <row r="6565" customFormat="false" ht="15" hidden="false" customHeight="false" outlineLevel="0" collapsed="false">
      <c r="A6565" s="31" t="n">
        <v>43009.4583333333</v>
      </c>
      <c r="B6565" s="32" t="n">
        <v>54.261</v>
      </c>
      <c r="D6565" s="33" t="n">
        <f aca="false">WEEKDAY(A6565,2)</f>
        <v>7</v>
      </c>
      <c r="E6565" s="33" t="n">
        <f aca="false">HOUR(A6565)+MINUTE(A6565)/60</f>
        <v>11</v>
      </c>
      <c r="F6565" s="33" t="n">
        <f aca="false">IF(OR(D6565&gt;5,E6565&lt;8,E6565&gt;=18,COUNTIF($K$2:$K$10,INT(A6565))&gt;0),1,0)</f>
        <v>1</v>
      </c>
      <c r="G6565" s="34" t="n">
        <f aca="false">B6565/1</f>
        <v>54.261</v>
      </c>
      <c r="H6565" s="34" t="n">
        <f aca="false">IF(F6565=1,G6565,"")</f>
        <v>54.261</v>
      </c>
    </row>
    <row r="6566" customFormat="false" ht="15" hidden="false" customHeight="false" outlineLevel="0" collapsed="false">
      <c r="A6566" s="31" t="n">
        <v>43009.5</v>
      </c>
      <c r="B6566" s="32" t="n">
        <v>59.076</v>
      </c>
      <c r="D6566" s="33" t="n">
        <f aca="false">WEEKDAY(A6566,2)</f>
        <v>7</v>
      </c>
      <c r="E6566" s="33" t="n">
        <f aca="false">HOUR(A6566)+MINUTE(A6566)/60</f>
        <v>12</v>
      </c>
      <c r="F6566" s="33" t="n">
        <f aca="false">IF(OR(D6566&gt;5,E6566&lt;8,E6566&gt;=18,COUNTIF($K$2:$K$10,INT(A6566))&gt;0),1,0)</f>
        <v>1</v>
      </c>
      <c r="G6566" s="34" t="n">
        <f aca="false">B6566/1</f>
        <v>59.076</v>
      </c>
      <c r="H6566" s="34" t="n">
        <f aca="false">IF(F6566=1,G6566,"")</f>
        <v>59.076</v>
      </c>
    </row>
    <row r="6567" customFormat="false" ht="15" hidden="false" customHeight="false" outlineLevel="0" collapsed="false">
      <c r="A6567" s="31" t="n">
        <v>43009.5416666667</v>
      </c>
      <c r="B6567" s="32" t="n">
        <v>114.85</v>
      </c>
      <c r="D6567" s="33" t="n">
        <f aca="false">WEEKDAY(A6567,2)</f>
        <v>7</v>
      </c>
      <c r="E6567" s="33" t="n">
        <f aca="false">HOUR(A6567)+MINUTE(A6567)/60</f>
        <v>13</v>
      </c>
      <c r="F6567" s="33" t="n">
        <f aca="false">IF(OR(D6567&gt;5,E6567&lt;8,E6567&gt;=18,COUNTIF($K$2:$K$10,INT(A6567))&gt;0),1,0)</f>
        <v>1</v>
      </c>
      <c r="G6567" s="34" t="n">
        <f aca="false">B6567/1</f>
        <v>114.85</v>
      </c>
      <c r="H6567" s="34" t="n">
        <f aca="false">IF(F6567=1,G6567,"")</f>
        <v>114.85</v>
      </c>
    </row>
    <row r="6568" customFormat="false" ht="15" hidden="false" customHeight="false" outlineLevel="0" collapsed="false">
      <c r="A6568" s="31" t="n">
        <v>43009.5833333333</v>
      </c>
      <c r="B6568" s="32" t="n">
        <v>146.468</v>
      </c>
      <c r="D6568" s="33" t="n">
        <f aca="false">WEEKDAY(A6568,2)</f>
        <v>7</v>
      </c>
      <c r="E6568" s="33" t="n">
        <f aca="false">HOUR(A6568)+MINUTE(A6568)/60</f>
        <v>14</v>
      </c>
      <c r="F6568" s="33" t="n">
        <f aca="false">IF(OR(D6568&gt;5,E6568&lt;8,E6568&gt;=18,COUNTIF($K$2:$K$10,INT(A6568))&gt;0),1,0)</f>
        <v>1</v>
      </c>
      <c r="G6568" s="34" t="n">
        <f aca="false">B6568/1</f>
        <v>146.468</v>
      </c>
      <c r="H6568" s="34" t="n">
        <f aca="false">IF(F6568=1,G6568,"")</f>
        <v>146.468</v>
      </c>
    </row>
    <row r="6569" customFormat="false" ht="15" hidden="false" customHeight="false" outlineLevel="0" collapsed="false">
      <c r="A6569" s="31" t="n">
        <v>43009.625</v>
      </c>
      <c r="B6569" s="32" t="n">
        <v>143.568</v>
      </c>
      <c r="D6569" s="33" t="n">
        <f aca="false">WEEKDAY(A6569,2)</f>
        <v>7</v>
      </c>
      <c r="E6569" s="33" t="n">
        <f aca="false">HOUR(A6569)+MINUTE(A6569)/60</f>
        <v>15</v>
      </c>
      <c r="F6569" s="33" t="n">
        <f aca="false">IF(OR(D6569&gt;5,E6569&lt;8,E6569&gt;=18,COUNTIF($K$2:$K$10,INT(A6569))&gt;0),1,0)</f>
        <v>1</v>
      </c>
      <c r="G6569" s="34" t="n">
        <f aca="false">B6569/1</f>
        <v>143.568</v>
      </c>
      <c r="H6569" s="34" t="n">
        <f aca="false">IF(F6569=1,G6569,"")</f>
        <v>143.568</v>
      </c>
    </row>
    <row r="6570" customFormat="false" ht="15" hidden="false" customHeight="false" outlineLevel="0" collapsed="false">
      <c r="A6570" s="31" t="n">
        <v>43009.6666666667</v>
      </c>
      <c r="B6570" s="32" t="n">
        <v>145.606</v>
      </c>
      <c r="D6570" s="33" t="n">
        <f aca="false">WEEKDAY(A6570,2)</f>
        <v>7</v>
      </c>
      <c r="E6570" s="33" t="n">
        <f aca="false">HOUR(A6570)+MINUTE(A6570)/60</f>
        <v>16</v>
      </c>
      <c r="F6570" s="33" t="n">
        <f aca="false">IF(OR(D6570&gt;5,E6570&lt;8,E6570&gt;=18,COUNTIF($K$2:$K$10,INT(A6570))&gt;0),1,0)</f>
        <v>1</v>
      </c>
      <c r="G6570" s="34" t="n">
        <f aca="false">B6570/1</f>
        <v>145.606</v>
      </c>
      <c r="H6570" s="34" t="n">
        <f aca="false">IF(F6570=1,G6570,"")</f>
        <v>145.606</v>
      </c>
    </row>
    <row r="6571" customFormat="false" ht="15" hidden="false" customHeight="false" outlineLevel="0" collapsed="false">
      <c r="A6571" s="31" t="n">
        <v>43009.7083333333</v>
      </c>
      <c r="B6571" s="32" t="n">
        <v>148.173</v>
      </c>
      <c r="D6571" s="33" t="n">
        <f aca="false">WEEKDAY(A6571,2)</f>
        <v>7</v>
      </c>
      <c r="E6571" s="33" t="n">
        <f aca="false">HOUR(A6571)+MINUTE(A6571)/60</f>
        <v>17</v>
      </c>
      <c r="F6571" s="33" t="n">
        <f aca="false">IF(OR(D6571&gt;5,E6571&lt;8,E6571&gt;=18,COUNTIF($K$2:$K$10,INT(A6571))&gt;0),1,0)</f>
        <v>1</v>
      </c>
      <c r="G6571" s="34" t="n">
        <f aca="false">B6571/1</f>
        <v>148.173</v>
      </c>
      <c r="H6571" s="34" t="n">
        <f aca="false">IF(F6571=1,G6571,"")</f>
        <v>148.173</v>
      </c>
    </row>
    <row r="6572" customFormat="false" ht="15" hidden="false" customHeight="false" outlineLevel="0" collapsed="false">
      <c r="A6572" s="31" t="n">
        <v>43009.75</v>
      </c>
      <c r="B6572" s="32" t="n">
        <v>66.406</v>
      </c>
      <c r="D6572" s="33" t="n">
        <f aca="false">WEEKDAY(A6572,2)</f>
        <v>7</v>
      </c>
      <c r="E6572" s="33" t="n">
        <f aca="false">HOUR(A6572)+MINUTE(A6572)/60</f>
        <v>18</v>
      </c>
      <c r="F6572" s="33" t="n">
        <f aca="false">IF(OR(D6572&gt;5,E6572&lt;8,E6572&gt;=18,COUNTIF($K$2:$K$10,INT(A6572))&gt;0),1,0)</f>
        <v>1</v>
      </c>
      <c r="G6572" s="34" t="n">
        <f aca="false">B6572/1</f>
        <v>66.406</v>
      </c>
      <c r="H6572" s="34" t="n">
        <f aca="false">IF(F6572=1,G6572,"")</f>
        <v>66.406</v>
      </c>
    </row>
    <row r="6573" customFormat="false" ht="15" hidden="false" customHeight="false" outlineLevel="0" collapsed="false">
      <c r="A6573" s="31" t="n">
        <v>43009.7916666667</v>
      </c>
      <c r="B6573" s="32" t="n">
        <v>58.726</v>
      </c>
      <c r="D6573" s="33" t="n">
        <f aca="false">WEEKDAY(A6573,2)</f>
        <v>7</v>
      </c>
      <c r="E6573" s="33" t="n">
        <f aca="false">HOUR(A6573)+MINUTE(A6573)/60</f>
        <v>19</v>
      </c>
      <c r="F6573" s="33" t="n">
        <f aca="false">IF(OR(D6573&gt;5,E6573&lt;8,E6573&gt;=18,COUNTIF($K$2:$K$10,INT(A6573))&gt;0),1,0)</f>
        <v>1</v>
      </c>
      <c r="G6573" s="34" t="n">
        <f aca="false">B6573/1</f>
        <v>58.726</v>
      </c>
      <c r="H6573" s="34" t="n">
        <f aca="false">IF(F6573=1,G6573,"")</f>
        <v>58.726</v>
      </c>
    </row>
    <row r="6574" customFormat="false" ht="15" hidden="false" customHeight="false" outlineLevel="0" collapsed="false">
      <c r="A6574" s="31" t="n">
        <v>43009.8333333333</v>
      </c>
      <c r="B6574" s="32" t="n">
        <v>61.318</v>
      </c>
      <c r="D6574" s="33" t="n">
        <f aca="false">WEEKDAY(A6574,2)</f>
        <v>7</v>
      </c>
      <c r="E6574" s="33" t="n">
        <f aca="false">HOUR(A6574)+MINUTE(A6574)/60</f>
        <v>20</v>
      </c>
      <c r="F6574" s="33" t="n">
        <f aca="false">IF(OR(D6574&gt;5,E6574&lt;8,E6574&gt;=18,COUNTIF($K$2:$K$10,INT(A6574))&gt;0),1,0)</f>
        <v>1</v>
      </c>
      <c r="G6574" s="34" t="n">
        <f aca="false">B6574/1</f>
        <v>61.318</v>
      </c>
      <c r="H6574" s="34" t="n">
        <f aca="false">IF(F6574=1,G6574,"")</f>
        <v>61.318</v>
      </c>
    </row>
    <row r="6575" customFormat="false" ht="15" hidden="false" customHeight="false" outlineLevel="0" collapsed="false">
      <c r="A6575" s="31" t="n">
        <v>43009.875</v>
      </c>
      <c r="B6575" s="32" t="n">
        <v>61.329</v>
      </c>
      <c r="D6575" s="33" t="n">
        <f aca="false">WEEKDAY(A6575,2)</f>
        <v>7</v>
      </c>
      <c r="E6575" s="33" t="n">
        <f aca="false">HOUR(A6575)+MINUTE(A6575)/60</f>
        <v>21</v>
      </c>
      <c r="F6575" s="33" t="n">
        <f aca="false">IF(OR(D6575&gt;5,E6575&lt;8,E6575&gt;=18,COUNTIF($K$2:$K$10,INT(A6575))&gt;0),1,0)</f>
        <v>1</v>
      </c>
      <c r="G6575" s="34" t="n">
        <f aca="false">B6575/1</f>
        <v>61.329</v>
      </c>
      <c r="H6575" s="34" t="n">
        <f aca="false">IF(F6575=1,G6575,"")</f>
        <v>61.329</v>
      </c>
    </row>
    <row r="6576" customFormat="false" ht="15" hidden="false" customHeight="false" outlineLevel="0" collapsed="false">
      <c r="A6576" s="31" t="n">
        <v>43009.9166666667</v>
      </c>
      <c r="B6576" s="32" t="n">
        <v>58.993</v>
      </c>
      <c r="D6576" s="33" t="n">
        <f aca="false">WEEKDAY(A6576,2)</f>
        <v>7</v>
      </c>
      <c r="E6576" s="33" t="n">
        <f aca="false">HOUR(A6576)+MINUTE(A6576)/60</f>
        <v>22</v>
      </c>
      <c r="F6576" s="33" t="n">
        <f aca="false">IF(OR(D6576&gt;5,E6576&lt;8,E6576&gt;=18,COUNTIF($K$2:$K$10,INT(A6576))&gt;0),1,0)</f>
        <v>1</v>
      </c>
      <c r="G6576" s="34" t="n">
        <f aca="false">B6576/1</f>
        <v>58.993</v>
      </c>
      <c r="H6576" s="34" t="n">
        <f aca="false">IF(F6576=1,G6576,"")</f>
        <v>58.993</v>
      </c>
    </row>
    <row r="6577" customFormat="false" ht="15" hidden="false" customHeight="false" outlineLevel="0" collapsed="false">
      <c r="A6577" s="31" t="n">
        <v>43009.9583333333</v>
      </c>
      <c r="B6577" s="32" t="n">
        <v>59.511</v>
      </c>
      <c r="D6577" s="33" t="n">
        <f aca="false">WEEKDAY(A6577,2)</f>
        <v>7</v>
      </c>
      <c r="E6577" s="33" t="n">
        <f aca="false">HOUR(A6577)+MINUTE(A6577)/60</f>
        <v>23</v>
      </c>
      <c r="F6577" s="33" t="n">
        <f aca="false">IF(OR(D6577&gt;5,E6577&lt;8,E6577&gt;=18,COUNTIF($K$2:$K$10,INT(A6577))&gt;0),1,0)</f>
        <v>1</v>
      </c>
      <c r="G6577" s="34" t="n">
        <f aca="false">B6577/1</f>
        <v>59.511</v>
      </c>
      <c r="H6577" s="34" t="n">
        <f aca="false">IF(F6577=1,G6577,"")</f>
        <v>59.511</v>
      </c>
    </row>
    <row r="6578" customFormat="false" ht="15" hidden="false" customHeight="false" outlineLevel="0" collapsed="false">
      <c r="A6578" s="31" t="n">
        <v>43010</v>
      </c>
      <c r="B6578" s="32" t="n">
        <v>54.809</v>
      </c>
      <c r="D6578" s="33" t="n">
        <f aca="false">WEEKDAY(A6578,2)</f>
        <v>1</v>
      </c>
      <c r="E6578" s="33" t="n">
        <f aca="false">HOUR(A6578)+MINUTE(A6578)/60</f>
        <v>0</v>
      </c>
      <c r="F6578" s="33" t="n">
        <f aca="false">IF(OR(D6578&gt;5,E6578&lt;8,E6578&gt;=18,COUNTIF($K$2:$K$10,INT(A6578))&gt;0),1,0)</f>
        <v>1</v>
      </c>
      <c r="G6578" s="34" t="n">
        <f aca="false">B6578/1</f>
        <v>54.809</v>
      </c>
      <c r="H6578" s="34" t="n">
        <f aca="false">IF(F6578=1,G6578,"")</f>
        <v>54.809</v>
      </c>
    </row>
    <row r="6579" customFormat="false" ht="15" hidden="false" customHeight="false" outlineLevel="0" collapsed="false">
      <c r="A6579" s="31" t="n">
        <v>43010.0416666667</v>
      </c>
      <c r="B6579" s="32" t="n">
        <v>55.69</v>
      </c>
      <c r="D6579" s="33" t="n">
        <f aca="false">WEEKDAY(A6579,2)</f>
        <v>1</v>
      </c>
      <c r="E6579" s="33" t="n">
        <f aca="false">HOUR(A6579)+MINUTE(A6579)/60</f>
        <v>1</v>
      </c>
      <c r="F6579" s="33" t="n">
        <f aca="false">IF(OR(D6579&gt;5,E6579&lt;8,E6579&gt;=18,COUNTIF($K$2:$K$10,INT(A6579))&gt;0),1,0)</f>
        <v>1</v>
      </c>
      <c r="G6579" s="34" t="n">
        <f aca="false">B6579/1</f>
        <v>55.69</v>
      </c>
      <c r="H6579" s="34" t="n">
        <f aca="false">IF(F6579=1,G6579,"")</f>
        <v>55.69</v>
      </c>
    </row>
    <row r="6580" customFormat="false" ht="15" hidden="false" customHeight="false" outlineLevel="0" collapsed="false">
      <c r="A6580" s="31" t="n">
        <v>43010.0833333333</v>
      </c>
      <c r="B6580" s="32" t="n">
        <v>54.515</v>
      </c>
      <c r="D6580" s="33" t="n">
        <f aca="false">WEEKDAY(A6580,2)</f>
        <v>1</v>
      </c>
      <c r="E6580" s="33" t="n">
        <f aca="false">HOUR(A6580)+MINUTE(A6580)/60</f>
        <v>2</v>
      </c>
      <c r="F6580" s="33" t="n">
        <f aca="false">IF(OR(D6580&gt;5,E6580&lt;8,E6580&gt;=18,COUNTIF($K$2:$K$10,INT(A6580))&gt;0),1,0)</f>
        <v>1</v>
      </c>
      <c r="G6580" s="34" t="n">
        <f aca="false">B6580/1</f>
        <v>54.515</v>
      </c>
      <c r="H6580" s="34" t="n">
        <f aca="false">IF(F6580=1,G6580,"")</f>
        <v>54.515</v>
      </c>
    </row>
    <row r="6581" customFormat="false" ht="15" hidden="false" customHeight="false" outlineLevel="0" collapsed="false">
      <c r="A6581" s="31" t="n">
        <v>43010.125</v>
      </c>
      <c r="B6581" s="32" t="n">
        <v>57.766</v>
      </c>
      <c r="D6581" s="33" t="n">
        <f aca="false">WEEKDAY(A6581,2)</f>
        <v>1</v>
      </c>
      <c r="E6581" s="33" t="n">
        <f aca="false">HOUR(A6581)+MINUTE(A6581)/60</f>
        <v>3</v>
      </c>
      <c r="F6581" s="33" t="n">
        <f aca="false">IF(OR(D6581&gt;5,E6581&lt;8,E6581&gt;=18,COUNTIF($K$2:$K$10,INT(A6581))&gt;0),1,0)</f>
        <v>1</v>
      </c>
      <c r="G6581" s="34" t="n">
        <f aca="false">B6581/1</f>
        <v>57.766</v>
      </c>
      <c r="H6581" s="34" t="n">
        <f aca="false">IF(F6581=1,G6581,"")</f>
        <v>57.766</v>
      </c>
    </row>
    <row r="6582" customFormat="false" ht="15" hidden="false" customHeight="false" outlineLevel="0" collapsed="false">
      <c r="A6582" s="31" t="n">
        <v>43010.1666666667</v>
      </c>
      <c r="B6582" s="32" t="n">
        <v>55.724</v>
      </c>
      <c r="D6582" s="33" t="n">
        <f aca="false">WEEKDAY(A6582,2)</f>
        <v>1</v>
      </c>
      <c r="E6582" s="33" t="n">
        <f aca="false">HOUR(A6582)+MINUTE(A6582)/60</f>
        <v>4</v>
      </c>
      <c r="F6582" s="33" t="n">
        <f aca="false">IF(OR(D6582&gt;5,E6582&lt;8,E6582&gt;=18,COUNTIF($K$2:$K$10,INT(A6582))&gt;0),1,0)</f>
        <v>1</v>
      </c>
      <c r="G6582" s="34" t="n">
        <f aca="false">B6582/1</f>
        <v>55.724</v>
      </c>
      <c r="H6582" s="34" t="n">
        <f aca="false">IF(F6582=1,G6582,"")</f>
        <v>55.724</v>
      </c>
    </row>
    <row r="6583" customFormat="false" ht="15" hidden="false" customHeight="false" outlineLevel="0" collapsed="false">
      <c r="A6583" s="31" t="n">
        <v>43010.2083333333</v>
      </c>
      <c r="B6583" s="32" t="n">
        <v>55.767</v>
      </c>
      <c r="D6583" s="33" t="n">
        <f aca="false">WEEKDAY(A6583,2)</f>
        <v>1</v>
      </c>
      <c r="E6583" s="33" t="n">
        <f aca="false">HOUR(A6583)+MINUTE(A6583)/60</f>
        <v>5</v>
      </c>
      <c r="F6583" s="33" t="n">
        <f aca="false">IF(OR(D6583&gt;5,E6583&lt;8,E6583&gt;=18,COUNTIF($K$2:$K$10,INT(A6583))&gt;0),1,0)</f>
        <v>1</v>
      </c>
      <c r="G6583" s="34" t="n">
        <f aca="false">B6583/1</f>
        <v>55.767</v>
      </c>
      <c r="H6583" s="34" t="n">
        <f aca="false">IF(F6583=1,G6583,"")</f>
        <v>55.767</v>
      </c>
    </row>
    <row r="6584" customFormat="false" ht="15" hidden="false" customHeight="false" outlineLevel="0" collapsed="false">
      <c r="A6584" s="31" t="n">
        <v>43010.25</v>
      </c>
      <c r="B6584" s="32" t="n">
        <v>58.382</v>
      </c>
      <c r="D6584" s="33" t="n">
        <f aca="false">WEEKDAY(A6584,2)</f>
        <v>1</v>
      </c>
      <c r="E6584" s="33" t="n">
        <f aca="false">HOUR(A6584)+MINUTE(A6584)/60</f>
        <v>6</v>
      </c>
      <c r="F6584" s="33" t="n">
        <f aca="false">IF(OR(D6584&gt;5,E6584&lt;8,E6584&gt;=18,COUNTIF($K$2:$K$10,INT(A6584))&gt;0),1,0)</f>
        <v>1</v>
      </c>
      <c r="G6584" s="34" t="n">
        <f aca="false">B6584/1</f>
        <v>58.382</v>
      </c>
      <c r="H6584" s="34" t="n">
        <f aca="false">IF(F6584=1,G6584,"")</f>
        <v>58.382</v>
      </c>
    </row>
    <row r="6585" customFormat="false" ht="15" hidden="false" customHeight="false" outlineLevel="0" collapsed="false">
      <c r="A6585" s="31" t="n">
        <v>43010.2916666667</v>
      </c>
      <c r="B6585" s="32" t="n">
        <v>80.293</v>
      </c>
      <c r="D6585" s="33" t="n">
        <f aca="false">WEEKDAY(A6585,2)</f>
        <v>1</v>
      </c>
      <c r="E6585" s="33" t="n">
        <f aca="false">HOUR(A6585)+MINUTE(A6585)/60</f>
        <v>7</v>
      </c>
      <c r="F6585" s="33" t="n">
        <f aca="false">IF(OR(D6585&gt;5,E6585&lt;8,E6585&gt;=18,COUNTIF($K$2:$K$10,INT(A6585))&gt;0),1,0)</f>
        <v>1</v>
      </c>
      <c r="G6585" s="34" t="n">
        <f aca="false">B6585/1</f>
        <v>80.293</v>
      </c>
      <c r="H6585" s="34" t="n">
        <f aca="false">IF(F6585=1,G6585,"")</f>
        <v>80.293</v>
      </c>
    </row>
    <row r="6586" customFormat="false" ht="15" hidden="false" customHeight="false" outlineLevel="0" collapsed="false">
      <c r="A6586" s="31" t="n">
        <v>43010.3333333333</v>
      </c>
      <c r="B6586" s="32" t="n">
        <v>171.181</v>
      </c>
      <c r="D6586" s="33" t="n">
        <f aca="false">WEEKDAY(A6586,2)</f>
        <v>1</v>
      </c>
      <c r="E6586" s="33" t="n">
        <f aca="false">HOUR(A6586)+MINUTE(A6586)/60</f>
        <v>8</v>
      </c>
      <c r="F6586" s="33" t="n">
        <f aca="false">IF(OR(D6586&gt;5,E6586&lt;8,E6586&gt;=18,COUNTIF($K$2:$K$10,INT(A6586))&gt;0),1,0)</f>
        <v>0</v>
      </c>
      <c r="G6586" s="34" t="n">
        <f aca="false">B6586/1</f>
        <v>171.181</v>
      </c>
      <c r="H6586" s="34" t="str">
        <f aca="false">IF(F6586=1,G6586,"")</f>
        <v/>
      </c>
    </row>
    <row r="6587" customFormat="false" ht="15" hidden="false" customHeight="false" outlineLevel="0" collapsed="false">
      <c r="A6587" s="31" t="n">
        <v>43010.375</v>
      </c>
      <c r="B6587" s="32" t="n">
        <v>213.284</v>
      </c>
      <c r="D6587" s="33" t="n">
        <f aca="false">WEEKDAY(A6587,2)</f>
        <v>1</v>
      </c>
      <c r="E6587" s="33" t="n">
        <f aca="false">HOUR(A6587)+MINUTE(A6587)/60</f>
        <v>9</v>
      </c>
      <c r="F6587" s="33" t="n">
        <f aca="false">IF(OR(D6587&gt;5,E6587&lt;8,E6587&gt;=18,COUNTIF($K$2:$K$10,INT(A6587))&gt;0),1,0)</f>
        <v>0</v>
      </c>
      <c r="G6587" s="34" t="n">
        <f aca="false">B6587/1</f>
        <v>213.284</v>
      </c>
      <c r="H6587" s="34" t="str">
        <f aca="false">IF(F6587=1,G6587,"")</f>
        <v/>
      </c>
    </row>
    <row r="6588" customFormat="false" ht="15" hidden="false" customHeight="false" outlineLevel="0" collapsed="false">
      <c r="A6588" s="31" t="n">
        <v>43010.4166666667</v>
      </c>
      <c r="B6588" s="32" t="n">
        <v>233.927</v>
      </c>
      <c r="D6588" s="33" t="n">
        <f aca="false">WEEKDAY(A6588,2)</f>
        <v>1</v>
      </c>
      <c r="E6588" s="33" t="n">
        <f aca="false">HOUR(A6588)+MINUTE(A6588)/60</f>
        <v>10</v>
      </c>
      <c r="F6588" s="33" t="n">
        <f aca="false">IF(OR(D6588&gt;5,E6588&lt;8,E6588&gt;=18,COUNTIF($K$2:$K$10,INT(A6588))&gt;0),1,0)</f>
        <v>0</v>
      </c>
      <c r="G6588" s="34" t="n">
        <f aca="false">B6588/1</f>
        <v>233.927</v>
      </c>
      <c r="H6588" s="34" t="str">
        <f aca="false">IF(F6588=1,G6588,"")</f>
        <v/>
      </c>
    </row>
    <row r="6589" customFormat="false" ht="15" hidden="false" customHeight="false" outlineLevel="0" collapsed="false">
      <c r="A6589" s="31" t="n">
        <v>43010.4583333333</v>
      </c>
      <c r="B6589" s="32" t="n">
        <v>237.993</v>
      </c>
      <c r="D6589" s="33" t="n">
        <f aca="false">WEEKDAY(A6589,2)</f>
        <v>1</v>
      </c>
      <c r="E6589" s="33" t="n">
        <f aca="false">HOUR(A6589)+MINUTE(A6589)/60</f>
        <v>11</v>
      </c>
      <c r="F6589" s="33" t="n">
        <f aca="false">IF(OR(D6589&gt;5,E6589&lt;8,E6589&gt;=18,COUNTIF($K$2:$K$10,INT(A6589))&gt;0),1,0)</f>
        <v>0</v>
      </c>
      <c r="G6589" s="34" t="n">
        <f aca="false">B6589/1</f>
        <v>237.993</v>
      </c>
      <c r="H6589" s="34" t="str">
        <f aca="false">IF(F6589=1,G6589,"")</f>
        <v/>
      </c>
    </row>
    <row r="6590" customFormat="false" ht="15" hidden="false" customHeight="false" outlineLevel="0" collapsed="false">
      <c r="A6590" s="31" t="n">
        <v>43010.5</v>
      </c>
      <c r="B6590" s="32" t="n">
        <v>245.437</v>
      </c>
      <c r="D6590" s="33" t="n">
        <f aca="false">WEEKDAY(A6590,2)</f>
        <v>1</v>
      </c>
      <c r="E6590" s="33" t="n">
        <f aca="false">HOUR(A6590)+MINUTE(A6590)/60</f>
        <v>12</v>
      </c>
      <c r="F6590" s="33" t="n">
        <f aca="false">IF(OR(D6590&gt;5,E6590&lt;8,E6590&gt;=18,COUNTIF($K$2:$K$10,INT(A6590))&gt;0),1,0)</f>
        <v>0</v>
      </c>
      <c r="G6590" s="34" t="n">
        <f aca="false">B6590/1</f>
        <v>245.437</v>
      </c>
      <c r="H6590" s="34" t="str">
        <f aca="false">IF(F6590=1,G6590,"")</f>
        <v/>
      </c>
    </row>
    <row r="6591" customFormat="false" ht="15" hidden="false" customHeight="false" outlineLevel="0" collapsed="false">
      <c r="A6591" s="31" t="n">
        <v>43010.5416666667</v>
      </c>
      <c r="B6591" s="32" t="n">
        <v>258.796</v>
      </c>
      <c r="D6591" s="33" t="n">
        <f aca="false">WEEKDAY(A6591,2)</f>
        <v>1</v>
      </c>
      <c r="E6591" s="33" t="n">
        <f aca="false">HOUR(A6591)+MINUTE(A6591)/60</f>
        <v>13</v>
      </c>
      <c r="F6591" s="33" t="n">
        <f aca="false">IF(OR(D6591&gt;5,E6591&lt;8,E6591&gt;=18,COUNTIF($K$2:$K$10,INT(A6591))&gt;0),1,0)</f>
        <v>0</v>
      </c>
      <c r="G6591" s="34" t="n">
        <f aca="false">B6591/1</f>
        <v>258.796</v>
      </c>
      <c r="H6591" s="34" t="str">
        <f aca="false">IF(F6591=1,G6591,"")</f>
        <v/>
      </c>
    </row>
    <row r="6592" customFormat="false" ht="15" hidden="false" customHeight="false" outlineLevel="0" collapsed="false">
      <c r="A6592" s="31" t="n">
        <v>43010.5833333333</v>
      </c>
      <c r="B6592" s="32" t="n">
        <v>267.167</v>
      </c>
      <c r="D6592" s="33" t="n">
        <f aca="false">WEEKDAY(A6592,2)</f>
        <v>1</v>
      </c>
      <c r="E6592" s="33" t="n">
        <f aca="false">HOUR(A6592)+MINUTE(A6592)/60</f>
        <v>14</v>
      </c>
      <c r="F6592" s="33" t="n">
        <f aca="false">IF(OR(D6592&gt;5,E6592&lt;8,E6592&gt;=18,COUNTIF($K$2:$K$10,INT(A6592))&gt;0),1,0)</f>
        <v>0</v>
      </c>
      <c r="G6592" s="34" t="n">
        <f aca="false">B6592/1</f>
        <v>267.167</v>
      </c>
      <c r="H6592" s="34" t="str">
        <f aca="false">IF(F6592=1,G6592,"")</f>
        <v/>
      </c>
    </row>
    <row r="6593" customFormat="false" ht="15" hidden="false" customHeight="false" outlineLevel="0" collapsed="false">
      <c r="A6593" s="31" t="n">
        <v>43010.625</v>
      </c>
      <c r="B6593" s="32" t="n">
        <v>278.714</v>
      </c>
      <c r="D6593" s="33" t="n">
        <f aca="false">WEEKDAY(A6593,2)</f>
        <v>1</v>
      </c>
      <c r="E6593" s="33" t="n">
        <f aca="false">HOUR(A6593)+MINUTE(A6593)/60</f>
        <v>15</v>
      </c>
      <c r="F6593" s="33" t="n">
        <f aca="false">IF(OR(D6593&gt;5,E6593&lt;8,E6593&gt;=18,COUNTIF($K$2:$K$10,INT(A6593))&gt;0),1,0)</f>
        <v>0</v>
      </c>
      <c r="G6593" s="34" t="n">
        <f aca="false">B6593/1</f>
        <v>278.714</v>
      </c>
      <c r="H6593" s="34" t="str">
        <f aca="false">IF(F6593=1,G6593,"")</f>
        <v/>
      </c>
    </row>
    <row r="6594" customFormat="false" ht="15" hidden="false" customHeight="false" outlineLevel="0" collapsed="false">
      <c r="A6594" s="31" t="n">
        <v>43010.6666666667</v>
      </c>
      <c r="B6594" s="32" t="n">
        <v>290.343</v>
      </c>
      <c r="D6594" s="33" t="n">
        <f aca="false">WEEKDAY(A6594,2)</f>
        <v>1</v>
      </c>
      <c r="E6594" s="33" t="n">
        <f aca="false">HOUR(A6594)+MINUTE(A6594)/60</f>
        <v>16</v>
      </c>
      <c r="F6594" s="33" t="n">
        <f aca="false">IF(OR(D6594&gt;5,E6594&lt;8,E6594&gt;=18,COUNTIF($K$2:$K$10,INT(A6594))&gt;0),1,0)</f>
        <v>0</v>
      </c>
      <c r="G6594" s="34" t="n">
        <f aca="false">B6594/1</f>
        <v>290.343</v>
      </c>
      <c r="H6594" s="34" t="str">
        <f aca="false">IF(F6594=1,G6594,"")</f>
        <v/>
      </c>
    </row>
    <row r="6595" customFormat="false" ht="15" hidden="false" customHeight="false" outlineLevel="0" collapsed="false">
      <c r="A6595" s="31" t="n">
        <v>43010.7083333333</v>
      </c>
      <c r="B6595" s="32" t="n">
        <v>292.527</v>
      </c>
      <c r="D6595" s="33" t="n">
        <f aca="false">WEEKDAY(A6595,2)</f>
        <v>1</v>
      </c>
      <c r="E6595" s="33" t="n">
        <f aca="false">HOUR(A6595)+MINUTE(A6595)/60</f>
        <v>17</v>
      </c>
      <c r="F6595" s="33" t="n">
        <f aca="false">IF(OR(D6595&gt;5,E6595&lt;8,E6595&gt;=18,COUNTIF($K$2:$K$10,INT(A6595))&gt;0),1,0)</f>
        <v>0</v>
      </c>
      <c r="G6595" s="34" t="n">
        <f aca="false">B6595/1</f>
        <v>292.527</v>
      </c>
      <c r="H6595" s="34" t="str">
        <f aca="false">IF(F6595=1,G6595,"")</f>
        <v/>
      </c>
    </row>
    <row r="6596" customFormat="false" ht="15" hidden="false" customHeight="false" outlineLevel="0" collapsed="false">
      <c r="A6596" s="31" t="n">
        <v>43010.75</v>
      </c>
      <c r="B6596" s="32" t="n">
        <v>269.863</v>
      </c>
      <c r="D6596" s="33" t="n">
        <f aca="false">WEEKDAY(A6596,2)</f>
        <v>1</v>
      </c>
      <c r="E6596" s="33" t="n">
        <f aca="false">HOUR(A6596)+MINUTE(A6596)/60</f>
        <v>18</v>
      </c>
      <c r="F6596" s="33" t="n">
        <f aca="false">IF(OR(D6596&gt;5,E6596&lt;8,E6596&gt;=18,COUNTIF($K$2:$K$10,INT(A6596))&gt;0),1,0)</f>
        <v>1</v>
      </c>
      <c r="G6596" s="34" t="n">
        <f aca="false">B6596/1</f>
        <v>269.863</v>
      </c>
      <c r="H6596" s="34" t="n">
        <f aca="false">IF(F6596=1,G6596,"")</f>
        <v>269.863</v>
      </c>
    </row>
    <row r="6597" customFormat="false" ht="15" hidden="false" customHeight="false" outlineLevel="0" collapsed="false">
      <c r="A6597" s="31" t="n">
        <v>43010.7916666667</v>
      </c>
      <c r="B6597" s="32" t="n">
        <v>240.024</v>
      </c>
      <c r="D6597" s="33" t="n">
        <f aca="false">WEEKDAY(A6597,2)</f>
        <v>1</v>
      </c>
      <c r="E6597" s="33" t="n">
        <f aca="false">HOUR(A6597)+MINUTE(A6597)/60</f>
        <v>19</v>
      </c>
      <c r="F6597" s="33" t="n">
        <f aca="false">IF(OR(D6597&gt;5,E6597&lt;8,E6597&gt;=18,COUNTIF($K$2:$K$10,INT(A6597))&gt;0),1,0)</f>
        <v>1</v>
      </c>
      <c r="G6597" s="34" t="n">
        <f aca="false">B6597/1</f>
        <v>240.024</v>
      </c>
      <c r="H6597" s="34" t="n">
        <f aca="false">IF(F6597=1,G6597,"")</f>
        <v>240.024</v>
      </c>
    </row>
    <row r="6598" customFormat="false" ht="15" hidden="false" customHeight="false" outlineLevel="0" collapsed="false">
      <c r="A6598" s="31" t="n">
        <v>43010.8333333333</v>
      </c>
      <c r="B6598" s="32" t="n">
        <v>227.235</v>
      </c>
      <c r="D6598" s="33" t="n">
        <f aca="false">WEEKDAY(A6598,2)</f>
        <v>1</v>
      </c>
      <c r="E6598" s="33" t="n">
        <f aca="false">HOUR(A6598)+MINUTE(A6598)/60</f>
        <v>20</v>
      </c>
      <c r="F6598" s="33" t="n">
        <f aca="false">IF(OR(D6598&gt;5,E6598&lt;8,E6598&gt;=18,COUNTIF($K$2:$K$10,INT(A6598))&gt;0),1,0)</f>
        <v>1</v>
      </c>
      <c r="G6598" s="34" t="n">
        <f aca="false">B6598/1</f>
        <v>227.235</v>
      </c>
      <c r="H6598" s="34" t="n">
        <f aca="false">IF(F6598=1,G6598,"")</f>
        <v>227.235</v>
      </c>
    </row>
    <row r="6599" customFormat="false" ht="15" hidden="false" customHeight="false" outlineLevel="0" collapsed="false">
      <c r="A6599" s="31" t="n">
        <v>43010.875</v>
      </c>
      <c r="B6599" s="32" t="n">
        <v>222.536</v>
      </c>
      <c r="D6599" s="33" t="n">
        <f aca="false">WEEKDAY(A6599,2)</f>
        <v>1</v>
      </c>
      <c r="E6599" s="33" t="n">
        <f aca="false">HOUR(A6599)+MINUTE(A6599)/60</f>
        <v>21</v>
      </c>
      <c r="F6599" s="33" t="n">
        <f aca="false">IF(OR(D6599&gt;5,E6599&lt;8,E6599&gt;=18,COUNTIF($K$2:$K$10,INT(A6599))&gt;0),1,0)</f>
        <v>1</v>
      </c>
      <c r="G6599" s="34" t="n">
        <f aca="false">B6599/1</f>
        <v>222.536</v>
      </c>
      <c r="H6599" s="34" t="n">
        <f aca="false">IF(F6599=1,G6599,"")</f>
        <v>222.536</v>
      </c>
    </row>
    <row r="6600" customFormat="false" ht="15" hidden="false" customHeight="false" outlineLevel="0" collapsed="false">
      <c r="A6600" s="31" t="n">
        <v>43010.9166666667</v>
      </c>
      <c r="B6600" s="32" t="n">
        <v>157.747</v>
      </c>
      <c r="D6600" s="33" t="n">
        <f aca="false">WEEKDAY(A6600,2)</f>
        <v>1</v>
      </c>
      <c r="E6600" s="33" t="n">
        <f aca="false">HOUR(A6600)+MINUTE(A6600)/60</f>
        <v>22</v>
      </c>
      <c r="F6600" s="33" t="n">
        <f aca="false">IF(OR(D6600&gt;5,E6600&lt;8,E6600&gt;=18,COUNTIF($K$2:$K$10,INT(A6600))&gt;0),1,0)</f>
        <v>1</v>
      </c>
      <c r="G6600" s="34" t="n">
        <f aca="false">B6600/1</f>
        <v>157.747</v>
      </c>
      <c r="H6600" s="34" t="n">
        <f aca="false">IF(F6600=1,G6600,"")</f>
        <v>157.747</v>
      </c>
    </row>
    <row r="6601" customFormat="false" ht="15" hidden="false" customHeight="false" outlineLevel="0" collapsed="false">
      <c r="A6601" s="31" t="n">
        <v>43010.9583333333</v>
      </c>
      <c r="B6601" s="32" t="n">
        <v>84.368</v>
      </c>
      <c r="D6601" s="33" t="n">
        <f aca="false">WEEKDAY(A6601,2)</f>
        <v>1</v>
      </c>
      <c r="E6601" s="33" t="n">
        <f aca="false">HOUR(A6601)+MINUTE(A6601)/60</f>
        <v>23</v>
      </c>
      <c r="F6601" s="33" t="n">
        <f aca="false">IF(OR(D6601&gt;5,E6601&lt;8,E6601&gt;=18,COUNTIF($K$2:$K$10,INT(A6601))&gt;0),1,0)</f>
        <v>1</v>
      </c>
      <c r="G6601" s="34" t="n">
        <f aca="false">B6601/1</f>
        <v>84.368</v>
      </c>
      <c r="H6601" s="34" t="n">
        <f aca="false">IF(F6601=1,G6601,"")</f>
        <v>84.368</v>
      </c>
    </row>
    <row r="6602" customFormat="false" ht="15" hidden="false" customHeight="false" outlineLevel="0" collapsed="false">
      <c r="A6602" s="31" t="n">
        <v>43011</v>
      </c>
      <c r="B6602" s="32" t="n">
        <v>81.755</v>
      </c>
      <c r="D6602" s="33" t="n">
        <f aca="false">WEEKDAY(A6602,2)</f>
        <v>2</v>
      </c>
      <c r="E6602" s="33" t="n">
        <f aca="false">HOUR(A6602)+MINUTE(A6602)/60</f>
        <v>0</v>
      </c>
      <c r="F6602" s="33" t="n">
        <f aca="false">IF(OR(D6602&gt;5,E6602&lt;8,E6602&gt;=18,COUNTIF($K$2:$K$10,INT(A6602))&gt;0),1,0)</f>
        <v>1</v>
      </c>
      <c r="G6602" s="34" t="n">
        <f aca="false">B6602/1</f>
        <v>81.755</v>
      </c>
      <c r="H6602" s="34" t="n">
        <f aca="false">IF(F6602=1,G6602,"")</f>
        <v>81.755</v>
      </c>
    </row>
    <row r="6603" customFormat="false" ht="15" hidden="false" customHeight="false" outlineLevel="0" collapsed="false">
      <c r="A6603" s="31" t="n">
        <v>43011.0416666667</v>
      </c>
      <c r="B6603" s="32" t="n">
        <v>75.241</v>
      </c>
      <c r="D6603" s="33" t="n">
        <f aca="false">WEEKDAY(A6603,2)</f>
        <v>2</v>
      </c>
      <c r="E6603" s="33" t="n">
        <f aca="false">HOUR(A6603)+MINUTE(A6603)/60</f>
        <v>1</v>
      </c>
      <c r="F6603" s="33" t="n">
        <f aca="false">IF(OR(D6603&gt;5,E6603&lt;8,E6603&gt;=18,COUNTIF($K$2:$K$10,INT(A6603))&gt;0),1,0)</f>
        <v>1</v>
      </c>
      <c r="G6603" s="34" t="n">
        <f aca="false">B6603/1</f>
        <v>75.241</v>
      </c>
      <c r="H6603" s="34" t="n">
        <f aca="false">IF(F6603=1,G6603,"")</f>
        <v>75.241</v>
      </c>
    </row>
    <row r="6604" customFormat="false" ht="15" hidden="false" customHeight="false" outlineLevel="0" collapsed="false">
      <c r="A6604" s="31" t="n">
        <v>43011.0833333333</v>
      </c>
      <c r="B6604" s="32" t="n">
        <v>72.532</v>
      </c>
      <c r="D6604" s="33" t="n">
        <f aca="false">WEEKDAY(A6604,2)</f>
        <v>2</v>
      </c>
      <c r="E6604" s="33" t="n">
        <f aca="false">HOUR(A6604)+MINUTE(A6604)/60</f>
        <v>2</v>
      </c>
      <c r="F6604" s="33" t="n">
        <f aca="false">IF(OR(D6604&gt;5,E6604&lt;8,E6604&gt;=18,COUNTIF($K$2:$K$10,INT(A6604))&gt;0),1,0)</f>
        <v>1</v>
      </c>
      <c r="G6604" s="34" t="n">
        <f aca="false">B6604/1</f>
        <v>72.532</v>
      </c>
      <c r="H6604" s="34" t="n">
        <f aca="false">IF(F6604=1,G6604,"")</f>
        <v>72.532</v>
      </c>
    </row>
    <row r="6605" customFormat="false" ht="15" hidden="false" customHeight="false" outlineLevel="0" collapsed="false">
      <c r="A6605" s="31" t="n">
        <v>43011.125</v>
      </c>
      <c r="B6605" s="32" t="n">
        <v>72.615</v>
      </c>
      <c r="D6605" s="33" t="n">
        <f aca="false">WEEKDAY(A6605,2)</f>
        <v>2</v>
      </c>
      <c r="E6605" s="33" t="n">
        <f aca="false">HOUR(A6605)+MINUTE(A6605)/60</f>
        <v>3</v>
      </c>
      <c r="F6605" s="33" t="n">
        <f aca="false">IF(OR(D6605&gt;5,E6605&lt;8,E6605&gt;=18,COUNTIF($K$2:$K$10,INT(A6605))&gt;0),1,0)</f>
        <v>1</v>
      </c>
      <c r="G6605" s="34" t="n">
        <f aca="false">B6605/1</f>
        <v>72.615</v>
      </c>
      <c r="H6605" s="34" t="n">
        <f aca="false">IF(F6605=1,G6605,"")</f>
        <v>72.615</v>
      </c>
    </row>
    <row r="6606" customFormat="false" ht="15" hidden="false" customHeight="false" outlineLevel="0" collapsed="false">
      <c r="A6606" s="31" t="n">
        <v>43011.1666666667</v>
      </c>
      <c r="B6606" s="32" t="n">
        <v>73.387</v>
      </c>
      <c r="D6606" s="33" t="n">
        <f aca="false">WEEKDAY(A6606,2)</f>
        <v>2</v>
      </c>
      <c r="E6606" s="33" t="n">
        <f aca="false">HOUR(A6606)+MINUTE(A6606)/60</f>
        <v>4</v>
      </c>
      <c r="F6606" s="33" t="n">
        <f aca="false">IF(OR(D6606&gt;5,E6606&lt;8,E6606&gt;=18,COUNTIF($K$2:$K$10,INT(A6606))&gt;0),1,0)</f>
        <v>1</v>
      </c>
      <c r="G6606" s="34" t="n">
        <f aca="false">B6606/1</f>
        <v>73.387</v>
      </c>
      <c r="H6606" s="34" t="n">
        <f aca="false">IF(F6606=1,G6606,"")</f>
        <v>73.387</v>
      </c>
    </row>
    <row r="6607" customFormat="false" ht="15" hidden="false" customHeight="false" outlineLevel="0" collapsed="false">
      <c r="A6607" s="31" t="n">
        <v>43011.2083333333</v>
      </c>
      <c r="B6607" s="32" t="n">
        <v>72.067</v>
      </c>
      <c r="D6607" s="33" t="n">
        <f aca="false">WEEKDAY(A6607,2)</f>
        <v>2</v>
      </c>
      <c r="E6607" s="33" t="n">
        <f aca="false">HOUR(A6607)+MINUTE(A6607)/60</f>
        <v>5</v>
      </c>
      <c r="F6607" s="33" t="n">
        <f aca="false">IF(OR(D6607&gt;5,E6607&lt;8,E6607&gt;=18,COUNTIF($K$2:$K$10,INT(A6607))&gt;0),1,0)</f>
        <v>1</v>
      </c>
      <c r="G6607" s="34" t="n">
        <f aca="false">B6607/1</f>
        <v>72.067</v>
      </c>
      <c r="H6607" s="34" t="n">
        <f aca="false">IF(F6607=1,G6607,"")</f>
        <v>72.067</v>
      </c>
    </row>
    <row r="6608" customFormat="false" ht="15" hidden="false" customHeight="false" outlineLevel="0" collapsed="false">
      <c r="A6608" s="31" t="n">
        <v>43011.25</v>
      </c>
      <c r="B6608" s="32" t="n">
        <v>72.727</v>
      </c>
      <c r="D6608" s="33" t="n">
        <f aca="false">WEEKDAY(A6608,2)</f>
        <v>2</v>
      </c>
      <c r="E6608" s="33" t="n">
        <f aca="false">HOUR(A6608)+MINUTE(A6608)/60</f>
        <v>6</v>
      </c>
      <c r="F6608" s="33" t="n">
        <f aca="false">IF(OR(D6608&gt;5,E6608&lt;8,E6608&gt;=18,COUNTIF($K$2:$K$10,INT(A6608))&gt;0),1,0)</f>
        <v>1</v>
      </c>
      <c r="G6608" s="34" t="n">
        <f aca="false">B6608/1</f>
        <v>72.727</v>
      </c>
      <c r="H6608" s="34" t="n">
        <f aca="false">IF(F6608=1,G6608,"")</f>
        <v>72.727</v>
      </c>
    </row>
    <row r="6609" customFormat="false" ht="15" hidden="false" customHeight="false" outlineLevel="0" collapsed="false">
      <c r="A6609" s="31" t="n">
        <v>43011.2916666667</v>
      </c>
      <c r="B6609" s="32" t="n">
        <v>78.562</v>
      </c>
      <c r="D6609" s="33" t="n">
        <f aca="false">WEEKDAY(A6609,2)</f>
        <v>2</v>
      </c>
      <c r="E6609" s="33" t="n">
        <f aca="false">HOUR(A6609)+MINUTE(A6609)/60</f>
        <v>7</v>
      </c>
      <c r="F6609" s="33" t="n">
        <f aca="false">IF(OR(D6609&gt;5,E6609&lt;8,E6609&gt;=18,COUNTIF($K$2:$K$10,INT(A6609))&gt;0),1,0)</f>
        <v>1</v>
      </c>
      <c r="G6609" s="34" t="n">
        <f aca="false">B6609/1</f>
        <v>78.562</v>
      </c>
      <c r="H6609" s="34" t="n">
        <f aca="false">IF(F6609=1,G6609,"")</f>
        <v>78.562</v>
      </c>
    </row>
    <row r="6610" customFormat="false" ht="15" hidden="false" customHeight="false" outlineLevel="0" collapsed="false">
      <c r="A6610" s="31" t="n">
        <v>43011.3333333333</v>
      </c>
      <c r="B6610" s="32" t="n">
        <v>199.767</v>
      </c>
      <c r="D6610" s="33" t="n">
        <f aca="false">WEEKDAY(A6610,2)</f>
        <v>2</v>
      </c>
      <c r="E6610" s="33" t="n">
        <f aca="false">HOUR(A6610)+MINUTE(A6610)/60</f>
        <v>8</v>
      </c>
      <c r="F6610" s="33" t="n">
        <f aca="false">IF(OR(D6610&gt;5,E6610&lt;8,E6610&gt;=18,COUNTIF($K$2:$K$10,INT(A6610))&gt;0),1,0)</f>
        <v>0</v>
      </c>
      <c r="G6610" s="34" t="n">
        <f aca="false">B6610/1</f>
        <v>199.767</v>
      </c>
      <c r="H6610" s="34" t="str">
        <f aca="false">IF(F6610=1,G6610,"")</f>
        <v/>
      </c>
    </row>
    <row r="6611" customFormat="false" ht="15" hidden="false" customHeight="false" outlineLevel="0" collapsed="false">
      <c r="A6611" s="31" t="n">
        <v>43011.375</v>
      </c>
      <c r="B6611" s="32" t="n">
        <v>240.884</v>
      </c>
      <c r="D6611" s="33" t="n">
        <f aca="false">WEEKDAY(A6611,2)</f>
        <v>2</v>
      </c>
      <c r="E6611" s="33" t="n">
        <f aca="false">HOUR(A6611)+MINUTE(A6611)/60</f>
        <v>9</v>
      </c>
      <c r="F6611" s="33" t="n">
        <f aca="false">IF(OR(D6611&gt;5,E6611&lt;8,E6611&gt;=18,COUNTIF($K$2:$K$10,INT(A6611))&gt;0),1,0)</f>
        <v>0</v>
      </c>
      <c r="G6611" s="34" t="n">
        <f aca="false">B6611/1</f>
        <v>240.884</v>
      </c>
      <c r="H6611" s="34" t="str">
        <f aca="false">IF(F6611=1,G6611,"")</f>
        <v/>
      </c>
    </row>
    <row r="6612" customFormat="false" ht="15" hidden="false" customHeight="false" outlineLevel="0" collapsed="false">
      <c r="A6612" s="31" t="n">
        <v>43011.4166666667</v>
      </c>
      <c r="B6612" s="32" t="n">
        <v>263.932</v>
      </c>
      <c r="D6612" s="33" t="n">
        <f aca="false">WEEKDAY(A6612,2)</f>
        <v>2</v>
      </c>
      <c r="E6612" s="33" t="n">
        <f aca="false">HOUR(A6612)+MINUTE(A6612)/60</f>
        <v>10</v>
      </c>
      <c r="F6612" s="33" t="n">
        <f aca="false">IF(OR(D6612&gt;5,E6612&lt;8,E6612&gt;=18,COUNTIF($K$2:$K$10,INT(A6612))&gt;0),1,0)</f>
        <v>0</v>
      </c>
      <c r="G6612" s="34" t="n">
        <f aca="false">B6612/1</f>
        <v>263.932</v>
      </c>
      <c r="H6612" s="34" t="str">
        <f aca="false">IF(F6612=1,G6612,"")</f>
        <v/>
      </c>
    </row>
    <row r="6613" customFormat="false" ht="15" hidden="false" customHeight="false" outlineLevel="0" collapsed="false">
      <c r="A6613" s="31" t="n">
        <v>43011.4583333333</v>
      </c>
      <c r="B6613" s="32" t="n">
        <v>289.822</v>
      </c>
      <c r="D6613" s="33" t="n">
        <f aca="false">WEEKDAY(A6613,2)</f>
        <v>2</v>
      </c>
      <c r="E6613" s="33" t="n">
        <f aca="false">HOUR(A6613)+MINUTE(A6613)/60</f>
        <v>11</v>
      </c>
      <c r="F6613" s="33" t="n">
        <f aca="false">IF(OR(D6613&gt;5,E6613&lt;8,E6613&gt;=18,COUNTIF($K$2:$K$10,INT(A6613))&gt;0),1,0)</f>
        <v>0</v>
      </c>
      <c r="G6613" s="34" t="n">
        <f aca="false">B6613/1</f>
        <v>289.822</v>
      </c>
      <c r="H6613" s="34" t="str">
        <f aca="false">IF(F6613=1,G6613,"")</f>
        <v/>
      </c>
    </row>
    <row r="6614" customFormat="false" ht="15" hidden="false" customHeight="false" outlineLevel="0" collapsed="false">
      <c r="A6614" s="31" t="n">
        <v>43011.5</v>
      </c>
      <c r="B6614" s="32" t="n">
        <v>301.92</v>
      </c>
      <c r="D6614" s="33" t="n">
        <f aca="false">WEEKDAY(A6614,2)</f>
        <v>2</v>
      </c>
      <c r="E6614" s="33" t="n">
        <f aca="false">HOUR(A6614)+MINUTE(A6614)/60</f>
        <v>12</v>
      </c>
      <c r="F6614" s="33" t="n">
        <f aca="false">IF(OR(D6614&gt;5,E6614&lt;8,E6614&gt;=18,COUNTIF($K$2:$K$10,INT(A6614))&gt;0),1,0)</f>
        <v>0</v>
      </c>
      <c r="G6614" s="34" t="n">
        <f aca="false">B6614/1</f>
        <v>301.92</v>
      </c>
      <c r="H6614" s="34" t="str">
        <f aca="false">IF(F6614=1,G6614,"")</f>
        <v/>
      </c>
    </row>
    <row r="6615" customFormat="false" ht="15" hidden="false" customHeight="false" outlineLevel="0" collapsed="false">
      <c r="A6615" s="31" t="n">
        <v>43011.5416666667</v>
      </c>
      <c r="B6615" s="32" t="n">
        <v>283.417</v>
      </c>
      <c r="D6615" s="33" t="n">
        <f aca="false">WEEKDAY(A6615,2)</f>
        <v>2</v>
      </c>
      <c r="E6615" s="33" t="n">
        <f aca="false">HOUR(A6615)+MINUTE(A6615)/60</f>
        <v>13</v>
      </c>
      <c r="F6615" s="33" t="n">
        <f aca="false">IF(OR(D6615&gt;5,E6615&lt;8,E6615&gt;=18,COUNTIF($K$2:$K$10,INT(A6615))&gt;0),1,0)</f>
        <v>0</v>
      </c>
      <c r="G6615" s="34" t="n">
        <f aca="false">B6615/1</f>
        <v>283.417</v>
      </c>
      <c r="H6615" s="34" t="str">
        <f aca="false">IF(F6615=1,G6615,"")</f>
        <v/>
      </c>
    </row>
    <row r="6616" customFormat="false" ht="15" hidden="false" customHeight="false" outlineLevel="0" collapsed="false">
      <c r="A6616" s="31" t="n">
        <v>43011.5833333333</v>
      </c>
      <c r="B6616" s="32" t="n">
        <v>313.113</v>
      </c>
      <c r="D6616" s="33" t="n">
        <f aca="false">WEEKDAY(A6616,2)</f>
        <v>2</v>
      </c>
      <c r="E6616" s="33" t="n">
        <f aca="false">HOUR(A6616)+MINUTE(A6616)/60</f>
        <v>14</v>
      </c>
      <c r="F6616" s="33" t="n">
        <f aca="false">IF(OR(D6616&gt;5,E6616&lt;8,E6616&gt;=18,COUNTIF($K$2:$K$10,INT(A6616))&gt;0),1,0)</f>
        <v>0</v>
      </c>
      <c r="G6616" s="34" t="n">
        <f aca="false">B6616/1</f>
        <v>313.113</v>
      </c>
      <c r="H6616" s="34" t="str">
        <f aca="false">IF(F6616=1,G6616,"")</f>
        <v/>
      </c>
    </row>
    <row r="6617" customFormat="false" ht="15" hidden="false" customHeight="false" outlineLevel="0" collapsed="false">
      <c r="A6617" s="31" t="n">
        <v>43011.625</v>
      </c>
      <c r="B6617" s="32" t="n">
        <v>290.503</v>
      </c>
      <c r="D6617" s="33" t="n">
        <f aca="false">WEEKDAY(A6617,2)</f>
        <v>2</v>
      </c>
      <c r="E6617" s="33" t="n">
        <f aca="false">HOUR(A6617)+MINUTE(A6617)/60</f>
        <v>15</v>
      </c>
      <c r="F6617" s="33" t="n">
        <f aca="false">IF(OR(D6617&gt;5,E6617&lt;8,E6617&gt;=18,COUNTIF($K$2:$K$10,INT(A6617))&gt;0),1,0)</f>
        <v>0</v>
      </c>
      <c r="G6617" s="34" t="n">
        <f aca="false">B6617/1</f>
        <v>290.503</v>
      </c>
      <c r="H6617" s="34" t="str">
        <f aca="false">IF(F6617=1,G6617,"")</f>
        <v/>
      </c>
    </row>
    <row r="6618" customFormat="false" ht="15" hidden="false" customHeight="false" outlineLevel="0" collapsed="false">
      <c r="A6618" s="31" t="n">
        <v>43011.6666666667</v>
      </c>
      <c r="B6618" s="32" t="n">
        <v>282.413</v>
      </c>
      <c r="D6618" s="33" t="n">
        <f aca="false">WEEKDAY(A6618,2)</f>
        <v>2</v>
      </c>
      <c r="E6618" s="33" t="n">
        <f aca="false">HOUR(A6618)+MINUTE(A6618)/60</f>
        <v>16</v>
      </c>
      <c r="F6618" s="33" t="n">
        <f aca="false">IF(OR(D6618&gt;5,E6618&lt;8,E6618&gt;=18,COUNTIF($K$2:$K$10,INT(A6618))&gt;0),1,0)</f>
        <v>0</v>
      </c>
      <c r="G6618" s="34" t="n">
        <f aca="false">B6618/1</f>
        <v>282.413</v>
      </c>
      <c r="H6618" s="34" t="str">
        <f aca="false">IF(F6618=1,G6618,"")</f>
        <v/>
      </c>
    </row>
    <row r="6619" customFormat="false" ht="15" hidden="false" customHeight="false" outlineLevel="0" collapsed="false">
      <c r="A6619" s="31" t="n">
        <v>43011.7083333333</v>
      </c>
      <c r="B6619" s="32" t="n">
        <v>277.636</v>
      </c>
      <c r="D6619" s="33" t="n">
        <f aca="false">WEEKDAY(A6619,2)</f>
        <v>2</v>
      </c>
      <c r="E6619" s="33" t="n">
        <f aca="false">HOUR(A6619)+MINUTE(A6619)/60</f>
        <v>17</v>
      </c>
      <c r="F6619" s="33" t="n">
        <f aca="false">IF(OR(D6619&gt;5,E6619&lt;8,E6619&gt;=18,COUNTIF($K$2:$K$10,INT(A6619))&gt;0),1,0)</f>
        <v>0</v>
      </c>
      <c r="G6619" s="34" t="n">
        <f aca="false">B6619/1</f>
        <v>277.636</v>
      </c>
      <c r="H6619" s="34" t="str">
        <f aca="false">IF(F6619=1,G6619,"")</f>
        <v/>
      </c>
    </row>
    <row r="6620" customFormat="false" ht="15" hidden="false" customHeight="false" outlineLevel="0" collapsed="false">
      <c r="A6620" s="31" t="n">
        <v>43011.75</v>
      </c>
      <c r="B6620" s="32" t="n">
        <v>246.317</v>
      </c>
      <c r="D6620" s="33" t="n">
        <f aca="false">WEEKDAY(A6620,2)</f>
        <v>2</v>
      </c>
      <c r="E6620" s="33" t="n">
        <f aca="false">HOUR(A6620)+MINUTE(A6620)/60</f>
        <v>18</v>
      </c>
      <c r="F6620" s="33" t="n">
        <f aca="false">IF(OR(D6620&gt;5,E6620&lt;8,E6620&gt;=18,COUNTIF($K$2:$K$10,INT(A6620))&gt;0),1,0)</f>
        <v>1</v>
      </c>
      <c r="G6620" s="34" t="n">
        <f aca="false">B6620/1</f>
        <v>246.317</v>
      </c>
      <c r="H6620" s="34" t="n">
        <f aca="false">IF(F6620=1,G6620,"")</f>
        <v>246.317</v>
      </c>
    </row>
    <row r="6621" customFormat="false" ht="15" hidden="false" customHeight="false" outlineLevel="0" collapsed="false">
      <c r="A6621" s="31" t="n">
        <v>43011.7916666667</v>
      </c>
      <c r="B6621" s="32" t="n">
        <v>216.537</v>
      </c>
      <c r="D6621" s="33" t="n">
        <f aca="false">WEEKDAY(A6621,2)</f>
        <v>2</v>
      </c>
      <c r="E6621" s="33" t="n">
        <f aca="false">HOUR(A6621)+MINUTE(A6621)/60</f>
        <v>19</v>
      </c>
      <c r="F6621" s="33" t="n">
        <f aca="false">IF(OR(D6621&gt;5,E6621&lt;8,E6621&gt;=18,COUNTIF($K$2:$K$10,INT(A6621))&gt;0),1,0)</f>
        <v>1</v>
      </c>
      <c r="G6621" s="34" t="n">
        <f aca="false">B6621/1</f>
        <v>216.537</v>
      </c>
      <c r="H6621" s="34" t="n">
        <f aca="false">IF(F6621=1,G6621,"")</f>
        <v>216.537</v>
      </c>
    </row>
    <row r="6622" customFormat="false" ht="15" hidden="false" customHeight="false" outlineLevel="0" collapsed="false">
      <c r="A6622" s="31" t="n">
        <v>43011.8333333333</v>
      </c>
      <c r="B6622" s="32" t="n">
        <v>210.058</v>
      </c>
      <c r="D6622" s="33" t="n">
        <f aca="false">WEEKDAY(A6622,2)</f>
        <v>2</v>
      </c>
      <c r="E6622" s="33" t="n">
        <f aca="false">HOUR(A6622)+MINUTE(A6622)/60</f>
        <v>20</v>
      </c>
      <c r="F6622" s="33" t="n">
        <f aca="false">IF(OR(D6622&gt;5,E6622&lt;8,E6622&gt;=18,COUNTIF($K$2:$K$10,INT(A6622))&gt;0),1,0)</f>
        <v>1</v>
      </c>
      <c r="G6622" s="34" t="n">
        <f aca="false">B6622/1</f>
        <v>210.058</v>
      </c>
      <c r="H6622" s="34" t="n">
        <f aca="false">IF(F6622=1,G6622,"")</f>
        <v>210.058</v>
      </c>
    </row>
    <row r="6623" customFormat="false" ht="15" hidden="false" customHeight="false" outlineLevel="0" collapsed="false">
      <c r="A6623" s="31" t="n">
        <v>43011.875</v>
      </c>
      <c r="B6623" s="32" t="n">
        <v>198.707</v>
      </c>
      <c r="D6623" s="33" t="n">
        <f aca="false">WEEKDAY(A6623,2)</f>
        <v>2</v>
      </c>
      <c r="E6623" s="33" t="n">
        <f aca="false">HOUR(A6623)+MINUTE(A6623)/60</f>
        <v>21</v>
      </c>
      <c r="F6623" s="33" t="n">
        <f aca="false">IF(OR(D6623&gt;5,E6623&lt;8,E6623&gt;=18,COUNTIF($K$2:$K$10,INT(A6623))&gt;0),1,0)</f>
        <v>1</v>
      </c>
      <c r="G6623" s="34" t="n">
        <f aca="false">B6623/1</f>
        <v>198.707</v>
      </c>
      <c r="H6623" s="34" t="n">
        <f aca="false">IF(F6623=1,G6623,"")</f>
        <v>198.707</v>
      </c>
    </row>
    <row r="6624" customFormat="false" ht="15" hidden="false" customHeight="false" outlineLevel="0" collapsed="false">
      <c r="A6624" s="31" t="n">
        <v>43011.9166666667</v>
      </c>
      <c r="B6624" s="32" t="n">
        <v>134.856</v>
      </c>
      <c r="D6624" s="33" t="n">
        <f aca="false">WEEKDAY(A6624,2)</f>
        <v>2</v>
      </c>
      <c r="E6624" s="33" t="n">
        <f aca="false">HOUR(A6624)+MINUTE(A6624)/60</f>
        <v>22</v>
      </c>
      <c r="F6624" s="33" t="n">
        <f aca="false">IF(OR(D6624&gt;5,E6624&lt;8,E6624&gt;=18,COUNTIF($K$2:$K$10,INT(A6624))&gt;0),1,0)</f>
        <v>1</v>
      </c>
      <c r="G6624" s="34" t="n">
        <f aca="false">B6624/1</f>
        <v>134.856</v>
      </c>
      <c r="H6624" s="34" t="n">
        <f aca="false">IF(F6624=1,G6624,"")</f>
        <v>134.856</v>
      </c>
    </row>
    <row r="6625" customFormat="false" ht="15" hidden="false" customHeight="false" outlineLevel="0" collapsed="false">
      <c r="A6625" s="31" t="n">
        <v>43011.9583333333</v>
      </c>
      <c r="B6625" s="32" t="n">
        <v>66.856</v>
      </c>
      <c r="D6625" s="33" t="n">
        <f aca="false">WEEKDAY(A6625,2)</f>
        <v>2</v>
      </c>
      <c r="E6625" s="33" t="n">
        <f aca="false">HOUR(A6625)+MINUTE(A6625)/60</f>
        <v>23</v>
      </c>
      <c r="F6625" s="33" t="n">
        <f aca="false">IF(OR(D6625&gt;5,E6625&lt;8,E6625&gt;=18,COUNTIF($K$2:$K$10,INT(A6625))&gt;0),1,0)</f>
        <v>1</v>
      </c>
      <c r="G6625" s="34" t="n">
        <f aca="false">B6625/1</f>
        <v>66.856</v>
      </c>
      <c r="H6625" s="34" t="n">
        <f aca="false">IF(F6625=1,G6625,"")</f>
        <v>66.856</v>
      </c>
    </row>
    <row r="6626" customFormat="false" ht="15" hidden="false" customHeight="false" outlineLevel="0" collapsed="false">
      <c r="A6626" s="31" t="n">
        <v>43012</v>
      </c>
      <c r="B6626" s="32" t="n">
        <v>62.111</v>
      </c>
      <c r="D6626" s="33" t="n">
        <f aca="false">WEEKDAY(A6626,2)</f>
        <v>3</v>
      </c>
      <c r="E6626" s="33" t="n">
        <f aca="false">HOUR(A6626)+MINUTE(A6626)/60</f>
        <v>0</v>
      </c>
      <c r="F6626" s="33" t="n">
        <f aca="false">IF(OR(D6626&gt;5,E6626&lt;8,E6626&gt;=18,COUNTIF($K$2:$K$10,INT(A6626))&gt;0),1,0)</f>
        <v>1</v>
      </c>
      <c r="G6626" s="34" t="n">
        <f aca="false">B6626/1</f>
        <v>62.111</v>
      </c>
      <c r="H6626" s="34" t="n">
        <f aca="false">IF(F6626=1,G6626,"")</f>
        <v>62.111</v>
      </c>
    </row>
    <row r="6627" customFormat="false" ht="15" hidden="false" customHeight="false" outlineLevel="0" collapsed="false">
      <c r="A6627" s="31" t="n">
        <v>43012.0416666667</v>
      </c>
      <c r="B6627" s="32" t="n">
        <v>59.218</v>
      </c>
      <c r="D6627" s="33" t="n">
        <f aca="false">WEEKDAY(A6627,2)</f>
        <v>3</v>
      </c>
      <c r="E6627" s="33" t="n">
        <f aca="false">HOUR(A6627)+MINUTE(A6627)/60</f>
        <v>1</v>
      </c>
      <c r="F6627" s="33" t="n">
        <f aca="false">IF(OR(D6627&gt;5,E6627&lt;8,E6627&gt;=18,COUNTIF($K$2:$K$10,INT(A6627))&gt;0),1,0)</f>
        <v>1</v>
      </c>
      <c r="G6627" s="34" t="n">
        <f aca="false">B6627/1</f>
        <v>59.218</v>
      </c>
      <c r="H6627" s="34" t="n">
        <f aca="false">IF(F6627=1,G6627,"")</f>
        <v>59.218</v>
      </c>
    </row>
    <row r="6628" customFormat="false" ht="15" hidden="false" customHeight="false" outlineLevel="0" collapsed="false">
      <c r="A6628" s="31" t="n">
        <v>43012.0833333333</v>
      </c>
      <c r="B6628" s="32" t="n">
        <v>59.028</v>
      </c>
      <c r="D6628" s="33" t="n">
        <f aca="false">WEEKDAY(A6628,2)</f>
        <v>3</v>
      </c>
      <c r="E6628" s="33" t="n">
        <f aca="false">HOUR(A6628)+MINUTE(A6628)/60</f>
        <v>2</v>
      </c>
      <c r="F6628" s="33" t="n">
        <f aca="false">IF(OR(D6628&gt;5,E6628&lt;8,E6628&gt;=18,COUNTIF($K$2:$K$10,INT(A6628))&gt;0),1,0)</f>
        <v>1</v>
      </c>
      <c r="G6628" s="34" t="n">
        <f aca="false">B6628/1</f>
        <v>59.028</v>
      </c>
      <c r="H6628" s="34" t="n">
        <f aca="false">IF(F6628=1,G6628,"")</f>
        <v>59.028</v>
      </c>
    </row>
    <row r="6629" customFormat="false" ht="15" hidden="false" customHeight="false" outlineLevel="0" collapsed="false">
      <c r="A6629" s="31" t="n">
        <v>43012.125</v>
      </c>
      <c r="B6629" s="32" t="n">
        <v>59.863</v>
      </c>
      <c r="D6629" s="33" t="n">
        <f aca="false">WEEKDAY(A6629,2)</f>
        <v>3</v>
      </c>
      <c r="E6629" s="33" t="n">
        <f aca="false">HOUR(A6629)+MINUTE(A6629)/60</f>
        <v>3</v>
      </c>
      <c r="F6629" s="33" t="n">
        <f aca="false">IF(OR(D6629&gt;5,E6629&lt;8,E6629&gt;=18,COUNTIF($K$2:$K$10,INT(A6629))&gt;0),1,0)</f>
        <v>1</v>
      </c>
      <c r="G6629" s="34" t="n">
        <f aca="false">B6629/1</f>
        <v>59.863</v>
      </c>
      <c r="H6629" s="34" t="n">
        <f aca="false">IF(F6629=1,G6629,"")</f>
        <v>59.863</v>
      </c>
    </row>
    <row r="6630" customFormat="false" ht="15" hidden="false" customHeight="false" outlineLevel="0" collapsed="false">
      <c r="A6630" s="31" t="n">
        <v>43012.1666666667</v>
      </c>
      <c r="B6630" s="32" t="n">
        <v>56.354</v>
      </c>
      <c r="D6630" s="33" t="n">
        <f aca="false">WEEKDAY(A6630,2)</f>
        <v>3</v>
      </c>
      <c r="E6630" s="33" t="n">
        <f aca="false">HOUR(A6630)+MINUTE(A6630)/60</f>
        <v>4</v>
      </c>
      <c r="F6630" s="33" t="n">
        <f aca="false">IF(OR(D6630&gt;5,E6630&lt;8,E6630&gt;=18,COUNTIF($K$2:$K$10,INT(A6630))&gt;0),1,0)</f>
        <v>1</v>
      </c>
      <c r="G6630" s="34" t="n">
        <f aca="false">B6630/1</f>
        <v>56.354</v>
      </c>
      <c r="H6630" s="34" t="n">
        <f aca="false">IF(F6630=1,G6630,"")</f>
        <v>56.354</v>
      </c>
    </row>
    <row r="6631" customFormat="false" ht="15" hidden="false" customHeight="false" outlineLevel="0" collapsed="false">
      <c r="A6631" s="31" t="n">
        <v>43012.2083333333</v>
      </c>
      <c r="B6631" s="32" t="n">
        <v>57.263</v>
      </c>
      <c r="D6631" s="33" t="n">
        <f aca="false">WEEKDAY(A6631,2)</f>
        <v>3</v>
      </c>
      <c r="E6631" s="33" t="n">
        <f aca="false">HOUR(A6631)+MINUTE(A6631)/60</f>
        <v>5</v>
      </c>
      <c r="F6631" s="33" t="n">
        <f aca="false">IF(OR(D6631&gt;5,E6631&lt;8,E6631&gt;=18,COUNTIF($K$2:$K$10,INT(A6631))&gt;0),1,0)</f>
        <v>1</v>
      </c>
      <c r="G6631" s="34" t="n">
        <f aca="false">B6631/1</f>
        <v>57.263</v>
      </c>
      <c r="H6631" s="34" t="n">
        <f aca="false">IF(F6631=1,G6631,"")</f>
        <v>57.263</v>
      </c>
    </row>
    <row r="6632" customFormat="false" ht="15" hidden="false" customHeight="false" outlineLevel="0" collapsed="false">
      <c r="A6632" s="31" t="n">
        <v>43012.25</v>
      </c>
      <c r="B6632" s="32" t="n">
        <v>58.657</v>
      </c>
      <c r="D6632" s="33" t="n">
        <f aca="false">WEEKDAY(A6632,2)</f>
        <v>3</v>
      </c>
      <c r="E6632" s="33" t="n">
        <f aca="false">HOUR(A6632)+MINUTE(A6632)/60</f>
        <v>6</v>
      </c>
      <c r="F6632" s="33" t="n">
        <f aca="false">IF(OR(D6632&gt;5,E6632&lt;8,E6632&gt;=18,COUNTIF($K$2:$K$10,INT(A6632))&gt;0),1,0)</f>
        <v>1</v>
      </c>
      <c r="G6632" s="34" t="n">
        <f aca="false">B6632/1</f>
        <v>58.657</v>
      </c>
      <c r="H6632" s="34" t="n">
        <f aca="false">IF(F6632=1,G6632,"")</f>
        <v>58.657</v>
      </c>
    </row>
    <row r="6633" customFormat="false" ht="15" hidden="false" customHeight="false" outlineLevel="0" collapsed="false">
      <c r="A6633" s="31" t="n">
        <v>43012.2916666667</v>
      </c>
      <c r="B6633" s="32" t="n">
        <v>63.448</v>
      </c>
      <c r="D6633" s="33" t="n">
        <f aca="false">WEEKDAY(A6633,2)</f>
        <v>3</v>
      </c>
      <c r="E6633" s="33" t="n">
        <f aca="false">HOUR(A6633)+MINUTE(A6633)/60</f>
        <v>7</v>
      </c>
      <c r="F6633" s="33" t="n">
        <f aca="false">IF(OR(D6633&gt;5,E6633&lt;8,E6633&gt;=18,COUNTIF($K$2:$K$10,INT(A6633))&gt;0),1,0)</f>
        <v>1</v>
      </c>
      <c r="G6633" s="34" t="n">
        <f aca="false">B6633/1</f>
        <v>63.448</v>
      </c>
      <c r="H6633" s="34" t="n">
        <f aca="false">IF(F6633=1,G6633,"")</f>
        <v>63.448</v>
      </c>
    </row>
    <row r="6634" customFormat="false" ht="15" hidden="false" customHeight="false" outlineLevel="0" collapsed="false">
      <c r="A6634" s="31" t="n">
        <v>43012.3333333333</v>
      </c>
      <c r="B6634" s="32" t="n">
        <v>180.36</v>
      </c>
      <c r="D6634" s="33" t="n">
        <f aca="false">WEEKDAY(A6634,2)</f>
        <v>3</v>
      </c>
      <c r="E6634" s="33" t="n">
        <f aca="false">HOUR(A6634)+MINUTE(A6634)/60</f>
        <v>8</v>
      </c>
      <c r="F6634" s="33" t="n">
        <f aca="false">IF(OR(D6634&gt;5,E6634&lt;8,E6634&gt;=18,COUNTIF($K$2:$K$10,INT(A6634))&gt;0),1,0)</f>
        <v>0</v>
      </c>
      <c r="G6634" s="34" t="n">
        <f aca="false">B6634/1</f>
        <v>180.36</v>
      </c>
      <c r="H6634" s="34" t="str">
        <f aca="false">IF(F6634=1,G6634,"")</f>
        <v/>
      </c>
    </row>
    <row r="6635" customFormat="false" ht="15" hidden="false" customHeight="false" outlineLevel="0" collapsed="false">
      <c r="A6635" s="31" t="n">
        <v>43012.375</v>
      </c>
      <c r="B6635" s="32" t="n">
        <v>231.241</v>
      </c>
      <c r="D6635" s="33" t="n">
        <f aca="false">WEEKDAY(A6635,2)</f>
        <v>3</v>
      </c>
      <c r="E6635" s="33" t="n">
        <f aca="false">HOUR(A6635)+MINUTE(A6635)/60</f>
        <v>9</v>
      </c>
      <c r="F6635" s="33" t="n">
        <f aca="false">IF(OR(D6635&gt;5,E6635&lt;8,E6635&gt;=18,COUNTIF($K$2:$K$10,INT(A6635))&gt;0),1,0)</f>
        <v>0</v>
      </c>
      <c r="G6635" s="34" t="n">
        <f aca="false">B6635/1</f>
        <v>231.241</v>
      </c>
      <c r="H6635" s="34" t="str">
        <f aca="false">IF(F6635=1,G6635,"")</f>
        <v/>
      </c>
    </row>
    <row r="6636" customFormat="false" ht="15" hidden="false" customHeight="false" outlineLevel="0" collapsed="false">
      <c r="A6636" s="31" t="n">
        <v>43012.4166666667</v>
      </c>
      <c r="B6636" s="32" t="n">
        <v>259.964</v>
      </c>
      <c r="D6636" s="33" t="n">
        <f aca="false">WEEKDAY(A6636,2)</f>
        <v>3</v>
      </c>
      <c r="E6636" s="33" t="n">
        <f aca="false">HOUR(A6636)+MINUTE(A6636)/60</f>
        <v>10</v>
      </c>
      <c r="F6636" s="33" t="n">
        <f aca="false">IF(OR(D6636&gt;5,E6636&lt;8,E6636&gt;=18,COUNTIF($K$2:$K$10,INT(A6636))&gt;0),1,0)</f>
        <v>0</v>
      </c>
      <c r="G6636" s="34" t="n">
        <f aca="false">B6636/1</f>
        <v>259.964</v>
      </c>
      <c r="H6636" s="34" t="str">
        <f aca="false">IF(F6636=1,G6636,"")</f>
        <v/>
      </c>
    </row>
    <row r="6637" customFormat="false" ht="15" hidden="false" customHeight="false" outlineLevel="0" collapsed="false">
      <c r="A6637" s="31" t="n">
        <v>43012.4583333333</v>
      </c>
      <c r="B6637" s="32" t="n">
        <v>271.222</v>
      </c>
      <c r="D6637" s="33" t="n">
        <f aca="false">WEEKDAY(A6637,2)</f>
        <v>3</v>
      </c>
      <c r="E6637" s="33" t="n">
        <f aca="false">HOUR(A6637)+MINUTE(A6637)/60</f>
        <v>11</v>
      </c>
      <c r="F6637" s="33" t="n">
        <f aca="false">IF(OR(D6637&gt;5,E6637&lt;8,E6637&gt;=18,COUNTIF($K$2:$K$10,INT(A6637))&gt;0),1,0)</f>
        <v>0</v>
      </c>
      <c r="G6637" s="34" t="n">
        <f aca="false">B6637/1</f>
        <v>271.222</v>
      </c>
      <c r="H6637" s="34" t="str">
        <f aca="false">IF(F6637=1,G6637,"")</f>
        <v/>
      </c>
    </row>
    <row r="6638" customFormat="false" ht="15" hidden="false" customHeight="false" outlineLevel="0" collapsed="false">
      <c r="A6638" s="31" t="n">
        <v>43012.5</v>
      </c>
      <c r="B6638" s="32" t="n">
        <v>269.726</v>
      </c>
      <c r="D6638" s="33" t="n">
        <f aca="false">WEEKDAY(A6638,2)</f>
        <v>3</v>
      </c>
      <c r="E6638" s="33" t="n">
        <f aca="false">HOUR(A6638)+MINUTE(A6638)/60</f>
        <v>12</v>
      </c>
      <c r="F6638" s="33" t="n">
        <f aca="false">IF(OR(D6638&gt;5,E6638&lt;8,E6638&gt;=18,COUNTIF($K$2:$K$10,INT(A6638))&gt;0),1,0)</f>
        <v>0</v>
      </c>
      <c r="G6638" s="34" t="n">
        <f aca="false">B6638/1</f>
        <v>269.726</v>
      </c>
      <c r="H6638" s="34" t="str">
        <f aca="false">IF(F6638=1,G6638,"")</f>
        <v/>
      </c>
    </row>
    <row r="6639" customFormat="false" ht="15" hidden="false" customHeight="false" outlineLevel="0" collapsed="false">
      <c r="A6639" s="31" t="n">
        <v>43012.5416666667</v>
      </c>
      <c r="B6639" s="32" t="n">
        <v>268.485</v>
      </c>
      <c r="D6639" s="33" t="n">
        <f aca="false">WEEKDAY(A6639,2)</f>
        <v>3</v>
      </c>
      <c r="E6639" s="33" t="n">
        <f aca="false">HOUR(A6639)+MINUTE(A6639)/60</f>
        <v>13</v>
      </c>
      <c r="F6639" s="33" t="n">
        <f aca="false">IF(OR(D6639&gt;5,E6639&lt;8,E6639&gt;=18,COUNTIF($K$2:$K$10,INT(A6639))&gt;0),1,0)</f>
        <v>0</v>
      </c>
      <c r="G6639" s="34" t="n">
        <f aca="false">B6639/1</f>
        <v>268.485</v>
      </c>
      <c r="H6639" s="34" t="str">
        <f aca="false">IF(F6639=1,G6639,"")</f>
        <v/>
      </c>
    </row>
    <row r="6640" customFormat="false" ht="15" hidden="false" customHeight="false" outlineLevel="0" collapsed="false">
      <c r="A6640" s="31" t="n">
        <v>43012.5833333333</v>
      </c>
      <c r="B6640" s="32" t="n">
        <v>278.681</v>
      </c>
      <c r="D6640" s="33" t="n">
        <f aca="false">WEEKDAY(A6640,2)</f>
        <v>3</v>
      </c>
      <c r="E6640" s="33" t="n">
        <f aca="false">HOUR(A6640)+MINUTE(A6640)/60</f>
        <v>14</v>
      </c>
      <c r="F6640" s="33" t="n">
        <f aca="false">IF(OR(D6640&gt;5,E6640&lt;8,E6640&gt;=18,COUNTIF($K$2:$K$10,INT(A6640))&gt;0),1,0)</f>
        <v>0</v>
      </c>
      <c r="G6640" s="34" t="n">
        <f aca="false">B6640/1</f>
        <v>278.681</v>
      </c>
      <c r="H6640" s="34" t="str">
        <f aca="false">IF(F6640=1,G6640,"")</f>
        <v/>
      </c>
    </row>
    <row r="6641" customFormat="false" ht="15" hidden="false" customHeight="false" outlineLevel="0" collapsed="false">
      <c r="A6641" s="31" t="n">
        <v>43012.625</v>
      </c>
      <c r="B6641" s="32" t="n">
        <v>280.214</v>
      </c>
      <c r="D6641" s="33" t="n">
        <f aca="false">WEEKDAY(A6641,2)</f>
        <v>3</v>
      </c>
      <c r="E6641" s="33" t="n">
        <f aca="false">HOUR(A6641)+MINUTE(A6641)/60</f>
        <v>15</v>
      </c>
      <c r="F6641" s="33" t="n">
        <f aca="false">IF(OR(D6641&gt;5,E6641&lt;8,E6641&gt;=18,COUNTIF($K$2:$K$10,INT(A6641))&gt;0),1,0)</f>
        <v>0</v>
      </c>
      <c r="G6641" s="34" t="n">
        <f aca="false">B6641/1</f>
        <v>280.214</v>
      </c>
      <c r="H6641" s="34" t="str">
        <f aca="false">IF(F6641=1,G6641,"")</f>
        <v/>
      </c>
    </row>
    <row r="6642" customFormat="false" ht="15" hidden="false" customHeight="false" outlineLevel="0" collapsed="false">
      <c r="A6642" s="31" t="n">
        <v>43012.6666666667</v>
      </c>
      <c r="B6642" s="32" t="n">
        <v>282.796</v>
      </c>
      <c r="D6642" s="33" t="n">
        <f aca="false">WEEKDAY(A6642,2)</f>
        <v>3</v>
      </c>
      <c r="E6642" s="33" t="n">
        <f aca="false">HOUR(A6642)+MINUTE(A6642)/60</f>
        <v>16</v>
      </c>
      <c r="F6642" s="33" t="n">
        <f aca="false">IF(OR(D6642&gt;5,E6642&lt;8,E6642&gt;=18,COUNTIF($K$2:$K$10,INT(A6642))&gt;0),1,0)</f>
        <v>0</v>
      </c>
      <c r="G6642" s="34" t="n">
        <f aca="false">B6642/1</f>
        <v>282.796</v>
      </c>
      <c r="H6642" s="34" t="str">
        <f aca="false">IF(F6642=1,G6642,"")</f>
        <v/>
      </c>
    </row>
    <row r="6643" customFormat="false" ht="15" hidden="false" customHeight="false" outlineLevel="0" collapsed="false">
      <c r="A6643" s="31" t="n">
        <v>43012.7083333333</v>
      </c>
      <c r="B6643" s="32" t="n">
        <v>270.944</v>
      </c>
      <c r="D6643" s="33" t="n">
        <f aca="false">WEEKDAY(A6643,2)</f>
        <v>3</v>
      </c>
      <c r="E6643" s="33" t="n">
        <f aca="false">HOUR(A6643)+MINUTE(A6643)/60</f>
        <v>17</v>
      </c>
      <c r="F6643" s="33" t="n">
        <f aca="false">IF(OR(D6643&gt;5,E6643&lt;8,E6643&gt;=18,COUNTIF($K$2:$K$10,INT(A6643))&gt;0),1,0)</f>
        <v>0</v>
      </c>
      <c r="G6643" s="34" t="n">
        <f aca="false">B6643/1</f>
        <v>270.944</v>
      </c>
      <c r="H6643" s="34" t="str">
        <f aca="false">IF(F6643=1,G6643,"")</f>
        <v/>
      </c>
    </row>
    <row r="6644" customFormat="false" ht="15" hidden="false" customHeight="false" outlineLevel="0" collapsed="false">
      <c r="A6644" s="31" t="n">
        <v>43012.75</v>
      </c>
      <c r="B6644" s="32" t="n">
        <v>229.401</v>
      </c>
      <c r="D6644" s="33" t="n">
        <f aca="false">WEEKDAY(A6644,2)</f>
        <v>3</v>
      </c>
      <c r="E6644" s="33" t="n">
        <f aca="false">HOUR(A6644)+MINUTE(A6644)/60</f>
        <v>18</v>
      </c>
      <c r="F6644" s="33" t="n">
        <f aca="false">IF(OR(D6644&gt;5,E6644&lt;8,E6644&gt;=18,COUNTIF($K$2:$K$10,INT(A6644))&gt;0),1,0)</f>
        <v>1</v>
      </c>
      <c r="G6644" s="34" t="n">
        <f aca="false">B6644/1</f>
        <v>229.401</v>
      </c>
      <c r="H6644" s="34" t="n">
        <f aca="false">IF(F6644=1,G6644,"")</f>
        <v>229.401</v>
      </c>
    </row>
    <row r="6645" customFormat="false" ht="15" hidden="false" customHeight="false" outlineLevel="0" collapsed="false">
      <c r="A6645" s="31" t="n">
        <v>43012.7916666667</v>
      </c>
      <c r="B6645" s="32" t="n">
        <v>217.967</v>
      </c>
      <c r="D6645" s="33" t="n">
        <f aca="false">WEEKDAY(A6645,2)</f>
        <v>3</v>
      </c>
      <c r="E6645" s="33" t="n">
        <f aca="false">HOUR(A6645)+MINUTE(A6645)/60</f>
        <v>19</v>
      </c>
      <c r="F6645" s="33" t="n">
        <f aca="false">IF(OR(D6645&gt;5,E6645&lt;8,E6645&gt;=18,COUNTIF($K$2:$K$10,INT(A6645))&gt;0),1,0)</f>
        <v>1</v>
      </c>
      <c r="G6645" s="34" t="n">
        <f aca="false">B6645/1</f>
        <v>217.967</v>
      </c>
      <c r="H6645" s="34" t="n">
        <f aca="false">IF(F6645=1,G6645,"")</f>
        <v>217.967</v>
      </c>
    </row>
    <row r="6646" customFormat="false" ht="15" hidden="false" customHeight="false" outlineLevel="0" collapsed="false">
      <c r="A6646" s="31" t="n">
        <v>43012.8333333333</v>
      </c>
      <c r="B6646" s="32" t="n">
        <v>215.484</v>
      </c>
      <c r="D6646" s="33" t="n">
        <f aca="false">WEEKDAY(A6646,2)</f>
        <v>3</v>
      </c>
      <c r="E6646" s="33" t="n">
        <f aca="false">HOUR(A6646)+MINUTE(A6646)/60</f>
        <v>20</v>
      </c>
      <c r="F6646" s="33" t="n">
        <f aca="false">IF(OR(D6646&gt;5,E6646&lt;8,E6646&gt;=18,COUNTIF($K$2:$K$10,INT(A6646))&gt;0),1,0)</f>
        <v>1</v>
      </c>
      <c r="G6646" s="34" t="n">
        <f aca="false">B6646/1</f>
        <v>215.484</v>
      </c>
      <c r="H6646" s="34" t="n">
        <f aca="false">IF(F6646=1,G6646,"")</f>
        <v>215.484</v>
      </c>
    </row>
    <row r="6647" customFormat="false" ht="15" hidden="false" customHeight="false" outlineLevel="0" collapsed="false">
      <c r="A6647" s="31" t="n">
        <v>43012.875</v>
      </c>
      <c r="B6647" s="32" t="n">
        <v>205.814</v>
      </c>
      <c r="D6647" s="33" t="n">
        <f aca="false">WEEKDAY(A6647,2)</f>
        <v>3</v>
      </c>
      <c r="E6647" s="33" t="n">
        <f aca="false">HOUR(A6647)+MINUTE(A6647)/60</f>
        <v>21</v>
      </c>
      <c r="F6647" s="33" t="n">
        <f aca="false">IF(OR(D6647&gt;5,E6647&lt;8,E6647&gt;=18,COUNTIF($K$2:$K$10,INT(A6647))&gt;0),1,0)</f>
        <v>1</v>
      </c>
      <c r="G6647" s="34" t="n">
        <f aca="false">B6647/1</f>
        <v>205.814</v>
      </c>
      <c r="H6647" s="34" t="n">
        <f aca="false">IF(F6647=1,G6647,"")</f>
        <v>205.814</v>
      </c>
    </row>
    <row r="6648" customFormat="false" ht="15" hidden="false" customHeight="false" outlineLevel="0" collapsed="false">
      <c r="A6648" s="31" t="n">
        <v>43012.9166666667</v>
      </c>
      <c r="B6648" s="32" t="n">
        <v>146.106</v>
      </c>
      <c r="D6648" s="33" t="n">
        <f aca="false">WEEKDAY(A6648,2)</f>
        <v>3</v>
      </c>
      <c r="E6648" s="33" t="n">
        <f aca="false">HOUR(A6648)+MINUTE(A6648)/60</f>
        <v>22</v>
      </c>
      <c r="F6648" s="33" t="n">
        <f aca="false">IF(OR(D6648&gt;5,E6648&lt;8,E6648&gt;=18,COUNTIF($K$2:$K$10,INT(A6648))&gt;0),1,0)</f>
        <v>1</v>
      </c>
      <c r="G6648" s="34" t="n">
        <f aca="false">B6648/1</f>
        <v>146.106</v>
      </c>
      <c r="H6648" s="34" t="n">
        <f aca="false">IF(F6648=1,G6648,"")</f>
        <v>146.106</v>
      </c>
    </row>
    <row r="6649" customFormat="false" ht="15" hidden="false" customHeight="false" outlineLevel="0" collapsed="false">
      <c r="A6649" s="31" t="n">
        <v>43012.9583333333</v>
      </c>
      <c r="B6649" s="32" t="n">
        <v>73.229</v>
      </c>
      <c r="D6649" s="33" t="n">
        <f aca="false">WEEKDAY(A6649,2)</f>
        <v>3</v>
      </c>
      <c r="E6649" s="33" t="n">
        <f aca="false">HOUR(A6649)+MINUTE(A6649)/60</f>
        <v>23</v>
      </c>
      <c r="F6649" s="33" t="n">
        <f aca="false">IF(OR(D6649&gt;5,E6649&lt;8,E6649&gt;=18,COUNTIF($K$2:$K$10,INT(A6649))&gt;0),1,0)</f>
        <v>1</v>
      </c>
      <c r="G6649" s="34" t="n">
        <f aca="false">B6649/1</f>
        <v>73.229</v>
      </c>
      <c r="H6649" s="34" t="n">
        <f aca="false">IF(F6649=1,G6649,"")</f>
        <v>73.229</v>
      </c>
    </row>
    <row r="6650" customFormat="false" ht="15" hidden="false" customHeight="false" outlineLevel="0" collapsed="false">
      <c r="A6650" s="31" t="n">
        <v>43013</v>
      </c>
      <c r="B6650" s="32" t="n">
        <v>64.648</v>
      </c>
      <c r="D6650" s="33" t="n">
        <f aca="false">WEEKDAY(A6650,2)</f>
        <v>4</v>
      </c>
      <c r="E6650" s="33" t="n">
        <f aca="false">HOUR(A6650)+MINUTE(A6650)/60</f>
        <v>0</v>
      </c>
      <c r="F6650" s="33" t="n">
        <f aca="false">IF(OR(D6650&gt;5,E6650&lt;8,E6650&gt;=18,COUNTIF($K$2:$K$10,INT(A6650))&gt;0),1,0)</f>
        <v>1</v>
      </c>
      <c r="G6650" s="34" t="n">
        <f aca="false">B6650/1</f>
        <v>64.648</v>
      </c>
      <c r="H6650" s="34" t="n">
        <f aca="false">IF(F6650=1,G6650,"")</f>
        <v>64.648</v>
      </c>
    </row>
    <row r="6651" customFormat="false" ht="15" hidden="false" customHeight="false" outlineLevel="0" collapsed="false">
      <c r="A6651" s="31" t="n">
        <v>43013.0416666667</v>
      </c>
      <c r="B6651" s="32" t="n">
        <v>59.723</v>
      </c>
      <c r="D6651" s="33" t="n">
        <f aca="false">WEEKDAY(A6651,2)</f>
        <v>4</v>
      </c>
      <c r="E6651" s="33" t="n">
        <f aca="false">HOUR(A6651)+MINUTE(A6651)/60</f>
        <v>1</v>
      </c>
      <c r="F6651" s="33" t="n">
        <f aca="false">IF(OR(D6651&gt;5,E6651&lt;8,E6651&gt;=18,COUNTIF($K$2:$K$10,INT(A6651))&gt;0),1,0)</f>
        <v>1</v>
      </c>
      <c r="G6651" s="34" t="n">
        <f aca="false">B6651/1</f>
        <v>59.723</v>
      </c>
      <c r="H6651" s="34" t="n">
        <f aca="false">IF(F6651=1,G6651,"")</f>
        <v>59.723</v>
      </c>
    </row>
    <row r="6652" customFormat="false" ht="15" hidden="false" customHeight="false" outlineLevel="0" collapsed="false">
      <c r="A6652" s="31" t="n">
        <v>43013.0833333333</v>
      </c>
      <c r="B6652" s="32" t="n">
        <v>58.862</v>
      </c>
      <c r="D6652" s="33" t="n">
        <f aca="false">WEEKDAY(A6652,2)</f>
        <v>4</v>
      </c>
      <c r="E6652" s="33" t="n">
        <f aca="false">HOUR(A6652)+MINUTE(A6652)/60</f>
        <v>2</v>
      </c>
      <c r="F6652" s="33" t="n">
        <f aca="false">IF(OR(D6652&gt;5,E6652&lt;8,E6652&gt;=18,COUNTIF($K$2:$K$10,INT(A6652))&gt;0),1,0)</f>
        <v>1</v>
      </c>
      <c r="G6652" s="34" t="n">
        <f aca="false">B6652/1</f>
        <v>58.862</v>
      </c>
      <c r="H6652" s="34" t="n">
        <f aca="false">IF(F6652=1,G6652,"")</f>
        <v>58.862</v>
      </c>
    </row>
    <row r="6653" customFormat="false" ht="15" hidden="false" customHeight="false" outlineLevel="0" collapsed="false">
      <c r="A6653" s="31" t="n">
        <v>43013.125</v>
      </c>
      <c r="B6653" s="32" t="n">
        <v>59.191</v>
      </c>
      <c r="D6653" s="33" t="n">
        <f aca="false">WEEKDAY(A6653,2)</f>
        <v>4</v>
      </c>
      <c r="E6653" s="33" t="n">
        <f aca="false">HOUR(A6653)+MINUTE(A6653)/60</f>
        <v>3</v>
      </c>
      <c r="F6653" s="33" t="n">
        <f aca="false">IF(OR(D6653&gt;5,E6653&lt;8,E6653&gt;=18,COUNTIF($K$2:$K$10,INT(A6653))&gt;0),1,0)</f>
        <v>1</v>
      </c>
      <c r="G6653" s="34" t="n">
        <f aca="false">B6653/1</f>
        <v>59.191</v>
      </c>
      <c r="H6653" s="34" t="n">
        <f aca="false">IF(F6653=1,G6653,"")</f>
        <v>59.191</v>
      </c>
    </row>
    <row r="6654" customFormat="false" ht="15" hidden="false" customHeight="false" outlineLevel="0" collapsed="false">
      <c r="A6654" s="31" t="n">
        <v>43013.1666666667</v>
      </c>
      <c r="B6654" s="32" t="n">
        <v>58.865</v>
      </c>
      <c r="D6654" s="33" t="n">
        <f aca="false">WEEKDAY(A6654,2)</f>
        <v>4</v>
      </c>
      <c r="E6654" s="33" t="n">
        <f aca="false">HOUR(A6654)+MINUTE(A6654)/60</f>
        <v>4</v>
      </c>
      <c r="F6654" s="33" t="n">
        <f aca="false">IF(OR(D6654&gt;5,E6654&lt;8,E6654&gt;=18,COUNTIF($K$2:$K$10,INT(A6654))&gt;0),1,0)</f>
        <v>1</v>
      </c>
      <c r="G6654" s="34" t="n">
        <f aca="false">B6654/1</f>
        <v>58.865</v>
      </c>
      <c r="H6654" s="34" t="n">
        <f aca="false">IF(F6654=1,G6654,"")</f>
        <v>58.865</v>
      </c>
    </row>
    <row r="6655" customFormat="false" ht="15" hidden="false" customHeight="false" outlineLevel="0" collapsed="false">
      <c r="A6655" s="31" t="n">
        <v>43013.2083333333</v>
      </c>
      <c r="B6655" s="32" t="n">
        <v>56.996</v>
      </c>
      <c r="D6655" s="33" t="n">
        <f aca="false">WEEKDAY(A6655,2)</f>
        <v>4</v>
      </c>
      <c r="E6655" s="33" t="n">
        <f aca="false">HOUR(A6655)+MINUTE(A6655)/60</f>
        <v>5</v>
      </c>
      <c r="F6655" s="33" t="n">
        <f aca="false">IF(OR(D6655&gt;5,E6655&lt;8,E6655&gt;=18,COUNTIF($K$2:$K$10,INT(A6655))&gt;0),1,0)</f>
        <v>1</v>
      </c>
      <c r="G6655" s="34" t="n">
        <f aca="false">B6655/1</f>
        <v>56.996</v>
      </c>
      <c r="H6655" s="34" t="n">
        <f aca="false">IF(F6655=1,G6655,"")</f>
        <v>56.996</v>
      </c>
    </row>
    <row r="6656" customFormat="false" ht="15" hidden="false" customHeight="false" outlineLevel="0" collapsed="false">
      <c r="A6656" s="31" t="n">
        <v>43013.25</v>
      </c>
      <c r="B6656" s="32" t="n">
        <v>57.578</v>
      </c>
      <c r="D6656" s="33" t="n">
        <f aca="false">WEEKDAY(A6656,2)</f>
        <v>4</v>
      </c>
      <c r="E6656" s="33" t="n">
        <f aca="false">HOUR(A6656)+MINUTE(A6656)/60</f>
        <v>6</v>
      </c>
      <c r="F6656" s="33" t="n">
        <f aca="false">IF(OR(D6656&gt;5,E6656&lt;8,E6656&gt;=18,COUNTIF($K$2:$K$10,INT(A6656))&gt;0),1,0)</f>
        <v>1</v>
      </c>
      <c r="G6656" s="34" t="n">
        <f aca="false">B6656/1</f>
        <v>57.578</v>
      </c>
      <c r="H6656" s="34" t="n">
        <f aca="false">IF(F6656=1,G6656,"")</f>
        <v>57.578</v>
      </c>
    </row>
    <row r="6657" customFormat="false" ht="15" hidden="false" customHeight="false" outlineLevel="0" collapsed="false">
      <c r="A6657" s="31" t="n">
        <v>43013.2916666667</v>
      </c>
      <c r="B6657" s="32" t="n">
        <v>61.351</v>
      </c>
      <c r="D6657" s="33" t="n">
        <f aca="false">WEEKDAY(A6657,2)</f>
        <v>4</v>
      </c>
      <c r="E6657" s="33" t="n">
        <f aca="false">HOUR(A6657)+MINUTE(A6657)/60</f>
        <v>7</v>
      </c>
      <c r="F6657" s="33" t="n">
        <f aca="false">IF(OR(D6657&gt;5,E6657&lt;8,E6657&gt;=18,COUNTIF($K$2:$K$10,INT(A6657))&gt;0),1,0)</f>
        <v>1</v>
      </c>
      <c r="G6657" s="34" t="n">
        <f aca="false">B6657/1</f>
        <v>61.351</v>
      </c>
      <c r="H6657" s="34" t="n">
        <f aca="false">IF(F6657=1,G6657,"")</f>
        <v>61.351</v>
      </c>
    </row>
    <row r="6658" customFormat="false" ht="15" hidden="false" customHeight="false" outlineLevel="0" collapsed="false">
      <c r="A6658" s="31" t="n">
        <v>43013.3333333333</v>
      </c>
      <c r="B6658" s="32" t="n">
        <v>176.991</v>
      </c>
      <c r="D6658" s="33" t="n">
        <f aca="false">WEEKDAY(A6658,2)</f>
        <v>4</v>
      </c>
      <c r="E6658" s="33" t="n">
        <f aca="false">HOUR(A6658)+MINUTE(A6658)/60</f>
        <v>8</v>
      </c>
      <c r="F6658" s="33" t="n">
        <f aca="false">IF(OR(D6658&gt;5,E6658&lt;8,E6658&gt;=18,COUNTIF($K$2:$K$10,INT(A6658))&gt;0),1,0)</f>
        <v>0</v>
      </c>
      <c r="G6658" s="34" t="n">
        <f aca="false">B6658/1</f>
        <v>176.991</v>
      </c>
      <c r="H6658" s="34" t="str">
        <f aca="false">IF(F6658=1,G6658,"")</f>
        <v/>
      </c>
    </row>
    <row r="6659" customFormat="false" ht="15" hidden="false" customHeight="false" outlineLevel="0" collapsed="false">
      <c r="A6659" s="31" t="n">
        <v>43013.375</v>
      </c>
      <c r="B6659" s="32" t="n">
        <v>222.585</v>
      </c>
      <c r="D6659" s="33" t="n">
        <f aca="false">WEEKDAY(A6659,2)</f>
        <v>4</v>
      </c>
      <c r="E6659" s="33" t="n">
        <f aca="false">HOUR(A6659)+MINUTE(A6659)/60</f>
        <v>9</v>
      </c>
      <c r="F6659" s="33" t="n">
        <f aca="false">IF(OR(D6659&gt;5,E6659&lt;8,E6659&gt;=18,COUNTIF($K$2:$K$10,INT(A6659))&gt;0),1,0)</f>
        <v>0</v>
      </c>
      <c r="G6659" s="34" t="n">
        <f aca="false">B6659/1</f>
        <v>222.585</v>
      </c>
      <c r="H6659" s="34" t="str">
        <f aca="false">IF(F6659=1,G6659,"")</f>
        <v/>
      </c>
    </row>
    <row r="6660" customFormat="false" ht="15" hidden="false" customHeight="false" outlineLevel="0" collapsed="false">
      <c r="A6660" s="31" t="n">
        <v>43013.4166666667</v>
      </c>
      <c r="B6660" s="32" t="n">
        <v>251.934</v>
      </c>
      <c r="D6660" s="33" t="n">
        <f aca="false">WEEKDAY(A6660,2)</f>
        <v>4</v>
      </c>
      <c r="E6660" s="33" t="n">
        <f aca="false">HOUR(A6660)+MINUTE(A6660)/60</f>
        <v>10</v>
      </c>
      <c r="F6660" s="33" t="n">
        <f aca="false">IF(OR(D6660&gt;5,E6660&lt;8,E6660&gt;=18,COUNTIF($K$2:$K$10,INT(A6660))&gt;0),1,0)</f>
        <v>0</v>
      </c>
      <c r="G6660" s="34" t="n">
        <f aca="false">B6660/1</f>
        <v>251.934</v>
      </c>
      <c r="H6660" s="34" t="str">
        <f aca="false">IF(F6660=1,G6660,"")</f>
        <v/>
      </c>
    </row>
    <row r="6661" customFormat="false" ht="15" hidden="false" customHeight="false" outlineLevel="0" collapsed="false">
      <c r="A6661" s="31" t="n">
        <v>43013.4583333333</v>
      </c>
      <c r="B6661" s="32" t="n">
        <v>264.892</v>
      </c>
      <c r="D6661" s="33" t="n">
        <f aca="false">WEEKDAY(A6661,2)</f>
        <v>4</v>
      </c>
      <c r="E6661" s="33" t="n">
        <f aca="false">HOUR(A6661)+MINUTE(A6661)/60</f>
        <v>11</v>
      </c>
      <c r="F6661" s="33" t="n">
        <f aca="false">IF(OR(D6661&gt;5,E6661&lt;8,E6661&gt;=18,COUNTIF($K$2:$K$10,INT(A6661))&gt;0),1,0)</f>
        <v>0</v>
      </c>
      <c r="G6661" s="34" t="n">
        <f aca="false">B6661/1</f>
        <v>264.892</v>
      </c>
      <c r="H6661" s="34" t="str">
        <f aca="false">IF(F6661=1,G6661,"")</f>
        <v/>
      </c>
    </row>
    <row r="6662" customFormat="false" ht="15" hidden="false" customHeight="false" outlineLevel="0" collapsed="false">
      <c r="A6662" s="31" t="n">
        <v>43013.5</v>
      </c>
      <c r="B6662" s="32" t="n">
        <v>278.668</v>
      </c>
      <c r="D6662" s="33" t="n">
        <f aca="false">WEEKDAY(A6662,2)</f>
        <v>4</v>
      </c>
      <c r="E6662" s="33" t="n">
        <f aca="false">HOUR(A6662)+MINUTE(A6662)/60</f>
        <v>12</v>
      </c>
      <c r="F6662" s="33" t="n">
        <f aca="false">IF(OR(D6662&gt;5,E6662&lt;8,E6662&gt;=18,COUNTIF($K$2:$K$10,INT(A6662))&gt;0),1,0)</f>
        <v>0</v>
      </c>
      <c r="G6662" s="34" t="n">
        <f aca="false">B6662/1</f>
        <v>278.668</v>
      </c>
      <c r="H6662" s="34" t="str">
        <f aca="false">IF(F6662=1,G6662,"")</f>
        <v/>
      </c>
    </row>
    <row r="6663" customFormat="false" ht="15" hidden="false" customHeight="false" outlineLevel="0" collapsed="false">
      <c r="A6663" s="31" t="n">
        <v>43013.5416666667</v>
      </c>
      <c r="B6663" s="32" t="n">
        <v>258.9</v>
      </c>
      <c r="D6663" s="33" t="n">
        <f aca="false">WEEKDAY(A6663,2)</f>
        <v>4</v>
      </c>
      <c r="E6663" s="33" t="n">
        <f aca="false">HOUR(A6663)+MINUTE(A6663)/60</f>
        <v>13</v>
      </c>
      <c r="F6663" s="33" t="n">
        <f aca="false">IF(OR(D6663&gt;5,E6663&lt;8,E6663&gt;=18,COUNTIF($K$2:$K$10,INT(A6663))&gt;0),1,0)</f>
        <v>0</v>
      </c>
      <c r="G6663" s="34" t="n">
        <f aca="false">B6663/1</f>
        <v>258.9</v>
      </c>
      <c r="H6663" s="34" t="str">
        <f aca="false">IF(F6663=1,G6663,"")</f>
        <v/>
      </c>
    </row>
    <row r="6664" customFormat="false" ht="15" hidden="false" customHeight="false" outlineLevel="0" collapsed="false">
      <c r="A6664" s="31" t="n">
        <v>43013.5833333333</v>
      </c>
      <c r="B6664" s="32" t="n">
        <v>277.521</v>
      </c>
      <c r="D6664" s="33" t="n">
        <f aca="false">WEEKDAY(A6664,2)</f>
        <v>4</v>
      </c>
      <c r="E6664" s="33" t="n">
        <f aca="false">HOUR(A6664)+MINUTE(A6664)/60</f>
        <v>14</v>
      </c>
      <c r="F6664" s="33" t="n">
        <f aca="false">IF(OR(D6664&gt;5,E6664&lt;8,E6664&gt;=18,COUNTIF($K$2:$K$10,INT(A6664))&gt;0),1,0)</f>
        <v>0</v>
      </c>
      <c r="G6664" s="34" t="n">
        <f aca="false">B6664/1</f>
        <v>277.521</v>
      </c>
      <c r="H6664" s="34" t="str">
        <f aca="false">IF(F6664=1,G6664,"")</f>
        <v/>
      </c>
    </row>
    <row r="6665" customFormat="false" ht="15" hidden="false" customHeight="false" outlineLevel="0" collapsed="false">
      <c r="A6665" s="31" t="n">
        <v>43013.625</v>
      </c>
      <c r="B6665" s="32" t="n">
        <v>266.29</v>
      </c>
      <c r="D6665" s="33" t="n">
        <f aca="false">WEEKDAY(A6665,2)</f>
        <v>4</v>
      </c>
      <c r="E6665" s="33" t="n">
        <f aca="false">HOUR(A6665)+MINUTE(A6665)/60</f>
        <v>15</v>
      </c>
      <c r="F6665" s="33" t="n">
        <f aca="false">IF(OR(D6665&gt;5,E6665&lt;8,E6665&gt;=18,COUNTIF($K$2:$K$10,INT(A6665))&gt;0),1,0)</f>
        <v>0</v>
      </c>
      <c r="G6665" s="34" t="n">
        <f aca="false">B6665/1</f>
        <v>266.29</v>
      </c>
      <c r="H6665" s="34" t="str">
        <f aca="false">IF(F6665=1,G6665,"")</f>
        <v/>
      </c>
    </row>
    <row r="6666" customFormat="false" ht="15" hidden="false" customHeight="false" outlineLevel="0" collapsed="false">
      <c r="A6666" s="31" t="n">
        <v>43013.6666666667</v>
      </c>
      <c r="B6666" s="32" t="n">
        <v>258.111</v>
      </c>
      <c r="D6666" s="33" t="n">
        <f aca="false">WEEKDAY(A6666,2)</f>
        <v>4</v>
      </c>
      <c r="E6666" s="33" t="n">
        <f aca="false">HOUR(A6666)+MINUTE(A6666)/60</f>
        <v>16</v>
      </c>
      <c r="F6666" s="33" t="n">
        <f aca="false">IF(OR(D6666&gt;5,E6666&lt;8,E6666&gt;=18,COUNTIF($K$2:$K$10,INT(A6666))&gt;0),1,0)</f>
        <v>0</v>
      </c>
      <c r="G6666" s="34" t="n">
        <f aca="false">B6666/1</f>
        <v>258.111</v>
      </c>
      <c r="H6666" s="34" t="str">
        <f aca="false">IF(F6666=1,G6666,"")</f>
        <v/>
      </c>
    </row>
    <row r="6667" customFormat="false" ht="15" hidden="false" customHeight="false" outlineLevel="0" collapsed="false">
      <c r="A6667" s="31" t="n">
        <v>43013.7083333333</v>
      </c>
      <c r="B6667" s="32" t="n">
        <v>256.04</v>
      </c>
      <c r="D6667" s="33" t="n">
        <f aca="false">WEEKDAY(A6667,2)</f>
        <v>4</v>
      </c>
      <c r="E6667" s="33" t="n">
        <f aca="false">HOUR(A6667)+MINUTE(A6667)/60</f>
        <v>17</v>
      </c>
      <c r="F6667" s="33" t="n">
        <f aca="false">IF(OR(D6667&gt;5,E6667&lt;8,E6667&gt;=18,COUNTIF($K$2:$K$10,INT(A6667))&gt;0),1,0)</f>
        <v>0</v>
      </c>
      <c r="G6667" s="34" t="n">
        <f aca="false">B6667/1</f>
        <v>256.04</v>
      </c>
      <c r="H6667" s="34" t="str">
        <f aca="false">IF(F6667=1,G6667,"")</f>
        <v/>
      </c>
    </row>
    <row r="6668" customFormat="false" ht="15" hidden="false" customHeight="false" outlineLevel="0" collapsed="false">
      <c r="A6668" s="31" t="n">
        <v>43013.75</v>
      </c>
      <c r="B6668" s="32" t="n">
        <v>219.311</v>
      </c>
      <c r="D6668" s="33" t="n">
        <f aca="false">WEEKDAY(A6668,2)</f>
        <v>4</v>
      </c>
      <c r="E6668" s="33" t="n">
        <f aca="false">HOUR(A6668)+MINUTE(A6668)/60</f>
        <v>18</v>
      </c>
      <c r="F6668" s="33" t="n">
        <f aca="false">IF(OR(D6668&gt;5,E6668&lt;8,E6668&gt;=18,COUNTIF($K$2:$K$10,INT(A6668))&gt;0),1,0)</f>
        <v>1</v>
      </c>
      <c r="G6668" s="34" t="n">
        <f aca="false">B6668/1</f>
        <v>219.311</v>
      </c>
      <c r="H6668" s="34" t="n">
        <f aca="false">IF(F6668=1,G6668,"")</f>
        <v>219.311</v>
      </c>
    </row>
    <row r="6669" customFormat="false" ht="15" hidden="false" customHeight="false" outlineLevel="0" collapsed="false">
      <c r="A6669" s="31" t="n">
        <v>43013.7916666667</v>
      </c>
      <c r="B6669" s="32" t="n">
        <v>209.453</v>
      </c>
      <c r="D6669" s="33" t="n">
        <f aca="false">WEEKDAY(A6669,2)</f>
        <v>4</v>
      </c>
      <c r="E6669" s="33" t="n">
        <f aca="false">HOUR(A6669)+MINUTE(A6669)/60</f>
        <v>19</v>
      </c>
      <c r="F6669" s="33" t="n">
        <f aca="false">IF(OR(D6669&gt;5,E6669&lt;8,E6669&gt;=18,COUNTIF($K$2:$K$10,INT(A6669))&gt;0),1,0)</f>
        <v>1</v>
      </c>
      <c r="G6669" s="34" t="n">
        <f aca="false">B6669/1</f>
        <v>209.453</v>
      </c>
      <c r="H6669" s="34" t="n">
        <f aca="false">IF(F6669=1,G6669,"")</f>
        <v>209.453</v>
      </c>
    </row>
    <row r="6670" customFormat="false" ht="15" hidden="false" customHeight="false" outlineLevel="0" collapsed="false">
      <c r="A6670" s="31" t="n">
        <v>43013.8333333333</v>
      </c>
      <c r="B6670" s="32" t="n">
        <v>201.309</v>
      </c>
      <c r="D6670" s="33" t="n">
        <f aca="false">WEEKDAY(A6670,2)</f>
        <v>4</v>
      </c>
      <c r="E6670" s="33" t="n">
        <f aca="false">HOUR(A6670)+MINUTE(A6670)/60</f>
        <v>20</v>
      </c>
      <c r="F6670" s="33" t="n">
        <f aca="false">IF(OR(D6670&gt;5,E6670&lt;8,E6670&gt;=18,COUNTIF($K$2:$K$10,INT(A6670))&gt;0),1,0)</f>
        <v>1</v>
      </c>
      <c r="G6670" s="34" t="n">
        <f aca="false">B6670/1</f>
        <v>201.309</v>
      </c>
      <c r="H6670" s="34" t="n">
        <f aca="false">IF(F6670=1,G6670,"")</f>
        <v>201.309</v>
      </c>
    </row>
    <row r="6671" customFormat="false" ht="15" hidden="false" customHeight="false" outlineLevel="0" collapsed="false">
      <c r="A6671" s="31" t="n">
        <v>43013.875</v>
      </c>
      <c r="B6671" s="32" t="n">
        <v>193.083</v>
      </c>
      <c r="D6671" s="33" t="n">
        <f aca="false">WEEKDAY(A6671,2)</f>
        <v>4</v>
      </c>
      <c r="E6671" s="33" t="n">
        <f aca="false">HOUR(A6671)+MINUTE(A6671)/60</f>
        <v>21</v>
      </c>
      <c r="F6671" s="33" t="n">
        <f aca="false">IF(OR(D6671&gt;5,E6671&lt;8,E6671&gt;=18,COUNTIF($K$2:$K$10,INT(A6671))&gt;0),1,0)</f>
        <v>1</v>
      </c>
      <c r="G6671" s="34" t="n">
        <f aca="false">B6671/1</f>
        <v>193.083</v>
      </c>
      <c r="H6671" s="34" t="n">
        <f aca="false">IF(F6671=1,G6671,"")</f>
        <v>193.083</v>
      </c>
    </row>
    <row r="6672" customFormat="false" ht="15" hidden="false" customHeight="false" outlineLevel="0" collapsed="false">
      <c r="A6672" s="31" t="n">
        <v>43013.9166666667</v>
      </c>
      <c r="B6672" s="32" t="n">
        <v>137.022</v>
      </c>
      <c r="D6672" s="33" t="n">
        <f aca="false">WEEKDAY(A6672,2)</f>
        <v>4</v>
      </c>
      <c r="E6672" s="33" t="n">
        <f aca="false">HOUR(A6672)+MINUTE(A6672)/60</f>
        <v>22</v>
      </c>
      <c r="F6672" s="33" t="n">
        <f aca="false">IF(OR(D6672&gt;5,E6672&lt;8,E6672&gt;=18,COUNTIF($K$2:$K$10,INT(A6672))&gt;0),1,0)</f>
        <v>1</v>
      </c>
      <c r="G6672" s="34" t="n">
        <f aca="false">B6672/1</f>
        <v>137.022</v>
      </c>
      <c r="H6672" s="34" t="n">
        <f aca="false">IF(F6672=1,G6672,"")</f>
        <v>137.022</v>
      </c>
    </row>
    <row r="6673" customFormat="false" ht="15" hidden="false" customHeight="false" outlineLevel="0" collapsed="false">
      <c r="A6673" s="31" t="n">
        <v>43013.9583333333</v>
      </c>
      <c r="B6673" s="32" t="n">
        <v>63.15</v>
      </c>
      <c r="D6673" s="33" t="n">
        <f aca="false">WEEKDAY(A6673,2)</f>
        <v>4</v>
      </c>
      <c r="E6673" s="33" t="n">
        <f aca="false">HOUR(A6673)+MINUTE(A6673)/60</f>
        <v>23</v>
      </c>
      <c r="F6673" s="33" t="n">
        <f aca="false">IF(OR(D6673&gt;5,E6673&lt;8,E6673&gt;=18,COUNTIF($K$2:$K$10,INT(A6673))&gt;0),1,0)</f>
        <v>1</v>
      </c>
      <c r="G6673" s="34" t="n">
        <f aca="false">B6673/1</f>
        <v>63.15</v>
      </c>
      <c r="H6673" s="34" t="n">
        <f aca="false">IF(F6673=1,G6673,"")</f>
        <v>63.15</v>
      </c>
    </row>
    <row r="6674" customFormat="false" ht="15" hidden="false" customHeight="false" outlineLevel="0" collapsed="false">
      <c r="A6674" s="31" t="n">
        <v>43014</v>
      </c>
      <c r="B6674" s="32" t="n">
        <v>59.825</v>
      </c>
      <c r="D6674" s="33" t="n">
        <f aca="false">WEEKDAY(A6674,2)</f>
        <v>5</v>
      </c>
      <c r="E6674" s="33" t="n">
        <f aca="false">HOUR(A6674)+MINUTE(A6674)/60</f>
        <v>0</v>
      </c>
      <c r="F6674" s="33" t="n">
        <f aca="false">IF(OR(D6674&gt;5,E6674&lt;8,E6674&gt;=18,COUNTIF($K$2:$K$10,INT(A6674))&gt;0),1,0)</f>
        <v>1</v>
      </c>
      <c r="G6674" s="34" t="n">
        <f aca="false">B6674/1</f>
        <v>59.825</v>
      </c>
      <c r="H6674" s="34" t="n">
        <f aca="false">IF(F6674=1,G6674,"")</f>
        <v>59.825</v>
      </c>
    </row>
    <row r="6675" customFormat="false" ht="15" hidden="false" customHeight="false" outlineLevel="0" collapsed="false">
      <c r="A6675" s="31" t="n">
        <v>43014.0416666667</v>
      </c>
      <c r="B6675" s="32" t="n">
        <v>55.526</v>
      </c>
      <c r="D6675" s="33" t="n">
        <f aca="false">WEEKDAY(A6675,2)</f>
        <v>5</v>
      </c>
      <c r="E6675" s="33" t="n">
        <f aca="false">HOUR(A6675)+MINUTE(A6675)/60</f>
        <v>1</v>
      </c>
      <c r="F6675" s="33" t="n">
        <f aca="false">IF(OR(D6675&gt;5,E6675&lt;8,E6675&gt;=18,COUNTIF($K$2:$K$10,INT(A6675))&gt;0),1,0)</f>
        <v>1</v>
      </c>
      <c r="G6675" s="34" t="n">
        <f aca="false">B6675/1</f>
        <v>55.526</v>
      </c>
      <c r="H6675" s="34" t="n">
        <f aca="false">IF(F6675=1,G6675,"")</f>
        <v>55.526</v>
      </c>
    </row>
    <row r="6676" customFormat="false" ht="15" hidden="false" customHeight="false" outlineLevel="0" collapsed="false">
      <c r="A6676" s="31" t="n">
        <v>43014.0833333333</v>
      </c>
      <c r="B6676" s="32" t="n">
        <v>52.819</v>
      </c>
      <c r="D6676" s="33" t="n">
        <f aca="false">WEEKDAY(A6676,2)</f>
        <v>5</v>
      </c>
      <c r="E6676" s="33" t="n">
        <f aca="false">HOUR(A6676)+MINUTE(A6676)/60</f>
        <v>2</v>
      </c>
      <c r="F6676" s="33" t="n">
        <f aca="false">IF(OR(D6676&gt;5,E6676&lt;8,E6676&gt;=18,COUNTIF($K$2:$K$10,INT(A6676))&gt;0),1,0)</f>
        <v>1</v>
      </c>
      <c r="G6676" s="34" t="n">
        <f aca="false">B6676/1</f>
        <v>52.819</v>
      </c>
      <c r="H6676" s="34" t="n">
        <f aca="false">IF(F6676=1,G6676,"")</f>
        <v>52.819</v>
      </c>
    </row>
    <row r="6677" customFormat="false" ht="15" hidden="false" customHeight="false" outlineLevel="0" collapsed="false">
      <c r="A6677" s="31" t="n">
        <v>43014.125</v>
      </c>
      <c r="B6677" s="32" t="n">
        <v>54.249</v>
      </c>
      <c r="D6677" s="33" t="n">
        <f aca="false">WEEKDAY(A6677,2)</f>
        <v>5</v>
      </c>
      <c r="E6677" s="33" t="n">
        <f aca="false">HOUR(A6677)+MINUTE(A6677)/60</f>
        <v>3</v>
      </c>
      <c r="F6677" s="33" t="n">
        <f aca="false">IF(OR(D6677&gt;5,E6677&lt;8,E6677&gt;=18,COUNTIF($K$2:$K$10,INT(A6677))&gt;0),1,0)</f>
        <v>1</v>
      </c>
      <c r="G6677" s="34" t="n">
        <f aca="false">B6677/1</f>
        <v>54.249</v>
      </c>
      <c r="H6677" s="34" t="n">
        <f aca="false">IF(F6677=1,G6677,"")</f>
        <v>54.249</v>
      </c>
    </row>
    <row r="6678" customFormat="false" ht="15" hidden="false" customHeight="false" outlineLevel="0" collapsed="false">
      <c r="A6678" s="31" t="n">
        <v>43014.1666666667</v>
      </c>
      <c r="B6678" s="32" t="n">
        <v>53.812</v>
      </c>
      <c r="D6678" s="33" t="n">
        <f aca="false">WEEKDAY(A6678,2)</f>
        <v>5</v>
      </c>
      <c r="E6678" s="33" t="n">
        <f aca="false">HOUR(A6678)+MINUTE(A6678)/60</f>
        <v>4</v>
      </c>
      <c r="F6678" s="33" t="n">
        <f aca="false">IF(OR(D6678&gt;5,E6678&lt;8,E6678&gt;=18,COUNTIF($K$2:$K$10,INT(A6678))&gt;0),1,0)</f>
        <v>1</v>
      </c>
      <c r="G6678" s="34" t="n">
        <f aca="false">B6678/1</f>
        <v>53.812</v>
      </c>
      <c r="H6678" s="34" t="n">
        <f aca="false">IF(F6678=1,G6678,"")</f>
        <v>53.812</v>
      </c>
    </row>
    <row r="6679" customFormat="false" ht="15" hidden="false" customHeight="false" outlineLevel="0" collapsed="false">
      <c r="A6679" s="31" t="n">
        <v>43014.2083333333</v>
      </c>
      <c r="B6679" s="32" t="n">
        <v>54.601</v>
      </c>
      <c r="D6679" s="33" t="n">
        <f aca="false">WEEKDAY(A6679,2)</f>
        <v>5</v>
      </c>
      <c r="E6679" s="33" t="n">
        <f aca="false">HOUR(A6679)+MINUTE(A6679)/60</f>
        <v>5</v>
      </c>
      <c r="F6679" s="33" t="n">
        <f aca="false">IF(OR(D6679&gt;5,E6679&lt;8,E6679&gt;=18,COUNTIF($K$2:$K$10,INT(A6679))&gt;0),1,0)</f>
        <v>1</v>
      </c>
      <c r="G6679" s="34" t="n">
        <f aca="false">B6679/1</f>
        <v>54.601</v>
      </c>
      <c r="H6679" s="34" t="n">
        <f aca="false">IF(F6679=1,G6679,"")</f>
        <v>54.601</v>
      </c>
    </row>
    <row r="6680" customFormat="false" ht="15" hidden="false" customHeight="false" outlineLevel="0" collapsed="false">
      <c r="A6680" s="31" t="n">
        <v>43014.25</v>
      </c>
      <c r="B6680" s="32" t="n">
        <v>55.029</v>
      </c>
      <c r="D6680" s="33" t="n">
        <f aca="false">WEEKDAY(A6680,2)</f>
        <v>5</v>
      </c>
      <c r="E6680" s="33" t="n">
        <f aca="false">HOUR(A6680)+MINUTE(A6680)/60</f>
        <v>6</v>
      </c>
      <c r="F6680" s="33" t="n">
        <f aca="false">IF(OR(D6680&gt;5,E6680&lt;8,E6680&gt;=18,COUNTIF($K$2:$K$10,INT(A6680))&gt;0),1,0)</f>
        <v>1</v>
      </c>
      <c r="G6680" s="34" t="n">
        <f aca="false">B6680/1</f>
        <v>55.029</v>
      </c>
      <c r="H6680" s="34" t="n">
        <f aca="false">IF(F6680=1,G6680,"")</f>
        <v>55.029</v>
      </c>
    </row>
    <row r="6681" customFormat="false" ht="15" hidden="false" customHeight="false" outlineLevel="0" collapsed="false">
      <c r="A6681" s="31" t="n">
        <v>43014.2916666667</v>
      </c>
      <c r="B6681" s="32" t="n">
        <v>59.714</v>
      </c>
      <c r="D6681" s="33" t="n">
        <f aca="false">WEEKDAY(A6681,2)</f>
        <v>5</v>
      </c>
      <c r="E6681" s="33" t="n">
        <f aca="false">HOUR(A6681)+MINUTE(A6681)/60</f>
        <v>7</v>
      </c>
      <c r="F6681" s="33" t="n">
        <f aca="false">IF(OR(D6681&gt;5,E6681&lt;8,E6681&gt;=18,COUNTIF($K$2:$K$10,INT(A6681))&gt;0),1,0)</f>
        <v>1</v>
      </c>
      <c r="G6681" s="34" t="n">
        <f aca="false">B6681/1</f>
        <v>59.714</v>
      </c>
      <c r="H6681" s="34" t="n">
        <f aca="false">IF(F6681=1,G6681,"")</f>
        <v>59.714</v>
      </c>
    </row>
    <row r="6682" customFormat="false" ht="15" hidden="false" customHeight="false" outlineLevel="0" collapsed="false">
      <c r="A6682" s="31" t="n">
        <v>43014.3333333333</v>
      </c>
      <c r="B6682" s="32" t="n">
        <v>173.475</v>
      </c>
      <c r="D6682" s="33" t="n">
        <f aca="false">WEEKDAY(A6682,2)</f>
        <v>5</v>
      </c>
      <c r="E6682" s="33" t="n">
        <f aca="false">HOUR(A6682)+MINUTE(A6682)/60</f>
        <v>8</v>
      </c>
      <c r="F6682" s="33" t="n">
        <f aca="false">IF(OR(D6682&gt;5,E6682&lt;8,E6682&gt;=18,COUNTIF($K$2:$K$10,INT(A6682))&gt;0),1,0)</f>
        <v>0</v>
      </c>
      <c r="G6682" s="34" t="n">
        <f aca="false">B6682/1</f>
        <v>173.475</v>
      </c>
      <c r="H6682" s="34" t="str">
        <f aca="false">IF(F6682=1,G6682,"")</f>
        <v/>
      </c>
    </row>
    <row r="6683" customFormat="false" ht="15" hidden="false" customHeight="false" outlineLevel="0" collapsed="false">
      <c r="A6683" s="31" t="n">
        <v>43014.375</v>
      </c>
      <c r="B6683" s="32" t="n">
        <v>208.354</v>
      </c>
      <c r="D6683" s="33" t="n">
        <f aca="false">WEEKDAY(A6683,2)</f>
        <v>5</v>
      </c>
      <c r="E6683" s="33" t="n">
        <f aca="false">HOUR(A6683)+MINUTE(A6683)/60</f>
        <v>9</v>
      </c>
      <c r="F6683" s="33" t="n">
        <f aca="false">IF(OR(D6683&gt;5,E6683&lt;8,E6683&gt;=18,COUNTIF($K$2:$K$10,INT(A6683))&gt;0),1,0)</f>
        <v>0</v>
      </c>
      <c r="G6683" s="34" t="n">
        <f aca="false">B6683/1</f>
        <v>208.354</v>
      </c>
      <c r="H6683" s="34" t="str">
        <f aca="false">IF(F6683=1,G6683,"")</f>
        <v/>
      </c>
    </row>
    <row r="6684" customFormat="false" ht="15" hidden="false" customHeight="false" outlineLevel="0" collapsed="false">
      <c r="A6684" s="31" t="n">
        <v>43014.4166666667</v>
      </c>
      <c r="B6684" s="32" t="n">
        <v>231.006</v>
      </c>
      <c r="D6684" s="33" t="n">
        <f aca="false">WEEKDAY(A6684,2)</f>
        <v>5</v>
      </c>
      <c r="E6684" s="33" t="n">
        <f aca="false">HOUR(A6684)+MINUTE(A6684)/60</f>
        <v>10</v>
      </c>
      <c r="F6684" s="33" t="n">
        <f aca="false">IF(OR(D6684&gt;5,E6684&lt;8,E6684&gt;=18,COUNTIF($K$2:$K$10,INT(A6684))&gt;0),1,0)</f>
        <v>0</v>
      </c>
      <c r="G6684" s="34" t="n">
        <f aca="false">B6684/1</f>
        <v>231.006</v>
      </c>
      <c r="H6684" s="34" t="str">
        <f aca="false">IF(F6684=1,G6684,"")</f>
        <v/>
      </c>
    </row>
    <row r="6685" customFormat="false" ht="15" hidden="false" customHeight="false" outlineLevel="0" collapsed="false">
      <c r="A6685" s="31" t="n">
        <v>43014.4583333333</v>
      </c>
      <c r="B6685" s="32" t="n">
        <v>228.41</v>
      </c>
      <c r="D6685" s="33" t="n">
        <f aca="false">WEEKDAY(A6685,2)</f>
        <v>5</v>
      </c>
      <c r="E6685" s="33" t="n">
        <f aca="false">HOUR(A6685)+MINUTE(A6685)/60</f>
        <v>11</v>
      </c>
      <c r="F6685" s="33" t="n">
        <f aca="false">IF(OR(D6685&gt;5,E6685&lt;8,E6685&gt;=18,COUNTIF($K$2:$K$10,INT(A6685))&gt;0),1,0)</f>
        <v>0</v>
      </c>
      <c r="G6685" s="34" t="n">
        <f aca="false">B6685/1</f>
        <v>228.41</v>
      </c>
      <c r="H6685" s="34" t="str">
        <f aca="false">IF(F6685=1,G6685,"")</f>
        <v/>
      </c>
    </row>
    <row r="6686" customFormat="false" ht="15" hidden="false" customHeight="false" outlineLevel="0" collapsed="false">
      <c r="A6686" s="31" t="n">
        <v>43014.5</v>
      </c>
      <c r="B6686" s="32" t="n">
        <v>236.647</v>
      </c>
      <c r="D6686" s="33" t="n">
        <f aca="false">WEEKDAY(A6686,2)</f>
        <v>5</v>
      </c>
      <c r="E6686" s="33" t="n">
        <f aca="false">HOUR(A6686)+MINUTE(A6686)/60</f>
        <v>12</v>
      </c>
      <c r="F6686" s="33" t="n">
        <f aca="false">IF(OR(D6686&gt;5,E6686&lt;8,E6686&gt;=18,COUNTIF($K$2:$K$10,INT(A6686))&gt;0),1,0)</f>
        <v>0</v>
      </c>
      <c r="G6686" s="34" t="n">
        <f aca="false">B6686/1</f>
        <v>236.647</v>
      </c>
      <c r="H6686" s="34" t="str">
        <f aca="false">IF(F6686=1,G6686,"")</f>
        <v/>
      </c>
    </row>
    <row r="6687" customFormat="false" ht="15" hidden="false" customHeight="false" outlineLevel="0" collapsed="false">
      <c r="A6687" s="31" t="n">
        <v>43014.5416666667</v>
      </c>
      <c r="B6687" s="32" t="n">
        <v>231.099</v>
      </c>
      <c r="D6687" s="33" t="n">
        <f aca="false">WEEKDAY(A6687,2)</f>
        <v>5</v>
      </c>
      <c r="E6687" s="33" t="n">
        <f aca="false">HOUR(A6687)+MINUTE(A6687)/60</f>
        <v>13</v>
      </c>
      <c r="F6687" s="33" t="n">
        <f aca="false">IF(OR(D6687&gt;5,E6687&lt;8,E6687&gt;=18,COUNTIF($K$2:$K$10,INT(A6687))&gt;0),1,0)</f>
        <v>0</v>
      </c>
      <c r="G6687" s="34" t="n">
        <f aca="false">B6687/1</f>
        <v>231.099</v>
      </c>
      <c r="H6687" s="34" t="str">
        <f aca="false">IF(F6687=1,G6687,"")</f>
        <v/>
      </c>
    </row>
    <row r="6688" customFormat="false" ht="15" hidden="false" customHeight="false" outlineLevel="0" collapsed="false">
      <c r="A6688" s="31" t="n">
        <v>43014.5833333333</v>
      </c>
      <c r="B6688" s="32" t="n">
        <v>233.786</v>
      </c>
      <c r="D6688" s="33" t="n">
        <f aca="false">WEEKDAY(A6688,2)</f>
        <v>5</v>
      </c>
      <c r="E6688" s="33" t="n">
        <f aca="false">HOUR(A6688)+MINUTE(A6688)/60</f>
        <v>14</v>
      </c>
      <c r="F6688" s="33" t="n">
        <f aca="false">IF(OR(D6688&gt;5,E6688&lt;8,E6688&gt;=18,COUNTIF($K$2:$K$10,INT(A6688))&gt;0),1,0)</f>
        <v>0</v>
      </c>
      <c r="G6688" s="34" t="n">
        <f aca="false">B6688/1</f>
        <v>233.786</v>
      </c>
      <c r="H6688" s="34" t="str">
        <f aca="false">IF(F6688=1,G6688,"")</f>
        <v/>
      </c>
    </row>
    <row r="6689" customFormat="false" ht="15" hidden="false" customHeight="false" outlineLevel="0" collapsed="false">
      <c r="A6689" s="31" t="n">
        <v>43014.625</v>
      </c>
      <c r="B6689" s="32" t="n">
        <v>227.762</v>
      </c>
      <c r="D6689" s="33" t="n">
        <f aca="false">WEEKDAY(A6689,2)</f>
        <v>5</v>
      </c>
      <c r="E6689" s="33" t="n">
        <f aca="false">HOUR(A6689)+MINUTE(A6689)/60</f>
        <v>15</v>
      </c>
      <c r="F6689" s="33" t="n">
        <f aca="false">IF(OR(D6689&gt;5,E6689&lt;8,E6689&gt;=18,COUNTIF($K$2:$K$10,INT(A6689))&gt;0),1,0)</f>
        <v>0</v>
      </c>
      <c r="G6689" s="34" t="n">
        <f aca="false">B6689/1</f>
        <v>227.762</v>
      </c>
      <c r="H6689" s="34" t="str">
        <f aca="false">IF(F6689=1,G6689,"")</f>
        <v/>
      </c>
    </row>
    <row r="6690" customFormat="false" ht="15" hidden="false" customHeight="false" outlineLevel="0" collapsed="false">
      <c r="A6690" s="31" t="n">
        <v>43014.6666666667</v>
      </c>
      <c r="B6690" s="32" t="n">
        <v>217.412</v>
      </c>
      <c r="D6690" s="33" t="n">
        <f aca="false">WEEKDAY(A6690,2)</f>
        <v>5</v>
      </c>
      <c r="E6690" s="33" t="n">
        <f aca="false">HOUR(A6690)+MINUTE(A6690)/60</f>
        <v>16</v>
      </c>
      <c r="F6690" s="33" t="n">
        <f aca="false">IF(OR(D6690&gt;5,E6690&lt;8,E6690&gt;=18,COUNTIF($K$2:$K$10,INT(A6690))&gt;0),1,0)</f>
        <v>0</v>
      </c>
      <c r="G6690" s="34" t="n">
        <f aca="false">B6690/1</f>
        <v>217.412</v>
      </c>
      <c r="H6690" s="34" t="str">
        <f aca="false">IF(F6690=1,G6690,"")</f>
        <v/>
      </c>
    </row>
    <row r="6691" customFormat="false" ht="15" hidden="false" customHeight="false" outlineLevel="0" collapsed="false">
      <c r="A6691" s="31" t="n">
        <v>43014.7083333333</v>
      </c>
      <c r="B6691" s="32" t="n">
        <v>207.938</v>
      </c>
      <c r="D6691" s="33" t="n">
        <f aca="false">WEEKDAY(A6691,2)</f>
        <v>5</v>
      </c>
      <c r="E6691" s="33" t="n">
        <f aca="false">HOUR(A6691)+MINUTE(A6691)/60</f>
        <v>17</v>
      </c>
      <c r="F6691" s="33" t="n">
        <f aca="false">IF(OR(D6691&gt;5,E6691&lt;8,E6691&gt;=18,COUNTIF($K$2:$K$10,INT(A6691))&gt;0),1,0)</f>
        <v>0</v>
      </c>
      <c r="G6691" s="34" t="n">
        <f aca="false">B6691/1</f>
        <v>207.938</v>
      </c>
      <c r="H6691" s="34" t="str">
        <f aca="false">IF(F6691=1,G6691,"")</f>
        <v/>
      </c>
    </row>
    <row r="6692" customFormat="false" ht="15" hidden="false" customHeight="false" outlineLevel="0" collapsed="false">
      <c r="A6692" s="31" t="n">
        <v>43014.75</v>
      </c>
      <c r="B6692" s="32" t="n">
        <v>195.612</v>
      </c>
      <c r="D6692" s="33" t="n">
        <f aca="false">WEEKDAY(A6692,2)</f>
        <v>5</v>
      </c>
      <c r="E6692" s="33" t="n">
        <f aca="false">HOUR(A6692)+MINUTE(A6692)/60</f>
        <v>18</v>
      </c>
      <c r="F6692" s="33" t="n">
        <f aca="false">IF(OR(D6692&gt;5,E6692&lt;8,E6692&gt;=18,COUNTIF($K$2:$K$10,INT(A6692))&gt;0),1,0)</f>
        <v>1</v>
      </c>
      <c r="G6692" s="34" t="n">
        <f aca="false">B6692/1</f>
        <v>195.612</v>
      </c>
      <c r="H6692" s="34" t="n">
        <f aca="false">IF(F6692=1,G6692,"")</f>
        <v>195.612</v>
      </c>
    </row>
    <row r="6693" customFormat="false" ht="15" hidden="false" customHeight="false" outlineLevel="0" collapsed="false">
      <c r="A6693" s="31" t="n">
        <v>43014.7916666667</v>
      </c>
      <c r="B6693" s="32" t="n">
        <v>190.833</v>
      </c>
      <c r="D6693" s="33" t="n">
        <f aca="false">WEEKDAY(A6693,2)</f>
        <v>5</v>
      </c>
      <c r="E6693" s="33" t="n">
        <f aca="false">HOUR(A6693)+MINUTE(A6693)/60</f>
        <v>19</v>
      </c>
      <c r="F6693" s="33" t="n">
        <f aca="false">IF(OR(D6693&gt;5,E6693&lt;8,E6693&gt;=18,COUNTIF($K$2:$K$10,INT(A6693))&gt;0),1,0)</f>
        <v>1</v>
      </c>
      <c r="G6693" s="34" t="n">
        <f aca="false">B6693/1</f>
        <v>190.833</v>
      </c>
      <c r="H6693" s="34" t="n">
        <f aca="false">IF(F6693=1,G6693,"")</f>
        <v>190.833</v>
      </c>
    </row>
    <row r="6694" customFormat="false" ht="15" hidden="false" customHeight="false" outlineLevel="0" collapsed="false">
      <c r="A6694" s="31" t="n">
        <v>43014.8333333333</v>
      </c>
      <c r="B6694" s="32" t="n">
        <v>190.801</v>
      </c>
      <c r="D6694" s="33" t="n">
        <f aca="false">WEEKDAY(A6694,2)</f>
        <v>5</v>
      </c>
      <c r="E6694" s="33" t="n">
        <f aca="false">HOUR(A6694)+MINUTE(A6694)/60</f>
        <v>20</v>
      </c>
      <c r="F6694" s="33" t="n">
        <f aca="false">IF(OR(D6694&gt;5,E6694&lt;8,E6694&gt;=18,COUNTIF($K$2:$K$10,INT(A6694))&gt;0),1,0)</f>
        <v>1</v>
      </c>
      <c r="G6694" s="34" t="n">
        <f aca="false">B6694/1</f>
        <v>190.801</v>
      </c>
      <c r="H6694" s="34" t="n">
        <f aca="false">IF(F6694=1,G6694,"")</f>
        <v>190.801</v>
      </c>
    </row>
    <row r="6695" customFormat="false" ht="15" hidden="false" customHeight="false" outlineLevel="0" collapsed="false">
      <c r="A6695" s="31" t="n">
        <v>43014.875</v>
      </c>
      <c r="B6695" s="32" t="n">
        <v>184.674</v>
      </c>
      <c r="D6695" s="33" t="n">
        <f aca="false">WEEKDAY(A6695,2)</f>
        <v>5</v>
      </c>
      <c r="E6695" s="33" t="n">
        <f aca="false">HOUR(A6695)+MINUTE(A6695)/60</f>
        <v>21</v>
      </c>
      <c r="F6695" s="33" t="n">
        <f aca="false">IF(OR(D6695&gt;5,E6695&lt;8,E6695&gt;=18,COUNTIF($K$2:$K$10,INT(A6695))&gt;0),1,0)</f>
        <v>1</v>
      </c>
      <c r="G6695" s="34" t="n">
        <f aca="false">B6695/1</f>
        <v>184.674</v>
      </c>
      <c r="H6695" s="34" t="n">
        <f aca="false">IF(F6695=1,G6695,"")</f>
        <v>184.674</v>
      </c>
    </row>
    <row r="6696" customFormat="false" ht="15" hidden="false" customHeight="false" outlineLevel="0" collapsed="false">
      <c r="A6696" s="31" t="n">
        <v>43014.9166666667</v>
      </c>
      <c r="B6696" s="32" t="n">
        <v>128.476</v>
      </c>
      <c r="D6696" s="33" t="n">
        <f aca="false">WEEKDAY(A6696,2)</f>
        <v>5</v>
      </c>
      <c r="E6696" s="33" t="n">
        <f aca="false">HOUR(A6696)+MINUTE(A6696)/60</f>
        <v>22</v>
      </c>
      <c r="F6696" s="33" t="n">
        <f aca="false">IF(OR(D6696&gt;5,E6696&lt;8,E6696&gt;=18,COUNTIF($K$2:$K$10,INT(A6696))&gt;0),1,0)</f>
        <v>1</v>
      </c>
      <c r="G6696" s="34" t="n">
        <f aca="false">B6696/1</f>
        <v>128.476</v>
      </c>
      <c r="H6696" s="34" t="n">
        <f aca="false">IF(F6696=1,G6696,"")</f>
        <v>128.476</v>
      </c>
    </row>
    <row r="6697" customFormat="false" ht="15" hidden="false" customHeight="false" outlineLevel="0" collapsed="false">
      <c r="A6697" s="31" t="n">
        <v>43014.9583333333</v>
      </c>
      <c r="B6697" s="32" t="n">
        <v>64.518</v>
      </c>
      <c r="D6697" s="33" t="n">
        <f aca="false">WEEKDAY(A6697,2)</f>
        <v>5</v>
      </c>
      <c r="E6697" s="33" t="n">
        <f aca="false">HOUR(A6697)+MINUTE(A6697)/60</f>
        <v>23</v>
      </c>
      <c r="F6697" s="33" t="n">
        <f aca="false">IF(OR(D6697&gt;5,E6697&lt;8,E6697&gt;=18,COUNTIF($K$2:$K$10,INT(A6697))&gt;0),1,0)</f>
        <v>1</v>
      </c>
      <c r="G6697" s="34" t="n">
        <f aca="false">B6697/1</f>
        <v>64.518</v>
      </c>
      <c r="H6697" s="34" t="n">
        <f aca="false">IF(F6697=1,G6697,"")</f>
        <v>64.518</v>
      </c>
    </row>
    <row r="6698" customFormat="false" ht="15" hidden="false" customHeight="false" outlineLevel="0" collapsed="false">
      <c r="A6698" s="31" t="n">
        <v>43015</v>
      </c>
      <c r="B6698" s="32" t="n">
        <v>60.548</v>
      </c>
      <c r="D6698" s="33" t="n">
        <f aca="false">WEEKDAY(A6698,2)</f>
        <v>6</v>
      </c>
      <c r="E6698" s="33" t="n">
        <f aca="false">HOUR(A6698)+MINUTE(A6698)/60</f>
        <v>0</v>
      </c>
      <c r="F6698" s="33" t="n">
        <f aca="false">IF(OR(D6698&gt;5,E6698&lt;8,E6698&gt;=18,COUNTIF($K$2:$K$10,INT(A6698))&gt;0),1,0)</f>
        <v>1</v>
      </c>
      <c r="G6698" s="34" t="n">
        <f aca="false">B6698/1</f>
        <v>60.548</v>
      </c>
      <c r="H6698" s="34" t="n">
        <f aca="false">IF(F6698=1,G6698,"")</f>
        <v>60.548</v>
      </c>
    </row>
    <row r="6699" customFormat="false" ht="15" hidden="false" customHeight="false" outlineLevel="0" collapsed="false">
      <c r="A6699" s="31" t="n">
        <v>43015.0416666667</v>
      </c>
      <c r="B6699" s="32" t="n">
        <v>57.832</v>
      </c>
      <c r="D6699" s="33" t="n">
        <f aca="false">WEEKDAY(A6699,2)</f>
        <v>6</v>
      </c>
      <c r="E6699" s="33" t="n">
        <f aca="false">HOUR(A6699)+MINUTE(A6699)/60</f>
        <v>1</v>
      </c>
      <c r="F6699" s="33" t="n">
        <f aca="false">IF(OR(D6699&gt;5,E6699&lt;8,E6699&gt;=18,COUNTIF($K$2:$K$10,INT(A6699))&gt;0),1,0)</f>
        <v>1</v>
      </c>
      <c r="G6699" s="34" t="n">
        <f aca="false">B6699/1</f>
        <v>57.832</v>
      </c>
      <c r="H6699" s="34" t="n">
        <f aca="false">IF(F6699=1,G6699,"")</f>
        <v>57.832</v>
      </c>
    </row>
    <row r="6700" customFormat="false" ht="15" hidden="false" customHeight="false" outlineLevel="0" collapsed="false">
      <c r="A6700" s="31" t="n">
        <v>43015.0833333333</v>
      </c>
      <c r="B6700" s="32" t="n">
        <v>56.692</v>
      </c>
      <c r="D6700" s="33" t="n">
        <f aca="false">WEEKDAY(A6700,2)</f>
        <v>6</v>
      </c>
      <c r="E6700" s="33" t="n">
        <f aca="false">HOUR(A6700)+MINUTE(A6700)/60</f>
        <v>2</v>
      </c>
      <c r="F6700" s="33" t="n">
        <f aca="false">IF(OR(D6700&gt;5,E6700&lt;8,E6700&gt;=18,COUNTIF($K$2:$K$10,INT(A6700))&gt;0),1,0)</f>
        <v>1</v>
      </c>
      <c r="G6700" s="34" t="n">
        <f aca="false">B6700/1</f>
        <v>56.692</v>
      </c>
      <c r="H6700" s="34" t="n">
        <f aca="false">IF(F6700=1,G6700,"")</f>
        <v>56.692</v>
      </c>
    </row>
    <row r="6701" customFormat="false" ht="15" hidden="false" customHeight="false" outlineLevel="0" collapsed="false">
      <c r="A6701" s="31" t="n">
        <v>43015.125</v>
      </c>
      <c r="B6701" s="32" t="n">
        <v>56.738</v>
      </c>
      <c r="D6701" s="33" t="n">
        <f aca="false">WEEKDAY(A6701,2)</f>
        <v>6</v>
      </c>
      <c r="E6701" s="33" t="n">
        <f aca="false">HOUR(A6701)+MINUTE(A6701)/60</f>
        <v>3</v>
      </c>
      <c r="F6701" s="33" t="n">
        <f aca="false">IF(OR(D6701&gt;5,E6701&lt;8,E6701&gt;=18,COUNTIF($K$2:$K$10,INT(A6701))&gt;0),1,0)</f>
        <v>1</v>
      </c>
      <c r="G6701" s="34" t="n">
        <f aca="false">B6701/1</f>
        <v>56.738</v>
      </c>
      <c r="H6701" s="34" t="n">
        <f aca="false">IF(F6701=1,G6701,"")</f>
        <v>56.738</v>
      </c>
    </row>
    <row r="6702" customFormat="false" ht="15" hidden="false" customHeight="false" outlineLevel="0" collapsed="false">
      <c r="A6702" s="31" t="n">
        <v>43015.1666666667</v>
      </c>
      <c r="B6702" s="32" t="n">
        <v>54.386</v>
      </c>
      <c r="D6702" s="33" t="n">
        <f aca="false">WEEKDAY(A6702,2)</f>
        <v>6</v>
      </c>
      <c r="E6702" s="33" t="n">
        <f aca="false">HOUR(A6702)+MINUTE(A6702)/60</f>
        <v>4</v>
      </c>
      <c r="F6702" s="33" t="n">
        <f aca="false">IF(OR(D6702&gt;5,E6702&lt;8,E6702&gt;=18,COUNTIF($K$2:$K$10,INT(A6702))&gt;0),1,0)</f>
        <v>1</v>
      </c>
      <c r="G6702" s="34" t="n">
        <f aca="false">B6702/1</f>
        <v>54.386</v>
      </c>
      <c r="H6702" s="34" t="n">
        <f aca="false">IF(F6702=1,G6702,"")</f>
        <v>54.386</v>
      </c>
    </row>
    <row r="6703" customFormat="false" ht="15" hidden="false" customHeight="false" outlineLevel="0" collapsed="false">
      <c r="A6703" s="31" t="n">
        <v>43015.2083333333</v>
      </c>
      <c r="B6703" s="32" t="n">
        <v>54.071</v>
      </c>
      <c r="D6703" s="33" t="n">
        <f aca="false">WEEKDAY(A6703,2)</f>
        <v>6</v>
      </c>
      <c r="E6703" s="33" t="n">
        <f aca="false">HOUR(A6703)+MINUTE(A6703)/60</f>
        <v>5</v>
      </c>
      <c r="F6703" s="33" t="n">
        <f aca="false">IF(OR(D6703&gt;5,E6703&lt;8,E6703&gt;=18,COUNTIF($K$2:$K$10,INT(A6703))&gt;0),1,0)</f>
        <v>1</v>
      </c>
      <c r="G6703" s="34" t="n">
        <f aca="false">B6703/1</f>
        <v>54.071</v>
      </c>
      <c r="H6703" s="34" t="n">
        <f aca="false">IF(F6703=1,G6703,"")</f>
        <v>54.071</v>
      </c>
    </row>
    <row r="6704" customFormat="false" ht="15" hidden="false" customHeight="false" outlineLevel="0" collapsed="false">
      <c r="A6704" s="31" t="n">
        <v>43015.25</v>
      </c>
      <c r="B6704" s="32" t="n">
        <v>55.308</v>
      </c>
      <c r="D6704" s="33" t="n">
        <f aca="false">WEEKDAY(A6704,2)</f>
        <v>6</v>
      </c>
      <c r="E6704" s="33" t="n">
        <f aca="false">HOUR(A6704)+MINUTE(A6704)/60</f>
        <v>6</v>
      </c>
      <c r="F6704" s="33" t="n">
        <f aca="false">IF(OR(D6704&gt;5,E6704&lt;8,E6704&gt;=18,COUNTIF($K$2:$K$10,INT(A6704))&gt;0),1,0)</f>
        <v>1</v>
      </c>
      <c r="G6704" s="34" t="n">
        <f aca="false">B6704/1</f>
        <v>55.308</v>
      </c>
      <c r="H6704" s="34" t="n">
        <f aca="false">IF(F6704=1,G6704,"")</f>
        <v>55.308</v>
      </c>
    </row>
    <row r="6705" customFormat="false" ht="15" hidden="false" customHeight="false" outlineLevel="0" collapsed="false">
      <c r="A6705" s="31" t="n">
        <v>43015.2916666667</v>
      </c>
      <c r="B6705" s="32" t="n">
        <v>55.654</v>
      </c>
      <c r="D6705" s="33" t="n">
        <f aca="false">WEEKDAY(A6705,2)</f>
        <v>6</v>
      </c>
      <c r="E6705" s="33" t="n">
        <f aca="false">HOUR(A6705)+MINUTE(A6705)/60</f>
        <v>7</v>
      </c>
      <c r="F6705" s="33" t="n">
        <f aca="false">IF(OR(D6705&gt;5,E6705&lt;8,E6705&gt;=18,COUNTIF($K$2:$K$10,INT(A6705))&gt;0),1,0)</f>
        <v>1</v>
      </c>
      <c r="G6705" s="34" t="n">
        <f aca="false">B6705/1</f>
        <v>55.654</v>
      </c>
      <c r="H6705" s="34" t="n">
        <f aca="false">IF(F6705=1,G6705,"")</f>
        <v>55.654</v>
      </c>
    </row>
    <row r="6706" customFormat="false" ht="15" hidden="false" customHeight="false" outlineLevel="0" collapsed="false">
      <c r="A6706" s="31" t="n">
        <v>43015.3333333333</v>
      </c>
      <c r="B6706" s="32" t="n">
        <v>121.152</v>
      </c>
      <c r="D6706" s="33" t="n">
        <f aca="false">WEEKDAY(A6706,2)</f>
        <v>6</v>
      </c>
      <c r="E6706" s="33" t="n">
        <f aca="false">HOUR(A6706)+MINUTE(A6706)/60</f>
        <v>8</v>
      </c>
      <c r="F6706" s="33" t="n">
        <f aca="false">IF(OR(D6706&gt;5,E6706&lt;8,E6706&gt;=18,COUNTIF($K$2:$K$10,INT(A6706))&gt;0),1,0)</f>
        <v>1</v>
      </c>
      <c r="G6706" s="34" t="n">
        <f aca="false">B6706/1</f>
        <v>121.152</v>
      </c>
      <c r="H6706" s="34" t="n">
        <f aca="false">IF(F6706=1,G6706,"")</f>
        <v>121.152</v>
      </c>
    </row>
    <row r="6707" customFormat="false" ht="15" hidden="false" customHeight="false" outlineLevel="0" collapsed="false">
      <c r="A6707" s="31" t="n">
        <v>43015.375</v>
      </c>
      <c r="B6707" s="32" t="n">
        <v>164.718</v>
      </c>
      <c r="D6707" s="33" t="n">
        <f aca="false">WEEKDAY(A6707,2)</f>
        <v>6</v>
      </c>
      <c r="E6707" s="33" t="n">
        <f aca="false">HOUR(A6707)+MINUTE(A6707)/60</f>
        <v>9</v>
      </c>
      <c r="F6707" s="33" t="n">
        <f aca="false">IF(OR(D6707&gt;5,E6707&lt;8,E6707&gt;=18,COUNTIF($K$2:$K$10,INT(A6707))&gt;0),1,0)</f>
        <v>1</v>
      </c>
      <c r="G6707" s="34" t="n">
        <f aca="false">B6707/1</f>
        <v>164.718</v>
      </c>
      <c r="H6707" s="34" t="n">
        <f aca="false">IF(F6707=1,G6707,"")</f>
        <v>164.718</v>
      </c>
    </row>
    <row r="6708" customFormat="false" ht="15" hidden="false" customHeight="false" outlineLevel="0" collapsed="false">
      <c r="A6708" s="31" t="n">
        <v>43015.4166666667</v>
      </c>
      <c r="B6708" s="32" t="n">
        <v>165.617</v>
      </c>
      <c r="D6708" s="33" t="n">
        <f aca="false">WEEKDAY(A6708,2)</f>
        <v>6</v>
      </c>
      <c r="E6708" s="33" t="n">
        <f aca="false">HOUR(A6708)+MINUTE(A6708)/60</f>
        <v>10</v>
      </c>
      <c r="F6708" s="33" t="n">
        <f aca="false">IF(OR(D6708&gt;5,E6708&lt;8,E6708&gt;=18,COUNTIF($K$2:$K$10,INT(A6708))&gt;0),1,0)</f>
        <v>1</v>
      </c>
      <c r="G6708" s="34" t="n">
        <f aca="false">B6708/1</f>
        <v>165.617</v>
      </c>
      <c r="H6708" s="34" t="n">
        <f aca="false">IF(F6708=1,G6708,"")</f>
        <v>165.617</v>
      </c>
    </row>
    <row r="6709" customFormat="false" ht="15" hidden="false" customHeight="false" outlineLevel="0" collapsed="false">
      <c r="A6709" s="31" t="n">
        <v>43015.4583333333</v>
      </c>
      <c r="B6709" s="32" t="n">
        <v>173.287</v>
      </c>
      <c r="D6709" s="33" t="n">
        <f aca="false">WEEKDAY(A6709,2)</f>
        <v>6</v>
      </c>
      <c r="E6709" s="33" t="n">
        <f aca="false">HOUR(A6709)+MINUTE(A6709)/60</f>
        <v>11</v>
      </c>
      <c r="F6709" s="33" t="n">
        <f aca="false">IF(OR(D6709&gt;5,E6709&lt;8,E6709&gt;=18,COUNTIF($K$2:$K$10,INT(A6709))&gt;0),1,0)</f>
        <v>1</v>
      </c>
      <c r="G6709" s="34" t="n">
        <f aca="false">B6709/1</f>
        <v>173.287</v>
      </c>
      <c r="H6709" s="34" t="n">
        <f aca="false">IF(F6709=1,G6709,"")</f>
        <v>173.287</v>
      </c>
    </row>
    <row r="6710" customFormat="false" ht="15" hidden="false" customHeight="false" outlineLevel="0" collapsed="false">
      <c r="A6710" s="31" t="n">
        <v>43015.5</v>
      </c>
      <c r="B6710" s="32" t="n">
        <v>177.278</v>
      </c>
      <c r="D6710" s="33" t="n">
        <f aca="false">WEEKDAY(A6710,2)</f>
        <v>6</v>
      </c>
      <c r="E6710" s="33" t="n">
        <f aca="false">HOUR(A6710)+MINUTE(A6710)/60</f>
        <v>12</v>
      </c>
      <c r="F6710" s="33" t="n">
        <f aca="false">IF(OR(D6710&gt;5,E6710&lt;8,E6710&gt;=18,COUNTIF($K$2:$K$10,INT(A6710))&gt;0),1,0)</f>
        <v>1</v>
      </c>
      <c r="G6710" s="34" t="n">
        <f aca="false">B6710/1</f>
        <v>177.278</v>
      </c>
      <c r="H6710" s="34" t="n">
        <f aca="false">IF(F6710=1,G6710,"")</f>
        <v>177.278</v>
      </c>
    </row>
    <row r="6711" customFormat="false" ht="15" hidden="false" customHeight="false" outlineLevel="0" collapsed="false">
      <c r="A6711" s="31" t="n">
        <v>43015.5416666667</v>
      </c>
      <c r="B6711" s="32" t="n">
        <v>179.892</v>
      </c>
      <c r="D6711" s="33" t="n">
        <f aca="false">WEEKDAY(A6711,2)</f>
        <v>6</v>
      </c>
      <c r="E6711" s="33" t="n">
        <f aca="false">HOUR(A6711)+MINUTE(A6711)/60</f>
        <v>13</v>
      </c>
      <c r="F6711" s="33" t="n">
        <f aca="false">IF(OR(D6711&gt;5,E6711&lt;8,E6711&gt;=18,COUNTIF($K$2:$K$10,INT(A6711))&gt;0),1,0)</f>
        <v>1</v>
      </c>
      <c r="G6711" s="34" t="n">
        <f aca="false">B6711/1</f>
        <v>179.892</v>
      </c>
      <c r="H6711" s="34" t="n">
        <f aca="false">IF(F6711=1,G6711,"")</f>
        <v>179.892</v>
      </c>
    </row>
    <row r="6712" customFormat="false" ht="15" hidden="false" customHeight="false" outlineLevel="0" collapsed="false">
      <c r="A6712" s="31" t="n">
        <v>43015.5833333333</v>
      </c>
      <c r="B6712" s="32" t="n">
        <v>179.277</v>
      </c>
      <c r="D6712" s="33" t="n">
        <f aca="false">WEEKDAY(A6712,2)</f>
        <v>6</v>
      </c>
      <c r="E6712" s="33" t="n">
        <f aca="false">HOUR(A6712)+MINUTE(A6712)/60</f>
        <v>14</v>
      </c>
      <c r="F6712" s="33" t="n">
        <f aca="false">IF(OR(D6712&gt;5,E6712&lt;8,E6712&gt;=18,COUNTIF($K$2:$K$10,INT(A6712))&gt;0),1,0)</f>
        <v>1</v>
      </c>
      <c r="G6712" s="34" t="n">
        <f aca="false">B6712/1</f>
        <v>179.277</v>
      </c>
      <c r="H6712" s="34" t="n">
        <f aca="false">IF(F6712=1,G6712,"")</f>
        <v>179.277</v>
      </c>
    </row>
    <row r="6713" customFormat="false" ht="15" hidden="false" customHeight="false" outlineLevel="0" collapsed="false">
      <c r="A6713" s="31" t="n">
        <v>43015.625</v>
      </c>
      <c r="B6713" s="32" t="n">
        <v>179.925</v>
      </c>
      <c r="D6713" s="33" t="n">
        <f aca="false">WEEKDAY(A6713,2)</f>
        <v>6</v>
      </c>
      <c r="E6713" s="33" t="n">
        <f aca="false">HOUR(A6713)+MINUTE(A6713)/60</f>
        <v>15</v>
      </c>
      <c r="F6713" s="33" t="n">
        <f aca="false">IF(OR(D6713&gt;5,E6713&lt;8,E6713&gt;=18,COUNTIF($K$2:$K$10,INT(A6713))&gt;0),1,0)</f>
        <v>1</v>
      </c>
      <c r="G6713" s="34" t="n">
        <f aca="false">B6713/1</f>
        <v>179.925</v>
      </c>
      <c r="H6713" s="34" t="n">
        <f aca="false">IF(F6713=1,G6713,"")</f>
        <v>179.925</v>
      </c>
    </row>
    <row r="6714" customFormat="false" ht="15" hidden="false" customHeight="false" outlineLevel="0" collapsed="false">
      <c r="A6714" s="31" t="n">
        <v>43015.6666666667</v>
      </c>
      <c r="B6714" s="32" t="n">
        <v>180.399</v>
      </c>
      <c r="D6714" s="33" t="n">
        <f aca="false">WEEKDAY(A6714,2)</f>
        <v>6</v>
      </c>
      <c r="E6714" s="33" t="n">
        <f aca="false">HOUR(A6714)+MINUTE(A6714)/60</f>
        <v>16</v>
      </c>
      <c r="F6714" s="33" t="n">
        <f aca="false">IF(OR(D6714&gt;5,E6714&lt;8,E6714&gt;=18,COUNTIF($K$2:$K$10,INT(A6714))&gt;0),1,0)</f>
        <v>1</v>
      </c>
      <c r="G6714" s="34" t="n">
        <f aca="false">B6714/1</f>
        <v>180.399</v>
      </c>
      <c r="H6714" s="34" t="n">
        <f aca="false">IF(F6714=1,G6714,"")</f>
        <v>180.399</v>
      </c>
    </row>
    <row r="6715" customFormat="false" ht="15" hidden="false" customHeight="false" outlineLevel="0" collapsed="false">
      <c r="A6715" s="31" t="n">
        <v>43015.7083333333</v>
      </c>
      <c r="B6715" s="32" t="n">
        <v>176.763</v>
      </c>
      <c r="D6715" s="33" t="n">
        <f aca="false">WEEKDAY(A6715,2)</f>
        <v>6</v>
      </c>
      <c r="E6715" s="33" t="n">
        <f aca="false">HOUR(A6715)+MINUTE(A6715)/60</f>
        <v>17</v>
      </c>
      <c r="F6715" s="33" t="n">
        <f aca="false">IF(OR(D6715&gt;5,E6715&lt;8,E6715&gt;=18,COUNTIF($K$2:$K$10,INT(A6715))&gt;0),1,0)</f>
        <v>1</v>
      </c>
      <c r="G6715" s="34" t="n">
        <f aca="false">B6715/1</f>
        <v>176.763</v>
      </c>
      <c r="H6715" s="34" t="n">
        <f aca="false">IF(F6715=1,G6715,"")</f>
        <v>176.763</v>
      </c>
    </row>
    <row r="6716" customFormat="false" ht="15" hidden="false" customHeight="false" outlineLevel="0" collapsed="false">
      <c r="A6716" s="31" t="n">
        <v>43015.75</v>
      </c>
      <c r="B6716" s="32" t="n">
        <v>82.749</v>
      </c>
      <c r="D6716" s="33" t="n">
        <f aca="false">WEEKDAY(A6716,2)</f>
        <v>6</v>
      </c>
      <c r="E6716" s="33" t="n">
        <f aca="false">HOUR(A6716)+MINUTE(A6716)/60</f>
        <v>18</v>
      </c>
      <c r="F6716" s="33" t="n">
        <f aca="false">IF(OR(D6716&gt;5,E6716&lt;8,E6716&gt;=18,COUNTIF($K$2:$K$10,INT(A6716))&gt;0),1,0)</f>
        <v>1</v>
      </c>
      <c r="G6716" s="34" t="n">
        <f aca="false">B6716/1</f>
        <v>82.749</v>
      </c>
      <c r="H6716" s="34" t="n">
        <f aca="false">IF(F6716=1,G6716,"")</f>
        <v>82.749</v>
      </c>
    </row>
    <row r="6717" customFormat="false" ht="15" hidden="false" customHeight="false" outlineLevel="0" collapsed="false">
      <c r="A6717" s="31" t="n">
        <v>43015.7916666667</v>
      </c>
      <c r="B6717" s="32" t="n">
        <v>57.138</v>
      </c>
      <c r="D6717" s="33" t="n">
        <f aca="false">WEEKDAY(A6717,2)</f>
        <v>6</v>
      </c>
      <c r="E6717" s="33" t="n">
        <f aca="false">HOUR(A6717)+MINUTE(A6717)/60</f>
        <v>19</v>
      </c>
      <c r="F6717" s="33" t="n">
        <f aca="false">IF(OR(D6717&gt;5,E6717&lt;8,E6717&gt;=18,COUNTIF($K$2:$K$10,INT(A6717))&gt;0),1,0)</f>
        <v>1</v>
      </c>
      <c r="G6717" s="34" t="n">
        <f aca="false">B6717/1</f>
        <v>57.138</v>
      </c>
      <c r="H6717" s="34" t="n">
        <f aca="false">IF(F6717=1,G6717,"")</f>
        <v>57.138</v>
      </c>
    </row>
    <row r="6718" customFormat="false" ht="15" hidden="false" customHeight="false" outlineLevel="0" collapsed="false">
      <c r="A6718" s="31" t="n">
        <v>43015.8333333333</v>
      </c>
      <c r="B6718" s="32" t="n">
        <v>57.727</v>
      </c>
      <c r="D6718" s="33" t="n">
        <f aca="false">WEEKDAY(A6718,2)</f>
        <v>6</v>
      </c>
      <c r="E6718" s="33" t="n">
        <f aca="false">HOUR(A6718)+MINUTE(A6718)/60</f>
        <v>20</v>
      </c>
      <c r="F6718" s="33" t="n">
        <f aca="false">IF(OR(D6718&gt;5,E6718&lt;8,E6718&gt;=18,COUNTIF($K$2:$K$10,INT(A6718))&gt;0),1,0)</f>
        <v>1</v>
      </c>
      <c r="G6718" s="34" t="n">
        <f aca="false">B6718/1</f>
        <v>57.727</v>
      </c>
      <c r="H6718" s="34" t="n">
        <f aca="false">IF(F6718=1,G6718,"")</f>
        <v>57.727</v>
      </c>
    </row>
    <row r="6719" customFormat="false" ht="15" hidden="false" customHeight="false" outlineLevel="0" collapsed="false">
      <c r="A6719" s="31" t="n">
        <v>43015.875</v>
      </c>
      <c r="B6719" s="32" t="n">
        <v>57.419</v>
      </c>
      <c r="D6719" s="33" t="n">
        <f aca="false">WEEKDAY(A6719,2)</f>
        <v>6</v>
      </c>
      <c r="E6719" s="33" t="n">
        <f aca="false">HOUR(A6719)+MINUTE(A6719)/60</f>
        <v>21</v>
      </c>
      <c r="F6719" s="33" t="n">
        <f aca="false">IF(OR(D6719&gt;5,E6719&lt;8,E6719&gt;=18,COUNTIF($K$2:$K$10,INT(A6719))&gt;0),1,0)</f>
        <v>1</v>
      </c>
      <c r="G6719" s="34" t="n">
        <f aca="false">B6719/1</f>
        <v>57.419</v>
      </c>
      <c r="H6719" s="34" t="n">
        <f aca="false">IF(F6719=1,G6719,"")</f>
        <v>57.419</v>
      </c>
    </row>
    <row r="6720" customFormat="false" ht="15" hidden="false" customHeight="false" outlineLevel="0" collapsed="false">
      <c r="A6720" s="31" t="n">
        <v>43015.9166666667</v>
      </c>
      <c r="B6720" s="32" t="n">
        <v>56.841</v>
      </c>
      <c r="D6720" s="33" t="n">
        <f aca="false">WEEKDAY(A6720,2)</f>
        <v>6</v>
      </c>
      <c r="E6720" s="33" t="n">
        <f aca="false">HOUR(A6720)+MINUTE(A6720)/60</f>
        <v>22</v>
      </c>
      <c r="F6720" s="33" t="n">
        <f aca="false">IF(OR(D6720&gt;5,E6720&lt;8,E6720&gt;=18,COUNTIF($K$2:$K$10,INT(A6720))&gt;0),1,0)</f>
        <v>1</v>
      </c>
      <c r="G6720" s="34" t="n">
        <f aca="false">B6720/1</f>
        <v>56.841</v>
      </c>
      <c r="H6720" s="34" t="n">
        <f aca="false">IF(F6720=1,G6720,"")</f>
        <v>56.841</v>
      </c>
    </row>
    <row r="6721" customFormat="false" ht="15" hidden="false" customHeight="false" outlineLevel="0" collapsed="false">
      <c r="A6721" s="31" t="n">
        <v>43015.9583333333</v>
      </c>
      <c r="B6721" s="32" t="n">
        <v>55.315</v>
      </c>
      <c r="D6721" s="33" t="n">
        <f aca="false">WEEKDAY(A6721,2)</f>
        <v>6</v>
      </c>
      <c r="E6721" s="33" t="n">
        <f aca="false">HOUR(A6721)+MINUTE(A6721)/60</f>
        <v>23</v>
      </c>
      <c r="F6721" s="33" t="n">
        <f aca="false">IF(OR(D6721&gt;5,E6721&lt;8,E6721&gt;=18,COUNTIF($K$2:$K$10,INT(A6721))&gt;0),1,0)</f>
        <v>1</v>
      </c>
      <c r="G6721" s="34" t="n">
        <f aca="false">B6721/1</f>
        <v>55.315</v>
      </c>
      <c r="H6721" s="34" t="n">
        <f aca="false">IF(F6721=1,G6721,"")</f>
        <v>55.315</v>
      </c>
    </row>
    <row r="6722" customFormat="false" ht="15" hidden="false" customHeight="false" outlineLevel="0" collapsed="false">
      <c r="A6722" s="31" t="n">
        <v>43016</v>
      </c>
      <c r="B6722" s="32" t="n">
        <v>54.13</v>
      </c>
      <c r="D6722" s="33" t="n">
        <f aca="false">WEEKDAY(A6722,2)</f>
        <v>7</v>
      </c>
      <c r="E6722" s="33" t="n">
        <f aca="false">HOUR(A6722)+MINUTE(A6722)/60</f>
        <v>0</v>
      </c>
      <c r="F6722" s="33" t="n">
        <f aca="false">IF(OR(D6722&gt;5,E6722&lt;8,E6722&gt;=18,COUNTIF($K$2:$K$10,INT(A6722))&gt;0),1,0)</f>
        <v>1</v>
      </c>
      <c r="G6722" s="34" t="n">
        <f aca="false">B6722/1</f>
        <v>54.13</v>
      </c>
      <c r="H6722" s="34" t="n">
        <f aca="false">IF(F6722=1,G6722,"")</f>
        <v>54.13</v>
      </c>
    </row>
    <row r="6723" customFormat="false" ht="15" hidden="false" customHeight="false" outlineLevel="0" collapsed="false">
      <c r="A6723" s="31" t="n">
        <v>43016.0416666667</v>
      </c>
      <c r="B6723" s="32" t="n">
        <v>57.615</v>
      </c>
      <c r="D6723" s="33" t="n">
        <f aca="false">WEEKDAY(A6723,2)</f>
        <v>7</v>
      </c>
      <c r="E6723" s="33" t="n">
        <f aca="false">HOUR(A6723)+MINUTE(A6723)/60</f>
        <v>1</v>
      </c>
      <c r="F6723" s="33" t="n">
        <f aca="false">IF(OR(D6723&gt;5,E6723&lt;8,E6723&gt;=18,COUNTIF($K$2:$K$10,INT(A6723))&gt;0),1,0)</f>
        <v>1</v>
      </c>
      <c r="G6723" s="34" t="n">
        <f aca="false">B6723/1</f>
        <v>57.615</v>
      </c>
      <c r="H6723" s="34" t="n">
        <f aca="false">IF(F6723=1,G6723,"")</f>
        <v>57.615</v>
      </c>
    </row>
    <row r="6724" customFormat="false" ht="15" hidden="false" customHeight="false" outlineLevel="0" collapsed="false">
      <c r="A6724" s="31" t="n">
        <v>43016.0833333333</v>
      </c>
      <c r="B6724" s="32" t="n">
        <v>55.775</v>
      </c>
      <c r="D6724" s="33" t="n">
        <f aca="false">WEEKDAY(A6724,2)</f>
        <v>7</v>
      </c>
      <c r="E6724" s="33" t="n">
        <f aca="false">HOUR(A6724)+MINUTE(A6724)/60</f>
        <v>2</v>
      </c>
      <c r="F6724" s="33" t="n">
        <f aca="false">IF(OR(D6724&gt;5,E6724&lt;8,E6724&gt;=18,COUNTIF($K$2:$K$10,INT(A6724))&gt;0),1,0)</f>
        <v>1</v>
      </c>
      <c r="G6724" s="34" t="n">
        <f aca="false">B6724/1</f>
        <v>55.775</v>
      </c>
      <c r="H6724" s="34" t="n">
        <f aca="false">IF(F6724=1,G6724,"")</f>
        <v>55.775</v>
      </c>
    </row>
    <row r="6725" customFormat="false" ht="15" hidden="false" customHeight="false" outlineLevel="0" collapsed="false">
      <c r="A6725" s="31" t="n">
        <v>43016.125</v>
      </c>
      <c r="B6725" s="32" t="n">
        <v>55.861</v>
      </c>
      <c r="D6725" s="33" t="n">
        <f aca="false">WEEKDAY(A6725,2)</f>
        <v>7</v>
      </c>
      <c r="E6725" s="33" t="n">
        <f aca="false">HOUR(A6725)+MINUTE(A6725)/60</f>
        <v>3</v>
      </c>
      <c r="F6725" s="33" t="n">
        <f aca="false">IF(OR(D6725&gt;5,E6725&lt;8,E6725&gt;=18,COUNTIF($K$2:$K$10,INT(A6725))&gt;0),1,0)</f>
        <v>1</v>
      </c>
      <c r="G6725" s="34" t="n">
        <f aca="false">B6725/1</f>
        <v>55.861</v>
      </c>
      <c r="H6725" s="34" t="n">
        <f aca="false">IF(F6725=1,G6725,"")</f>
        <v>55.861</v>
      </c>
    </row>
    <row r="6726" customFormat="false" ht="15" hidden="false" customHeight="false" outlineLevel="0" collapsed="false">
      <c r="A6726" s="31" t="n">
        <v>43016.1666666667</v>
      </c>
      <c r="B6726" s="32" t="n">
        <v>54.43</v>
      </c>
      <c r="D6726" s="33" t="n">
        <f aca="false">WEEKDAY(A6726,2)</f>
        <v>7</v>
      </c>
      <c r="E6726" s="33" t="n">
        <f aca="false">HOUR(A6726)+MINUTE(A6726)/60</f>
        <v>4</v>
      </c>
      <c r="F6726" s="33" t="n">
        <f aca="false">IF(OR(D6726&gt;5,E6726&lt;8,E6726&gt;=18,COUNTIF($K$2:$K$10,INT(A6726))&gt;0),1,0)</f>
        <v>1</v>
      </c>
      <c r="G6726" s="34" t="n">
        <f aca="false">B6726/1</f>
        <v>54.43</v>
      </c>
      <c r="H6726" s="34" t="n">
        <f aca="false">IF(F6726=1,G6726,"")</f>
        <v>54.43</v>
      </c>
    </row>
    <row r="6727" customFormat="false" ht="15" hidden="false" customHeight="false" outlineLevel="0" collapsed="false">
      <c r="A6727" s="31" t="n">
        <v>43016.2083333333</v>
      </c>
      <c r="B6727" s="32" t="n">
        <v>52.7</v>
      </c>
      <c r="D6727" s="33" t="n">
        <f aca="false">WEEKDAY(A6727,2)</f>
        <v>7</v>
      </c>
      <c r="E6727" s="33" t="n">
        <f aca="false">HOUR(A6727)+MINUTE(A6727)/60</f>
        <v>5</v>
      </c>
      <c r="F6727" s="33" t="n">
        <f aca="false">IF(OR(D6727&gt;5,E6727&lt;8,E6727&gt;=18,COUNTIF($K$2:$K$10,INT(A6727))&gt;0),1,0)</f>
        <v>1</v>
      </c>
      <c r="G6727" s="34" t="n">
        <f aca="false">B6727/1</f>
        <v>52.7</v>
      </c>
      <c r="H6727" s="34" t="n">
        <f aca="false">IF(F6727=1,G6727,"")</f>
        <v>52.7</v>
      </c>
    </row>
    <row r="6728" customFormat="false" ht="15" hidden="false" customHeight="false" outlineLevel="0" collapsed="false">
      <c r="A6728" s="31" t="n">
        <v>43016.25</v>
      </c>
      <c r="B6728" s="32" t="n">
        <v>52.059</v>
      </c>
      <c r="D6728" s="33" t="n">
        <f aca="false">WEEKDAY(A6728,2)</f>
        <v>7</v>
      </c>
      <c r="E6728" s="33" t="n">
        <f aca="false">HOUR(A6728)+MINUTE(A6728)/60</f>
        <v>6</v>
      </c>
      <c r="F6728" s="33" t="n">
        <f aca="false">IF(OR(D6728&gt;5,E6728&lt;8,E6728&gt;=18,COUNTIF($K$2:$K$10,INT(A6728))&gt;0),1,0)</f>
        <v>1</v>
      </c>
      <c r="G6728" s="34" t="n">
        <f aca="false">B6728/1</f>
        <v>52.059</v>
      </c>
      <c r="H6728" s="34" t="n">
        <f aca="false">IF(F6728=1,G6728,"")</f>
        <v>52.059</v>
      </c>
    </row>
    <row r="6729" customFormat="false" ht="15" hidden="false" customHeight="false" outlineLevel="0" collapsed="false">
      <c r="A6729" s="31" t="n">
        <v>43016.2916666667</v>
      </c>
      <c r="B6729" s="32" t="n">
        <v>51.669</v>
      </c>
      <c r="D6729" s="33" t="n">
        <f aca="false">WEEKDAY(A6729,2)</f>
        <v>7</v>
      </c>
      <c r="E6729" s="33" t="n">
        <f aca="false">HOUR(A6729)+MINUTE(A6729)/60</f>
        <v>7</v>
      </c>
      <c r="F6729" s="33" t="n">
        <f aca="false">IF(OR(D6729&gt;5,E6729&lt;8,E6729&gt;=18,COUNTIF($K$2:$K$10,INT(A6729))&gt;0),1,0)</f>
        <v>1</v>
      </c>
      <c r="G6729" s="34" t="n">
        <f aca="false">B6729/1</f>
        <v>51.669</v>
      </c>
      <c r="H6729" s="34" t="n">
        <f aca="false">IF(F6729=1,G6729,"")</f>
        <v>51.669</v>
      </c>
    </row>
    <row r="6730" customFormat="false" ht="15" hidden="false" customHeight="false" outlineLevel="0" collapsed="false">
      <c r="A6730" s="31" t="n">
        <v>43016.3333333333</v>
      </c>
      <c r="B6730" s="32" t="n">
        <v>51.421</v>
      </c>
      <c r="D6730" s="33" t="n">
        <f aca="false">WEEKDAY(A6730,2)</f>
        <v>7</v>
      </c>
      <c r="E6730" s="33" t="n">
        <f aca="false">HOUR(A6730)+MINUTE(A6730)/60</f>
        <v>8</v>
      </c>
      <c r="F6730" s="33" t="n">
        <f aca="false">IF(OR(D6730&gt;5,E6730&lt;8,E6730&gt;=18,COUNTIF($K$2:$K$10,INT(A6730))&gt;0),1,0)</f>
        <v>1</v>
      </c>
      <c r="G6730" s="34" t="n">
        <f aca="false">B6730/1</f>
        <v>51.421</v>
      </c>
      <c r="H6730" s="34" t="n">
        <f aca="false">IF(F6730=1,G6730,"")</f>
        <v>51.421</v>
      </c>
    </row>
    <row r="6731" customFormat="false" ht="15" hidden="false" customHeight="false" outlineLevel="0" collapsed="false">
      <c r="A6731" s="31" t="n">
        <v>43016.375</v>
      </c>
      <c r="B6731" s="32" t="n">
        <v>49.482</v>
      </c>
      <c r="D6731" s="33" t="n">
        <f aca="false">WEEKDAY(A6731,2)</f>
        <v>7</v>
      </c>
      <c r="E6731" s="33" t="n">
        <f aca="false">HOUR(A6731)+MINUTE(A6731)/60</f>
        <v>9</v>
      </c>
      <c r="F6731" s="33" t="n">
        <f aca="false">IF(OR(D6731&gt;5,E6731&lt;8,E6731&gt;=18,COUNTIF($K$2:$K$10,INT(A6731))&gt;0),1,0)</f>
        <v>1</v>
      </c>
      <c r="G6731" s="34" t="n">
        <f aca="false">B6731/1</f>
        <v>49.482</v>
      </c>
      <c r="H6731" s="34" t="n">
        <f aca="false">IF(F6731=1,G6731,"")</f>
        <v>49.482</v>
      </c>
    </row>
    <row r="6732" customFormat="false" ht="15" hidden="false" customHeight="false" outlineLevel="0" collapsed="false">
      <c r="A6732" s="31" t="n">
        <v>43016.4166666667</v>
      </c>
      <c r="B6732" s="32" t="n">
        <v>46.855</v>
      </c>
      <c r="D6732" s="33" t="n">
        <f aca="false">WEEKDAY(A6732,2)</f>
        <v>7</v>
      </c>
      <c r="E6732" s="33" t="n">
        <f aca="false">HOUR(A6732)+MINUTE(A6732)/60</f>
        <v>10</v>
      </c>
      <c r="F6732" s="33" t="n">
        <f aca="false">IF(OR(D6732&gt;5,E6732&lt;8,E6732&gt;=18,COUNTIF($K$2:$K$10,INT(A6732))&gt;0),1,0)</f>
        <v>1</v>
      </c>
      <c r="G6732" s="34" t="n">
        <f aca="false">B6732/1</f>
        <v>46.855</v>
      </c>
      <c r="H6732" s="34" t="n">
        <f aca="false">IF(F6732=1,G6732,"")</f>
        <v>46.855</v>
      </c>
    </row>
    <row r="6733" customFormat="false" ht="15" hidden="false" customHeight="false" outlineLevel="0" collapsed="false">
      <c r="A6733" s="31" t="n">
        <v>43016.4583333333</v>
      </c>
      <c r="B6733" s="32" t="n">
        <v>50.007</v>
      </c>
      <c r="D6733" s="33" t="n">
        <f aca="false">WEEKDAY(A6733,2)</f>
        <v>7</v>
      </c>
      <c r="E6733" s="33" t="n">
        <f aca="false">HOUR(A6733)+MINUTE(A6733)/60</f>
        <v>11</v>
      </c>
      <c r="F6733" s="33" t="n">
        <f aca="false">IF(OR(D6733&gt;5,E6733&lt;8,E6733&gt;=18,COUNTIF($K$2:$K$10,INT(A6733))&gt;0),1,0)</f>
        <v>1</v>
      </c>
      <c r="G6733" s="34" t="n">
        <f aca="false">B6733/1</f>
        <v>50.007</v>
      </c>
      <c r="H6733" s="34" t="n">
        <f aca="false">IF(F6733=1,G6733,"")</f>
        <v>50.007</v>
      </c>
    </row>
    <row r="6734" customFormat="false" ht="15" hidden="false" customHeight="false" outlineLevel="0" collapsed="false">
      <c r="A6734" s="31" t="n">
        <v>43016.5</v>
      </c>
      <c r="B6734" s="32" t="n">
        <v>55.943</v>
      </c>
      <c r="D6734" s="33" t="n">
        <f aca="false">WEEKDAY(A6734,2)</f>
        <v>7</v>
      </c>
      <c r="E6734" s="33" t="n">
        <f aca="false">HOUR(A6734)+MINUTE(A6734)/60</f>
        <v>12</v>
      </c>
      <c r="F6734" s="33" t="n">
        <f aca="false">IF(OR(D6734&gt;5,E6734&lt;8,E6734&gt;=18,COUNTIF($K$2:$K$10,INT(A6734))&gt;0),1,0)</f>
        <v>1</v>
      </c>
      <c r="G6734" s="34" t="n">
        <f aca="false">B6734/1</f>
        <v>55.943</v>
      </c>
      <c r="H6734" s="34" t="n">
        <f aca="false">IF(F6734=1,G6734,"")</f>
        <v>55.943</v>
      </c>
    </row>
    <row r="6735" customFormat="false" ht="15" hidden="false" customHeight="false" outlineLevel="0" collapsed="false">
      <c r="A6735" s="31" t="n">
        <v>43016.5416666667</v>
      </c>
      <c r="B6735" s="32" t="n">
        <v>109.749</v>
      </c>
      <c r="D6735" s="33" t="n">
        <f aca="false">WEEKDAY(A6735,2)</f>
        <v>7</v>
      </c>
      <c r="E6735" s="33" t="n">
        <f aca="false">HOUR(A6735)+MINUTE(A6735)/60</f>
        <v>13</v>
      </c>
      <c r="F6735" s="33" t="n">
        <f aca="false">IF(OR(D6735&gt;5,E6735&lt;8,E6735&gt;=18,COUNTIF($K$2:$K$10,INT(A6735))&gt;0),1,0)</f>
        <v>1</v>
      </c>
      <c r="G6735" s="34" t="n">
        <f aca="false">B6735/1</f>
        <v>109.749</v>
      </c>
      <c r="H6735" s="34" t="n">
        <f aca="false">IF(F6735=1,G6735,"")</f>
        <v>109.749</v>
      </c>
    </row>
    <row r="6736" customFormat="false" ht="15" hidden="false" customHeight="false" outlineLevel="0" collapsed="false">
      <c r="A6736" s="31" t="n">
        <v>43016.5833333333</v>
      </c>
      <c r="B6736" s="32" t="n">
        <v>136.412</v>
      </c>
      <c r="D6736" s="33" t="n">
        <f aca="false">WEEKDAY(A6736,2)</f>
        <v>7</v>
      </c>
      <c r="E6736" s="33" t="n">
        <f aca="false">HOUR(A6736)+MINUTE(A6736)/60</f>
        <v>14</v>
      </c>
      <c r="F6736" s="33" t="n">
        <f aca="false">IF(OR(D6736&gt;5,E6736&lt;8,E6736&gt;=18,COUNTIF($K$2:$K$10,INT(A6736))&gt;0),1,0)</f>
        <v>1</v>
      </c>
      <c r="G6736" s="34" t="n">
        <f aca="false">B6736/1</f>
        <v>136.412</v>
      </c>
      <c r="H6736" s="34" t="n">
        <f aca="false">IF(F6736=1,G6736,"")</f>
        <v>136.412</v>
      </c>
    </row>
    <row r="6737" customFormat="false" ht="15" hidden="false" customHeight="false" outlineLevel="0" collapsed="false">
      <c r="A6737" s="31" t="n">
        <v>43016.625</v>
      </c>
      <c r="B6737" s="32" t="n">
        <v>134.38</v>
      </c>
      <c r="D6737" s="33" t="n">
        <f aca="false">WEEKDAY(A6737,2)</f>
        <v>7</v>
      </c>
      <c r="E6737" s="33" t="n">
        <f aca="false">HOUR(A6737)+MINUTE(A6737)/60</f>
        <v>15</v>
      </c>
      <c r="F6737" s="33" t="n">
        <f aca="false">IF(OR(D6737&gt;5,E6737&lt;8,E6737&gt;=18,COUNTIF($K$2:$K$10,INT(A6737))&gt;0),1,0)</f>
        <v>1</v>
      </c>
      <c r="G6737" s="34" t="n">
        <f aca="false">B6737/1</f>
        <v>134.38</v>
      </c>
      <c r="H6737" s="34" t="n">
        <f aca="false">IF(F6737=1,G6737,"")</f>
        <v>134.38</v>
      </c>
    </row>
    <row r="6738" customFormat="false" ht="15" hidden="false" customHeight="false" outlineLevel="0" collapsed="false">
      <c r="A6738" s="31" t="n">
        <v>43016.6666666667</v>
      </c>
      <c r="B6738" s="32" t="n">
        <v>133.799</v>
      </c>
      <c r="D6738" s="33" t="n">
        <f aca="false">WEEKDAY(A6738,2)</f>
        <v>7</v>
      </c>
      <c r="E6738" s="33" t="n">
        <f aca="false">HOUR(A6738)+MINUTE(A6738)/60</f>
        <v>16</v>
      </c>
      <c r="F6738" s="33" t="n">
        <f aca="false">IF(OR(D6738&gt;5,E6738&lt;8,E6738&gt;=18,COUNTIF($K$2:$K$10,INT(A6738))&gt;0),1,0)</f>
        <v>1</v>
      </c>
      <c r="G6738" s="34" t="n">
        <f aca="false">B6738/1</f>
        <v>133.799</v>
      </c>
      <c r="H6738" s="34" t="n">
        <f aca="false">IF(F6738=1,G6738,"")</f>
        <v>133.799</v>
      </c>
    </row>
    <row r="6739" customFormat="false" ht="15" hidden="false" customHeight="false" outlineLevel="0" collapsed="false">
      <c r="A6739" s="31" t="n">
        <v>43016.7083333333</v>
      </c>
      <c r="B6739" s="32" t="n">
        <v>137.691</v>
      </c>
      <c r="D6739" s="33" t="n">
        <f aca="false">WEEKDAY(A6739,2)</f>
        <v>7</v>
      </c>
      <c r="E6739" s="33" t="n">
        <f aca="false">HOUR(A6739)+MINUTE(A6739)/60</f>
        <v>17</v>
      </c>
      <c r="F6739" s="33" t="n">
        <f aca="false">IF(OR(D6739&gt;5,E6739&lt;8,E6739&gt;=18,COUNTIF($K$2:$K$10,INT(A6739))&gt;0),1,0)</f>
        <v>1</v>
      </c>
      <c r="G6739" s="34" t="n">
        <f aca="false">B6739/1</f>
        <v>137.691</v>
      </c>
      <c r="H6739" s="34" t="n">
        <f aca="false">IF(F6739=1,G6739,"")</f>
        <v>137.691</v>
      </c>
    </row>
    <row r="6740" customFormat="false" ht="15" hidden="false" customHeight="false" outlineLevel="0" collapsed="false">
      <c r="A6740" s="31" t="n">
        <v>43016.75</v>
      </c>
      <c r="B6740" s="32" t="n">
        <v>69.588</v>
      </c>
      <c r="D6740" s="33" t="n">
        <f aca="false">WEEKDAY(A6740,2)</f>
        <v>7</v>
      </c>
      <c r="E6740" s="33" t="n">
        <f aca="false">HOUR(A6740)+MINUTE(A6740)/60</f>
        <v>18</v>
      </c>
      <c r="F6740" s="33" t="n">
        <f aca="false">IF(OR(D6740&gt;5,E6740&lt;8,E6740&gt;=18,COUNTIF($K$2:$K$10,INT(A6740))&gt;0),1,0)</f>
        <v>1</v>
      </c>
      <c r="G6740" s="34" t="n">
        <f aca="false">B6740/1</f>
        <v>69.588</v>
      </c>
      <c r="H6740" s="34" t="n">
        <f aca="false">IF(F6740=1,G6740,"")</f>
        <v>69.588</v>
      </c>
    </row>
    <row r="6741" customFormat="false" ht="15" hidden="false" customHeight="false" outlineLevel="0" collapsed="false">
      <c r="A6741" s="31" t="n">
        <v>43016.7916666667</v>
      </c>
      <c r="B6741" s="32" t="n">
        <v>59.678</v>
      </c>
      <c r="D6741" s="33" t="n">
        <f aca="false">WEEKDAY(A6741,2)</f>
        <v>7</v>
      </c>
      <c r="E6741" s="33" t="n">
        <f aca="false">HOUR(A6741)+MINUTE(A6741)/60</f>
        <v>19</v>
      </c>
      <c r="F6741" s="33" t="n">
        <f aca="false">IF(OR(D6741&gt;5,E6741&lt;8,E6741&gt;=18,COUNTIF($K$2:$K$10,INT(A6741))&gt;0),1,0)</f>
        <v>1</v>
      </c>
      <c r="G6741" s="34" t="n">
        <f aca="false">B6741/1</f>
        <v>59.678</v>
      </c>
      <c r="H6741" s="34" t="n">
        <f aca="false">IF(F6741=1,G6741,"")</f>
        <v>59.678</v>
      </c>
    </row>
    <row r="6742" customFormat="false" ht="15" hidden="false" customHeight="false" outlineLevel="0" collapsed="false">
      <c r="A6742" s="31" t="n">
        <v>43016.8333333333</v>
      </c>
      <c r="B6742" s="32" t="n">
        <v>63.445</v>
      </c>
      <c r="D6742" s="33" t="n">
        <f aca="false">WEEKDAY(A6742,2)</f>
        <v>7</v>
      </c>
      <c r="E6742" s="33" t="n">
        <f aca="false">HOUR(A6742)+MINUTE(A6742)/60</f>
        <v>20</v>
      </c>
      <c r="F6742" s="33" t="n">
        <f aca="false">IF(OR(D6742&gt;5,E6742&lt;8,E6742&gt;=18,COUNTIF($K$2:$K$10,INT(A6742))&gt;0),1,0)</f>
        <v>1</v>
      </c>
      <c r="G6742" s="34" t="n">
        <f aca="false">B6742/1</f>
        <v>63.445</v>
      </c>
      <c r="H6742" s="34" t="n">
        <f aca="false">IF(F6742=1,G6742,"")</f>
        <v>63.445</v>
      </c>
    </row>
    <row r="6743" customFormat="false" ht="15" hidden="false" customHeight="false" outlineLevel="0" collapsed="false">
      <c r="A6743" s="31" t="n">
        <v>43016.875</v>
      </c>
      <c r="B6743" s="32" t="n">
        <v>62.605</v>
      </c>
      <c r="D6743" s="33" t="n">
        <f aca="false">WEEKDAY(A6743,2)</f>
        <v>7</v>
      </c>
      <c r="E6743" s="33" t="n">
        <f aca="false">HOUR(A6743)+MINUTE(A6743)/60</f>
        <v>21</v>
      </c>
      <c r="F6743" s="33" t="n">
        <f aca="false">IF(OR(D6743&gt;5,E6743&lt;8,E6743&gt;=18,COUNTIF($K$2:$K$10,INT(A6743))&gt;0),1,0)</f>
        <v>1</v>
      </c>
      <c r="G6743" s="34" t="n">
        <f aca="false">B6743/1</f>
        <v>62.605</v>
      </c>
      <c r="H6743" s="34" t="n">
        <f aca="false">IF(F6743=1,G6743,"")</f>
        <v>62.605</v>
      </c>
    </row>
    <row r="6744" customFormat="false" ht="15" hidden="false" customHeight="false" outlineLevel="0" collapsed="false">
      <c r="A6744" s="31" t="n">
        <v>43016.9166666667</v>
      </c>
      <c r="B6744" s="32" t="n">
        <v>61.545</v>
      </c>
      <c r="D6744" s="33" t="n">
        <f aca="false">WEEKDAY(A6744,2)</f>
        <v>7</v>
      </c>
      <c r="E6744" s="33" t="n">
        <f aca="false">HOUR(A6744)+MINUTE(A6744)/60</f>
        <v>22</v>
      </c>
      <c r="F6744" s="33" t="n">
        <f aca="false">IF(OR(D6744&gt;5,E6744&lt;8,E6744&gt;=18,COUNTIF($K$2:$K$10,INT(A6744))&gt;0),1,0)</f>
        <v>1</v>
      </c>
      <c r="G6744" s="34" t="n">
        <f aca="false">B6744/1</f>
        <v>61.545</v>
      </c>
      <c r="H6744" s="34" t="n">
        <f aca="false">IF(F6744=1,G6744,"")</f>
        <v>61.545</v>
      </c>
    </row>
    <row r="6745" customFormat="false" ht="15" hidden="false" customHeight="false" outlineLevel="0" collapsed="false">
      <c r="A6745" s="31" t="n">
        <v>43016.9583333333</v>
      </c>
      <c r="B6745" s="32" t="n">
        <v>61.127</v>
      </c>
      <c r="D6745" s="33" t="n">
        <f aca="false">WEEKDAY(A6745,2)</f>
        <v>7</v>
      </c>
      <c r="E6745" s="33" t="n">
        <f aca="false">HOUR(A6745)+MINUTE(A6745)/60</f>
        <v>23</v>
      </c>
      <c r="F6745" s="33" t="n">
        <f aca="false">IF(OR(D6745&gt;5,E6745&lt;8,E6745&gt;=18,COUNTIF($K$2:$K$10,INT(A6745))&gt;0),1,0)</f>
        <v>1</v>
      </c>
      <c r="G6745" s="34" t="n">
        <f aca="false">B6745/1</f>
        <v>61.127</v>
      </c>
      <c r="H6745" s="34" t="n">
        <f aca="false">IF(F6745=1,G6745,"")</f>
        <v>61.127</v>
      </c>
    </row>
    <row r="6746" customFormat="false" ht="15" hidden="false" customHeight="false" outlineLevel="0" collapsed="false">
      <c r="A6746" s="31" t="n">
        <v>43017</v>
      </c>
      <c r="B6746" s="32" t="n">
        <v>63.279</v>
      </c>
      <c r="D6746" s="33" t="n">
        <f aca="false">WEEKDAY(A6746,2)</f>
        <v>1</v>
      </c>
      <c r="E6746" s="33" t="n">
        <f aca="false">HOUR(A6746)+MINUTE(A6746)/60</f>
        <v>0</v>
      </c>
      <c r="F6746" s="33" t="n">
        <f aca="false">IF(OR(D6746&gt;5,E6746&lt;8,E6746&gt;=18,COUNTIF($K$2:$K$10,INT(A6746))&gt;0),1,0)</f>
        <v>1</v>
      </c>
      <c r="G6746" s="34" t="n">
        <f aca="false">B6746/1</f>
        <v>63.279</v>
      </c>
      <c r="H6746" s="34" t="n">
        <f aca="false">IF(F6746=1,G6746,"")</f>
        <v>63.279</v>
      </c>
    </row>
    <row r="6747" customFormat="false" ht="15" hidden="false" customHeight="false" outlineLevel="0" collapsed="false">
      <c r="A6747" s="31" t="n">
        <v>43017.0416666667</v>
      </c>
      <c r="B6747" s="32" t="n">
        <v>61.916</v>
      </c>
      <c r="D6747" s="33" t="n">
        <f aca="false">WEEKDAY(A6747,2)</f>
        <v>1</v>
      </c>
      <c r="E6747" s="33" t="n">
        <f aca="false">HOUR(A6747)+MINUTE(A6747)/60</f>
        <v>1</v>
      </c>
      <c r="F6747" s="33" t="n">
        <f aca="false">IF(OR(D6747&gt;5,E6747&lt;8,E6747&gt;=18,COUNTIF($K$2:$K$10,INT(A6747))&gt;0),1,0)</f>
        <v>1</v>
      </c>
      <c r="G6747" s="34" t="n">
        <f aca="false">B6747/1</f>
        <v>61.916</v>
      </c>
      <c r="H6747" s="34" t="n">
        <f aca="false">IF(F6747=1,G6747,"")</f>
        <v>61.916</v>
      </c>
    </row>
    <row r="6748" customFormat="false" ht="15" hidden="false" customHeight="false" outlineLevel="0" collapsed="false">
      <c r="A6748" s="31" t="n">
        <v>43017.0833333333</v>
      </c>
      <c r="B6748" s="32" t="n">
        <v>60.12</v>
      </c>
      <c r="D6748" s="33" t="n">
        <f aca="false">WEEKDAY(A6748,2)</f>
        <v>1</v>
      </c>
      <c r="E6748" s="33" t="n">
        <f aca="false">HOUR(A6748)+MINUTE(A6748)/60</f>
        <v>2</v>
      </c>
      <c r="F6748" s="33" t="n">
        <f aca="false">IF(OR(D6748&gt;5,E6748&lt;8,E6748&gt;=18,COUNTIF($K$2:$K$10,INT(A6748))&gt;0),1,0)</f>
        <v>1</v>
      </c>
      <c r="G6748" s="34" t="n">
        <f aca="false">B6748/1</f>
        <v>60.12</v>
      </c>
      <c r="H6748" s="34" t="n">
        <f aca="false">IF(F6748=1,G6748,"")</f>
        <v>60.12</v>
      </c>
    </row>
    <row r="6749" customFormat="false" ht="15" hidden="false" customHeight="false" outlineLevel="0" collapsed="false">
      <c r="A6749" s="31" t="n">
        <v>43017.125</v>
      </c>
      <c r="B6749" s="32" t="n">
        <v>62.667</v>
      </c>
      <c r="D6749" s="33" t="n">
        <f aca="false">WEEKDAY(A6749,2)</f>
        <v>1</v>
      </c>
      <c r="E6749" s="33" t="n">
        <f aca="false">HOUR(A6749)+MINUTE(A6749)/60</f>
        <v>3</v>
      </c>
      <c r="F6749" s="33" t="n">
        <f aca="false">IF(OR(D6749&gt;5,E6749&lt;8,E6749&gt;=18,COUNTIF($K$2:$K$10,INT(A6749))&gt;0),1,0)</f>
        <v>1</v>
      </c>
      <c r="G6749" s="34" t="n">
        <f aca="false">B6749/1</f>
        <v>62.667</v>
      </c>
      <c r="H6749" s="34" t="n">
        <f aca="false">IF(F6749=1,G6749,"")</f>
        <v>62.667</v>
      </c>
    </row>
    <row r="6750" customFormat="false" ht="15" hidden="false" customHeight="false" outlineLevel="0" collapsed="false">
      <c r="A6750" s="31" t="n">
        <v>43017.1666666667</v>
      </c>
      <c r="B6750" s="32" t="n">
        <v>62.928</v>
      </c>
      <c r="D6750" s="33" t="n">
        <f aca="false">WEEKDAY(A6750,2)</f>
        <v>1</v>
      </c>
      <c r="E6750" s="33" t="n">
        <f aca="false">HOUR(A6750)+MINUTE(A6750)/60</f>
        <v>4</v>
      </c>
      <c r="F6750" s="33" t="n">
        <f aca="false">IF(OR(D6750&gt;5,E6750&lt;8,E6750&gt;=18,COUNTIF($K$2:$K$10,INT(A6750))&gt;0),1,0)</f>
        <v>1</v>
      </c>
      <c r="G6750" s="34" t="n">
        <f aca="false">B6750/1</f>
        <v>62.928</v>
      </c>
      <c r="H6750" s="34" t="n">
        <f aca="false">IF(F6750=1,G6750,"")</f>
        <v>62.928</v>
      </c>
    </row>
    <row r="6751" customFormat="false" ht="15" hidden="false" customHeight="false" outlineLevel="0" collapsed="false">
      <c r="A6751" s="31" t="n">
        <v>43017.2083333333</v>
      </c>
      <c r="B6751" s="32" t="n">
        <v>62.798</v>
      </c>
      <c r="D6751" s="33" t="n">
        <f aca="false">WEEKDAY(A6751,2)</f>
        <v>1</v>
      </c>
      <c r="E6751" s="33" t="n">
        <f aca="false">HOUR(A6751)+MINUTE(A6751)/60</f>
        <v>5</v>
      </c>
      <c r="F6751" s="33" t="n">
        <f aca="false">IF(OR(D6751&gt;5,E6751&lt;8,E6751&gt;=18,COUNTIF($K$2:$K$10,INT(A6751))&gt;0),1,0)</f>
        <v>1</v>
      </c>
      <c r="G6751" s="34" t="n">
        <f aca="false">B6751/1</f>
        <v>62.798</v>
      </c>
      <c r="H6751" s="34" t="n">
        <f aca="false">IF(F6751=1,G6751,"")</f>
        <v>62.798</v>
      </c>
    </row>
    <row r="6752" customFormat="false" ht="15" hidden="false" customHeight="false" outlineLevel="0" collapsed="false">
      <c r="A6752" s="31" t="n">
        <v>43017.25</v>
      </c>
      <c r="B6752" s="32" t="n">
        <v>63.614</v>
      </c>
      <c r="D6752" s="33" t="n">
        <f aca="false">WEEKDAY(A6752,2)</f>
        <v>1</v>
      </c>
      <c r="E6752" s="33" t="n">
        <f aca="false">HOUR(A6752)+MINUTE(A6752)/60</f>
        <v>6</v>
      </c>
      <c r="F6752" s="33" t="n">
        <f aca="false">IF(OR(D6752&gt;5,E6752&lt;8,E6752&gt;=18,COUNTIF($K$2:$K$10,INT(A6752))&gt;0),1,0)</f>
        <v>1</v>
      </c>
      <c r="G6752" s="34" t="n">
        <f aca="false">B6752/1</f>
        <v>63.614</v>
      </c>
      <c r="H6752" s="34" t="n">
        <f aca="false">IF(F6752=1,G6752,"")</f>
        <v>63.614</v>
      </c>
    </row>
    <row r="6753" customFormat="false" ht="15" hidden="false" customHeight="false" outlineLevel="0" collapsed="false">
      <c r="A6753" s="31" t="n">
        <v>43017.2916666667</v>
      </c>
      <c r="B6753" s="32" t="n">
        <v>85.059</v>
      </c>
      <c r="D6753" s="33" t="n">
        <f aca="false">WEEKDAY(A6753,2)</f>
        <v>1</v>
      </c>
      <c r="E6753" s="33" t="n">
        <f aca="false">HOUR(A6753)+MINUTE(A6753)/60</f>
        <v>7</v>
      </c>
      <c r="F6753" s="33" t="n">
        <f aca="false">IF(OR(D6753&gt;5,E6753&lt;8,E6753&gt;=18,COUNTIF($K$2:$K$10,INT(A6753))&gt;0),1,0)</f>
        <v>1</v>
      </c>
      <c r="G6753" s="34" t="n">
        <f aca="false">B6753/1</f>
        <v>85.059</v>
      </c>
      <c r="H6753" s="34" t="n">
        <f aca="false">IF(F6753=1,G6753,"")</f>
        <v>85.059</v>
      </c>
    </row>
    <row r="6754" customFormat="false" ht="15" hidden="false" customHeight="false" outlineLevel="0" collapsed="false">
      <c r="A6754" s="31" t="n">
        <v>43017.3333333333</v>
      </c>
      <c r="B6754" s="32" t="n">
        <v>188.061</v>
      </c>
      <c r="D6754" s="33" t="n">
        <f aca="false">WEEKDAY(A6754,2)</f>
        <v>1</v>
      </c>
      <c r="E6754" s="33" t="n">
        <f aca="false">HOUR(A6754)+MINUTE(A6754)/60</f>
        <v>8</v>
      </c>
      <c r="F6754" s="33" t="n">
        <f aca="false">IF(OR(D6754&gt;5,E6754&lt;8,E6754&gt;=18,COUNTIF($K$2:$K$10,INT(A6754))&gt;0),1,0)</f>
        <v>0</v>
      </c>
      <c r="G6754" s="34" t="n">
        <f aca="false">B6754/1</f>
        <v>188.061</v>
      </c>
      <c r="H6754" s="34" t="str">
        <f aca="false">IF(F6754=1,G6754,"")</f>
        <v/>
      </c>
    </row>
    <row r="6755" customFormat="false" ht="15" hidden="false" customHeight="false" outlineLevel="0" collapsed="false">
      <c r="A6755" s="31" t="n">
        <v>43017.375</v>
      </c>
      <c r="B6755" s="32" t="n">
        <v>222.13</v>
      </c>
      <c r="D6755" s="33" t="n">
        <f aca="false">WEEKDAY(A6755,2)</f>
        <v>1</v>
      </c>
      <c r="E6755" s="33" t="n">
        <f aca="false">HOUR(A6755)+MINUTE(A6755)/60</f>
        <v>9</v>
      </c>
      <c r="F6755" s="33" t="n">
        <f aca="false">IF(OR(D6755&gt;5,E6755&lt;8,E6755&gt;=18,COUNTIF($K$2:$K$10,INT(A6755))&gt;0),1,0)</f>
        <v>0</v>
      </c>
      <c r="G6755" s="34" t="n">
        <f aca="false">B6755/1</f>
        <v>222.13</v>
      </c>
      <c r="H6755" s="34" t="str">
        <f aca="false">IF(F6755=1,G6755,"")</f>
        <v/>
      </c>
    </row>
    <row r="6756" customFormat="false" ht="15" hidden="false" customHeight="false" outlineLevel="0" collapsed="false">
      <c r="A6756" s="31" t="n">
        <v>43017.4166666667</v>
      </c>
      <c r="B6756" s="32" t="n">
        <v>247.591</v>
      </c>
      <c r="D6756" s="33" t="n">
        <f aca="false">WEEKDAY(A6756,2)</f>
        <v>1</v>
      </c>
      <c r="E6756" s="33" t="n">
        <f aca="false">HOUR(A6756)+MINUTE(A6756)/60</f>
        <v>10</v>
      </c>
      <c r="F6756" s="33" t="n">
        <f aca="false">IF(OR(D6756&gt;5,E6756&lt;8,E6756&gt;=18,COUNTIF($K$2:$K$10,INT(A6756))&gt;0),1,0)</f>
        <v>0</v>
      </c>
      <c r="G6756" s="34" t="n">
        <f aca="false">B6756/1</f>
        <v>247.591</v>
      </c>
      <c r="H6756" s="34" t="str">
        <f aca="false">IF(F6756=1,G6756,"")</f>
        <v/>
      </c>
    </row>
    <row r="6757" customFormat="false" ht="15" hidden="false" customHeight="false" outlineLevel="0" collapsed="false">
      <c r="A6757" s="31" t="n">
        <v>43017.4583333333</v>
      </c>
      <c r="B6757" s="32" t="n">
        <v>255.618</v>
      </c>
      <c r="D6757" s="33" t="n">
        <f aca="false">WEEKDAY(A6757,2)</f>
        <v>1</v>
      </c>
      <c r="E6757" s="33" t="n">
        <f aca="false">HOUR(A6757)+MINUTE(A6757)/60</f>
        <v>11</v>
      </c>
      <c r="F6757" s="33" t="n">
        <f aca="false">IF(OR(D6757&gt;5,E6757&lt;8,E6757&gt;=18,COUNTIF($K$2:$K$10,INT(A6757))&gt;0),1,0)</f>
        <v>0</v>
      </c>
      <c r="G6757" s="34" t="n">
        <f aca="false">B6757/1</f>
        <v>255.618</v>
      </c>
      <c r="H6757" s="34" t="str">
        <f aca="false">IF(F6757=1,G6757,"")</f>
        <v/>
      </c>
    </row>
    <row r="6758" customFormat="false" ht="15" hidden="false" customHeight="false" outlineLevel="0" collapsed="false">
      <c r="A6758" s="31" t="n">
        <v>43017.5</v>
      </c>
      <c r="B6758" s="32" t="n">
        <v>257.605</v>
      </c>
      <c r="D6758" s="33" t="n">
        <f aca="false">WEEKDAY(A6758,2)</f>
        <v>1</v>
      </c>
      <c r="E6758" s="33" t="n">
        <f aca="false">HOUR(A6758)+MINUTE(A6758)/60</f>
        <v>12</v>
      </c>
      <c r="F6758" s="33" t="n">
        <f aca="false">IF(OR(D6758&gt;5,E6758&lt;8,E6758&gt;=18,COUNTIF($K$2:$K$10,INT(A6758))&gt;0),1,0)</f>
        <v>0</v>
      </c>
      <c r="G6758" s="34" t="n">
        <f aca="false">B6758/1</f>
        <v>257.605</v>
      </c>
      <c r="H6758" s="34" t="str">
        <f aca="false">IF(F6758=1,G6758,"")</f>
        <v/>
      </c>
    </row>
    <row r="6759" customFormat="false" ht="15" hidden="false" customHeight="false" outlineLevel="0" collapsed="false">
      <c r="A6759" s="31" t="n">
        <v>43017.5416666667</v>
      </c>
      <c r="B6759" s="32" t="n">
        <v>256.136</v>
      </c>
      <c r="D6759" s="33" t="n">
        <f aca="false">WEEKDAY(A6759,2)</f>
        <v>1</v>
      </c>
      <c r="E6759" s="33" t="n">
        <f aca="false">HOUR(A6759)+MINUTE(A6759)/60</f>
        <v>13</v>
      </c>
      <c r="F6759" s="33" t="n">
        <f aca="false">IF(OR(D6759&gt;5,E6759&lt;8,E6759&gt;=18,COUNTIF($K$2:$K$10,INT(A6759))&gt;0),1,0)</f>
        <v>0</v>
      </c>
      <c r="G6759" s="34" t="n">
        <f aca="false">B6759/1</f>
        <v>256.136</v>
      </c>
      <c r="H6759" s="34" t="str">
        <f aca="false">IF(F6759=1,G6759,"")</f>
        <v/>
      </c>
    </row>
    <row r="6760" customFormat="false" ht="15" hidden="false" customHeight="false" outlineLevel="0" collapsed="false">
      <c r="A6760" s="31" t="n">
        <v>43017.5833333333</v>
      </c>
      <c r="B6760" s="32" t="n">
        <v>265.174</v>
      </c>
      <c r="D6760" s="33" t="n">
        <f aca="false">WEEKDAY(A6760,2)</f>
        <v>1</v>
      </c>
      <c r="E6760" s="33" t="n">
        <f aca="false">HOUR(A6760)+MINUTE(A6760)/60</f>
        <v>14</v>
      </c>
      <c r="F6760" s="33" t="n">
        <f aca="false">IF(OR(D6760&gt;5,E6760&lt;8,E6760&gt;=18,COUNTIF($K$2:$K$10,INT(A6760))&gt;0),1,0)</f>
        <v>0</v>
      </c>
      <c r="G6760" s="34" t="n">
        <f aca="false">B6760/1</f>
        <v>265.174</v>
      </c>
      <c r="H6760" s="34" t="str">
        <f aca="false">IF(F6760=1,G6760,"")</f>
        <v/>
      </c>
    </row>
    <row r="6761" customFormat="false" ht="15" hidden="false" customHeight="false" outlineLevel="0" collapsed="false">
      <c r="A6761" s="31" t="n">
        <v>43017.625</v>
      </c>
      <c r="B6761" s="32" t="n">
        <v>261.758</v>
      </c>
      <c r="D6761" s="33" t="n">
        <f aca="false">WEEKDAY(A6761,2)</f>
        <v>1</v>
      </c>
      <c r="E6761" s="33" t="n">
        <f aca="false">HOUR(A6761)+MINUTE(A6761)/60</f>
        <v>15</v>
      </c>
      <c r="F6761" s="33" t="n">
        <f aca="false">IF(OR(D6761&gt;5,E6761&lt;8,E6761&gt;=18,COUNTIF($K$2:$K$10,INT(A6761))&gt;0),1,0)</f>
        <v>0</v>
      </c>
      <c r="G6761" s="34" t="n">
        <f aca="false">B6761/1</f>
        <v>261.758</v>
      </c>
      <c r="H6761" s="34" t="str">
        <f aca="false">IF(F6761=1,G6761,"")</f>
        <v/>
      </c>
    </row>
    <row r="6762" customFormat="false" ht="15" hidden="false" customHeight="false" outlineLevel="0" collapsed="false">
      <c r="A6762" s="31" t="n">
        <v>43017.6666666667</v>
      </c>
      <c r="B6762" s="32" t="n">
        <v>261.361</v>
      </c>
      <c r="D6762" s="33" t="n">
        <f aca="false">WEEKDAY(A6762,2)</f>
        <v>1</v>
      </c>
      <c r="E6762" s="33" t="n">
        <f aca="false">HOUR(A6762)+MINUTE(A6762)/60</f>
        <v>16</v>
      </c>
      <c r="F6762" s="33" t="n">
        <f aca="false">IF(OR(D6762&gt;5,E6762&lt;8,E6762&gt;=18,COUNTIF($K$2:$K$10,INT(A6762))&gt;0),1,0)</f>
        <v>0</v>
      </c>
      <c r="G6762" s="34" t="n">
        <f aca="false">B6762/1</f>
        <v>261.361</v>
      </c>
      <c r="H6762" s="34" t="str">
        <f aca="false">IF(F6762=1,G6762,"")</f>
        <v/>
      </c>
    </row>
    <row r="6763" customFormat="false" ht="15" hidden="false" customHeight="false" outlineLevel="0" collapsed="false">
      <c r="A6763" s="31" t="n">
        <v>43017.7083333333</v>
      </c>
      <c r="B6763" s="32" t="n">
        <v>264.162</v>
      </c>
      <c r="D6763" s="33" t="n">
        <f aca="false">WEEKDAY(A6763,2)</f>
        <v>1</v>
      </c>
      <c r="E6763" s="33" t="n">
        <f aca="false">HOUR(A6763)+MINUTE(A6763)/60</f>
        <v>17</v>
      </c>
      <c r="F6763" s="33" t="n">
        <f aca="false">IF(OR(D6763&gt;5,E6763&lt;8,E6763&gt;=18,COUNTIF($K$2:$K$10,INT(A6763))&gt;0),1,0)</f>
        <v>0</v>
      </c>
      <c r="G6763" s="34" t="n">
        <f aca="false">B6763/1</f>
        <v>264.162</v>
      </c>
      <c r="H6763" s="34" t="str">
        <f aca="false">IF(F6763=1,G6763,"")</f>
        <v/>
      </c>
    </row>
    <row r="6764" customFormat="false" ht="15" hidden="false" customHeight="false" outlineLevel="0" collapsed="false">
      <c r="A6764" s="31" t="n">
        <v>43017.75</v>
      </c>
      <c r="B6764" s="32" t="n">
        <v>232.281</v>
      </c>
      <c r="D6764" s="33" t="n">
        <f aca="false">WEEKDAY(A6764,2)</f>
        <v>1</v>
      </c>
      <c r="E6764" s="33" t="n">
        <f aca="false">HOUR(A6764)+MINUTE(A6764)/60</f>
        <v>18</v>
      </c>
      <c r="F6764" s="33" t="n">
        <f aca="false">IF(OR(D6764&gt;5,E6764&lt;8,E6764&gt;=18,COUNTIF($K$2:$K$10,INT(A6764))&gt;0),1,0)</f>
        <v>1</v>
      </c>
      <c r="G6764" s="34" t="n">
        <f aca="false">B6764/1</f>
        <v>232.281</v>
      </c>
      <c r="H6764" s="34" t="n">
        <f aca="false">IF(F6764=1,G6764,"")</f>
        <v>232.281</v>
      </c>
    </row>
    <row r="6765" customFormat="false" ht="15" hidden="false" customHeight="false" outlineLevel="0" collapsed="false">
      <c r="A6765" s="31" t="n">
        <v>43017.7916666667</v>
      </c>
      <c r="B6765" s="32" t="n">
        <v>214.033</v>
      </c>
      <c r="D6765" s="33" t="n">
        <f aca="false">WEEKDAY(A6765,2)</f>
        <v>1</v>
      </c>
      <c r="E6765" s="33" t="n">
        <f aca="false">HOUR(A6765)+MINUTE(A6765)/60</f>
        <v>19</v>
      </c>
      <c r="F6765" s="33" t="n">
        <f aca="false">IF(OR(D6765&gt;5,E6765&lt;8,E6765&gt;=18,COUNTIF($K$2:$K$10,INT(A6765))&gt;0),1,0)</f>
        <v>1</v>
      </c>
      <c r="G6765" s="34" t="n">
        <f aca="false">B6765/1</f>
        <v>214.033</v>
      </c>
      <c r="H6765" s="34" t="n">
        <f aca="false">IF(F6765=1,G6765,"")</f>
        <v>214.033</v>
      </c>
    </row>
    <row r="6766" customFormat="false" ht="15" hidden="false" customHeight="false" outlineLevel="0" collapsed="false">
      <c r="A6766" s="31" t="n">
        <v>43017.8333333333</v>
      </c>
      <c r="B6766" s="32" t="n">
        <v>206.342</v>
      </c>
      <c r="D6766" s="33" t="n">
        <f aca="false">WEEKDAY(A6766,2)</f>
        <v>1</v>
      </c>
      <c r="E6766" s="33" t="n">
        <f aca="false">HOUR(A6766)+MINUTE(A6766)/60</f>
        <v>20</v>
      </c>
      <c r="F6766" s="33" t="n">
        <f aca="false">IF(OR(D6766&gt;5,E6766&lt;8,E6766&gt;=18,COUNTIF($K$2:$K$10,INT(A6766))&gt;0),1,0)</f>
        <v>1</v>
      </c>
      <c r="G6766" s="34" t="n">
        <f aca="false">B6766/1</f>
        <v>206.342</v>
      </c>
      <c r="H6766" s="34" t="n">
        <f aca="false">IF(F6766=1,G6766,"")</f>
        <v>206.342</v>
      </c>
    </row>
    <row r="6767" customFormat="false" ht="15" hidden="false" customHeight="false" outlineLevel="0" collapsed="false">
      <c r="A6767" s="31" t="n">
        <v>43017.875</v>
      </c>
      <c r="B6767" s="32" t="n">
        <v>196.33</v>
      </c>
      <c r="D6767" s="33" t="n">
        <f aca="false">WEEKDAY(A6767,2)</f>
        <v>1</v>
      </c>
      <c r="E6767" s="33" t="n">
        <f aca="false">HOUR(A6767)+MINUTE(A6767)/60</f>
        <v>21</v>
      </c>
      <c r="F6767" s="33" t="n">
        <f aca="false">IF(OR(D6767&gt;5,E6767&lt;8,E6767&gt;=18,COUNTIF($K$2:$K$10,INT(A6767))&gt;0),1,0)</f>
        <v>1</v>
      </c>
      <c r="G6767" s="34" t="n">
        <f aca="false">B6767/1</f>
        <v>196.33</v>
      </c>
      <c r="H6767" s="34" t="n">
        <f aca="false">IF(F6767=1,G6767,"")</f>
        <v>196.33</v>
      </c>
    </row>
    <row r="6768" customFormat="false" ht="15" hidden="false" customHeight="false" outlineLevel="0" collapsed="false">
      <c r="A6768" s="31" t="n">
        <v>43017.9166666667</v>
      </c>
      <c r="B6768" s="32" t="n">
        <v>141.897</v>
      </c>
      <c r="D6768" s="33" t="n">
        <f aca="false">WEEKDAY(A6768,2)</f>
        <v>1</v>
      </c>
      <c r="E6768" s="33" t="n">
        <f aca="false">HOUR(A6768)+MINUTE(A6768)/60</f>
        <v>22</v>
      </c>
      <c r="F6768" s="33" t="n">
        <f aca="false">IF(OR(D6768&gt;5,E6768&lt;8,E6768&gt;=18,COUNTIF($K$2:$K$10,INT(A6768))&gt;0),1,0)</f>
        <v>1</v>
      </c>
      <c r="G6768" s="34" t="n">
        <f aca="false">B6768/1</f>
        <v>141.897</v>
      </c>
      <c r="H6768" s="34" t="n">
        <f aca="false">IF(F6768=1,G6768,"")</f>
        <v>141.897</v>
      </c>
    </row>
    <row r="6769" customFormat="false" ht="15" hidden="false" customHeight="false" outlineLevel="0" collapsed="false">
      <c r="A6769" s="31" t="n">
        <v>43017.9583333333</v>
      </c>
      <c r="B6769" s="32" t="n">
        <v>76.114</v>
      </c>
      <c r="D6769" s="33" t="n">
        <f aca="false">WEEKDAY(A6769,2)</f>
        <v>1</v>
      </c>
      <c r="E6769" s="33" t="n">
        <f aca="false">HOUR(A6769)+MINUTE(A6769)/60</f>
        <v>23</v>
      </c>
      <c r="F6769" s="33" t="n">
        <f aca="false">IF(OR(D6769&gt;5,E6769&lt;8,E6769&gt;=18,COUNTIF($K$2:$K$10,INT(A6769))&gt;0),1,0)</f>
        <v>1</v>
      </c>
      <c r="G6769" s="34" t="n">
        <f aca="false">B6769/1</f>
        <v>76.114</v>
      </c>
      <c r="H6769" s="34" t="n">
        <f aca="false">IF(F6769=1,G6769,"")</f>
        <v>76.114</v>
      </c>
    </row>
    <row r="6770" customFormat="false" ht="15" hidden="false" customHeight="false" outlineLevel="0" collapsed="false">
      <c r="A6770" s="31" t="n">
        <v>43018</v>
      </c>
      <c r="B6770" s="32" t="n">
        <v>71.19</v>
      </c>
      <c r="D6770" s="33" t="n">
        <f aca="false">WEEKDAY(A6770,2)</f>
        <v>2</v>
      </c>
      <c r="E6770" s="33" t="n">
        <f aca="false">HOUR(A6770)+MINUTE(A6770)/60</f>
        <v>0</v>
      </c>
      <c r="F6770" s="33" t="n">
        <f aca="false">IF(OR(D6770&gt;5,E6770&lt;8,E6770&gt;=18,COUNTIF($K$2:$K$10,INT(A6770))&gt;0),1,0)</f>
        <v>1</v>
      </c>
      <c r="G6770" s="34" t="n">
        <f aca="false">B6770/1</f>
        <v>71.19</v>
      </c>
      <c r="H6770" s="34" t="n">
        <f aca="false">IF(F6770=1,G6770,"")</f>
        <v>71.19</v>
      </c>
    </row>
    <row r="6771" customFormat="false" ht="15" hidden="false" customHeight="false" outlineLevel="0" collapsed="false">
      <c r="A6771" s="31" t="n">
        <v>43018.0416666667</v>
      </c>
      <c r="B6771" s="32" t="n">
        <v>66.228</v>
      </c>
      <c r="D6771" s="33" t="n">
        <f aca="false">WEEKDAY(A6771,2)</f>
        <v>2</v>
      </c>
      <c r="E6771" s="33" t="n">
        <f aca="false">HOUR(A6771)+MINUTE(A6771)/60</f>
        <v>1</v>
      </c>
      <c r="F6771" s="33" t="n">
        <f aca="false">IF(OR(D6771&gt;5,E6771&lt;8,E6771&gt;=18,COUNTIF($K$2:$K$10,INT(A6771))&gt;0),1,0)</f>
        <v>1</v>
      </c>
      <c r="G6771" s="34" t="n">
        <f aca="false">B6771/1</f>
        <v>66.228</v>
      </c>
      <c r="H6771" s="34" t="n">
        <f aca="false">IF(F6771=1,G6771,"")</f>
        <v>66.228</v>
      </c>
    </row>
    <row r="6772" customFormat="false" ht="15" hidden="false" customHeight="false" outlineLevel="0" collapsed="false">
      <c r="A6772" s="31" t="n">
        <v>43018.0833333333</v>
      </c>
      <c r="B6772" s="32" t="n">
        <v>64.765</v>
      </c>
      <c r="D6772" s="33" t="n">
        <f aca="false">WEEKDAY(A6772,2)</f>
        <v>2</v>
      </c>
      <c r="E6772" s="33" t="n">
        <f aca="false">HOUR(A6772)+MINUTE(A6772)/60</f>
        <v>2</v>
      </c>
      <c r="F6772" s="33" t="n">
        <f aca="false">IF(OR(D6772&gt;5,E6772&lt;8,E6772&gt;=18,COUNTIF($K$2:$K$10,INT(A6772))&gt;0),1,0)</f>
        <v>1</v>
      </c>
      <c r="G6772" s="34" t="n">
        <f aca="false">B6772/1</f>
        <v>64.765</v>
      </c>
      <c r="H6772" s="34" t="n">
        <f aca="false">IF(F6772=1,G6772,"")</f>
        <v>64.765</v>
      </c>
    </row>
    <row r="6773" customFormat="false" ht="15" hidden="false" customHeight="false" outlineLevel="0" collapsed="false">
      <c r="A6773" s="31" t="n">
        <v>43018.125</v>
      </c>
      <c r="B6773" s="32" t="n">
        <v>63.3</v>
      </c>
      <c r="D6773" s="33" t="n">
        <f aca="false">WEEKDAY(A6773,2)</f>
        <v>2</v>
      </c>
      <c r="E6773" s="33" t="n">
        <f aca="false">HOUR(A6773)+MINUTE(A6773)/60</f>
        <v>3</v>
      </c>
      <c r="F6773" s="33" t="n">
        <f aca="false">IF(OR(D6773&gt;5,E6773&lt;8,E6773&gt;=18,COUNTIF($K$2:$K$10,INT(A6773))&gt;0),1,0)</f>
        <v>1</v>
      </c>
      <c r="G6773" s="34" t="n">
        <f aca="false">B6773/1</f>
        <v>63.3</v>
      </c>
      <c r="H6773" s="34" t="n">
        <f aca="false">IF(F6773=1,G6773,"")</f>
        <v>63.3</v>
      </c>
    </row>
    <row r="6774" customFormat="false" ht="15" hidden="false" customHeight="false" outlineLevel="0" collapsed="false">
      <c r="A6774" s="31" t="n">
        <v>43018.1666666667</v>
      </c>
      <c r="B6774" s="32" t="n">
        <v>62.26</v>
      </c>
      <c r="D6774" s="33" t="n">
        <f aca="false">WEEKDAY(A6774,2)</f>
        <v>2</v>
      </c>
      <c r="E6774" s="33" t="n">
        <f aca="false">HOUR(A6774)+MINUTE(A6774)/60</f>
        <v>4</v>
      </c>
      <c r="F6774" s="33" t="n">
        <f aca="false">IF(OR(D6774&gt;5,E6774&lt;8,E6774&gt;=18,COUNTIF($K$2:$K$10,INT(A6774))&gt;0),1,0)</f>
        <v>1</v>
      </c>
      <c r="G6774" s="34" t="n">
        <f aca="false">B6774/1</f>
        <v>62.26</v>
      </c>
      <c r="H6774" s="34" t="n">
        <f aca="false">IF(F6774=1,G6774,"")</f>
        <v>62.26</v>
      </c>
    </row>
    <row r="6775" customFormat="false" ht="15" hidden="false" customHeight="false" outlineLevel="0" collapsed="false">
      <c r="A6775" s="31" t="n">
        <v>43018.2083333333</v>
      </c>
      <c r="B6775" s="32" t="n">
        <v>62.685</v>
      </c>
      <c r="D6775" s="33" t="n">
        <f aca="false">WEEKDAY(A6775,2)</f>
        <v>2</v>
      </c>
      <c r="E6775" s="33" t="n">
        <f aca="false">HOUR(A6775)+MINUTE(A6775)/60</f>
        <v>5</v>
      </c>
      <c r="F6775" s="33" t="n">
        <f aca="false">IF(OR(D6775&gt;5,E6775&lt;8,E6775&gt;=18,COUNTIF($K$2:$K$10,INT(A6775))&gt;0),1,0)</f>
        <v>1</v>
      </c>
      <c r="G6775" s="34" t="n">
        <f aca="false">B6775/1</f>
        <v>62.685</v>
      </c>
      <c r="H6775" s="34" t="n">
        <f aca="false">IF(F6775=1,G6775,"")</f>
        <v>62.685</v>
      </c>
    </row>
    <row r="6776" customFormat="false" ht="15" hidden="false" customHeight="false" outlineLevel="0" collapsed="false">
      <c r="A6776" s="31" t="n">
        <v>43018.25</v>
      </c>
      <c r="B6776" s="32" t="n">
        <v>65.791</v>
      </c>
      <c r="D6776" s="33" t="n">
        <f aca="false">WEEKDAY(A6776,2)</f>
        <v>2</v>
      </c>
      <c r="E6776" s="33" t="n">
        <f aca="false">HOUR(A6776)+MINUTE(A6776)/60</f>
        <v>6</v>
      </c>
      <c r="F6776" s="33" t="n">
        <f aca="false">IF(OR(D6776&gt;5,E6776&lt;8,E6776&gt;=18,COUNTIF($K$2:$K$10,INT(A6776))&gt;0),1,0)</f>
        <v>1</v>
      </c>
      <c r="G6776" s="34" t="n">
        <f aca="false">B6776/1</f>
        <v>65.791</v>
      </c>
      <c r="H6776" s="34" t="n">
        <f aca="false">IF(F6776=1,G6776,"")</f>
        <v>65.791</v>
      </c>
    </row>
    <row r="6777" customFormat="false" ht="15" hidden="false" customHeight="false" outlineLevel="0" collapsed="false">
      <c r="A6777" s="31" t="n">
        <v>43018.2916666667</v>
      </c>
      <c r="B6777" s="32" t="n">
        <v>70.207</v>
      </c>
      <c r="D6777" s="33" t="n">
        <f aca="false">WEEKDAY(A6777,2)</f>
        <v>2</v>
      </c>
      <c r="E6777" s="33" t="n">
        <f aca="false">HOUR(A6777)+MINUTE(A6777)/60</f>
        <v>7</v>
      </c>
      <c r="F6777" s="33" t="n">
        <f aca="false">IF(OR(D6777&gt;5,E6777&lt;8,E6777&gt;=18,COUNTIF($K$2:$K$10,INT(A6777))&gt;0),1,0)</f>
        <v>1</v>
      </c>
      <c r="G6777" s="34" t="n">
        <f aca="false">B6777/1</f>
        <v>70.207</v>
      </c>
      <c r="H6777" s="34" t="n">
        <f aca="false">IF(F6777=1,G6777,"")</f>
        <v>70.207</v>
      </c>
    </row>
    <row r="6778" customFormat="false" ht="15" hidden="false" customHeight="false" outlineLevel="0" collapsed="false">
      <c r="A6778" s="31" t="n">
        <v>43018.3333333333</v>
      </c>
      <c r="B6778" s="32" t="n">
        <v>176.073</v>
      </c>
      <c r="D6778" s="33" t="n">
        <f aca="false">WEEKDAY(A6778,2)</f>
        <v>2</v>
      </c>
      <c r="E6778" s="33" t="n">
        <f aca="false">HOUR(A6778)+MINUTE(A6778)/60</f>
        <v>8</v>
      </c>
      <c r="F6778" s="33" t="n">
        <f aca="false">IF(OR(D6778&gt;5,E6778&lt;8,E6778&gt;=18,COUNTIF($K$2:$K$10,INT(A6778))&gt;0),1,0)</f>
        <v>0</v>
      </c>
      <c r="G6778" s="34" t="n">
        <f aca="false">B6778/1</f>
        <v>176.073</v>
      </c>
      <c r="H6778" s="34" t="str">
        <f aca="false">IF(F6778=1,G6778,"")</f>
        <v/>
      </c>
    </row>
    <row r="6779" customFormat="false" ht="15" hidden="false" customHeight="false" outlineLevel="0" collapsed="false">
      <c r="A6779" s="31" t="n">
        <v>43018.375</v>
      </c>
      <c r="B6779" s="32" t="n">
        <v>214.003</v>
      </c>
      <c r="D6779" s="33" t="n">
        <f aca="false">WEEKDAY(A6779,2)</f>
        <v>2</v>
      </c>
      <c r="E6779" s="33" t="n">
        <f aca="false">HOUR(A6779)+MINUTE(A6779)/60</f>
        <v>9</v>
      </c>
      <c r="F6779" s="33" t="n">
        <f aca="false">IF(OR(D6779&gt;5,E6779&lt;8,E6779&gt;=18,COUNTIF($K$2:$K$10,INT(A6779))&gt;0),1,0)</f>
        <v>0</v>
      </c>
      <c r="G6779" s="34" t="n">
        <f aca="false">B6779/1</f>
        <v>214.003</v>
      </c>
      <c r="H6779" s="34" t="str">
        <f aca="false">IF(F6779=1,G6779,"")</f>
        <v/>
      </c>
    </row>
    <row r="6780" customFormat="false" ht="15" hidden="false" customHeight="false" outlineLevel="0" collapsed="false">
      <c r="A6780" s="31" t="n">
        <v>43018.4166666667</v>
      </c>
      <c r="B6780" s="32" t="n">
        <v>239.539</v>
      </c>
      <c r="D6780" s="33" t="n">
        <f aca="false">WEEKDAY(A6780,2)</f>
        <v>2</v>
      </c>
      <c r="E6780" s="33" t="n">
        <f aca="false">HOUR(A6780)+MINUTE(A6780)/60</f>
        <v>10</v>
      </c>
      <c r="F6780" s="33" t="n">
        <f aca="false">IF(OR(D6780&gt;5,E6780&lt;8,E6780&gt;=18,COUNTIF($K$2:$K$10,INT(A6780))&gt;0),1,0)</f>
        <v>0</v>
      </c>
      <c r="G6780" s="34" t="n">
        <f aca="false">B6780/1</f>
        <v>239.539</v>
      </c>
      <c r="H6780" s="34" t="str">
        <f aca="false">IF(F6780=1,G6780,"")</f>
        <v/>
      </c>
    </row>
    <row r="6781" customFormat="false" ht="15" hidden="false" customHeight="false" outlineLevel="0" collapsed="false">
      <c r="A6781" s="31" t="n">
        <v>43018.4583333333</v>
      </c>
      <c r="B6781" s="32" t="n">
        <v>268.27</v>
      </c>
      <c r="D6781" s="33" t="n">
        <f aca="false">WEEKDAY(A6781,2)</f>
        <v>2</v>
      </c>
      <c r="E6781" s="33" t="n">
        <f aca="false">HOUR(A6781)+MINUTE(A6781)/60</f>
        <v>11</v>
      </c>
      <c r="F6781" s="33" t="n">
        <f aca="false">IF(OR(D6781&gt;5,E6781&lt;8,E6781&gt;=18,COUNTIF($K$2:$K$10,INT(A6781))&gt;0),1,0)</f>
        <v>0</v>
      </c>
      <c r="G6781" s="34" t="n">
        <f aca="false">B6781/1</f>
        <v>268.27</v>
      </c>
      <c r="H6781" s="34" t="str">
        <f aca="false">IF(F6781=1,G6781,"")</f>
        <v/>
      </c>
    </row>
    <row r="6782" customFormat="false" ht="15" hidden="false" customHeight="false" outlineLevel="0" collapsed="false">
      <c r="A6782" s="31" t="n">
        <v>43018.5</v>
      </c>
      <c r="B6782" s="32" t="n">
        <v>283.381</v>
      </c>
      <c r="D6782" s="33" t="n">
        <f aca="false">WEEKDAY(A6782,2)</f>
        <v>2</v>
      </c>
      <c r="E6782" s="33" t="n">
        <f aca="false">HOUR(A6782)+MINUTE(A6782)/60</f>
        <v>12</v>
      </c>
      <c r="F6782" s="33" t="n">
        <f aca="false">IF(OR(D6782&gt;5,E6782&lt;8,E6782&gt;=18,COUNTIF($K$2:$K$10,INT(A6782))&gt;0),1,0)</f>
        <v>0</v>
      </c>
      <c r="G6782" s="34" t="n">
        <f aca="false">B6782/1</f>
        <v>283.381</v>
      </c>
      <c r="H6782" s="34" t="str">
        <f aca="false">IF(F6782=1,G6782,"")</f>
        <v/>
      </c>
    </row>
    <row r="6783" customFormat="false" ht="15" hidden="false" customHeight="false" outlineLevel="0" collapsed="false">
      <c r="A6783" s="31" t="n">
        <v>43018.5416666667</v>
      </c>
      <c r="B6783" s="32" t="n">
        <v>273.558</v>
      </c>
      <c r="D6783" s="33" t="n">
        <f aca="false">WEEKDAY(A6783,2)</f>
        <v>2</v>
      </c>
      <c r="E6783" s="33" t="n">
        <f aca="false">HOUR(A6783)+MINUTE(A6783)/60</f>
        <v>13</v>
      </c>
      <c r="F6783" s="33" t="n">
        <f aca="false">IF(OR(D6783&gt;5,E6783&lt;8,E6783&gt;=18,COUNTIF($K$2:$K$10,INT(A6783))&gt;0),1,0)</f>
        <v>0</v>
      </c>
      <c r="G6783" s="34" t="n">
        <f aca="false">B6783/1</f>
        <v>273.558</v>
      </c>
      <c r="H6783" s="34" t="str">
        <f aca="false">IF(F6783=1,G6783,"")</f>
        <v/>
      </c>
    </row>
    <row r="6784" customFormat="false" ht="15" hidden="false" customHeight="false" outlineLevel="0" collapsed="false">
      <c r="A6784" s="31" t="n">
        <v>43018.5833333333</v>
      </c>
      <c r="B6784" s="32" t="n">
        <v>287.928</v>
      </c>
      <c r="D6784" s="33" t="n">
        <f aca="false">WEEKDAY(A6784,2)</f>
        <v>2</v>
      </c>
      <c r="E6784" s="33" t="n">
        <f aca="false">HOUR(A6784)+MINUTE(A6784)/60</f>
        <v>14</v>
      </c>
      <c r="F6784" s="33" t="n">
        <f aca="false">IF(OR(D6784&gt;5,E6784&lt;8,E6784&gt;=18,COUNTIF($K$2:$K$10,INT(A6784))&gt;0),1,0)</f>
        <v>0</v>
      </c>
      <c r="G6784" s="34" t="n">
        <f aca="false">B6784/1</f>
        <v>287.928</v>
      </c>
      <c r="H6784" s="34" t="str">
        <f aca="false">IF(F6784=1,G6784,"")</f>
        <v/>
      </c>
    </row>
    <row r="6785" customFormat="false" ht="15" hidden="false" customHeight="false" outlineLevel="0" collapsed="false">
      <c r="A6785" s="31" t="n">
        <v>43018.625</v>
      </c>
      <c r="B6785" s="32" t="n">
        <v>268.772</v>
      </c>
      <c r="D6785" s="33" t="n">
        <f aca="false">WEEKDAY(A6785,2)</f>
        <v>2</v>
      </c>
      <c r="E6785" s="33" t="n">
        <f aca="false">HOUR(A6785)+MINUTE(A6785)/60</f>
        <v>15</v>
      </c>
      <c r="F6785" s="33" t="n">
        <f aca="false">IF(OR(D6785&gt;5,E6785&lt;8,E6785&gt;=18,COUNTIF($K$2:$K$10,INT(A6785))&gt;0),1,0)</f>
        <v>0</v>
      </c>
      <c r="G6785" s="34" t="n">
        <f aca="false">B6785/1</f>
        <v>268.772</v>
      </c>
      <c r="H6785" s="34" t="str">
        <f aca="false">IF(F6785=1,G6785,"")</f>
        <v/>
      </c>
    </row>
    <row r="6786" customFormat="false" ht="15" hidden="false" customHeight="false" outlineLevel="0" collapsed="false">
      <c r="A6786" s="31" t="n">
        <v>43018.6666666667</v>
      </c>
      <c r="B6786" s="32" t="n">
        <v>257.876</v>
      </c>
      <c r="D6786" s="33" t="n">
        <f aca="false">WEEKDAY(A6786,2)</f>
        <v>2</v>
      </c>
      <c r="E6786" s="33" t="n">
        <f aca="false">HOUR(A6786)+MINUTE(A6786)/60</f>
        <v>16</v>
      </c>
      <c r="F6786" s="33" t="n">
        <f aca="false">IF(OR(D6786&gt;5,E6786&lt;8,E6786&gt;=18,COUNTIF($K$2:$K$10,INT(A6786))&gt;0),1,0)</f>
        <v>0</v>
      </c>
      <c r="G6786" s="34" t="n">
        <f aca="false">B6786/1</f>
        <v>257.876</v>
      </c>
      <c r="H6786" s="34" t="str">
        <f aca="false">IF(F6786=1,G6786,"")</f>
        <v/>
      </c>
    </row>
    <row r="6787" customFormat="false" ht="15" hidden="false" customHeight="false" outlineLevel="0" collapsed="false">
      <c r="A6787" s="31" t="n">
        <v>43018.7083333333</v>
      </c>
      <c r="B6787" s="32" t="n">
        <v>247.988</v>
      </c>
      <c r="D6787" s="33" t="n">
        <f aca="false">WEEKDAY(A6787,2)</f>
        <v>2</v>
      </c>
      <c r="E6787" s="33" t="n">
        <f aca="false">HOUR(A6787)+MINUTE(A6787)/60</f>
        <v>17</v>
      </c>
      <c r="F6787" s="33" t="n">
        <f aca="false">IF(OR(D6787&gt;5,E6787&lt;8,E6787&gt;=18,COUNTIF($K$2:$K$10,INT(A6787))&gt;0),1,0)</f>
        <v>0</v>
      </c>
      <c r="G6787" s="34" t="n">
        <f aca="false">B6787/1</f>
        <v>247.988</v>
      </c>
      <c r="H6787" s="34" t="str">
        <f aca="false">IF(F6787=1,G6787,"")</f>
        <v/>
      </c>
    </row>
    <row r="6788" customFormat="false" ht="15" hidden="false" customHeight="false" outlineLevel="0" collapsed="false">
      <c r="A6788" s="31" t="n">
        <v>43018.75</v>
      </c>
      <c r="B6788" s="32" t="n">
        <v>234.129</v>
      </c>
      <c r="D6788" s="33" t="n">
        <f aca="false">WEEKDAY(A6788,2)</f>
        <v>2</v>
      </c>
      <c r="E6788" s="33" t="n">
        <f aca="false">HOUR(A6788)+MINUTE(A6788)/60</f>
        <v>18</v>
      </c>
      <c r="F6788" s="33" t="n">
        <f aca="false">IF(OR(D6788&gt;5,E6788&lt;8,E6788&gt;=18,COUNTIF($K$2:$K$10,INT(A6788))&gt;0),1,0)</f>
        <v>1</v>
      </c>
      <c r="G6788" s="34" t="n">
        <f aca="false">B6788/1</f>
        <v>234.129</v>
      </c>
      <c r="H6788" s="34" t="n">
        <f aca="false">IF(F6788=1,G6788,"")</f>
        <v>234.129</v>
      </c>
    </row>
    <row r="6789" customFormat="false" ht="15" hidden="false" customHeight="false" outlineLevel="0" collapsed="false">
      <c r="A6789" s="31" t="n">
        <v>43018.7916666667</v>
      </c>
      <c r="B6789" s="32" t="n">
        <v>221.724</v>
      </c>
      <c r="D6789" s="33" t="n">
        <f aca="false">WEEKDAY(A6789,2)</f>
        <v>2</v>
      </c>
      <c r="E6789" s="33" t="n">
        <f aca="false">HOUR(A6789)+MINUTE(A6789)/60</f>
        <v>19</v>
      </c>
      <c r="F6789" s="33" t="n">
        <f aca="false">IF(OR(D6789&gt;5,E6789&lt;8,E6789&gt;=18,COUNTIF($K$2:$K$10,INT(A6789))&gt;0),1,0)</f>
        <v>1</v>
      </c>
      <c r="G6789" s="34" t="n">
        <f aca="false">B6789/1</f>
        <v>221.724</v>
      </c>
      <c r="H6789" s="34" t="n">
        <f aca="false">IF(F6789=1,G6789,"")</f>
        <v>221.724</v>
      </c>
    </row>
    <row r="6790" customFormat="false" ht="15" hidden="false" customHeight="false" outlineLevel="0" collapsed="false">
      <c r="A6790" s="31" t="n">
        <v>43018.8333333333</v>
      </c>
      <c r="B6790" s="32" t="n">
        <v>215.263</v>
      </c>
      <c r="D6790" s="33" t="n">
        <f aca="false">WEEKDAY(A6790,2)</f>
        <v>2</v>
      </c>
      <c r="E6790" s="33" t="n">
        <f aca="false">HOUR(A6790)+MINUTE(A6790)/60</f>
        <v>20</v>
      </c>
      <c r="F6790" s="33" t="n">
        <f aca="false">IF(OR(D6790&gt;5,E6790&lt;8,E6790&gt;=18,COUNTIF($K$2:$K$10,INT(A6790))&gt;0),1,0)</f>
        <v>1</v>
      </c>
      <c r="G6790" s="34" t="n">
        <f aca="false">B6790/1</f>
        <v>215.263</v>
      </c>
      <c r="H6790" s="34" t="n">
        <f aca="false">IF(F6790=1,G6790,"")</f>
        <v>215.263</v>
      </c>
    </row>
    <row r="6791" customFormat="false" ht="15" hidden="false" customHeight="false" outlineLevel="0" collapsed="false">
      <c r="A6791" s="31" t="n">
        <v>43018.875</v>
      </c>
      <c r="B6791" s="32" t="n">
        <v>204.419</v>
      </c>
      <c r="D6791" s="33" t="n">
        <f aca="false">WEEKDAY(A6791,2)</f>
        <v>2</v>
      </c>
      <c r="E6791" s="33" t="n">
        <f aca="false">HOUR(A6791)+MINUTE(A6791)/60</f>
        <v>21</v>
      </c>
      <c r="F6791" s="33" t="n">
        <f aca="false">IF(OR(D6791&gt;5,E6791&lt;8,E6791&gt;=18,COUNTIF($K$2:$K$10,INT(A6791))&gt;0),1,0)</f>
        <v>1</v>
      </c>
      <c r="G6791" s="34" t="n">
        <f aca="false">B6791/1</f>
        <v>204.419</v>
      </c>
      <c r="H6791" s="34" t="n">
        <f aca="false">IF(F6791=1,G6791,"")</f>
        <v>204.419</v>
      </c>
    </row>
    <row r="6792" customFormat="false" ht="15" hidden="false" customHeight="false" outlineLevel="0" collapsed="false">
      <c r="A6792" s="31" t="n">
        <v>43018.9166666667</v>
      </c>
      <c r="B6792" s="32" t="n">
        <v>147.957</v>
      </c>
      <c r="D6792" s="33" t="n">
        <f aca="false">WEEKDAY(A6792,2)</f>
        <v>2</v>
      </c>
      <c r="E6792" s="33" t="n">
        <f aca="false">HOUR(A6792)+MINUTE(A6792)/60</f>
        <v>22</v>
      </c>
      <c r="F6792" s="33" t="n">
        <f aca="false">IF(OR(D6792&gt;5,E6792&lt;8,E6792&gt;=18,COUNTIF($K$2:$K$10,INT(A6792))&gt;0),1,0)</f>
        <v>1</v>
      </c>
      <c r="G6792" s="34" t="n">
        <f aca="false">B6792/1</f>
        <v>147.957</v>
      </c>
      <c r="H6792" s="34" t="n">
        <f aca="false">IF(F6792=1,G6792,"")</f>
        <v>147.957</v>
      </c>
    </row>
    <row r="6793" customFormat="false" ht="15" hidden="false" customHeight="false" outlineLevel="0" collapsed="false">
      <c r="A6793" s="31" t="n">
        <v>43018.9583333333</v>
      </c>
      <c r="B6793" s="32" t="n">
        <v>82.914</v>
      </c>
      <c r="D6793" s="33" t="n">
        <f aca="false">WEEKDAY(A6793,2)</f>
        <v>2</v>
      </c>
      <c r="E6793" s="33" t="n">
        <f aca="false">HOUR(A6793)+MINUTE(A6793)/60</f>
        <v>23</v>
      </c>
      <c r="F6793" s="33" t="n">
        <f aca="false">IF(OR(D6793&gt;5,E6793&lt;8,E6793&gt;=18,COUNTIF($K$2:$K$10,INT(A6793))&gt;0),1,0)</f>
        <v>1</v>
      </c>
      <c r="G6793" s="34" t="n">
        <f aca="false">B6793/1</f>
        <v>82.914</v>
      </c>
      <c r="H6793" s="34" t="n">
        <f aca="false">IF(F6793=1,G6793,"")</f>
        <v>82.914</v>
      </c>
    </row>
    <row r="6794" customFormat="false" ht="15" hidden="false" customHeight="false" outlineLevel="0" collapsed="false">
      <c r="A6794" s="31" t="n">
        <v>43019</v>
      </c>
      <c r="B6794" s="32" t="n">
        <v>78.223</v>
      </c>
      <c r="D6794" s="33" t="n">
        <f aca="false">WEEKDAY(A6794,2)</f>
        <v>3</v>
      </c>
      <c r="E6794" s="33" t="n">
        <f aca="false">HOUR(A6794)+MINUTE(A6794)/60</f>
        <v>0</v>
      </c>
      <c r="F6794" s="33" t="n">
        <f aca="false">IF(OR(D6794&gt;5,E6794&lt;8,E6794&gt;=18,COUNTIF($K$2:$K$10,INT(A6794))&gt;0),1,0)</f>
        <v>1</v>
      </c>
      <c r="G6794" s="34" t="n">
        <f aca="false">B6794/1</f>
        <v>78.223</v>
      </c>
      <c r="H6794" s="34" t="n">
        <f aca="false">IF(F6794=1,G6794,"")</f>
        <v>78.223</v>
      </c>
    </row>
    <row r="6795" customFormat="false" ht="15" hidden="false" customHeight="false" outlineLevel="0" collapsed="false">
      <c r="A6795" s="31" t="n">
        <v>43019.0416666667</v>
      </c>
      <c r="B6795" s="32" t="n">
        <v>73.314</v>
      </c>
      <c r="D6795" s="33" t="n">
        <f aca="false">WEEKDAY(A6795,2)</f>
        <v>3</v>
      </c>
      <c r="E6795" s="33" t="n">
        <f aca="false">HOUR(A6795)+MINUTE(A6795)/60</f>
        <v>1</v>
      </c>
      <c r="F6795" s="33" t="n">
        <f aca="false">IF(OR(D6795&gt;5,E6795&lt;8,E6795&gt;=18,COUNTIF($K$2:$K$10,INT(A6795))&gt;0),1,0)</f>
        <v>1</v>
      </c>
      <c r="G6795" s="34" t="n">
        <f aca="false">B6795/1</f>
        <v>73.314</v>
      </c>
      <c r="H6795" s="34" t="n">
        <f aca="false">IF(F6795=1,G6795,"")</f>
        <v>73.314</v>
      </c>
    </row>
    <row r="6796" customFormat="false" ht="15" hidden="false" customHeight="false" outlineLevel="0" collapsed="false">
      <c r="A6796" s="31" t="n">
        <v>43019.0833333333</v>
      </c>
      <c r="B6796" s="32" t="n">
        <v>71.444</v>
      </c>
      <c r="D6796" s="33" t="n">
        <f aca="false">WEEKDAY(A6796,2)</f>
        <v>3</v>
      </c>
      <c r="E6796" s="33" t="n">
        <f aca="false">HOUR(A6796)+MINUTE(A6796)/60</f>
        <v>2</v>
      </c>
      <c r="F6796" s="33" t="n">
        <f aca="false">IF(OR(D6796&gt;5,E6796&lt;8,E6796&gt;=18,COUNTIF($K$2:$K$10,INT(A6796))&gt;0),1,0)</f>
        <v>1</v>
      </c>
      <c r="G6796" s="34" t="n">
        <f aca="false">B6796/1</f>
        <v>71.444</v>
      </c>
      <c r="H6796" s="34" t="n">
        <f aca="false">IF(F6796=1,G6796,"")</f>
        <v>71.444</v>
      </c>
    </row>
    <row r="6797" customFormat="false" ht="15" hidden="false" customHeight="false" outlineLevel="0" collapsed="false">
      <c r="A6797" s="31" t="n">
        <v>43019.125</v>
      </c>
      <c r="B6797" s="32" t="n">
        <v>66.611</v>
      </c>
      <c r="D6797" s="33" t="n">
        <f aca="false">WEEKDAY(A6797,2)</f>
        <v>3</v>
      </c>
      <c r="E6797" s="33" t="n">
        <f aca="false">HOUR(A6797)+MINUTE(A6797)/60</f>
        <v>3</v>
      </c>
      <c r="F6797" s="33" t="n">
        <f aca="false">IF(OR(D6797&gt;5,E6797&lt;8,E6797&gt;=18,COUNTIF($K$2:$K$10,INT(A6797))&gt;0),1,0)</f>
        <v>1</v>
      </c>
      <c r="G6797" s="34" t="n">
        <f aca="false">B6797/1</f>
        <v>66.611</v>
      </c>
      <c r="H6797" s="34" t="n">
        <f aca="false">IF(F6797=1,G6797,"")</f>
        <v>66.611</v>
      </c>
    </row>
    <row r="6798" customFormat="false" ht="15" hidden="false" customHeight="false" outlineLevel="0" collapsed="false">
      <c r="A6798" s="31" t="n">
        <v>43019.1666666667</v>
      </c>
      <c r="B6798" s="32" t="n">
        <v>62.228</v>
      </c>
      <c r="D6798" s="33" t="n">
        <f aca="false">WEEKDAY(A6798,2)</f>
        <v>3</v>
      </c>
      <c r="E6798" s="33" t="n">
        <f aca="false">HOUR(A6798)+MINUTE(A6798)/60</f>
        <v>4</v>
      </c>
      <c r="F6798" s="33" t="n">
        <f aca="false">IF(OR(D6798&gt;5,E6798&lt;8,E6798&gt;=18,COUNTIF($K$2:$K$10,INT(A6798))&gt;0),1,0)</f>
        <v>1</v>
      </c>
      <c r="G6798" s="34" t="n">
        <f aca="false">B6798/1</f>
        <v>62.228</v>
      </c>
      <c r="H6798" s="34" t="n">
        <f aca="false">IF(F6798=1,G6798,"")</f>
        <v>62.228</v>
      </c>
    </row>
    <row r="6799" customFormat="false" ht="15" hidden="false" customHeight="false" outlineLevel="0" collapsed="false">
      <c r="A6799" s="31" t="n">
        <v>43019.2083333333</v>
      </c>
      <c r="B6799" s="32" t="n">
        <v>63.203</v>
      </c>
      <c r="D6799" s="33" t="n">
        <f aca="false">WEEKDAY(A6799,2)</f>
        <v>3</v>
      </c>
      <c r="E6799" s="33" t="n">
        <f aca="false">HOUR(A6799)+MINUTE(A6799)/60</f>
        <v>5</v>
      </c>
      <c r="F6799" s="33" t="n">
        <f aca="false">IF(OR(D6799&gt;5,E6799&lt;8,E6799&gt;=18,COUNTIF($K$2:$K$10,INT(A6799))&gt;0),1,0)</f>
        <v>1</v>
      </c>
      <c r="G6799" s="34" t="n">
        <f aca="false">B6799/1</f>
        <v>63.203</v>
      </c>
      <c r="H6799" s="34" t="n">
        <f aca="false">IF(F6799=1,G6799,"")</f>
        <v>63.203</v>
      </c>
    </row>
    <row r="6800" customFormat="false" ht="15" hidden="false" customHeight="false" outlineLevel="0" collapsed="false">
      <c r="A6800" s="31" t="n">
        <v>43019.25</v>
      </c>
      <c r="B6800" s="32" t="n">
        <v>63.357</v>
      </c>
      <c r="D6800" s="33" t="n">
        <f aca="false">WEEKDAY(A6800,2)</f>
        <v>3</v>
      </c>
      <c r="E6800" s="33" t="n">
        <f aca="false">HOUR(A6800)+MINUTE(A6800)/60</f>
        <v>6</v>
      </c>
      <c r="F6800" s="33" t="n">
        <f aca="false">IF(OR(D6800&gt;5,E6800&lt;8,E6800&gt;=18,COUNTIF($K$2:$K$10,INT(A6800))&gt;0),1,0)</f>
        <v>1</v>
      </c>
      <c r="G6800" s="34" t="n">
        <f aca="false">B6800/1</f>
        <v>63.357</v>
      </c>
      <c r="H6800" s="34" t="n">
        <f aca="false">IF(F6800=1,G6800,"")</f>
        <v>63.357</v>
      </c>
    </row>
    <row r="6801" customFormat="false" ht="15" hidden="false" customHeight="false" outlineLevel="0" collapsed="false">
      <c r="A6801" s="31" t="n">
        <v>43019.2916666667</v>
      </c>
      <c r="B6801" s="32" t="n">
        <v>70.535</v>
      </c>
      <c r="D6801" s="33" t="n">
        <f aca="false">WEEKDAY(A6801,2)</f>
        <v>3</v>
      </c>
      <c r="E6801" s="33" t="n">
        <f aca="false">HOUR(A6801)+MINUTE(A6801)/60</f>
        <v>7</v>
      </c>
      <c r="F6801" s="33" t="n">
        <f aca="false">IF(OR(D6801&gt;5,E6801&lt;8,E6801&gt;=18,COUNTIF($K$2:$K$10,INT(A6801))&gt;0),1,0)</f>
        <v>1</v>
      </c>
      <c r="G6801" s="34" t="n">
        <f aca="false">B6801/1</f>
        <v>70.535</v>
      </c>
      <c r="H6801" s="34" t="n">
        <f aca="false">IF(F6801=1,G6801,"")</f>
        <v>70.535</v>
      </c>
    </row>
    <row r="6802" customFormat="false" ht="15" hidden="false" customHeight="false" outlineLevel="0" collapsed="false">
      <c r="A6802" s="31" t="n">
        <v>43019.3333333333</v>
      </c>
      <c r="B6802" s="32" t="n">
        <v>177.623</v>
      </c>
      <c r="D6802" s="33" t="n">
        <f aca="false">WEEKDAY(A6802,2)</f>
        <v>3</v>
      </c>
      <c r="E6802" s="33" t="n">
        <f aca="false">HOUR(A6802)+MINUTE(A6802)/60</f>
        <v>8</v>
      </c>
      <c r="F6802" s="33" t="n">
        <f aca="false">IF(OR(D6802&gt;5,E6802&lt;8,E6802&gt;=18,COUNTIF($K$2:$K$10,INT(A6802))&gt;0),1,0)</f>
        <v>0</v>
      </c>
      <c r="G6802" s="34" t="n">
        <f aca="false">B6802/1</f>
        <v>177.623</v>
      </c>
      <c r="H6802" s="34" t="str">
        <f aca="false">IF(F6802=1,G6802,"")</f>
        <v/>
      </c>
    </row>
    <row r="6803" customFormat="false" ht="15" hidden="false" customHeight="false" outlineLevel="0" collapsed="false">
      <c r="A6803" s="31" t="n">
        <v>43019.375</v>
      </c>
      <c r="B6803" s="32" t="n">
        <v>217.205</v>
      </c>
      <c r="D6803" s="33" t="n">
        <f aca="false">WEEKDAY(A6803,2)</f>
        <v>3</v>
      </c>
      <c r="E6803" s="33" t="n">
        <f aca="false">HOUR(A6803)+MINUTE(A6803)/60</f>
        <v>9</v>
      </c>
      <c r="F6803" s="33" t="n">
        <f aca="false">IF(OR(D6803&gt;5,E6803&lt;8,E6803&gt;=18,COUNTIF($K$2:$K$10,INT(A6803))&gt;0),1,0)</f>
        <v>0</v>
      </c>
      <c r="G6803" s="34" t="n">
        <f aca="false">B6803/1</f>
        <v>217.205</v>
      </c>
      <c r="H6803" s="34" t="str">
        <f aca="false">IF(F6803=1,G6803,"")</f>
        <v/>
      </c>
    </row>
    <row r="6804" customFormat="false" ht="15" hidden="false" customHeight="false" outlineLevel="0" collapsed="false">
      <c r="A6804" s="31" t="n">
        <v>43019.4166666667</v>
      </c>
      <c r="B6804" s="32" t="n">
        <v>247.196</v>
      </c>
      <c r="D6804" s="33" t="n">
        <f aca="false">WEEKDAY(A6804,2)</f>
        <v>3</v>
      </c>
      <c r="E6804" s="33" t="n">
        <f aca="false">HOUR(A6804)+MINUTE(A6804)/60</f>
        <v>10</v>
      </c>
      <c r="F6804" s="33" t="n">
        <f aca="false">IF(OR(D6804&gt;5,E6804&lt;8,E6804&gt;=18,COUNTIF($K$2:$K$10,INT(A6804))&gt;0),1,0)</f>
        <v>0</v>
      </c>
      <c r="G6804" s="34" t="n">
        <f aca="false">B6804/1</f>
        <v>247.196</v>
      </c>
      <c r="H6804" s="34" t="str">
        <f aca="false">IF(F6804=1,G6804,"")</f>
        <v/>
      </c>
    </row>
    <row r="6805" customFormat="false" ht="15" hidden="false" customHeight="false" outlineLevel="0" collapsed="false">
      <c r="A6805" s="31" t="n">
        <v>43019.4583333333</v>
      </c>
      <c r="B6805" s="32" t="n">
        <v>264.065</v>
      </c>
      <c r="D6805" s="33" t="n">
        <f aca="false">WEEKDAY(A6805,2)</f>
        <v>3</v>
      </c>
      <c r="E6805" s="33" t="n">
        <f aca="false">HOUR(A6805)+MINUTE(A6805)/60</f>
        <v>11</v>
      </c>
      <c r="F6805" s="33" t="n">
        <f aca="false">IF(OR(D6805&gt;5,E6805&lt;8,E6805&gt;=18,COUNTIF($K$2:$K$10,INT(A6805))&gt;0),1,0)</f>
        <v>0</v>
      </c>
      <c r="G6805" s="34" t="n">
        <f aca="false">B6805/1</f>
        <v>264.065</v>
      </c>
      <c r="H6805" s="34" t="str">
        <f aca="false">IF(F6805=1,G6805,"")</f>
        <v/>
      </c>
    </row>
    <row r="6806" customFormat="false" ht="15" hidden="false" customHeight="false" outlineLevel="0" collapsed="false">
      <c r="A6806" s="31" t="n">
        <v>43019.5</v>
      </c>
      <c r="B6806" s="32" t="n">
        <v>268.367</v>
      </c>
      <c r="D6806" s="33" t="n">
        <f aca="false">WEEKDAY(A6806,2)</f>
        <v>3</v>
      </c>
      <c r="E6806" s="33" t="n">
        <f aca="false">HOUR(A6806)+MINUTE(A6806)/60</f>
        <v>12</v>
      </c>
      <c r="F6806" s="33" t="n">
        <f aca="false">IF(OR(D6806&gt;5,E6806&lt;8,E6806&gt;=18,COUNTIF($K$2:$K$10,INT(A6806))&gt;0),1,0)</f>
        <v>0</v>
      </c>
      <c r="G6806" s="34" t="n">
        <f aca="false">B6806/1</f>
        <v>268.367</v>
      </c>
      <c r="H6806" s="34" t="str">
        <f aca="false">IF(F6806=1,G6806,"")</f>
        <v/>
      </c>
    </row>
    <row r="6807" customFormat="false" ht="15" hidden="false" customHeight="false" outlineLevel="0" collapsed="false">
      <c r="A6807" s="31" t="n">
        <v>43019.5416666667</v>
      </c>
      <c r="B6807" s="32" t="n">
        <v>273.877</v>
      </c>
      <c r="D6807" s="33" t="n">
        <f aca="false">WEEKDAY(A6807,2)</f>
        <v>3</v>
      </c>
      <c r="E6807" s="33" t="n">
        <f aca="false">HOUR(A6807)+MINUTE(A6807)/60</f>
        <v>13</v>
      </c>
      <c r="F6807" s="33" t="n">
        <f aca="false">IF(OR(D6807&gt;5,E6807&lt;8,E6807&gt;=18,COUNTIF($K$2:$K$10,INT(A6807))&gt;0),1,0)</f>
        <v>0</v>
      </c>
      <c r="G6807" s="34" t="n">
        <f aca="false">B6807/1</f>
        <v>273.877</v>
      </c>
      <c r="H6807" s="34" t="str">
        <f aca="false">IF(F6807=1,G6807,"")</f>
        <v/>
      </c>
    </row>
    <row r="6808" customFormat="false" ht="15" hidden="false" customHeight="false" outlineLevel="0" collapsed="false">
      <c r="A6808" s="31" t="n">
        <v>43019.5833333333</v>
      </c>
      <c r="B6808" s="32" t="n">
        <v>281.367</v>
      </c>
      <c r="D6808" s="33" t="n">
        <f aca="false">WEEKDAY(A6808,2)</f>
        <v>3</v>
      </c>
      <c r="E6808" s="33" t="n">
        <f aca="false">HOUR(A6808)+MINUTE(A6808)/60</f>
        <v>14</v>
      </c>
      <c r="F6808" s="33" t="n">
        <f aca="false">IF(OR(D6808&gt;5,E6808&lt;8,E6808&gt;=18,COUNTIF($K$2:$K$10,INT(A6808))&gt;0),1,0)</f>
        <v>0</v>
      </c>
      <c r="G6808" s="34" t="n">
        <f aca="false">B6808/1</f>
        <v>281.367</v>
      </c>
      <c r="H6808" s="34" t="str">
        <f aca="false">IF(F6808=1,G6808,"")</f>
        <v/>
      </c>
    </row>
    <row r="6809" customFormat="false" ht="15" hidden="false" customHeight="false" outlineLevel="0" collapsed="false">
      <c r="A6809" s="31" t="n">
        <v>43019.625</v>
      </c>
      <c r="B6809" s="32" t="n">
        <v>270.437</v>
      </c>
      <c r="D6809" s="33" t="n">
        <f aca="false">WEEKDAY(A6809,2)</f>
        <v>3</v>
      </c>
      <c r="E6809" s="33" t="n">
        <f aca="false">HOUR(A6809)+MINUTE(A6809)/60</f>
        <v>15</v>
      </c>
      <c r="F6809" s="33" t="n">
        <f aca="false">IF(OR(D6809&gt;5,E6809&lt;8,E6809&gt;=18,COUNTIF($K$2:$K$10,INT(A6809))&gt;0),1,0)</f>
        <v>0</v>
      </c>
      <c r="G6809" s="34" t="n">
        <f aca="false">B6809/1</f>
        <v>270.437</v>
      </c>
      <c r="H6809" s="34" t="str">
        <f aca="false">IF(F6809=1,G6809,"")</f>
        <v/>
      </c>
    </row>
    <row r="6810" customFormat="false" ht="15" hidden="false" customHeight="false" outlineLevel="0" collapsed="false">
      <c r="A6810" s="31" t="n">
        <v>43019.6666666667</v>
      </c>
      <c r="B6810" s="32" t="n">
        <v>277.383</v>
      </c>
      <c r="D6810" s="33" t="n">
        <f aca="false">WEEKDAY(A6810,2)</f>
        <v>3</v>
      </c>
      <c r="E6810" s="33" t="n">
        <f aca="false">HOUR(A6810)+MINUTE(A6810)/60</f>
        <v>16</v>
      </c>
      <c r="F6810" s="33" t="n">
        <f aca="false">IF(OR(D6810&gt;5,E6810&lt;8,E6810&gt;=18,COUNTIF($K$2:$K$10,INT(A6810))&gt;0),1,0)</f>
        <v>0</v>
      </c>
      <c r="G6810" s="34" t="n">
        <f aca="false">B6810/1</f>
        <v>277.383</v>
      </c>
      <c r="H6810" s="34" t="str">
        <f aca="false">IF(F6810=1,G6810,"")</f>
        <v/>
      </c>
    </row>
    <row r="6811" customFormat="false" ht="15" hidden="false" customHeight="false" outlineLevel="0" collapsed="false">
      <c r="A6811" s="31" t="n">
        <v>43019.7083333333</v>
      </c>
      <c r="B6811" s="32" t="n">
        <v>260.916</v>
      </c>
      <c r="D6811" s="33" t="n">
        <f aca="false">WEEKDAY(A6811,2)</f>
        <v>3</v>
      </c>
      <c r="E6811" s="33" t="n">
        <f aca="false">HOUR(A6811)+MINUTE(A6811)/60</f>
        <v>17</v>
      </c>
      <c r="F6811" s="33" t="n">
        <f aca="false">IF(OR(D6811&gt;5,E6811&lt;8,E6811&gt;=18,COUNTIF($K$2:$K$10,INT(A6811))&gt;0),1,0)</f>
        <v>0</v>
      </c>
      <c r="G6811" s="34" t="n">
        <f aca="false">B6811/1</f>
        <v>260.916</v>
      </c>
      <c r="H6811" s="34" t="str">
        <f aca="false">IF(F6811=1,G6811,"")</f>
        <v/>
      </c>
    </row>
    <row r="6812" customFormat="false" ht="15" hidden="false" customHeight="false" outlineLevel="0" collapsed="false">
      <c r="A6812" s="31" t="n">
        <v>43019.75</v>
      </c>
      <c r="B6812" s="32" t="n">
        <v>237.667</v>
      </c>
      <c r="D6812" s="33" t="n">
        <f aca="false">WEEKDAY(A6812,2)</f>
        <v>3</v>
      </c>
      <c r="E6812" s="33" t="n">
        <f aca="false">HOUR(A6812)+MINUTE(A6812)/60</f>
        <v>18</v>
      </c>
      <c r="F6812" s="33" t="n">
        <f aca="false">IF(OR(D6812&gt;5,E6812&lt;8,E6812&gt;=18,COUNTIF($K$2:$K$10,INT(A6812))&gt;0),1,0)</f>
        <v>1</v>
      </c>
      <c r="G6812" s="34" t="n">
        <f aca="false">B6812/1</f>
        <v>237.667</v>
      </c>
      <c r="H6812" s="34" t="n">
        <f aca="false">IF(F6812=1,G6812,"")</f>
        <v>237.667</v>
      </c>
    </row>
    <row r="6813" customFormat="false" ht="15" hidden="false" customHeight="false" outlineLevel="0" collapsed="false">
      <c r="A6813" s="31" t="n">
        <v>43019.7916666667</v>
      </c>
      <c r="B6813" s="32" t="n">
        <v>227.327</v>
      </c>
      <c r="D6813" s="33" t="n">
        <f aca="false">WEEKDAY(A6813,2)</f>
        <v>3</v>
      </c>
      <c r="E6813" s="33" t="n">
        <f aca="false">HOUR(A6813)+MINUTE(A6813)/60</f>
        <v>19</v>
      </c>
      <c r="F6813" s="33" t="n">
        <f aca="false">IF(OR(D6813&gt;5,E6813&lt;8,E6813&gt;=18,COUNTIF($K$2:$K$10,INT(A6813))&gt;0),1,0)</f>
        <v>1</v>
      </c>
      <c r="G6813" s="34" t="n">
        <f aca="false">B6813/1</f>
        <v>227.327</v>
      </c>
      <c r="H6813" s="34" t="n">
        <f aca="false">IF(F6813=1,G6813,"")</f>
        <v>227.327</v>
      </c>
    </row>
    <row r="6814" customFormat="false" ht="15" hidden="false" customHeight="false" outlineLevel="0" collapsed="false">
      <c r="A6814" s="31" t="n">
        <v>43019.8333333333</v>
      </c>
      <c r="B6814" s="32" t="n">
        <v>217.293</v>
      </c>
      <c r="D6814" s="33" t="n">
        <f aca="false">WEEKDAY(A6814,2)</f>
        <v>3</v>
      </c>
      <c r="E6814" s="33" t="n">
        <f aca="false">HOUR(A6814)+MINUTE(A6814)/60</f>
        <v>20</v>
      </c>
      <c r="F6814" s="33" t="n">
        <f aca="false">IF(OR(D6814&gt;5,E6814&lt;8,E6814&gt;=18,COUNTIF($K$2:$K$10,INT(A6814))&gt;0),1,0)</f>
        <v>1</v>
      </c>
      <c r="G6814" s="34" t="n">
        <f aca="false">B6814/1</f>
        <v>217.293</v>
      </c>
      <c r="H6814" s="34" t="n">
        <f aca="false">IF(F6814=1,G6814,"")</f>
        <v>217.293</v>
      </c>
    </row>
    <row r="6815" customFormat="false" ht="15" hidden="false" customHeight="false" outlineLevel="0" collapsed="false">
      <c r="A6815" s="31" t="n">
        <v>43019.875</v>
      </c>
      <c r="B6815" s="32" t="n">
        <v>202.891</v>
      </c>
      <c r="D6815" s="33" t="n">
        <f aca="false">WEEKDAY(A6815,2)</f>
        <v>3</v>
      </c>
      <c r="E6815" s="33" t="n">
        <f aca="false">HOUR(A6815)+MINUTE(A6815)/60</f>
        <v>21</v>
      </c>
      <c r="F6815" s="33" t="n">
        <f aca="false">IF(OR(D6815&gt;5,E6815&lt;8,E6815&gt;=18,COUNTIF($K$2:$K$10,INT(A6815))&gt;0),1,0)</f>
        <v>1</v>
      </c>
      <c r="G6815" s="34" t="n">
        <f aca="false">B6815/1</f>
        <v>202.891</v>
      </c>
      <c r="H6815" s="34" t="n">
        <f aca="false">IF(F6815=1,G6815,"")</f>
        <v>202.891</v>
      </c>
    </row>
    <row r="6816" customFormat="false" ht="15" hidden="false" customHeight="false" outlineLevel="0" collapsed="false">
      <c r="A6816" s="31" t="n">
        <v>43019.9166666667</v>
      </c>
      <c r="B6816" s="32" t="n">
        <v>147.3</v>
      </c>
      <c r="D6816" s="33" t="n">
        <f aca="false">WEEKDAY(A6816,2)</f>
        <v>3</v>
      </c>
      <c r="E6816" s="33" t="n">
        <f aca="false">HOUR(A6816)+MINUTE(A6816)/60</f>
        <v>22</v>
      </c>
      <c r="F6816" s="33" t="n">
        <f aca="false">IF(OR(D6816&gt;5,E6816&lt;8,E6816&gt;=18,COUNTIF($K$2:$K$10,INT(A6816))&gt;0),1,0)</f>
        <v>1</v>
      </c>
      <c r="G6816" s="34" t="n">
        <f aca="false">B6816/1</f>
        <v>147.3</v>
      </c>
      <c r="H6816" s="34" t="n">
        <f aca="false">IF(F6816=1,G6816,"")</f>
        <v>147.3</v>
      </c>
    </row>
    <row r="6817" customFormat="false" ht="15" hidden="false" customHeight="false" outlineLevel="0" collapsed="false">
      <c r="A6817" s="31" t="n">
        <v>43019.9583333333</v>
      </c>
      <c r="B6817" s="32" t="n">
        <v>76.508</v>
      </c>
      <c r="D6817" s="33" t="n">
        <f aca="false">WEEKDAY(A6817,2)</f>
        <v>3</v>
      </c>
      <c r="E6817" s="33" t="n">
        <f aca="false">HOUR(A6817)+MINUTE(A6817)/60</f>
        <v>23</v>
      </c>
      <c r="F6817" s="33" t="n">
        <f aca="false">IF(OR(D6817&gt;5,E6817&lt;8,E6817&gt;=18,COUNTIF($K$2:$K$10,INT(A6817))&gt;0),1,0)</f>
        <v>1</v>
      </c>
      <c r="G6817" s="34" t="n">
        <f aca="false">B6817/1</f>
        <v>76.508</v>
      </c>
      <c r="H6817" s="34" t="n">
        <f aca="false">IF(F6817=1,G6817,"")</f>
        <v>76.508</v>
      </c>
    </row>
    <row r="6818" customFormat="false" ht="15" hidden="false" customHeight="false" outlineLevel="0" collapsed="false">
      <c r="A6818" s="31" t="n">
        <v>43020</v>
      </c>
      <c r="B6818" s="32" t="n">
        <v>70.873</v>
      </c>
      <c r="D6818" s="33" t="n">
        <f aca="false">WEEKDAY(A6818,2)</f>
        <v>4</v>
      </c>
      <c r="E6818" s="33" t="n">
        <f aca="false">HOUR(A6818)+MINUTE(A6818)/60</f>
        <v>0</v>
      </c>
      <c r="F6818" s="33" t="n">
        <f aca="false">IF(OR(D6818&gt;5,E6818&lt;8,E6818&gt;=18,COUNTIF($K$2:$K$10,INT(A6818))&gt;0),1,0)</f>
        <v>1</v>
      </c>
      <c r="G6818" s="34" t="n">
        <f aca="false">B6818/1</f>
        <v>70.873</v>
      </c>
      <c r="H6818" s="34" t="n">
        <f aca="false">IF(F6818=1,G6818,"")</f>
        <v>70.873</v>
      </c>
    </row>
    <row r="6819" customFormat="false" ht="15" hidden="false" customHeight="false" outlineLevel="0" collapsed="false">
      <c r="A6819" s="31" t="n">
        <v>43020.0416666667</v>
      </c>
      <c r="B6819" s="32" t="n">
        <v>65.433</v>
      </c>
      <c r="D6819" s="33" t="n">
        <f aca="false">WEEKDAY(A6819,2)</f>
        <v>4</v>
      </c>
      <c r="E6819" s="33" t="n">
        <f aca="false">HOUR(A6819)+MINUTE(A6819)/60</f>
        <v>1</v>
      </c>
      <c r="F6819" s="33" t="n">
        <f aca="false">IF(OR(D6819&gt;5,E6819&lt;8,E6819&gt;=18,COUNTIF($K$2:$K$10,INT(A6819))&gt;0),1,0)</f>
        <v>1</v>
      </c>
      <c r="G6819" s="34" t="n">
        <f aca="false">B6819/1</f>
        <v>65.433</v>
      </c>
      <c r="H6819" s="34" t="n">
        <f aca="false">IF(F6819=1,G6819,"")</f>
        <v>65.433</v>
      </c>
    </row>
    <row r="6820" customFormat="false" ht="15" hidden="false" customHeight="false" outlineLevel="0" collapsed="false">
      <c r="A6820" s="31" t="n">
        <v>43020.0833333333</v>
      </c>
      <c r="B6820" s="32" t="n">
        <v>63.452</v>
      </c>
      <c r="D6820" s="33" t="n">
        <f aca="false">WEEKDAY(A6820,2)</f>
        <v>4</v>
      </c>
      <c r="E6820" s="33" t="n">
        <f aca="false">HOUR(A6820)+MINUTE(A6820)/60</f>
        <v>2</v>
      </c>
      <c r="F6820" s="33" t="n">
        <f aca="false">IF(OR(D6820&gt;5,E6820&lt;8,E6820&gt;=18,COUNTIF($K$2:$K$10,INT(A6820))&gt;0),1,0)</f>
        <v>1</v>
      </c>
      <c r="G6820" s="34" t="n">
        <f aca="false">B6820/1</f>
        <v>63.452</v>
      </c>
      <c r="H6820" s="34" t="n">
        <f aca="false">IF(F6820=1,G6820,"")</f>
        <v>63.452</v>
      </c>
    </row>
    <row r="6821" customFormat="false" ht="15" hidden="false" customHeight="false" outlineLevel="0" collapsed="false">
      <c r="A6821" s="31" t="n">
        <v>43020.125</v>
      </c>
      <c r="B6821" s="32" t="n">
        <v>63.699</v>
      </c>
      <c r="D6821" s="33" t="n">
        <f aca="false">WEEKDAY(A6821,2)</f>
        <v>4</v>
      </c>
      <c r="E6821" s="33" t="n">
        <f aca="false">HOUR(A6821)+MINUTE(A6821)/60</f>
        <v>3</v>
      </c>
      <c r="F6821" s="33" t="n">
        <f aca="false">IF(OR(D6821&gt;5,E6821&lt;8,E6821&gt;=18,COUNTIF($K$2:$K$10,INT(A6821))&gt;0),1,0)</f>
        <v>1</v>
      </c>
      <c r="G6821" s="34" t="n">
        <f aca="false">B6821/1</f>
        <v>63.699</v>
      </c>
      <c r="H6821" s="34" t="n">
        <f aca="false">IF(F6821=1,G6821,"")</f>
        <v>63.699</v>
      </c>
    </row>
    <row r="6822" customFormat="false" ht="15" hidden="false" customHeight="false" outlineLevel="0" collapsed="false">
      <c r="A6822" s="31" t="n">
        <v>43020.1666666667</v>
      </c>
      <c r="B6822" s="32" t="n">
        <v>62.473</v>
      </c>
      <c r="D6822" s="33" t="n">
        <f aca="false">WEEKDAY(A6822,2)</f>
        <v>4</v>
      </c>
      <c r="E6822" s="33" t="n">
        <f aca="false">HOUR(A6822)+MINUTE(A6822)/60</f>
        <v>4</v>
      </c>
      <c r="F6822" s="33" t="n">
        <f aca="false">IF(OR(D6822&gt;5,E6822&lt;8,E6822&gt;=18,COUNTIF($K$2:$K$10,INT(A6822))&gt;0),1,0)</f>
        <v>1</v>
      </c>
      <c r="G6822" s="34" t="n">
        <f aca="false">B6822/1</f>
        <v>62.473</v>
      </c>
      <c r="H6822" s="34" t="n">
        <f aca="false">IF(F6822=1,G6822,"")</f>
        <v>62.473</v>
      </c>
    </row>
    <row r="6823" customFormat="false" ht="15" hidden="false" customHeight="false" outlineLevel="0" collapsed="false">
      <c r="A6823" s="31" t="n">
        <v>43020.2083333333</v>
      </c>
      <c r="B6823" s="32" t="n">
        <v>60.609</v>
      </c>
      <c r="D6823" s="33" t="n">
        <f aca="false">WEEKDAY(A6823,2)</f>
        <v>4</v>
      </c>
      <c r="E6823" s="33" t="n">
        <f aca="false">HOUR(A6823)+MINUTE(A6823)/60</f>
        <v>5</v>
      </c>
      <c r="F6823" s="33" t="n">
        <f aca="false">IF(OR(D6823&gt;5,E6823&lt;8,E6823&gt;=18,COUNTIF($K$2:$K$10,INT(A6823))&gt;0),1,0)</f>
        <v>1</v>
      </c>
      <c r="G6823" s="34" t="n">
        <f aca="false">B6823/1</f>
        <v>60.609</v>
      </c>
      <c r="H6823" s="34" t="n">
        <f aca="false">IF(F6823=1,G6823,"")</f>
        <v>60.609</v>
      </c>
    </row>
    <row r="6824" customFormat="false" ht="15" hidden="false" customHeight="false" outlineLevel="0" collapsed="false">
      <c r="A6824" s="31" t="n">
        <v>43020.25</v>
      </c>
      <c r="B6824" s="32" t="n">
        <v>61.318</v>
      </c>
      <c r="D6824" s="33" t="n">
        <f aca="false">WEEKDAY(A6824,2)</f>
        <v>4</v>
      </c>
      <c r="E6824" s="33" t="n">
        <f aca="false">HOUR(A6824)+MINUTE(A6824)/60</f>
        <v>6</v>
      </c>
      <c r="F6824" s="33" t="n">
        <f aca="false">IF(OR(D6824&gt;5,E6824&lt;8,E6824&gt;=18,COUNTIF($K$2:$K$10,INT(A6824))&gt;0),1,0)</f>
        <v>1</v>
      </c>
      <c r="G6824" s="34" t="n">
        <f aca="false">B6824/1</f>
        <v>61.318</v>
      </c>
      <c r="H6824" s="34" t="n">
        <f aca="false">IF(F6824=1,G6824,"")</f>
        <v>61.318</v>
      </c>
    </row>
    <row r="6825" customFormat="false" ht="15" hidden="false" customHeight="false" outlineLevel="0" collapsed="false">
      <c r="A6825" s="31" t="n">
        <v>43020.2916666667</v>
      </c>
      <c r="B6825" s="32" t="n">
        <v>67.562</v>
      </c>
      <c r="D6825" s="33" t="n">
        <f aca="false">WEEKDAY(A6825,2)</f>
        <v>4</v>
      </c>
      <c r="E6825" s="33" t="n">
        <f aca="false">HOUR(A6825)+MINUTE(A6825)/60</f>
        <v>7</v>
      </c>
      <c r="F6825" s="33" t="n">
        <f aca="false">IF(OR(D6825&gt;5,E6825&lt;8,E6825&gt;=18,COUNTIF($K$2:$K$10,INT(A6825))&gt;0),1,0)</f>
        <v>1</v>
      </c>
      <c r="G6825" s="34" t="n">
        <f aca="false">B6825/1</f>
        <v>67.562</v>
      </c>
      <c r="H6825" s="34" t="n">
        <f aca="false">IF(F6825=1,G6825,"")</f>
        <v>67.562</v>
      </c>
    </row>
    <row r="6826" customFormat="false" ht="15" hidden="false" customHeight="false" outlineLevel="0" collapsed="false">
      <c r="A6826" s="31" t="n">
        <v>43020.3333333333</v>
      </c>
      <c r="B6826" s="32" t="n">
        <v>174.507</v>
      </c>
      <c r="D6826" s="33" t="n">
        <f aca="false">WEEKDAY(A6826,2)</f>
        <v>4</v>
      </c>
      <c r="E6826" s="33" t="n">
        <f aca="false">HOUR(A6826)+MINUTE(A6826)/60</f>
        <v>8</v>
      </c>
      <c r="F6826" s="33" t="n">
        <f aca="false">IF(OR(D6826&gt;5,E6826&lt;8,E6826&gt;=18,COUNTIF($K$2:$K$10,INT(A6826))&gt;0),1,0)</f>
        <v>0</v>
      </c>
      <c r="G6826" s="34" t="n">
        <f aca="false">B6826/1</f>
        <v>174.507</v>
      </c>
      <c r="H6826" s="34" t="str">
        <f aca="false">IF(F6826=1,G6826,"")</f>
        <v/>
      </c>
    </row>
    <row r="6827" customFormat="false" ht="15" hidden="false" customHeight="false" outlineLevel="0" collapsed="false">
      <c r="A6827" s="31" t="n">
        <v>43020.375</v>
      </c>
      <c r="B6827" s="32" t="n">
        <v>216.964</v>
      </c>
      <c r="D6827" s="33" t="n">
        <f aca="false">WEEKDAY(A6827,2)</f>
        <v>4</v>
      </c>
      <c r="E6827" s="33" t="n">
        <f aca="false">HOUR(A6827)+MINUTE(A6827)/60</f>
        <v>9</v>
      </c>
      <c r="F6827" s="33" t="n">
        <f aca="false">IF(OR(D6827&gt;5,E6827&lt;8,E6827&gt;=18,COUNTIF($K$2:$K$10,INT(A6827))&gt;0),1,0)</f>
        <v>0</v>
      </c>
      <c r="G6827" s="34" t="n">
        <f aca="false">B6827/1</f>
        <v>216.964</v>
      </c>
      <c r="H6827" s="34" t="str">
        <f aca="false">IF(F6827=1,G6827,"")</f>
        <v/>
      </c>
    </row>
    <row r="6828" customFormat="false" ht="15" hidden="false" customHeight="false" outlineLevel="0" collapsed="false">
      <c r="A6828" s="31" t="n">
        <v>43020.4166666667</v>
      </c>
      <c r="B6828" s="32" t="n">
        <v>236.535</v>
      </c>
      <c r="D6828" s="33" t="n">
        <f aca="false">WEEKDAY(A6828,2)</f>
        <v>4</v>
      </c>
      <c r="E6828" s="33" t="n">
        <f aca="false">HOUR(A6828)+MINUTE(A6828)/60</f>
        <v>10</v>
      </c>
      <c r="F6828" s="33" t="n">
        <f aca="false">IF(OR(D6828&gt;5,E6828&lt;8,E6828&gt;=18,COUNTIF($K$2:$K$10,INT(A6828))&gt;0),1,0)</f>
        <v>0</v>
      </c>
      <c r="G6828" s="34" t="n">
        <f aca="false">B6828/1</f>
        <v>236.535</v>
      </c>
      <c r="H6828" s="34" t="str">
        <f aca="false">IF(F6828=1,G6828,"")</f>
        <v/>
      </c>
    </row>
    <row r="6829" customFormat="false" ht="15" hidden="false" customHeight="false" outlineLevel="0" collapsed="false">
      <c r="A6829" s="31" t="n">
        <v>43020.4583333333</v>
      </c>
      <c r="B6829" s="32" t="n">
        <v>257.401</v>
      </c>
      <c r="D6829" s="33" t="n">
        <f aca="false">WEEKDAY(A6829,2)</f>
        <v>4</v>
      </c>
      <c r="E6829" s="33" t="n">
        <f aca="false">HOUR(A6829)+MINUTE(A6829)/60</f>
        <v>11</v>
      </c>
      <c r="F6829" s="33" t="n">
        <f aca="false">IF(OR(D6829&gt;5,E6829&lt;8,E6829&gt;=18,COUNTIF($K$2:$K$10,INT(A6829))&gt;0),1,0)</f>
        <v>0</v>
      </c>
      <c r="G6829" s="34" t="n">
        <f aca="false">B6829/1</f>
        <v>257.401</v>
      </c>
      <c r="H6829" s="34" t="str">
        <f aca="false">IF(F6829=1,G6829,"")</f>
        <v/>
      </c>
    </row>
    <row r="6830" customFormat="false" ht="15" hidden="false" customHeight="false" outlineLevel="0" collapsed="false">
      <c r="A6830" s="31" t="n">
        <v>43020.5</v>
      </c>
      <c r="B6830" s="32" t="n">
        <v>257.913</v>
      </c>
      <c r="D6830" s="33" t="n">
        <f aca="false">WEEKDAY(A6830,2)</f>
        <v>4</v>
      </c>
      <c r="E6830" s="33" t="n">
        <f aca="false">HOUR(A6830)+MINUTE(A6830)/60</f>
        <v>12</v>
      </c>
      <c r="F6830" s="33" t="n">
        <f aca="false">IF(OR(D6830&gt;5,E6830&lt;8,E6830&gt;=18,COUNTIF($K$2:$K$10,INT(A6830))&gt;0),1,0)</f>
        <v>0</v>
      </c>
      <c r="G6830" s="34" t="n">
        <f aca="false">B6830/1</f>
        <v>257.913</v>
      </c>
      <c r="H6830" s="34" t="str">
        <f aca="false">IF(F6830=1,G6830,"")</f>
        <v/>
      </c>
    </row>
    <row r="6831" customFormat="false" ht="15" hidden="false" customHeight="false" outlineLevel="0" collapsed="false">
      <c r="A6831" s="31" t="n">
        <v>43020.5416666667</v>
      </c>
      <c r="B6831" s="32" t="n">
        <v>250.531</v>
      </c>
      <c r="D6831" s="33" t="n">
        <f aca="false">WEEKDAY(A6831,2)</f>
        <v>4</v>
      </c>
      <c r="E6831" s="33" t="n">
        <f aca="false">HOUR(A6831)+MINUTE(A6831)/60</f>
        <v>13</v>
      </c>
      <c r="F6831" s="33" t="n">
        <f aca="false">IF(OR(D6831&gt;5,E6831&lt;8,E6831&gt;=18,COUNTIF($K$2:$K$10,INT(A6831))&gt;0),1,0)</f>
        <v>0</v>
      </c>
      <c r="G6831" s="34" t="n">
        <f aca="false">B6831/1</f>
        <v>250.531</v>
      </c>
      <c r="H6831" s="34" t="str">
        <f aca="false">IF(F6831=1,G6831,"")</f>
        <v/>
      </c>
    </row>
    <row r="6832" customFormat="false" ht="15" hidden="false" customHeight="false" outlineLevel="0" collapsed="false">
      <c r="A6832" s="31" t="n">
        <v>43020.5833333333</v>
      </c>
      <c r="B6832" s="32" t="n">
        <v>272.985</v>
      </c>
      <c r="D6832" s="33" t="n">
        <f aca="false">WEEKDAY(A6832,2)</f>
        <v>4</v>
      </c>
      <c r="E6832" s="33" t="n">
        <f aca="false">HOUR(A6832)+MINUTE(A6832)/60</f>
        <v>14</v>
      </c>
      <c r="F6832" s="33" t="n">
        <f aca="false">IF(OR(D6832&gt;5,E6832&lt;8,E6832&gt;=18,COUNTIF($K$2:$K$10,INT(A6832))&gt;0),1,0)</f>
        <v>0</v>
      </c>
      <c r="G6832" s="34" t="n">
        <f aca="false">B6832/1</f>
        <v>272.985</v>
      </c>
      <c r="H6832" s="34" t="str">
        <f aca="false">IF(F6832=1,G6832,"")</f>
        <v/>
      </c>
    </row>
    <row r="6833" customFormat="false" ht="15" hidden="false" customHeight="false" outlineLevel="0" collapsed="false">
      <c r="A6833" s="31" t="n">
        <v>43020.625</v>
      </c>
      <c r="B6833" s="32" t="n">
        <v>262.965</v>
      </c>
      <c r="D6833" s="33" t="n">
        <f aca="false">WEEKDAY(A6833,2)</f>
        <v>4</v>
      </c>
      <c r="E6833" s="33" t="n">
        <f aca="false">HOUR(A6833)+MINUTE(A6833)/60</f>
        <v>15</v>
      </c>
      <c r="F6833" s="33" t="n">
        <f aca="false">IF(OR(D6833&gt;5,E6833&lt;8,E6833&gt;=18,COUNTIF($K$2:$K$10,INT(A6833))&gt;0),1,0)</f>
        <v>0</v>
      </c>
      <c r="G6833" s="34" t="n">
        <f aca="false">B6833/1</f>
        <v>262.965</v>
      </c>
      <c r="H6833" s="34" t="str">
        <f aca="false">IF(F6833=1,G6833,"")</f>
        <v/>
      </c>
    </row>
    <row r="6834" customFormat="false" ht="15" hidden="false" customHeight="false" outlineLevel="0" collapsed="false">
      <c r="A6834" s="31" t="n">
        <v>43020.6666666667</v>
      </c>
      <c r="B6834" s="32" t="n">
        <v>259.597</v>
      </c>
      <c r="D6834" s="33" t="n">
        <f aca="false">WEEKDAY(A6834,2)</f>
        <v>4</v>
      </c>
      <c r="E6834" s="33" t="n">
        <f aca="false">HOUR(A6834)+MINUTE(A6834)/60</f>
        <v>16</v>
      </c>
      <c r="F6834" s="33" t="n">
        <f aca="false">IF(OR(D6834&gt;5,E6834&lt;8,E6834&gt;=18,COUNTIF($K$2:$K$10,INT(A6834))&gt;0),1,0)</f>
        <v>0</v>
      </c>
      <c r="G6834" s="34" t="n">
        <f aca="false">B6834/1</f>
        <v>259.597</v>
      </c>
      <c r="H6834" s="34" t="str">
        <f aca="false">IF(F6834=1,G6834,"")</f>
        <v/>
      </c>
    </row>
    <row r="6835" customFormat="false" ht="15" hidden="false" customHeight="false" outlineLevel="0" collapsed="false">
      <c r="A6835" s="31" t="n">
        <v>43020.7083333333</v>
      </c>
      <c r="B6835" s="32" t="n">
        <v>251.094</v>
      </c>
      <c r="D6835" s="33" t="n">
        <f aca="false">WEEKDAY(A6835,2)</f>
        <v>4</v>
      </c>
      <c r="E6835" s="33" t="n">
        <f aca="false">HOUR(A6835)+MINUTE(A6835)/60</f>
        <v>17</v>
      </c>
      <c r="F6835" s="33" t="n">
        <f aca="false">IF(OR(D6835&gt;5,E6835&lt;8,E6835&gt;=18,COUNTIF($K$2:$K$10,INT(A6835))&gt;0),1,0)</f>
        <v>0</v>
      </c>
      <c r="G6835" s="34" t="n">
        <f aca="false">B6835/1</f>
        <v>251.094</v>
      </c>
      <c r="H6835" s="34" t="str">
        <f aca="false">IF(F6835=1,G6835,"")</f>
        <v/>
      </c>
    </row>
    <row r="6836" customFormat="false" ht="15" hidden="false" customHeight="false" outlineLevel="0" collapsed="false">
      <c r="A6836" s="31" t="n">
        <v>43020.75</v>
      </c>
      <c r="B6836" s="32" t="n">
        <v>220.359</v>
      </c>
      <c r="D6836" s="33" t="n">
        <f aca="false">WEEKDAY(A6836,2)</f>
        <v>4</v>
      </c>
      <c r="E6836" s="33" t="n">
        <f aca="false">HOUR(A6836)+MINUTE(A6836)/60</f>
        <v>18</v>
      </c>
      <c r="F6836" s="33" t="n">
        <f aca="false">IF(OR(D6836&gt;5,E6836&lt;8,E6836&gt;=18,COUNTIF($K$2:$K$10,INT(A6836))&gt;0),1,0)</f>
        <v>1</v>
      </c>
      <c r="G6836" s="34" t="n">
        <f aca="false">B6836/1</f>
        <v>220.359</v>
      </c>
      <c r="H6836" s="34" t="n">
        <f aca="false">IF(F6836=1,G6836,"")</f>
        <v>220.359</v>
      </c>
    </row>
    <row r="6837" customFormat="false" ht="15" hidden="false" customHeight="false" outlineLevel="0" collapsed="false">
      <c r="A6837" s="31" t="n">
        <v>43020.7916666667</v>
      </c>
      <c r="B6837" s="32" t="n">
        <v>213.203</v>
      </c>
      <c r="D6837" s="33" t="n">
        <f aca="false">WEEKDAY(A6837,2)</f>
        <v>4</v>
      </c>
      <c r="E6837" s="33" t="n">
        <f aca="false">HOUR(A6837)+MINUTE(A6837)/60</f>
        <v>19</v>
      </c>
      <c r="F6837" s="33" t="n">
        <f aca="false">IF(OR(D6837&gt;5,E6837&lt;8,E6837&gt;=18,COUNTIF($K$2:$K$10,INT(A6837))&gt;0),1,0)</f>
        <v>1</v>
      </c>
      <c r="G6837" s="34" t="n">
        <f aca="false">B6837/1</f>
        <v>213.203</v>
      </c>
      <c r="H6837" s="34" t="n">
        <f aca="false">IF(F6837=1,G6837,"")</f>
        <v>213.203</v>
      </c>
    </row>
    <row r="6838" customFormat="false" ht="15" hidden="false" customHeight="false" outlineLevel="0" collapsed="false">
      <c r="A6838" s="31" t="n">
        <v>43020.8333333333</v>
      </c>
      <c r="B6838" s="32" t="n">
        <v>203.396</v>
      </c>
      <c r="D6838" s="33" t="n">
        <f aca="false">WEEKDAY(A6838,2)</f>
        <v>4</v>
      </c>
      <c r="E6838" s="33" t="n">
        <f aca="false">HOUR(A6838)+MINUTE(A6838)/60</f>
        <v>20</v>
      </c>
      <c r="F6838" s="33" t="n">
        <f aca="false">IF(OR(D6838&gt;5,E6838&lt;8,E6838&gt;=18,COUNTIF($K$2:$K$10,INT(A6838))&gt;0),1,0)</f>
        <v>1</v>
      </c>
      <c r="G6838" s="34" t="n">
        <f aca="false">B6838/1</f>
        <v>203.396</v>
      </c>
      <c r="H6838" s="34" t="n">
        <f aca="false">IF(F6838=1,G6838,"")</f>
        <v>203.396</v>
      </c>
    </row>
    <row r="6839" customFormat="false" ht="15" hidden="false" customHeight="false" outlineLevel="0" collapsed="false">
      <c r="A6839" s="31" t="n">
        <v>43020.875</v>
      </c>
      <c r="B6839" s="32" t="n">
        <v>196.994</v>
      </c>
      <c r="D6839" s="33" t="n">
        <f aca="false">WEEKDAY(A6839,2)</f>
        <v>4</v>
      </c>
      <c r="E6839" s="33" t="n">
        <f aca="false">HOUR(A6839)+MINUTE(A6839)/60</f>
        <v>21</v>
      </c>
      <c r="F6839" s="33" t="n">
        <f aca="false">IF(OR(D6839&gt;5,E6839&lt;8,E6839&gt;=18,COUNTIF($K$2:$K$10,INT(A6839))&gt;0),1,0)</f>
        <v>1</v>
      </c>
      <c r="G6839" s="34" t="n">
        <f aca="false">B6839/1</f>
        <v>196.994</v>
      </c>
      <c r="H6839" s="34" t="n">
        <f aca="false">IF(F6839=1,G6839,"")</f>
        <v>196.994</v>
      </c>
    </row>
    <row r="6840" customFormat="false" ht="15" hidden="false" customHeight="false" outlineLevel="0" collapsed="false">
      <c r="A6840" s="31" t="n">
        <v>43020.9166666667</v>
      </c>
      <c r="B6840" s="32" t="n">
        <v>135.297</v>
      </c>
      <c r="D6840" s="33" t="n">
        <f aca="false">WEEKDAY(A6840,2)</f>
        <v>4</v>
      </c>
      <c r="E6840" s="33" t="n">
        <f aca="false">HOUR(A6840)+MINUTE(A6840)/60</f>
        <v>22</v>
      </c>
      <c r="F6840" s="33" t="n">
        <f aca="false">IF(OR(D6840&gt;5,E6840&lt;8,E6840&gt;=18,COUNTIF($K$2:$K$10,INT(A6840))&gt;0),1,0)</f>
        <v>1</v>
      </c>
      <c r="G6840" s="34" t="n">
        <f aca="false">B6840/1</f>
        <v>135.297</v>
      </c>
      <c r="H6840" s="34" t="n">
        <f aca="false">IF(F6840=1,G6840,"")</f>
        <v>135.297</v>
      </c>
    </row>
    <row r="6841" customFormat="false" ht="15" hidden="false" customHeight="false" outlineLevel="0" collapsed="false">
      <c r="A6841" s="31" t="n">
        <v>43020.9583333333</v>
      </c>
      <c r="B6841" s="32" t="n">
        <v>65.206</v>
      </c>
      <c r="D6841" s="33" t="n">
        <f aca="false">WEEKDAY(A6841,2)</f>
        <v>4</v>
      </c>
      <c r="E6841" s="33" t="n">
        <f aca="false">HOUR(A6841)+MINUTE(A6841)/60</f>
        <v>23</v>
      </c>
      <c r="F6841" s="33" t="n">
        <f aca="false">IF(OR(D6841&gt;5,E6841&lt;8,E6841&gt;=18,COUNTIF($K$2:$K$10,INT(A6841))&gt;0),1,0)</f>
        <v>1</v>
      </c>
      <c r="G6841" s="34" t="n">
        <f aca="false">B6841/1</f>
        <v>65.206</v>
      </c>
      <c r="H6841" s="34" t="n">
        <f aca="false">IF(F6841=1,G6841,"")</f>
        <v>65.206</v>
      </c>
    </row>
    <row r="6842" customFormat="false" ht="15" hidden="false" customHeight="false" outlineLevel="0" collapsed="false">
      <c r="A6842" s="31" t="n">
        <v>43021</v>
      </c>
      <c r="B6842" s="32" t="n">
        <v>67.569</v>
      </c>
      <c r="D6842" s="33" t="n">
        <f aca="false">WEEKDAY(A6842,2)</f>
        <v>5</v>
      </c>
      <c r="E6842" s="33" t="n">
        <f aca="false">HOUR(A6842)+MINUTE(A6842)/60</f>
        <v>0</v>
      </c>
      <c r="F6842" s="33" t="n">
        <f aca="false">IF(OR(D6842&gt;5,E6842&lt;8,E6842&gt;=18,COUNTIF($K$2:$K$10,INT(A6842))&gt;0),1,0)</f>
        <v>1</v>
      </c>
      <c r="G6842" s="34" t="n">
        <f aca="false">B6842/1</f>
        <v>67.569</v>
      </c>
      <c r="H6842" s="34" t="n">
        <f aca="false">IF(F6842=1,G6842,"")</f>
        <v>67.569</v>
      </c>
    </row>
    <row r="6843" customFormat="false" ht="15" hidden="false" customHeight="false" outlineLevel="0" collapsed="false">
      <c r="A6843" s="31" t="n">
        <v>43021.0416666667</v>
      </c>
      <c r="B6843" s="32" t="n">
        <v>61.927</v>
      </c>
      <c r="D6843" s="33" t="n">
        <f aca="false">WEEKDAY(A6843,2)</f>
        <v>5</v>
      </c>
      <c r="E6843" s="33" t="n">
        <f aca="false">HOUR(A6843)+MINUTE(A6843)/60</f>
        <v>1</v>
      </c>
      <c r="F6843" s="33" t="n">
        <f aca="false">IF(OR(D6843&gt;5,E6843&lt;8,E6843&gt;=18,COUNTIF($K$2:$K$10,INT(A6843))&gt;0),1,0)</f>
        <v>1</v>
      </c>
      <c r="G6843" s="34" t="n">
        <f aca="false">B6843/1</f>
        <v>61.927</v>
      </c>
      <c r="H6843" s="34" t="n">
        <f aca="false">IF(F6843=1,G6843,"")</f>
        <v>61.927</v>
      </c>
    </row>
    <row r="6844" customFormat="false" ht="15" hidden="false" customHeight="false" outlineLevel="0" collapsed="false">
      <c r="A6844" s="31" t="n">
        <v>43021.0833333333</v>
      </c>
      <c r="B6844" s="32" t="n">
        <v>59.622</v>
      </c>
      <c r="D6844" s="33" t="n">
        <f aca="false">WEEKDAY(A6844,2)</f>
        <v>5</v>
      </c>
      <c r="E6844" s="33" t="n">
        <f aca="false">HOUR(A6844)+MINUTE(A6844)/60</f>
        <v>2</v>
      </c>
      <c r="F6844" s="33" t="n">
        <f aca="false">IF(OR(D6844&gt;5,E6844&lt;8,E6844&gt;=18,COUNTIF($K$2:$K$10,INT(A6844))&gt;0),1,0)</f>
        <v>1</v>
      </c>
      <c r="G6844" s="34" t="n">
        <f aca="false">B6844/1</f>
        <v>59.622</v>
      </c>
      <c r="H6844" s="34" t="n">
        <f aca="false">IF(F6844=1,G6844,"")</f>
        <v>59.622</v>
      </c>
    </row>
    <row r="6845" customFormat="false" ht="15" hidden="false" customHeight="false" outlineLevel="0" collapsed="false">
      <c r="A6845" s="31" t="n">
        <v>43021.125</v>
      </c>
      <c r="B6845" s="32" t="n">
        <v>56.202</v>
      </c>
      <c r="D6845" s="33" t="n">
        <f aca="false">WEEKDAY(A6845,2)</f>
        <v>5</v>
      </c>
      <c r="E6845" s="33" t="n">
        <f aca="false">HOUR(A6845)+MINUTE(A6845)/60</f>
        <v>3</v>
      </c>
      <c r="F6845" s="33" t="n">
        <f aca="false">IF(OR(D6845&gt;5,E6845&lt;8,E6845&gt;=18,COUNTIF($K$2:$K$10,INT(A6845))&gt;0),1,0)</f>
        <v>1</v>
      </c>
      <c r="G6845" s="34" t="n">
        <f aca="false">B6845/1</f>
        <v>56.202</v>
      </c>
      <c r="H6845" s="34" t="n">
        <f aca="false">IF(F6845=1,G6845,"")</f>
        <v>56.202</v>
      </c>
    </row>
    <row r="6846" customFormat="false" ht="15" hidden="false" customHeight="false" outlineLevel="0" collapsed="false">
      <c r="A6846" s="31" t="n">
        <v>43021.1666666667</v>
      </c>
      <c r="B6846" s="32" t="n">
        <v>55.025</v>
      </c>
      <c r="D6846" s="33" t="n">
        <f aca="false">WEEKDAY(A6846,2)</f>
        <v>5</v>
      </c>
      <c r="E6846" s="33" t="n">
        <f aca="false">HOUR(A6846)+MINUTE(A6846)/60</f>
        <v>4</v>
      </c>
      <c r="F6846" s="33" t="n">
        <f aca="false">IF(OR(D6846&gt;5,E6846&lt;8,E6846&gt;=18,COUNTIF($K$2:$K$10,INT(A6846))&gt;0),1,0)</f>
        <v>1</v>
      </c>
      <c r="G6846" s="34" t="n">
        <f aca="false">B6846/1</f>
        <v>55.025</v>
      </c>
      <c r="H6846" s="34" t="n">
        <f aca="false">IF(F6846=1,G6846,"")</f>
        <v>55.025</v>
      </c>
    </row>
    <row r="6847" customFormat="false" ht="15" hidden="false" customHeight="false" outlineLevel="0" collapsed="false">
      <c r="A6847" s="31" t="n">
        <v>43021.2083333333</v>
      </c>
      <c r="B6847" s="32" t="n">
        <v>57.564</v>
      </c>
      <c r="D6847" s="33" t="n">
        <f aca="false">WEEKDAY(A6847,2)</f>
        <v>5</v>
      </c>
      <c r="E6847" s="33" t="n">
        <f aca="false">HOUR(A6847)+MINUTE(A6847)/60</f>
        <v>5</v>
      </c>
      <c r="F6847" s="33" t="n">
        <f aca="false">IF(OR(D6847&gt;5,E6847&lt;8,E6847&gt;=18,COUNTIF($K$2:$K$10,INT(A6847))&gt;0),1,0)</f>
        <v>1</v>
      </c>
      <c r="G6847" s="34" t="n">
        <f aca="false">B6847/1</f>
        <v>57.564</v>
      </c>
      <c r="H6847" s="34" t="n">
        <f aca="false">IF(F6847=1,G6847,"")</f>
        <v>57.564</v>
      </c>
    </row>
    <row r="6848" customFormat="false" ht="15" hidden="false" customHeight="false" outlineLevel="0" collapsed="false">
      <c r="A6848" s="31" t="n">
        <v>43021.25</v>
      </c>
      <c r="B6848" s="32" t="n">
        <v>57.183</v>
      </c>
      <c r="D6848" s="33" t="n">
        <f aca="false">WEEKDAY(A6848,2)</f>
        <v>5</v>
      </c>
      <c r="E6848" s="33" t="n">
        <f aca="false">HOUR(A6848)+MINUTE(A6848)/60</f>
        <v>6</v>
      </c>
      <c r="F6848" s="33" t="n">
        <f aca="false">IF(OR(D6848&gt;5,E6848&lt;8,E6848&gt;=18,COUNTIF($K$2:$K$10,INT(A6848))&gt;0),1,0)</f>
        <v>1</v>
      </c>
      <c r="G6848" s="34" t="n">
        <f aca="false">B6848/1</f>
        <v>57.183</v>
      </c>
      <c r="H6848" s="34" t="n">
        <f aca="false">IF(F6848=1,G6848,"")</f>
        <v>57.183</v>
      </c>
    </row>
    <row r="6849" customFormat="false" ht="15" hidden="false" customHeight="false" outlineLevel="0" collapsed="false">
      <c r="A6849" s="31" t="n">
        <v>43021.2916666667</v>
      </c>
      <c r="B6849" s="32" t="n">
        <v>64.704</v>
      </c>
      <c r="D6849" s="33" t="n">
        <f aca="false">WEEKDAY(A6849,2)</f>
        <v>5</v>
      </c>
      <c r="E6849" s="33" t="n">
        <f aca="false">HOUR(A6849)+MINUTE(A6849)/60</f>
        <v>7</v>
      </c>
      <c r="F6849" s="33" t="n">
        <f aca="false">IF(OR(D6849&gt;5,E6849&lt;8,E6849&gt;=18,COUNTIF($K$2:$K$10,INT(A6849))&gt;0),1,0)</f>
        <v>1</v>
      </c>
      <c r="G6849" s="34" t="n">
        <f aca="false">B6849/1</f>
        <v>64.704</v>
      </c>
      <c r="H6849" s="34" t="n">
        <f aca="false">IF(F6849=1,G6849,"")</f>
        <v>64.704</v>
      </c>
    </row>
    <row r="6850" customFormat="false" ht="15" hidden="false" customHeight="false" outlineLevel="0" collapsed="false">
      <c r="A6850" s="31" t="n">
        <v>43021.3333333333</v>
      </c>
      <c r="B6850" s="32" t="n">
        <v>176.48</v>
      </c>
      <c r="D6850" s="33" t="n">
        <f aca="false">WEEKDAY(A6850,2)</f>
        <v>5</v>
      </c>
      <c r="E6850" s="33" t="n">
        <f aca="false">HOUR(A6850)+MINUTE(A6850)/60</f>
        <v>8</v>
      </c>
      <c r="F6850" s="33" t="n">
        <f aca="false">IF(OR(D6850&gt;5,E6850&lt;8,E6850&gt;=18,COUNTIF($K$2:$K$10,INT(A6850))&gt;0),1,0)</f>
        <v>0</v>
      </c>
      <c r="G6850" s="34" t="n">
        <f aca="false">B6850/1</f>
        <v>176.48</v>
      </c>
      <c r="H6850" s="34" t="str">
        <f aca="false">IF(F6850=1,G6850,"")</f>
        <v/>
      </c>
    </row>
    <row r="6851" customFormat="false" ht="15" hidden="false" customHeight="false" outlineLevel="0" collapsed="false">
      <c r="A6851" s="31" t="n">
        <v>43021.375</v>
      </c>
      <c r="B6851" s="32" t="n">
        <v>215.894</v>
      </c>
      <c r="D6851" s="33" t="n">
        <f aca="false">WEEKDAY(A6851,2)</f>
        <v>5</v>
      </c>
      <c r="E6851" s="33" t="n">
        <f aca="false">HOUR(A6851)+MINUTE(A6851)/60</f>
        <v>9</v>
      </c>
      <c r="F6851" s="33" t="n">
        <f aca="false">IF(OR(D6851&gt;5,E6851&lt;8,E6851&gt;=18,COUNTIF($K$2:$K$10,INT(A6851))&gt;0),1,0)</f>
        <v>0</v>
      </c>
      <c r="G6851" s="34" t="n">
        <f aca="false">B6851/1</f>
        <v>215.894</v>
      </c>
      <c r="H6851" s="34" t="str">
        <f aca="false">IF(F6851=1,G6851,"")</f>
        <v/>
      </c>
    </row>
    <row r="6852" customFormat="false" ht="15" hidden="false" customHeight="false" outlineLevel="0" collapsed="false">
      <c r="A6852" s="31" t="n">
        <v>43021.4166666667</v>
      </c>
      <c r="B6852" s="32" t="n">
        <v>241.712</v>
      </c>
      <c r="D6852" s="33" t="n">
        <f aca="false">WEEKDAY(A6852,2)</f>
        <v>5</v>
      </c>
      <c r="E6852" s="33" t="n">
        <f aca="false">HOUR(A6852)+MINUTE(A6852)/60</f>
        <v>10</v>
      </c>
      <c r="F6852" s="33" t="n">
        <f aca="false">IF(OR(D6852&gt;5,E6852&lt;8,E6852&gt;=18,COUNTIF($K$2:$K$10,INT(A6852))&gt;0),1,0)</f>
        <v>0</v>
      </c>
      <c r="G6852" s="34" t="n">
        <f aca="false">B6852/1</f>
        <v>241.712</v>
      </c>
      <c r="H6852" s="34" t="str">
        <f aca="false">IF(F6852=1,G6852,"")</f>
        <v/>
      </c>
    </row>
    <row r="6853" customFormat="false" ht="15" hidden="false" customHeight="false" outlineLevel="0" collapsed="false">
      <c r="A6853" s="31" t="n">
        <v>43021.4583333333</v>
      </c>
      <c r="B6853" s="32" t="n">
        <v>251.472</v>
      </c>
      <c r="D6853" s="33" t="n">
        <f aca="false">WEEKDAY(A6853,2)</f>
        <v>5</v>
      </c>
      <c r="E6853" s="33" t="n">
        <f aca="false">HOUR(A6853)+MINUTE(A6853)/60</f>
        <v>11</v>
      </c>
      <c r="F6853" s="33" t="n">
        <f aca="false">IF(OR(D6853&gt;5,E6853&lt;8,E6853&gt;=18,COUNTIF($K$2:$K$10,INT(A6853))&gt;0),1,0)</f>
        <v>0</v>
      </c>
      <c r="G6853" s="34" t="n">
        <f aca="false">B6853/1</f>
        <v>251.472</v>
      </c>
      <c r="H6853" s="34" t="str">
        <f aca="false">IF(F6853=1,G6853,"")</f>
        <v/>
      </c>
    </row>
    <row r="6854" customFormat="false" ht="15" hidden="false" customHeight="false" outlineLevel="0" collapsed="false">
      <c r="A6854" s="31" t="n">
        <v>43021.5</v>
      </c>
      <c r="B6854" s="32" t="n">
        <v>254.14</v>
      </c>
      <c r="D6854" s="33" t="n">
        <f aca="false">WEEKDAY(A6854,2)</f>
        <v>5</v>
      </c>
      <c r="E6854" s="33" t="n">
        <f aca="false">HOUR(A6854)+MINUTE(A6854)/60</f>
        <v>12</v>
      </c>
      <c r="F6854" s="33" t="n">
        <f aca="false">IF(OR(D6854&gt;5,E6854&lt;8,E6854&gt;=18,COUNTIF($K$2:$K$10,INT(A6854))&gt;0),1,0)</f>
        <v>0</v>
      </c>
      <c r="G6854" s="34" t="n">
        <f aca="false">B6854/1</f>
        <v>254.14</v>
      </c>
      <c r="H6854" s="34" t="str">
        <f aca="false">IF(F6854=1,G6854,"")</f>
        <v/>
      </c>
    </row>
    <row r="6855" customFormat="false" ht="15" hidden="false" customHeight="false" outlineLevel="0" collapsed="false">
      <c r="A6855" s="31" t="n">
        <v>43021.5416666667</v>
      </c>
      <c r="B6855" s="32" t="n">
        <v>254.124</v>
      </c>
      <c r="D6855" s="33" t="n">
        <f aca="false">WEEKDAY(A6855,2)</f>
        <v>5</v>
      </c>
      <c r="E6855" s="33" t="n">
        <f aca="false">HOUR(A6855)+MINUTE(A6855)/60</f>
        <v>13</v>
      </c>
      <c r="F6855" s="33" t="n">
        <f aca="false">IF(OR(D6855&gt;5,E6855&lt;8,E6855&gt;=18,COUNTIF($K$2:$K$10,INT(A6855))&gt;0),1,0)</f>
        <v>0</v>
      </c>
      <c r="G6855" s="34" t="n">
        <f aca="false">B6855/1</f>
        <v>254.124</v>
      </c>
      <c r="H6855" s="34" t="str">
        <f aca="false">IF(F6855=1,G6855,"")</f>
        <v/>
      </c>
    </row>
    <row r="6856" customFormat="false" ht="15" hidden="false" customHeight="false" outlineLevel="0" collapsed="false">
      <c r="A6856" s="31" t="n">
        <v>43021.5833333333</v>
      </c>
      <c r="B6856" s="32" t="n">
        <v>249.804</v>
      </c>
      <c r="D6856" s="33" t="n">
        <f aca="false">WEEKDAY(A6856,2)</f>
        <v>5</v>
      </c>
      <c r="E6856" s="33" t="n">
        <f aca="false">HOUR(A6856)+MINUTE(A6856)/60</f>
        <v>14</v>
      </c>
      <c r="F6856" s="33" t="n">
        <f aca="false">IF(OR(D6856&gt;5,E6856&lt;8,E6856&gt;=18,COUNTIF($K$2:$K$10,INT(A6856))&gt;0),1,0)</f>
        <v>0</v>
      </c>
      <c r="G6856" s="34" t="n">
        <f aca="false">B6856/1</f>
        <v>249.804</v>
      </c>
      <c r="H6856" s="34" t="str">
        <f aca="false">IF(F6856=1,G6856,"")</f>
        <v/>
      </c>
    </row>
    <row r="6857" customFormat="false" ht="15" hidden="false" customHeight="false" outlineLevel="0" collapsed="false">
      <c r="A6857" s="31" t="n">
        <v>43021.625</v>
      </c>
      <c r="B6857" s="32" t="n">
        <v>247.408</v>
      </c>
      <c r="D6857" s="33" t="n">
        <f aca="false">WEEKDAY(A6857,2)</f>
        <v>5</v>
      </c>
      <c r="E6857" s="33" t="n">
        <f aca="false">HOUR(A6857)+MINUTE(A6857)/60</f>
        <v>15</v>
      </c>
      <c r="F6857" s="33" t="n">
        <f aca="false">IF(OR(D6857&gt;5,E6857&lt;8,E6857&gt;=18,COUNTIF($K$2:$K$10,INT(A6857))&gt;0),1,0)</f>
        <v>0</v>
      </c>
      <c r="G6857" s="34" t="n">
        <f aca="false">B6857/1</f>
        <v>247.408</v>
      </c>
      <c r="H6857" s="34" t="str">
        <f aca="false">IF(F6857=1,G6857,"")</f>
        <v/>
      </c>
    </row>
    <row r="6858" customFormat="false" ht="15" hidden="false" customHeight="false" outlineLevel="0" collapsed="false">
      <c r="A6858" s="31" t="n">
        <v>43021.6666666667</v>
      </c>
      <c r="B6858" s="32" t="n">
        <v>226.854</v>
      </c>
      <c r="D6858" s="33" t="n">
        <f aca="false">WEEKDAY(A6858,2)</f>
        <v>5</v>
      </c>
      <c r="E6858" s="33" t="n">
        <f aca="false">HOUR(A6858)+MINUTE(A6858)/60</f>
        <v>16</v>
      </c>
      <c r="F6858" s="33" t="n">
        <f aca="false">IF(OR(D6858&gt;5,E6858&lt;8,E6858&gt;=18,COUNTIF($K$2:$K$10,INT(A6858))&gt;0),1,0)</f>
        <v>0</v>
      </c>
      <c r="G6858" s="34" t="n">
        <f aca="false">B6858/1</f>
        <v>226.854</v>
      </c>
      <c r="H6858" s="34" t="str">
        <f aca="false">IF(F6858=1,G6858,"")</f>
        <v/>
      </c>
    </row>
    <row r="6859" customFormat="false" ht="15" hidden="false" customHeight="false" outlineLevel="0" collapsed="false">
      <c r="A6859" s="31" t="n">
        <v>43021.7083333333</v>
      </c>
      <c r="B6859" s="32" t="n">
        <v>212.456</v>
      </c>
      <c r="D6859" s="33" t="n">
        <f aca="false">WEEKDAY(A6859,2)</f>
        <v>5</v>
      </c>
      <c r="E6859" s="33" t="n">
        <f aca="false">HOUR(A6859)+MINUTE(A6859)/60</f>
        <v>17</v>
      </c>
      <c r="F6859" s="33" t="n">
        <f aca="false">IF(OR(D6859&gt;5,E6859&lt;8,E6859&gt;=18,COUNTIF($K$2:$K$10,INT(A6859))&gt;0),1,0)</f>
        <v>0</v>
      </c>
      <c r="G6859" s="34" t="n">
        <f aca="false">B6859/1</f>
        <v>212.456</v>
      </c>
      <c r="H6859" s="34" t="str">
        <f aca="false">IF(F6859=1,G6859,"")</f>
        <v/>
      </c>
    </row>
    <row r="6860" customFormat="false" ht="15" hidden="false" customHeight="false" outlineLevel="0" collapsed="false">
      <c r="A6860" s="31" t="n">
        <v>43021.75</v>
      </c>
      <c r="B6860" s="32" t="n">
        <v>197.064</v>
      </c>
      <c r="D6860" s="33" t="n">
        <f aca="false">WEEKDAY(A6860,2)</f>
        <v>5</v>
      </c>
      <c r="E6860" s="33" t="n">
        <f aca="false">HOUR(A6860)+MINUTE(A6860)/60</f>
        <v>18</v>
      </c>
      <c r="F6860" s="33" t="n">
        <f aca="false">IF(OR(D6860&gt;5,E6860&lt;8,E6860&gt;=18,COUNTIF($K$2:$K$10,INT(A6860))&gt;0),1,0)</f>
        <v>1</v>
      </c>
      <c r="G6860" s="34" t="n">
        <f aca="false">B6860/1</f>
        <v>197.064</v>
      </c>
      <c r="H6860" s="34" t="n">
        <f aca="false">IF(F6860=1,G6860,"")</f>
        <v>197.064</v>
      </c>
    </row>
    <row r="6861" customFormat="false" ht="15" hidden="false" customHeight="false" outlineLevel="0" collapsed="false">
      <c r="A6861" s="31" t="n">
        <v>43021.7916666667</v>
      </c>
      <c r="B6861" s="32" t="n">
        <v>195.555</v>
      </c>
      <c r="D6861" s="33" t="n">
        <f aca="false">WEEKDAY(A6861,2)</f>
        <v>5</v>
      </c>
      <c r="E6861" s="33" t="n">
        <f aca="false">HOUR(A6861)+MINUTE(A6861)/60</f>
        <v>19</v>
      </c>
      <c r="F6861" s="33" t="n">
        <f aca="false">IF(OR(D6861&gt;5,E6861&lt;8,E6861&gt;=18,COUNTIF($K$2:$K$10,INT(A6861))&gt;0),1,0)</f>
        <v>1</v>
      </c>
      <c r="G6861" s="34" t="n">
        <f aca="false">B6861/1</f>
        <v>195.555</v>
      </c>
      <c r="H6861" s="34" t="n">
        <f aca="false">IF(F6861=1,G6861,"")</f>
        <v>195.555</v>
      </c>
    </row>
    <row r="6862" customFormat="false" ht="15" hidden="false" customHeight="false" outlineLevel="0" collapsed="false">
      <c r="A6862" s="31" t="n">
        <v>43021.8333333333</v>
      </c>
      <c r="B6862" s="32" t="n">
        <v>191.854</v>
      </c>
      <c r="D6862" s="33" t="n">
        <f aca="false">WEEKDAY(A6862,2)</f>
        <v>5</v>
      </c>
      <c r="E6862" s="33" t="n">
        <f aca="false">HOUR(A6862)+MINUTE(A6862)/60</f>
        <v>20</v>
      </c>
      <c r="F6862" s="33" t="n">
        <f aca="false">IF(OR(D6862&gt;5,E6862&lt;8,E6862&gt;=18,COUNTIF($K$2:$K$10,INT(A6862))&gt;0),1,0)</f>
        <v>1</v>
      </c>
      <c r="G6862" s="34" t="n">
        <f aca="false">B6862/1</f>
        <v>191.854</v>
      </c>
      <c r="H6862" s="34" t="n">
        <f aca="false">IF(F6862=1,G6862,"")</f>
        <v>191.854</v>
      </c>
    </row>
    <row r="6863" customFormat="false" ht="15" hidden="false" customHeight="false" outlineLevel="0" collapsed="false">
      <c r="A6863" s="31" t="n">
        <v>43021.875</v>
      </c>
      <c r="B6863" s="32" t="n">
        <v>185.295</v>
      </c>
      <c r="D6863" s="33" t="n">
        <f aca="false">WEEKDAY(A6863,2)</f>
        <v>5</v>
      </c>
      <c r="E6863" s="33" t="n">
        <f aca="false">HOUR(A6863)+MINUTE(A6863)/60</f>
        <v>21</v>
      </c>
      <c r="F6863" s="33" t="n">
        <f aca="false">IF(OR(D6863&gt;5,E6863&lt;8,E6863&gt;=18,COUNTIF($K$2:$K$10,INT(A6863))&gt;0),1,0)</f>
        <v>1</v>
      </c>
      <c r="G6863" s="34" t="n">
        <f aca="false">B6863/1</f>
        <v>185.295</v>
      </c>
      <c r="H6863" s="34" t="n">
        <f aca="false">IF(F6863=1,G6863,"")</f>
        <v>185.295</v>
      </c>
    </row>
    <row r="6864" customFormat="false" ht="15" hidden="false" customHeight="false" outlineLevel="0" collapsed="false">
      <c r="A6864" s="31" t="n">
        <v>43021.9166666667</v>
      </c>
      <c r="B6864" s="32" t="n">
        <v>131.251</v>
      </c>
      <c r="D6864" s="33" t="n">
        <f aca="false">WEEKDAY(A6864,2)</f>
        <v>5</v>
      </c>
      <c r="E6864" s="33" t="n">
        <f aca="false">HOUR(A6864)+MINUTE(A6864)/60</f>
        <v>22</v>
      </c>
      <c r="F6864" s="33" t="n">
        <f aca="false">IF(OR(D6864&gt;5,E6864&lt;8,E6864&gt;=18,COUNTIF($K$2:$K$10,INT(A6864))&gt;0),1,0)</f>
        <v>1</v>
      </c>
      <c r="G6864" s="34" t="n">
        <f aca="false">B6864/1</f>
        <v>131.251</v>
      </c>
      <c r="H6864" s="34" t="n">
        <f aca="false">IF(F6864=1,G6864,"")</f>
        <v>131.251</v>
      </c>
    </row>
    <row r="6865" customFormat="false" ht="15" hidden="false" customHeight="false" outlineLevel="0" collapsed="false">
      <c r="A6865" s="31" t="n">
        <v>43021.9583333333</v>
      </c>
      <c r="B6865" s="32" t="n">
        <v>72.806</v>
      </c>
      <c r="D6865" s="33" t="n">
        <f aca="false">WEEKDAY(A6865,2)</f>
        <v>5</v>
      </c>
      <c r="E6865" s="33" t="n">
        <f aca="false">HOUR(A6865)+MINUTE(A6865)/60</f>
        <v>23</v>
      </c>
      <c r="F6865" s="33" t="n">
        <f aca="false">IF(OR(D6865&gt;5,E6865&lt;8,E6865&gt;=18,COUNTIF($K$2:$K$10,INT(A6865))&gt;0),1,0)</f>
        <v>1</v>
      </c>
      <c r="G6865" s="34" t="n">
        <f aca="false">B6865/1</f>
        <v>72.806</v>
      </c>
      <c r="H6865" s="34" t="n">
        <f aca="false">IF(F6865=1,G6865,"")</f>
        <v>72.806</v>
      </c>
    </row>
    <row r="6866" customFormat="false" ht="15" hidden="false" customHeight="false" outlineLevel="0" collapsed="false">
      <c r="A6866" s="31" t="n">
        <v>43022</v>
      </c>
      <c r="B6866" s="32" t="n">
        <v>71.814</v>
      </c>
      <c r="D6866" s="33" t="n">
        <f aca="false">WEEKDAY(A6866,2)</f>
        <v>6</v>
      </c>
      <c r="E6866" s="33" t="n">
        <f aca="false">HOUR(A6866)+MINUTE(A6866)/60</f>
        <v>0</v>
      </c>
      <c r="F6866" s="33" t="n">
        <f aca="false">IF(OR(D6866&gt;5,E6866&lt;8,E6866&gt;=18,COUNTIF($K$2:$K$10,INT(A6866))&gt;0),1,0)</f>
        <v>1</v>
      </c>
      <c r="G6866" s="34" t="n">
        <f aca="false">B6866/1</f>
        <v>71.814</v>
      </c>
      <c r="H6866" s="34" t="n">
        <f aca="false">IF(F6866=1,G6866,"")</f>
        <v>71.814</v>
      </c>
    </row>
    <row r="6867" customFormat="false" ht="15" hidden="false" customHeight="false" outlineLevel="0" collapsed="false">
      <c r="A6867" s="31" t="n">
        <v>43022.0416666667</v>
      </c>
      <c r="B6867" s="32" t="n">
        <v>66.922</v>
      </c>
      <c r="D6867" s="33" t="n">
        <f aca="false">WEEKDAY(A6867,2)</f>
        <v>6</v>
      </c>
      <c r="E6867" s="33" t="n">
        <f aca="false">HOUR(A6867)+MINUTE(A6867)/60</f>
        <v>1</v>
      </c>
      <c r="F6867" s="33" t="n">
        <f aca="false">IF(OR(D6867&gt;5,E6867&lt;8,E6867&gt;=18,COUNTIF($K$2:$K$10,INT(A6867))&gt;0),1,0)</f>
        <v>1</v>
      </c>
      <c r="G6867" s="34" t="n">
        <f aca="false">B6867/1</f>
        <v>66.922</v>
      </c>
      <c r="H6867" s="34" t="n">
        <f aca="false">IF(F6867=1,G6867,"")</f>
        <v>66.922</v>
      </c>
    </row>
    <row r="6868" customFormat="false" ht="15" hidden="false" customHeight="false" outlineLevel="0" collapsed="false">
      <c r="A6868" s="31" t="n">
        <v>43022.0833333333</v>
      </c>
      <c r="B6868" s="32" t="n">
        <v>63.057</v>
      </c>
      <c r="D6868" s="33" t="n">
        <f aca="false">WEEKDAY(A6868,2)</f>
        <v>6</v>
      </c>
      <c r="E6868" s="33" t="n">
        <f aca="false">HOUR(A6868)+MINUTE(A6868)/60</f>
        <v>2</v>
      </c>
      <c r="F6868" s="33" t="n">
        <f aca="false">IF(OR(D6868&gt;5,E6868&lt;8,E6868&gt;=18,COUNTIF($K$2:$K$10,INT(A6868))&gt;0),1,0)</f>
        <v>1</v>
      </c>
      <c r="G6868" s="34" t="n">
        <f aca="false">B6868/1</f>
        <v>63.057</v>
      </c>
      <c r="H6868" s="34" t="n">
        <f aca="false">IF(F6868=1,G6868,"")</f>
        <v>63.057</v>
      </c>
    </row>
    <row r="6869" customFormat="false" ht="15" hidden="false" customHeight="false" outlineLevel="0" collapsed="false">
      <c r="A6869" s="31" t="n">
        <v>43022.125</v>
      </c>
      <c r="B6869" s="32" t="n">
        <v>62.951</v>
      </c>
      <c r="D6869" s="33" t="n">
        <f aca="false">WEEKDAY(A6869,2)</f>
        <v>6</v>
      </c>
      <c r="E6869" s="33" t="n">
        <f aca="false">HOUR(A6869)+MINUTE(A6869)/60</f>
        <v>3</v>
      </c>
      <c r="F6869" s="33" t="n">
        <f aca="false">IF(OR(D6869&gt;5,E6869&lt;8,E6869&gt;=18,COUNTIF($K$2:$K$10,INT(A6869))&gt;0),1,0)</f>
        <v>1</v>
      </c>
      <c r="G6869" s="34" t="n">
        <f aca="false">B6869/1</f>
        <v>62.951</v>
      </c>
      <c r="H6869" s="34" t="n">
        <f aca="false">IF(F6869=1,G6869,"")</f>
        <v>62.951</v>
      </c>
    </row>
    <row r="6870" customFormat="false" ht="15" hidden="false" customHeight="false" outlineLevel="0" collapsed="false">
      <c r="A6870" s="31" t="n">
        <v>43022.1666666667</v>
      </c>
      <c r="B6870" s="32" t="n">
        <v>59.424</v>
      </c>
      <c r="D6870" s="33" t="n">
        <f aca="false">WEEKDAY(A6870,2)</f>
        <v>6</v>
      </c>
      <c r="E6870" s="33" t="n">
        <f aca="false">HOUR(A6870)+MINUTE(A6870)/60</f>
        <v>4</v>
      </c>
      <c r="F6870" s="33" t="n">
        <f aca="false">IF(OR(D6870&gt;5,E6870&lt;8,E6870&gt;=18,COUNTIF($K$2:$K$10,INT(A6870))&gt;0),1,0)</f>
        <v>1</v>
      </c>
      <c r="G6870" s="34" t="n">
        <f aca="false">B6870/1</f>
        <v>59.424</v>
      </c>
      <c r="H6870" s="34" t="n">
        <f aca="false">IF(F6870=1,G6870,"")</f>
        <v>59.424</v>
      </c>
    </row>
    <row r="6871" customFormat="false" ht="15" hidden="false" customHeight="false" outlineLevel="0" collapsed="false">
      <c r="A6871" s="31" t="n">
        <v>43022.2083333333</v>
      </c>
      <c r="B6871" s="32" t="n">
        <v>59.266</v>
      </c>
      <c r="D6871" s="33" t="n">
        <f aca="false">WEEKDAY(A6871,2)</f>
        <v>6</v>
      </c>
      <c r="E6871" s="33" t="n">
        <f aca="false">HOUR(A6871)+MINUTE(A6871)/60</f>
        <v>5</v>
      </c>
      <c r="F6871" s="33" t="n">
        <f aca="false">IF(OR(D6871&gt;5,E6871&lt;8,E6871&gt;=18,COUNTIF($K$2:$K$10,INT(A6871))&gt;0),1,0)</f>
        <v>1</v>
      </c>
      <c r="G6871" s="34" t="n">
        <f aca="false">B6871/1</f>
        <v>59.266</v>
      </c>
      <c r="H6871" s="34" t="n">
        <f aca="false">IF(F6871=1,G6871,"")</f>
        <v>59.266</v>
      </c>
    </row>
    <row r="6872" customFormat="false" ht="15" hidden="false" customHeight="false" outlineLevel="0" collapsed="false">
      <c r="A6872" s="31" t="n">
        <v>43022.25</v>
      </c>
      <c r="B6872" s="32" t="n">
        <v>60.762</v>
      </c>
      <c r="D6872" s="33" t="n">
        <f aca="false">WEEKDAY(A6872,2)</f>
        <v>6</v>
      </c>
      <c r="E6872" s="33" t="n">
        <f aca="false">HOUR(A6872)+MINUTE(A6872)/60</f>
        <v>6</v>
      </c>
      <c r="F6872" s="33" t="n">
        <f aca="false">IF(OR(D6872&gt;5,E6872&lt;8,E6872&gt;=18,COUNTIF($K$2:$K$10,INT(A6872))&gt;0),1,0)</f>
        <v>1</v>
      </c>
      <c r="G6872" s="34" t="n">
        <f aca="false">B6872/1</f>
        <v>60.762</v>
      </c>
      <c r="H6872" s="34" t="n">
        <f aca="false">IF(F6872=1,G6872,"")</f>
        <v>60.762</v>
      </c>
    </row>
    <row r="6873" customFormat="false" ht="15" hidden="false" customHeight="false" outlineLevel="0" collapsed="false">
      <c r="A6873" s="31" t="n">
        <v>43022.2916666667</v>
      </c>
      <c r="B6873" s="32" t="n">
        <v>56.983</v>
      </c>
      <c r="D6873" s="33" t="n">
        <f aca="false">WEEKDAY(A6873,2)</f>
        <v>6</v>
      </c>
      <c r="E6873" s="33" t="n">
        <f aca="false">HOUR(A6873)+MINUTE(A6873)/60</f>
        <v>7</v>
      </c>
      <c r="F6873" s="33" t="n">
        <f aca="false">IF(OR(D6873&gt;5,E6873&lt;8,E6873&gt;=18,COUNTIF($K$2:$K$10,INT(A6873))&gt;0),1,0)</f>
        <v>1</v>
      </c>
      <c r="G6873" s="34" t="n">
        <f aca="false">B6873/1</f>
        <v>56.983</v>
      </c>
      <c r="H6873" s="34" t="n">
        <f aca="false">IF(F6873=1,G6873,"")</f>
        <v>56.983</v>
      </c>
    </row>
    <row r="6874" customFormat="false" ht="15" hidden="false" customHeight="false" outlineLevel="0" collapsed="false">
      <c r="A6874" s="31" t="n">
        <v>43022.3333333333</v>
      </c>
      <c r="B6874" s="32" t="n">
        <v>120.932</v>
      </c>
      <c r="D6874" s="33" t="n">
        <f aca="false">WEEKDAY(A6874,2)</f>
        <v>6</v>
      </c>
      <c r="E6874" s="33" t="n">
        <f aca="false">HOUR(A6874)+MINUTE(A6874)/60</f>
        <v>8</v>
      </c>
      <c r="F6874" s="33" t="n">
        <f aca="false">IF(OR(D6874&gt;5,E6874&lt;8,E6874&gt;=18,COUNTIF($K$2:$K$10,INT(A6874))&gt;0),1,0)</f>
        <v>1</v>
      </c>
      <c r="G6874" s="34" t="n">
        <f aca="false">B6874/1</f>
        <v>120.932</v>
      </c>
      <c r="H6874" s="34" t="n">
        <f aca="false">IF(F6874=1,G6874,"")</f>
        <v>120.932</v>
      </c>
    </row>
    <row r="6875" customFormat="false" ht="15" hidden="false" customHeight="false" outlineLevel="0" collapsed="false">
      <c r="A6875" s="31" t="n">
        <v>43022.375</v>
      </c>
      <c r="B6875" s="32" t="n">
        <v>161.95</v>
      </c>
      <c r="D6875" s="33" t="n">
        <f aca="false">WEEKDAY(A6875,2)</f>
        <v>6</v>
      </c>
      <c r="E6875" s="33" t="n">
        <f aca="false">HOUR(A6875)+MINUTE(A6875)/60</f>
        <v>9</v>
      </c>
      <c r="F6875" s="33" t="n">
        <f aca="false">IF(OR(D6875&gt;5,E6875&lt;8,E6875&gt;=18,COUNTIF($K$2:$K$10,INT(A6875))&gt;0),1,0)</f>
        <v>1</v>
      </c>
      <c r="G6875" s="34" t="n">
        <f aca="false">B6875/1</f>
        <v>161.95</v>
      </c>
      <c r="H6875" s="34" t="n">
        <f aca="false">IF(F6875=1,G6875,"")</f>
        <v>161.95</v>
      </c>
    </row>
    <row r="6876" customFormat="false" ht="15" hidden="false" customHeight="false" outlineLevel="0" collapsed="false">
      <c r="A6876" s="31" t="n">
        <v>43022.4166666667</v>
      </c>
      <c r="B6876" s="32" t="n">
        <v>165.329</v>
      </c>
      <c r="D6876" s="33" t="n">
        <f aca="false">WEEKDAY(A6876,2)</f>
        <v>6</v>
      </c>
      <c r="E6876" s="33" t="n">
        <f aca="false">HOUR(A6876)+MINUTE(A6876)/60</f>
        <v>10</v>
      </c>
      <c r="F6876" s="33" t="n">
        <f aca="false">IF(OR(D6876&gt;5,E6876&lt;8,E6876&gt;=18,COUNTIF($K$2:$K$10,INT(A6876))&gt;0),1,0)</f>
        <v>1</v>
      </c>
      <c r="G6876" s="34" t="n">
        <f aca="false">B6876/1</f>
        <v>165.329</v>
      </c>
      <c r="H6876" s="34" t="n">
        <f aca="false">IF(F6876=1,G6876,"")</f>
        <v>165.329</v>
      </c>
    </row>
    <row r="6877" customFormat="false" ht="15" hidden="false" customHeight="false" outlineLevel="0" collapsed="false">
      <c r="A6877" s="31" t="n">
        <v>43022.4583333333</v>
      </c>
      <c r="B6877" s="32" t="n">
        <v>169.726</v>
      </c>
      <c r="D6877" s="33" t="n">
        <f aca="false">WEEKDAY(A6877,2)</f>
        <v>6</v>
      </c>
      <c r="E6877" s="33" t="n">
        <f aca="false">HOUR(A6877)+MINUTE(A6877)/60</f>
        <v>11</v>
      </c>
      <c r="F6877" s="33" t="n">
        <f aca="false">IF(OR(D6877&gt;5,E6877&lt;8,E6877&gt;=18,COUNTIF($K$2:$K$10,INT(A6877))&gt;0),1,0)</f>
        <v>1</v>
      </c>
      <c r="G6877" s="34" t="n">
        <f aca="false">B6877/1</f>
        <v>169.726</v>
      </c>
      <c r="H6877" s="34" t="n">
        <f aca="false">IF(F6877=1,G6877,"")</f>
        <v>169.726</v>
      </c>
    </row>
    <row r="6878" customFormat="false" ht="15" hidden="false" customHeight="false" outlineLevel="0" collapsed="false">
      <c r="A6878" s="31" t="n">
        <v>43022.5</v>
      </c>
      <c r="B6878" s="32" t="n">
        <v>176.226</v>
      </c>
      <c r="D6878" s="33" t="n">
        <f aca="false">WEEKDAY(A6878,2)</f>
        <v>6</v>
      </c>
      <c r="E6878" s="33" t="n">
        <f aca="false">HOUR(A6878)+MINUTE(A6878)/60</f>
        <v>12</v>
      </c>
      <c r="F6878" s="33" t="n">
        <f aca="false">IF(OR(D6878&gt;5,E6878&lt;8,E6878&gt;=18,COUNTIF($K$2:$K$10,INT(A6878))&gt;0),1,0)</f>
        <v>1</v>
      </c>
      <c r="G6878" s="34" t="n">
        <f aca="false">B6878/1</f>
        <v>176.226</v>
      </c>
      <c r="H6878" s="34" t="n">
        <f aca="false">IF(F6878=1,G6878,"")</f>
        <v>176.226</v>
      </c>
    </row>
    <row r="6879" customFormat="false" ht="15" hidden="false" customHeight="false" outlineLevel="0" collapsed="false">
      <c r="A6879" s="31" t="n">
        <v>43022.5416666667</v>
      </c>
      <c r="B6879" s="32" t="n">
        <v>178.04</v>
      </c>
      <c r="D6879" s="33" t="n">
        <f aca="false">WEEKDAY(A6879,2)</f>
        <v>6</v>
      </c>
      <c r="E6879" s="33" t="n">
        <f aca="false">HOUR(A6879)+MINUTE(A6879)/60</f>
        <v>13</v>
      </c>
      <c r="F6879" s="33" t="n">
        <f aca="false">IF(OR(D6879&gt;5,E6879&lt;8,E6879&gt;=18,COUNTIF($K$2:$K$10,INT(A6879))&gt;0),1,0)</f>
        <v>1</v>
      </c>
      <c r="G6879" s="34" t="n">
        <f aca="false">B6879/1</f>
        <v>178.04</v>
      </c>
      <c r="H6879" s="34" t="n">
        <f aca="false">IF(F6879=1,G6879,"")</f>
        <v>178.04</v>
      </c>
    </row>
    <row r="6880" customFormat="false" ht="15" hidden="false" customHeight="false" outlineLevel="0" collapsed="false">
      <c r="A6880" s="31" t="n">
        <v>43022.5833333333</v>
      </c>
      <c r="B6880" s="32" t="n">
        <v>179.457</v>
      </c>
      <c r="D6880" s="33" t="n">
        <f aca="false">WEEKDAY(A6880,2)</f>
        <v>6</v>
      </c>
      <c r="E6880" s="33" t="n">
        <f aca="false">HOUR(A6880)+MINUTE(A6880)/60</f>
        <v>14</v>
      </c>
      <c r="F6880" s="33" t="n">
        <f aca="false">IF(OR(D6880&gt;5,E6880&lt;8,E6880&gt;=18,COUNTIF($K$2:$K$10,INT(A6880))&gt;0),1,0)</f>
        <v>1</v>
      </c>
      <c r="G6880" s="34" t="n">
        <f aca="false">B6880/1</f>
        <v>179.457</v>
      </c>
      <c r="H6880" s="34" t="n">
        <f aca="false">IF(F6880=1,G6880,"")</f>
        <v>179.457</v>
      </c>
    </row>
    <row r="6881" customFormat="false" ht="15" hidden="false" customHeight="false" outlineLevel="0" collapsed="false">
      <c r="A6881" s="31" t="n">
        <v>43022.625</v>
      </c>
      <c r="B6881" s="32" t="n">
        <v>181.626</v>
      </c>
      <c r="D6881" s="33" t="n">
        <f aca="false">WEEKDAY(A6881,2)</f>
        <v>6</v>
      </c>
      <c r="E6881" s="33" t="n">
        <f aca="false">HOUR(A6881)+MINUTE(A6881)/60</f>
        <v>15</v>
      </c>
      <c r="F6881" s="33" t="n">
        <f aca="false">IF(OR(D6881&gt;5,E6881&lt;8,E6881&gt;=18,COUNTIF($K$2:$K$10,INT(A6881))&gt;0),1,0)</f>
        <v>1</v>
      </c>
      <c r="G6881" s="34" t="n">
        <f aca="false">B6881/1</f>
        <v>181.626</v>
      </c>
      <c r="H6881" s="34" t="n">
        <f aca="false">IF(F6881=1,G6881,"")</f>
        <v>181.626</v>
      </c>
    </row>
    <row r="6882" customFormat="false" ht="15" hidden="false" customHeight="false" outlineLevel="0" collapsed="false">
      <c r="A6882" s="31" t="n">
        <v>43022.6666666667</v>
      </c>
      <c r="B6882" s="32" t="n">
        <v>179.616</v>
      </c>
      <c r="D6882" s="33" t="n">
        <f aca="false">WEEKDAY(A6882,2)</f>
        <v>6</v>
      </c>
      <c r="E6882" s="33" t="n">
        <f aca="false">HOUR(A6882)+MINUTE(A6882)/60</f>
        <v>16</v>
      </c>
      <c r="F6882" s="33" t="n">
        <f aca="false">IF(OR(D6882&gt;5,E6882&lt;8,E6882&gt;=18,COUNTIF($K$2:$K$10,INT(A6882))&gt;0),1,0)</f>
        <v>1</v>
      </c>
      <c r="G6882" s="34" t="n">
        <f aca="false">B6882/1</f>
        <v>179.616</v>
      </c>
      <c r="H6882" s="34" t="n">
        <f aca="false">IF(F6882=1,G6882,"")</f>
        <v>179.616</v>
      </c>
    </row>
    <row r="6883" customFormat="false" ht="15" hidden="false" customHeight="false" outlineLevel="0" collapsed="false">
      <c r="A6883" s="31" t="n">
        <v>43022.7083333333</v>
      </c>
      <c r="B6883" s="32" t="n">
        <v>175.792</v>
      </c>
      <c r="D6883" s="33" t="n">
        <f aca="false">WEEKDAY(A6883,2)</f>
        <v>6</v>
      </c>
      <c r="E6883" s="33" t="n">
        <f aca="false">HOUR(A6883)+MINUTE(A6883)/60</f>
        <v>17</v>
      </c>
      <c r="F6883" s="33" t="n">
        <f aca="false">IF(OR(D6883&gt;5,E6883&lt;8,E6883&gt;=18,COUNTIF($K$2:$K$10,INT(A6883))&gt;0),1,0)</f>
        <v>1</v>
      </c>
      <c r="G6883" s="34" t="n">
        <f aca="false">B6883/1</f>
        <v>175.792</v>
      </c>
      <c r="H6883" s="34" t="n">
        <f aca="false">IF(F6883=1,G6883,"")</f>
        <v>175.792</v>
      </c>
    </row>
    <row r="6884" customFormat="false" ht="15" hidden="false" customHeight="false" outlineLevel="0" collapsed="false">
      <c r="A6884" s="31" t="n">
        <v>43022.75</v>
      </c>
      <c r="B6884" s="32" t="n">
        <v>85.814</v>
      </c>
      <c r="D6884" s="33" t="n">
        <f aca="false">WEEKDAY(A6884,2)</f>
        <v>6</v>
      </c>
      <c r="E6884" s="33" t="n">
        <f aca="false">HOUR(A6884)+MINUTE(A6884)/60</f>
        <v>18</v>
      </c>
      <c r="F6884" s="33" t="n">
        <f aca="false">IF(OR(D6884&gt;5,E6884&lt;8,E6884&gt;=18,COUNTIF($K$2:$K$10,INT(A6884))&gt;0),1,0)</f>
        <v>1</v>
      </c>
      <c r="G6884" s="34" t="n">
        <f aca="false">B6884/1</f>
        <v>85.814</v>
      </c>
      <c r="H6884" s="34" t="n">
        <f aca="false">IF(F6884=1,G6884,"")</f>
        <v>85.814</v>
      </c>
    </row>
    <row r="6885" customFormat="false" ht="15" hidden="false" customHeight="false" outlineLevel="0" collapsed="false">
      <c r="A6885" s="31" t="n">
        <v>43022.7916666667</v>
      </c>
      <c r="B6885" s="32" t="n">
        <v>67.012</v>
      </c>
      <c r="D6885" s="33" t="n">
        <f aca="false">WEEKDAY(A6885,2)</f>
        <v>6</v>
      </c>
      <c r="E6885" s="33" t="n">
        <f aca="false">HOUR(A6885)+MINUTE(A6885)/60</f>
        <v>19</v>
      </c>
      <c r="F6885" s="33" t="n">
        <f aca="false">IF(OR(D6885&gt;5,E6885&lt;8,E6885&gt;=18,COUNTIF($K$2:$K$10,INT(A6885))&gt;0),1,0)</f>
        <v>1</v>
      </c>
      <c r="G6885" s="34" t="n">
        <f aca="false">B6885/1</f>
        <v>67.012</v>
      </c>
      <c r="H6885" s="34" t="n">
        <f aca="false">IF(F6885=1,G6885,"")</f>
        <v>67.012</v>
      </c>
    </row>
    <row r="6886" customFormat="false" ht="15" hidden="false" customHeight="false" outlineLevel="0" collapsed="false">
      <c r="A6886" s="31" t="n">
        <v>43022.8333333333</v>
      </c>
      <c r="B6886" s="32" t="n">
        <v>66.462</v>
      </c>
      <c r="D6886" s="33" t="n">
        <f aca="false">WEEKDAY(A6886,2)</f>
        <v>6</v>
      </c>
      <c r="E6886" s="33" t="n">
        <f aca="false">HOUR(A6886)+MINUTE(A6886)/60</f>
        <v>20</v>
      </c>
      <c r="F6886" s="33" t="n">
        <f aca="false">IF(OR(D6886&gt;5,E6886&lt;8,E6886&gt;=18,COUNTIF($K$2:$K$10,INT(A6886))&gt;0),1,0)</f>
        <v>1</v>
      </c>
      <c r="G6886" s="34" t="n">
        <f aca="false">B6886/1</f>
        <v>66.462</v>
      </c>
      <c r="H6886" s="34" t="n">
        <f aca="false">IF(F6886=1,G6886,"")</f>
        <v>66.462</v>
      </c>
    </row>
    <row r="6887" customFormat="false" ht="15" hidden="false" customHeight="false" outlineLevel="0" collapsed="false">
      <c r="A6887" s="31" t="n">
        <v>43022.875</v>
      </c>
      <c r="B6887" s="32" t="n">
        <v>66.878</v>
      </c>
      <c r="D6887" s="33" t="n">
        <f aca="false">WEEKDAY(A6887,2)</f>
        <v>6</v>
      </c>
      <c r="E6887" s="33" t="n">
        <f aca="false">HOUR(A6887)+MINUTE(A6887)/60</f>
        <v>21</v>
      </c>
      <c r="F6887" s="33" t="n">
        <f aca="false">IF(OR(D6887&gt;5,E6887&lt;8,E6887&gt;=18,COUNTIF($K$2:$K$10,INT(A6887))&gt;0),1,0)</f>
        <v>1</v>
      </c>
      <c r="G6887" s="34" t="n">
        <f aca="false">B6887/1</f>
        <v>66.878</v>
      </c>
      <c r="H6887" s="34" t="n">
        <f aca="false">IF(F6887=1,G6887,"")</f>
        <v>66.878</v>
      </c>
    </row>
    <row r="6888" customFormat="false" ht="15" hidden="false" customHeight="false" outlineLevel="0" collapsed="false">
      <c r="A6888" s="31" t="n">
        <v>43022.9166666667</v>
      </c>
      <c r="B6888" s="32" t="n">
        <v>66.899</v>
      </c>
      <c r="D6888" s="33" t="n">
        <f aca="false">WEEKDAY(A6888,2)</f>
        <v>6</v>
      </c>
      <c r="E6888" s="33" t="n">
        <f aca="false">HOUR(A6888)+MINUTE(A6888)/60</f>
        <v>22</v>
      </c>
      <c r="F6888" s="33" t="n">
        <f aca="false">IF(OR(D6888&gt;5,E6888&lt;8,E6888&gt;=18,COUNTIF($K$2:$K$10,INT(A6888))&gt;0),1,0)</f>
        <v>1</v>
      </c>
      <c r="G6888" s="34" t="n">
        <f aca="false">B6888/1</f>
        <v>66.899</v>
      </c>
      <c r="H6888" s="34" t="n">
        <f aca="false">IF(F6888=1,G6888,"")</f>
        <v>66.899</v>
      </c>
    </row>
    <row r="6889" customFormat="false" ht="15" hidden="false" customHeight="false" outlineLevel="0" collapsed="false">
      <c r="A6889" s="31" t="n">
        <v>43022.9583333333</v>
      </c>
      <c r="B6889" s="32" t="n">
        <v>66.358</v>
      </c>
      <c r="D6889" s="33" t="n">
        <f aca="false">WEEKDAY(A6889,2)</f>
        <v>6</v>
      </c>
      <c r="E6889" s="33" t="n">
        <f aca="false">HOUR(A6889)+MINUTE(A6889)/60</f>
        <v>23</v>
      </c>
      <c r="F6889" s="33" t="n">
        <f aca="false">IF(OR(D6889&gt;5,E6889&lt;8,E6889&gt;=18,COUNTIF($K$2:$K$10,INT(A6889))&gt;0),1,0)</f>
        <v>1</v>
      </c>
      <c r="G6889" s="34" t="n">
        <f aca="false">B6889/1</f>
        <v>66.358</v>
      </c>
      <c r="H6889" s="34" t="n">
        <f aca="false">IF(F6889=1,G6889,"")</f>
        <v>66.358</v>
      </c>
    </row>
    <row r="6890" customFormat="false" ht="15" hidden="false" customHeight="false" outlineLevel="0" collapsed="false">
      <c r="A6890" s="31" t="n">
        <v>43023</v>
      </c>
      <c r="B6890" s="32" t="n">
        <v>64.893</v>
      </c>
      <c r="D6890" s="33" t="n">
        <f aca="false">WEEKDAY(A6890,2)</f>
        <v>7</v>
      </c>
      <c r="E6890" s="33" t="n">
        <f aca="false">HOUR(A6890)+MINUTE(A6890)/60</f>
        <v>0</v>
      </c>
      <c r="F6890" s="33" t="n">
        <f aca="false">IF(OR(D6890&gt;5,E6890&lt;8,E6890&gt;=18,COUNTIF($K$2:$K$10,INT(A6890))&gt;0),1,0)</f>
        <v>1</v>
      </c>
      <c r="G6890" s="34" t="n">
        <f aca="false">B6890/1</f>
        <v>64.893</v>
      </c>
      <c r="H6890" s="34" t="n">
        <f aca="false">IF(F6890=1,G6890,"")</f>
        <v>64.893</v>
      </c>
    </row>
    <row r="6891" customFormat="false" ht="15" hidden="false" customHeight="false" outlineLevel="0" collapsed="false">
      <c r="A6891" s="31" t="n">
        <v>43023.0416666667</v>
      </c>
      <c r="B6891" s="32" t="n">
        <v>65.16</v>
      </c>
      <c r="D6891" s="33" t="n">
        <f aca="false">WEEKDAY(A6891,2)</f>
        <v>7</v>
      </c>
      <c r="E6891" s="33" t="n">
        <f aca="false">HOUR(A6891)+MINUTE(A6891)/60</f>
        <v>1</v>
      </c>
      <c r="F6891" s="33" t="n">
        <f aca="false">IF(OR(D6891&gt;5,E6891&lt;8,E6891&gt;=18,COUNTIF($K$2:$K$10,INT(A6891))&gt;0),1,0)</f>
        <v>1</v>
      </c>
      <c r="G6891" s="34" t="n">
        <f aca="false">B6891/1</f>
        <v>65.16</v>
      </c>
      <c r="H6891" s="34" t="n">
        <f aca="false">IF(F6891=1,G6891,"")</f>
        <v>65.16</v>
      </c>
    </row>
    <row r="6892" customFormat="false" ht="15" hidden="false" customHeight="false" outlineLevel="0" collapsed="false">
      <c r="A6892" s="31" t="n">
        <v>43023.0833333333</v>
      </c>
      <c r="B6892" s="32" t="n">
        <v>64.982</v>
      </c>
      <c r="D6892" s="33" t="n">
        <f aca="false">WEEKDAY(A6892,2)</f>
        <v>7</v>
      </c>
      <c r="E6892" s="33" t="n">
        <f aca="false">HOUR(A6892)+MINUTE(A6892)/60</f>
        <v>2</v>
      </c>
      <c r="F6892" s="33" t="n">
        <f aca="false">IF(OR(D6892&gt;5,E6892&lt;8,E6892&gt;=18,COUNTIF($K$2:$K$10,INT(A6892))&gt;0),1,0)</f>
        <v>1</v>
      </c>
      <c r="G6892" s="34" t="n">
        <f aca="false">B6892/1</f>
        <v>64.982</v>
      </c>
      <c r="H6892" s="34" t="n">
        <f aca="false">IF(F6892=1,G6892,"")</f>
        <v>64.982</v>
      </c>
    </row>
    <row r="6893" customFormat="false" ht="15" hidden="false" customHeight="false" outlineLevel="0" collapsed="false">
      <c r="A6893" s="31" t="n">
        <v>43023.125</v>
      </c>
      <c r="B6893" s="32" t="n">
        <v>64.454</v>
      </c>
      <c r="D6893" s="33" t="n">
        <f aca="false">WEEKDAY(A6893,2)</f>
        <v>7</v>
      </c>
      <c r="E6893" s="33" t="n">
        <f aca="false">HOUR(A6893)+MINUTE(A6893)/60</f>
        <v>3</v>
      </c>
      <c r="F6893" s="33" t="n">
        <f aca="false">IF(OR(D6893&gt;5,E6893&lt;8,E6893&gt;=18,COUNTIF($K$2:$K$10,INT(A6893))&gt;0),1,0)</f>
        <v>1</v>
      </c>
      <c r="G6893" s="34" t="n">
        <f aca="false">B6893/1</f>
        <v>64.454</v>
      </c>
      <c r="H6893" s="34" t="n">
        <f aca="false">IF(F6893=1,G6893,"")</f>
        <v>64.454</v>
      </c>
    </row>
    <row r="6894" customFormat="false" ht="15" hidden="false" customHeight="false" outlineLevel="0" collapsed="false">
      <c r="A6894" s="31" t="n">
        <v>43023.1666666667</v>
      </c>
      <c r="B6894" s="32" t="n">
        <v>63.49</v>
      </c>
      <c r="D6894" s="33" t="n">
        <f aca="false">WEEKDAY(A6894,2)</f>
        <v>7</v>
      </c>
      <c r="E6894" s="33" t="n">
        <f aca="false">HOUR(A6894)+MINUTE(A6894)/60</f>
        <v>4</v>
      </c>
      <c r="F6894" s="33" t="n">
        <f aca="false">IF(OR(D6894&gt;5,E6894&lt;8,E6894&gt;=18,COUNTIF($K$2:$K$10,INT(A6894))&gt;0),1,0)</f>
        <v>1</v>
      </c>
      <c r="G6894" s="34" t="n">
        <f aca="false">B6894/1</f>
        <v>63.49</v>
      </c>
      <c r="H6894" s="34" t="n">
        <f aca="false">IF(F6894=1,G6894,"")</f>
        <v>63.49</v>
      </c>
    </row>
    <row r="6895" customFormat="false" ht="15" hidden="false" customHeight="false" outlineLevel="0" collapsed="false">
      <c r="A6895" s="31" t="n">
        <v>43023.2083333333</v>
      </c>
      <c r="B6895" s="32" t="n">
        <v>63.903</v>
      </c>
      <c r="D6895" s="33" t="n">
        <f aca="false">WEEKDAY(A6895,2)</f>
        <v>7</v>
      </c>
      <c r="E6895" s="33" t="n">
        <f aca="false">HOUR(A6895)+MINUTE(A6895)/60</f>
        <v>5</v>
      </c>
      <c r="F6895" s="33" t="n">
        <f aca="false">IF(OR(D6895&gt;5,E6895&lt;8,E6895&gt;=18,COUNTIF($K$2:$K$10,INT(A6895))&gt;0),1,0)</f>
        <v>1</v>
      </c>
      <c r="G6895" s="34" t="n">
        <f aca="false">B6895/1</f>
        <v>63.903</v>
      </c>
      <c r="H6895" s="34" t="n">
        <f aca="false">IF(F6895=1,G6895,"")</f>
        <v>63.903</v>
      </c>
    </row>
    <row r="6896" customFormat="false" ht="15" hidden="false" customHeight="false" outlineLevel="0" collapsed="false">
      <c r="A6896" s="31" t="n">
        <v>43023.25</v>
      </c>
      <c r="B6896" s="32" t="n">
        <v>61.104</v>
      </c>
      <c r="D6896" s="33" t="n">
        <f aca="false">WEEKDAY(A6896,2)</f>
        <v>7</v>
      </c>
      <c r="E6896" s="33" t="n">
        <f aca="false">HOUR(A6896)+MINUTE(A6896)/60</f>
        <v>6</v>
      </c>
      <c r="F6896" s="33" t="n">
        <f aca="false">IF(OR(D6896&gt;5,E6896&lt;8,E6896&gt;=18,COUNTIF($K$2:$K$10,INT(A6896))&gt;0),1,0)</f>
        <v>1</v>
      </c>
      <c r="G6896" s="34" t="n">
        <f aca="false">B6896/1</f>
        <v>61.104</v>
      </c>
      <c r="H6896" s="34" t="n">
        <f aca="false">IF(F6896=1,G6896,"")</f>
        <v>61.104</v>
      </c>
    </row>
    <row r="6897" customFormat="false" ht="15" hidden="false" customHeight="false" outlineLevel="0" collapsed="false">
      <c r="A6897" s="31" t="n">
        <v>43023.2916666667</v>
      </c>
      <c r="B6897" s="32" t="n">
        <v>62.359</v>
      </c>
      <c r="D6897" s="33" t="n">
        <f aca="false">WEEKDAY(A6897,2)</f>
        <v>7</v>
      </c>
      <c r="E6897" s="33" t="n">
        <f aca="false">HOUR(A6897)+MINUTE(A6897)/60</f>
        <v>7</v>
      </c>
      <c r="F6897" s="33" t="n">
        <f aca="false">IF(OR(D6897&gt;5,E6897&lt;8,E6897&gt;=18,COUNTIF($K$2:$K$10,INT(A6897))&gt;0),1,0)</f>
        <v>1</v>
      </c>
      <c r="G6897" s="34" t="n">
        <f aca="false">B6897/1</f>
        <v>62.359</v>
      </c>
      <c r="H6897" s="34" t="n">
        <f aca="false">IF(F6897=1,G6897,"")</f>
        <v>62.359</v>
      </c>
    </row>
    <row r="6898" customFormat="false" ht="15" hidden="false" customHeight="false" outlineLevel="0" collapsed="false">
      <c r="A6898" s="31" t="n">
        <v>43023.3333333333</v>
      </c>
      <c r="B6898" s="32" t="n">
        <v>59.503</v>
      </c>
      <c r="D6898" s="33" t="n">
        <f aca="false">WEEKDAY(A6898,2)</f>
        <v>7</v>
      </c>
      <c r="E6898" s="33" t="n">
        <f aca="false">HOUR(A6898)+MINUTE(A6898)/60</f>
        <v>8</v>
      </c>
      <c r="F6898" s="33" t="n">
        <f aca="false">IF(OR(D6898&gt;5,E6898&lt;8,E6898&gt;=18,COUNTIF($K$2:$K$10,INT(A6898))&gt;0),1,0)</f>
        <v>1</v>
      </c>
      <c r="G6898" s="34" t="n">
        <f aca="false">B6898/1</f>
        <v>59.503</v>
      </c>
      <c r="H6898" s="34" t="n">
        <f aca="false">IF(F6898=1,G6898,"")</f>
        <v>59.503</v>
      </c>
    </row>
    <row r="6899" customFormat="false" ht="15" hidden="false" customHeight="false" outlineLevel="0" collapsed="false">
      <c r="A6899" s="31" t="n">
        <v>43023.375</v>
      </c>
      <c r="B6899" s="32" t="n">
        <v>58.891</v>
      </c>
      <c r="D6899" s="33" t="n">
        <f aca="false">WEEKDAY(A6899,2)</f>
        <v>7</v>
      </c>
      <c r="E6899" s="33" t="n">
        <f aca="false">HOUR(A6899)+MINUTE(A6899)/60</f>
        <v>9</v>
      </c>
      <c r="F6899" s="33" t="n">
        <f aca="false">IF(OR(D6899&gt;5,E6899&lt;8,E6899&gt;=18,COUNTIF($K$2:$K$10,INT(A6899))&gt;0),1,0)</f>
        <v>1</v>
      </c>
      <c r="G6899" s="34" t="n">
        <f aca="false">B6899/1</f>
        <v>58.891</v>
      </c>
      <c r="H6899" s="34" t="n">
        <f aca="false">IF(F6899=1,G6899,"")</f>
        <v>58.891</v>
      </c>
    </row>
    <row r="6900" customFormat="false" ht="15" hidden="false" customHeight="false" outlineLevel="0" collapsed="false">
      <c r="A6900" s="31" t="n">
        <v>43023.4166666667</v>
      </c>
      <c r="B6900" s="32" t="n">
        <v>59.444</v>
      </c>
      <c r="D6900" s="33" t="n">
        <f aca="false">WEEKDAY(A6900,2)</f>
        <v>7</v>
      </c>
      <c r="E6900" s="33" t="n">
        <f aca="false">HOUR(A6900)+MINUTE(A6900)/60</f>
        <v>10</v>
      </c>
      <c r="F6900" s="33" t="n">
        <f aca="false">IF(OR(D6900&gt;5,E6900&lt;8,E6900&gt;=18,COUNTIF($K$2:$K$10,INT(A6900))&gt;0),1,0)</f>
        <v>1</v>
      </c>
      <c r="G6900" s="34" t="n">
        <f aca="false">B6900/1</f>
        <v>59.444</v>
      </c>
      <c r="H6900" s="34" t="n">
        <f aca="false">IF(F6900=1,G6900,"")</f>
        <v>59.444</v>
      </c>
    </row>
    <row r="6901" customFormat="false" ht="15" hidden="false" customHeight="false" outlineLevel="0" collapsed="false">
      <c r="A6901" s="31" t="n">
        <v>43023.4583333333</v>
      </c>
      <c r="B6901" s="32" t="n">
        <v>60.662</v>
      </c>
      <c r="D6901" s="33" t="n">
        <f aca="false">WEEKDAY(A6901,2)</f>
        <v>7</v>
      </c>
      <c r="E6901" s="33" t="n">
        <f aca="false">HOUR(A6901)+MINUTE(A6901)/60</f>
        <v>11</v>
      </c>
      <c r="F6901" s="33" t="n">
        <f aca="false">IF(OR(D6901&gt;5,E6901&lt;8,E6901&gt;=18,COUNTIF($K$2:$K$10,INT(A6901))&gt;0),1,0)</f>
        <v>1</v>
      </c>
      <c r="G6901" s="34" t="n">
        <f aca="false">B6901/1</f>
        <v>60.662</v>
      </c>
      <c r="H6901" s="34" t="n">
        <f aca="false">IF(F6901=1,G6901,"")</f>
        <v>60.662</v>
      </c>
    </row>
    <row r="6902" customFormat="false" ht="15" hidden="false" customHeight="false" outlineLevel="0" collapsed="false">
      <c r="A6902" s="31" t="n">
        <v>43023.5</v>
      </c>
      <c r="B6902" s="32" t="n">
        <v>64.127</v>
      </c>
      <c r="D6902" s="33" t="n">
        <f aca="false">WEEKDAY(A6902,2)</f>
        <v>7</v>
      </c>
      <c r="E6902" s="33" t="n">
        <f aca="false">HOUR(A6902)+MINUTE(A6902)/60</f>
        <v>12</v>
      </c>
      <c r="F6902" s="33" t="n">
        <f aca="false">IF(OR(D6902&gt;5,E6902&lt;8,E6902&gt;=18,COUNTIF($K$2:$K$10,INT(A6902))&gt;0),1,0)</f>
        <v>1</v>
      </c>
      <c r="G6902" s="34" t="n">
        <f aca="false">B6902/1</f>
        <v>64.127</v>
      </c>
      <c r="H6902" s="34" t="n">
        <f aca="false">IF(F6902=1,G6902,"")</f>
        <v>64.127</v>
      </c>
    </row>
    <row r="6903" customFormat="false" ht="15" hidden="false" customHeight="false" outlineLevel="0" collapsed="false">
      <c r="A6903" s="31" t="n">
        <v>43023.5416666667</v>
      </c>
      <c r="B6903" s="32" t="n">
        <v>119.55</v>
      </c>
      <c r="D6903" s="33" t="n">
        <f aca="false">WEEKDAY(A6903,2)</f>
        <v>7</v>
      </c>
      <c r="E6903" s="33" t="n">
        <f aca="false">HOUR(A6903)+MINUTE(A6903)/60</f>
        <v>13</v>
      </c>
      <c r="F6903" s="33" t="n">
        <f aca="false">IF(OR(D6903&gt;5,E6903&lt;8,E6903&gt;=18,COUNTIF($K$2:$K$10,INT(A6903))&gt;0),1,0)</f>
        <v>1</v>
      </c>
      <c r="G6903" s="34" t="n">
        <f aca="false">B6903/1</f>
        <v>119.55</v>
      </c>
      <c r="H6903" s="34" t="n">
        <f aca="false">IF(F6903=1,G6903,"")</f>
        <v>119.55</v>
      </c>
    </row>
    <row r="6904" customFormat="false" ht="15" hidden="false" customHeight="false" outlineLevel="0" collapsed="false">
      <c r="A6904" s="31" t="n">
        <v>43023.5833333333</v>
      </c>
      <c r="B6904" s="32" t="n">
        <v>157.156</v>
      </c>
      <c r="D6904" s="33" t="n">
        <f aca="false">WEEKDAY(A6904,2)</f>
        <v>7</v>
      </c>
      <c r="E6904" s="33" t="n">
        <f aca="false">HOUR(A6904)+MINUTE(A6904)/60</f>
        <v>14</v>
      </c>
      <c r="F6904" s="33" t="n">
        <f aca="false">IF(OR(D6904&gt;5,E6904&lt;8,E6904&gt;=18,COUNTIF($K$2:$K$10,INT(A6904))&gt;0),1,0)</f>
        <v>1</v>
      </c>
      <c r="G6904" s="34" t="n">
        <f aca="false">B6904/1</f>
        <v>157.156</v>
      </c>
      <c r="H6904" s="34" t="n">
        <f aca="false">IF(F6904=1,G6904,"")</f>
        <v>157.156</v>
      </c>
    </row>
    <row r="6905" customFormat="false" ht="15" hidden="false" customHeight="false" outlineLevel="0" collapsed="false">
      <c r="A6905" s="31" t="n">
        <v>43023.625</v>
      </c>
      <c r="B6905" s="32" t="n">
        <v>157.328</v>
      </c>
      <c r="D6905" s="33" t="n">
        <f aca="false">WEEKDAY(A6905,2)</f>
        <v>7</v>
      </c>
      <c r="E6905" s="33" t="n">
        <f aca="false">HOUR(A6905)+MINUTE(A6905)/60</f>
        <v>15</v>
      </c>
      <c r="F6905" s="33" t="n">
        <f aca="false">IF(OR(D6905&gt;5,E6905&lt;8,E6905&gt;=18,COUNTIF($K$2:$K$10,INT(A6905))&gt;0),1,0)</f>
        <v>1</v>
      </c>
      <c r="G6905" s="34" t="n">
        <f aca="false">B6905/1</f>
        <v>157.328</v>
      </c>
      <c r="H6905" s="34" t="n">
        <f aca="false">IF(F6905=1,G6905,"")</f>
        <v>157.328</v>
      </c>
    </row>
    <row r="6906" customFormat="false" ht="15" hidden="false" customHeight="false" outlineLevel="0" collapsed="false">
      <c r="A6906" s="31" t="n">
        <v>43023.6666666667</v>
      </c>
      <c r="B6906" s="32" t="n">
        <v>157.006</v>
      </c>
      <c r="D6906" s="33" t="n">
        <f aca="false">WEEKDAY(A6906,2)</f>
        <v>7</v>
      </c>
      <c r="E6906" s="33" t="n">
        <f aca="false">HOUR(A6906)+MINUTE(A6906)/60</f>
        <v>16</v>
      </c>
      <c r="F6906" s="33" t="n">
        <f aca="false">IF(OR(D6906&gt;5,E6906&lt;8,E6906&gt;=18,COUNTIF($K$2:$K$10,INT(A6906))&gt;0),1,0)</f>
        <v>1</v>
      </c>
      <c r="G6906" s="34" t="n">
        <f aca="false">B6906/1</f>
        <v>157.006</v>
      </c>
      <c r="H6906" s="34" t="n">
        <f aca="false">IF(F6906=1,G6906,"")</f>
        <v>157.006</v>
      </c>
    </row>
    <row r="6907" customFormat="false" ht="15" hidden="false" customHeight="false" outlineLevel="0" collapsed="false">
      <c r="A6907" s="31" t="n">
        <v>43023.7083333333</v>
      </c>
      <c r="B6907" s="32" t="n">
        <v>153.01</v>
      </c>
      <c r="D6907" s="33" t="n">
        <f aca="false">WEEKDAY(A6907,2)</f>
        <v>7</v>
      </c>
      <c r="E6907" s="33" t="n">
        <f aca="false">HOUR(A6907)+MINUTE(A6907)/60</f>
        <v>17</v>
      </c>
      <c r="F6907" s="33" t="n">
        <f aca="false">IF(OR(D6907&gt;5,E6907&lt;8,E6907&gt;=18,COUNTIF($K$2:$K$10,INT(A6907))&gt;0),1,0)</f>
        <v>1</v>
      </c>
      <c r="G6907" s="34" t="n">
        <f aca="false">B6907/1</f>
        <v>153.01</v>
      </c>
      <c r="H6907" s="34" t="n">
        <f aca="false">IF(F6907=1,G6907,"")</f>
        <v>153.01</v>
      </c>
    </row>
    <row r="6908" customFormat="false" ht="15" hidden="false" customHeight="false" outlineLevel="0" collapsed="false">
      <c r="A6908" s="31" t="n">
        <v>43023.75</v>
      </c>
      <c r="B6908" s="32" t="n">
        <v>80.131</v>
      </c>
      <c r="D6908" s="33" t="n">
        <f aca="false">WEEKDAY(A6908,2)</f>
        <v>7</v>
      </c>
      <c r="E6908" s="33" t="n">
        <f aca="false">HOUR(A6908)+MINUTE(A6908)/60</f>
        <v>18</v>
      </c>
      <c r="F6908" s="33" t="n">
        <f aca="false">IF(OR(D6908&gt;5,E6908&lt;8,E6908&gt;=18,COUNTIF($K$2:$K$10,INT(A6908))&gt;0),1,0)</f>
        <v>1</v>
      </c>
      <c r="G6908" s="34" t="n">
        <f aca="false">B6908/1</f>
        <v>80.131</v>
      </c>
      <c r="H6908" s="34" t="n">
        <f aca="false">IF(F6908=1,G6908,"")</f>
        <v>80.131</v>
      </c>
    </row>
    <row r="6909" customFormat="false" ht="15" hidden="false" customHeight="false" outlineLevel="0" collapsed="false">
      <c r="A6909" s="31" t="n">
        <v>43023.7916666667</v>
      </c>
      <c r="B6909" s="32" t="n">
        <v>74.938</v>
      </c>
      <c r="D6909" s="33" t="n">
        <f aca="false">WEEKDAY(A6909,2)</f>
        <v>7</v>
      </c>
      <c r="E6909" s="33" t="n">
        <f aca="false">HOUR(A6909)+MINUTE(A6909)/60</f>
        <v>19</v>
      </c>
      <c r="F6909" s="33" t="n">
        <f aca="false">IF(OR(D6909&gt;5,E6909&lt;8,E6909&gt;=18,COUNTIF($K$2:$K$10,INT(A6909))&gt;0),1,0)</f>
        <v>1</v>
      </c>
      <c r="G6909" s="34" t="n">
        <f aca="false">B6909/1</f>
        <v>74.938</v>
      </c>
      <c r="H6909" s="34" t="n">
        <f aca="false">IF(F6909=1,G6909,"")</f>
        <v>74.938</v>
      </c>
    </row>
    <row r="6910" customFormat="false" ht="15" hidden="false" customHeight="false" outlineLevel="0" collapsed="false">
      <c r="A6910" s="31" t="n">
        <v>43023.8333333333</v>
      </c>
      <c r="B6910" s="32" t="n">
        <v>73.019</v>
      </c>
      <c r="D6910" s="33" t="n">
        <f aca="false">WEEKDAY(A6910,2)</f>
        <v>7</v>
      </c>
      <c r="E6910" s="33" t="n">
        <f aca="false">HOUR(A6910)+MINUTE(A6910)/60</f>
        <v>20</v>
      </c>
      <c r="F6910" s="33" t="n">
        <f aca="false">IF(OR(D6910&gt;5,E6910&lt;8,E6910&gt;=18,COUNTIF($K$2:$K$10,INT(A6910))&gt;0),1,0)</f>
        <v>1</v>
      </c>
      <c r="G6910" s="34" t="n">
        <f aca="false">B6910/1</f>
        <v>73.019</v>
      </c>
      <c r="H6910" s="34" t="n">
        <f aca="false">IF(F6910=1,G6910,"")</f>
        <v>73.019</v>
      </c>
    </row>
    <row r="6911" customFormat="false" ht="15" hidden="false" customHeight="false" outlineLevel="0" collapsed="false">
      <c r="A6911" s="31" t="n">
        <v>43023.875</v>
      </c>
      <c r="B6911" s="32" t="n">
        <v>72.288</v>
      </c>
      <c r="D6911" s="33" t="n">
        <f aca="false">WEEKDAY(A6911,2)</f>
        <v>7</v>
      </c>
      <c r="E6911" s="33" t="n">
        <f aca="false">HOUR(A6911)+MINUTE(A6911)/60</f>
        <v>21</v>
      </c>
      <c r="F6911" s="33" t="n">
        <f aca="false">IF(OR(D6911&gt;5,E6911&lt;8,E6911&gt;=18,COUNTIF($K$2:$K$10,INT(A6911))&gt;0),1,0)</f>
        <v>1</v>
      </c>
      <c r="G6911" s="34" t="n">
        <f aca="false">B6911/1</f>
        <v>72.288</v>
      </c>
      <c r="H6911" s="34" t="n">
        <f aca="false">IF(F6911=1,G6911,"")</f>
        <v>72.288</v>
      </c>
    </row>
    <row r="6912" customFormat="false" ht="15" hidden="false" customHeight="false" outlineLevel="0" collapsed="false">
      <c r="A6912" s="31" t="n">
        <v>43023.9166666667</v>
      </c>
      <c r="B6912" s="32" t="n">
        <v>72.872</v>
      </c>
      <c r="D6912" s="33" t="n">
        <f aca="false">WEEKDAY(A6912,2)</f>
        <v>7</v>
      </c>
      <c r="E6912" s="33" t="n">
        <f aca="false">HOUR(A6912)+MINUTE(A6912)/60</f>
        <v>22</v>
      </c>
      <c r="F6912" s="33" t="n">
        <f aca="false">IF(OR(D6912&gt;5,E6912&lt;8,E6912&gt;=18,COUNTIF($K$2:$K$10,INT(A6912))&gt;0),1,0)</f>
        <v>1</v>
      </c>
      <c r="G6912" s="34" t="n">
        <f aca="false">B6912/1</f>
        <v>72.872</v>
      </c>
      <c r="H6912" s="34" t="n">
        <f aca="false">IF(F6912=1,G6912,"")</f>
        <v>72.872</v>
      </c>
    </row>
    <row r="6913" customFormat="false" ht="15" hidden="false" customHeight="false" outlineLevel="0" collapsed="false">
      <c r="A6913" s="31" t="n">
        <v>43023.9583333333</v>
      </c>
      <c r="B6913" s="32" t="n">
        <v>70.185</v>
      </c>
      <c r="D6913" s="33" t="n">
        <f aca="false">WEEKDAY(A6913,2)</f>
        <v>7</v>
      </c>
      <c r="E6913" s="33" t="n">
        <f aca="false">HOUR(A6913)+MINUTE(A6913)/60</f>
        <v>23</v>
      </c>
      <c r="F6913" s="33" t="n">
        <f aca="false">IF(OR(D6913&gt;5,E6913&lt;8,E6913&gt;=18,COUNTIF($K$2:$K$10,INT(A6913))&gt;0),1,0)</f>
        <v>1</v>
      </c>
      <c r="G6913" s="34" t="n">
        <f aca="false">B6913/1</f>
        <v>70.185</v>
      </c>
      <c r="H6913" s="34" t="n">
        <f aca="false">IF(F6913=1,G6913,"")</f>
        <v>70.185</v>
      </c>
    </row>
    <row r="6914" customFormat="false" ht="15" hidden="false" customHeight="false" outlineLevel="0" collapsed="false">
      <c r="A6914" s="31" t="n">
        <v>43024</v>
      </c>
      <c r="B6914" s="32" t="n">
        <v>67.888</v>
      </c>
      <c r="D6914" s="33" t="n">
        <f aca="false">WEEKDAY(A6914,2)</f>
        <v>1</v>
      </c>
      <c r="E6914" s="33" t="n">
        <f aca="false">HOUR(A6914)+MINUTE(A6914)/60</f>
        <v>0</v>
      </c>
      <c r="F6914" s="33" t="n">
        <f aca="false">IF(OR(D6914&gt;5,E6914&lt;8,E6914&gt;=18,COUNTIF($K$2:$K$10,INT(A6914))&gt;0),1,0)</f>
        <v>1</v>
      </c>
      <c r="G6914" s="34" t="n">
        <f aca="false">B6914/1</f>
        <v>67.888</v>
      </c>
      <c r="H6914" s="34" t="n">
        <f aca="false">IF(F6914=1,G6914,"")</f>
        <v>67.888</v>
      </c>
    </row>
    <row r="6915" customFormat="false" ht="15" hidden="false" customHeight="false" outlineLevel="0" collapsed="false">
      <c r="A6915" s="31" t="n">
        <v>43024.0416666667</v>
      </c>
      <c r="B6915" s="32" t="n">
        <v>67.425</v>
      </c>
      <c r="D6915" s="33" t="n">
        <f aca="false">WEEKDAY(A6915,2)</f>
        <v>1</v>
      </c>
      <c r="E6915" s="33" t="n">
        <f aca="false">HOUR(A6915)+MINUTE(A6915)/60</f>
        <v>1</v>
      </c>
      <c r="F6915" s="33" t="n">
        <f aca="false">IF(OR(D6915&gt;5,E6915&lt;8,E6915&gt;=18,COUNTIF($K$2:$K$10,INT(A6915))&gt;0),1,0)</f>
        <v>1</v>
      </c>
      <c r="G6915" s="34" t="n">
        <f aca="false">B6915/1</f>
        <v>67.425</v>
      </c>
      <c r="H6915" s="34" t="n">
        <f aca="false">IF(F6915=1,G6915,"")</f>
        <v>67.425</v>
      </c>
    </row>
    <row r="6916" customFormat="false" ht="15" hidden="false" customHeight="false" outlineLevel="0" collapsed="false">
      <c r="A6916" s="31" t="n">
        <v>43024.0833333333</v>
      </c>
      <c r="B6916" s="32" t="n">
        <v>68.602</v>
      </c>
      <c r="D6916" s="33" t="n">
        <f aca="false">WEEKDAY(A6916,2)</f>
        <v>1</v>
      </c>
      <c r="E6916" s="33" t="n">
        <f aca="false">HOUR(A6916)+MINUTE(A6916)/60</f>
        <v>2</v>
      </c>
      <c r="F6916" s="33" t="n">
        <f aca="false">IF(OR(D6916&gt;5,E6916&lt;8,E6916&gt;=18,COUNTIF($K$2:$K$10,INT(A6916))&gt;0),1,0)</f>
        <v>1</v>
      </c>
      <c r="G6916" s="34" t="n">
        <f aca="false">B6916/1</f>
        <v>68.602</v>
      </c>
      <c r="H6916" s="34" t="n">
        <f aca="false">IF(F6916=1,G6916,"")</f>
        <v>68.602</v>
      </c>
    </row>
    <row r="6917" customFormat="false" ht="15" hidden="false" customHeight="false" outlineLevel="0" collapsed="false">
      <c r="A6917" s="31" t="n">
        <v>43024.125</v>
      </c>
      <c r="B6917" s="32" t="n">
        <v>69.029</v>
      </c>
      <c r="D6917" s="33" t="n">
        <f aca="false">WEEKDAY(A6917,2)</f>
        <v>1</v>
      </c>
      <c r="E6917" s="33" t="n">
        <f aca="false">HOUR(A6917)+MINUTE(A6917)/60</f>
        <v>3</v>
      </c>
      <c r="F6917" s="33" t="n">
        <f aca="false">IF(OR(D6917&gt;5,E6917&lt;8,E6917&gt;=18,COUNTIF($K$2:$K$10,INT(A6917))&gt;0),1,0)</f>
        <v>1</v>
      </c>
      <c r="G6917" s="34" t="n">
        <f aca="false">B6917/1</f>
        <v>69.029</v>
      </c>
      <c r="H6917" s="34" t="n">
        <f aca="false">IF(F6917=1,G6917,"")</f>
        <v>69.029</v>
      </c>
    </row>
    <row r="6918" customFormat="false" ht="15" hidden="false" customHeight="false" outlineLevel="0" collapsed="false">
      <c r="A6918" s="31" t="n">
        <v>43024.1666666667</v>
      </c>
      <c r="B6918" s="32" t="n">
        <v>68.082</v>
      </c>
      <c r="D6918" s="33" t="n">
        <f aca="false">WEEKDAY(A6918,2)</f>
        <v>1</v>
      </c>
      <c r="E6918" s="33" t="n">
        <f aca="false">HOUR(A6918)+MINUTE(A6918)/60</f>
        <v>4</v>
      </c>
      <c r="F6918" s="33" t="n">
        <f aca="false">IF(OR(D6918&gt;5,E6918&lt;8,E6918&gt;=18,COUNTIF($K$2:$K$10,INT(A6918))&gt;0),1,0)</f>
        <v>1</v>
      </c>
      <c r="G6918" s="34" t="n">
        <f aca="false">B6918/1</f>
        <v>68.082</v>
      </c>
      <c r="H6918" s="34" t="n">
        <f aca="false">IF(F6918=1,G6918,"")</f>
        <v>68.082</v>
      </c>
    </row>
    <row r="6919" customFormat="false" ht="15" hidden="false" customHeight="false" outlineLevel="0" collapsed="false">
      <c r="A6919" s="31" t="n">
        <v>43024.2083333333</v>
      </c>
      <c r="B6919" s="32" t="n">
        <v>67.064</v>
      </c>
      <c r="D6919" s="33" t="n">
        <f aca="false">WEEKDAY(A6919,2)</f>
        <v>1</v>
      </c>
      <c r="E6919" s="33" t="n">
        <f aca="false">HOUR(A6919)+MINUTE(A6919)/60</f>
        <v>5</v>
      </c>
      <c r="F6919" s="33" t="n">
        <f aca="false">IF(OR(D6919&gt;5,E6919&lt;8,E6919&gt;=18,COUNTIF($K$2:$K$10,INT(A6919))&gt;0),1,0)</f>
        <v>1</v>
      </c>
      <c r="G6919" s="34" t="n">
        <f aca="false">B6919/1</f>
        <v>67.064</v>
      </c>
      <c r="H6919" s="34" t="n">
        <f aca="false">IF(F6919=1,G6919,"")</f>
        <v>67.064</v>
      </c>
    </row>
    <row r="6920" customFormat="false" ht="15" hidden="false" customHeight="false" outlineLevel="0" collapsed="false">
      <c r="A6920" s="31" t="n">
        <v>43024.25</v>
      </c>
      <c r="B6920" s="32" t="n">
        <v>66.505</v>
      </c>
      <c r="D6920" s="33" t="n">
        <f aca="false">WEEKDAY(A6920,2)</f>
        <v>1</v>
      </c>
      <c r="E6920" s="33" t="n">
        <f aca="false">HOUR(A6920)+MINUTE(A6920)/60</f>
        <v>6</v>
      </c>
      <c r="F6920" s="33" t="n">
        <f aca="false">IF(OR(D6920&gt;5,E6920&lt;8,E6920&gt;=18,COUNTIF($K$2:$K$10,INT(A6920))&gt;0),1,0)</f>
        <v>1</v>
      </c>
      <c r="G6920" s="34" t="n">
        <f aca="false">B6920/1</f>
        <v>66.505</v>
      </c>
      <c r="H6920" s="34" t="n">
        <f aca="false">IF(F6920=1,G6920,"")</f>
        <v>66.505</v>
      </c>
    </row>
    <row r="6921" customFormat="false" ht="15" hidden="false" customHeight="false" outlineLevel="0" collapsed="false">
      <c r="A6921" s="31" t="n">
        <v>43024.2916666667</v>
      </c>
      <c r="B6921" s="32" t="n">
        <v>85.693</v>
      </c>
      <c r="D6921" s="33" t="n">
        <f aca="false">WEEKDAY(A6921,2)</f>
        <v>1</v>
      </c>
      <c r="E6921" s="33" t="n">
        <f aca="false">HOUR(A6921)+MINUTE(A6921)/60</f>
        <v>7</v>
      </c>
      <c r="F6921" s="33" t="n">
        <f aca="false">IF(OR(D6921&gt;5,E6921&lt;8,E6921&gt;=18,COUNTIF($K$2:$K$10,INT(A6921))&gt;0),1,0)</f>
        <v>1</v>
      </c>
      <c r="G6921" s="34" t="n">
        <f aca="false">B6921/1</f>
        <v>85.693</v>
      </c>
      <c r="H6921" s="34" t="n">
        <f aca="false">IF(F6921=1,G6921,"")</f>
        <v>85.693</v>
      </c>
    </row>
    <row r="6922" customFormat="false" ht="15" hidden="false" customHeight="false" outlineLevel="0" collapsed="false">
      <c r="A6922" s="31" t="n">
        <v>43024.3333333333</v>
      </c>
      <c r="B6922" s="32" t="n">
        <v>181.666</v>
      </c>
      <c r="D6922" s="33" t="n">
        <f aca="false">WEEKDAY(A6922,2)</f>
        <v>1</v>
      </c>
      <c r="E6922" s="33" t="n">
        <f aca="false">HOUR(A6922)+MINUTE(A6922)/60</f>
        <v>8</v>
      </c>
      <c r="F6922" s="33" t="n">
        <f aca="false">IF(OR(D6922&gt;5,E6922&lt;8,E6922&gt;=18,COUNTIF($K$2:$K$10,INT(A6922))&gt;0),1,0)</f>
        <v>0</v>
      </c>
      <c r="G6922" s="34" t="n">
        <f aca="false">B6922/1</f>
        <v>181.666</v>
      </c>
      <c r="H6922" s="34" t="str">
        <f aca="false">IF(F6922=1,G6922,"")</f>
        <v/>
      </c>
    </row>
    <row r="6923" customFormat="false" ht="15" hidden="false" customHeight="false" outlineLevel="0" collapsed="false">
      <c r="A6923" s="31" t="n">
        <v>43024.375</v>
      </c>
      <c r="B6923" s="32" t="n">
        <v>219.401</v>
      </c>
      <c r="D6923" s="33" t="n">
        <f aca="false">WEEKDAY(A6923,2)</f>
        <v>1</v>
      </c>
      <c r="E6923" s="33" t="n">
        <f aca="false">HOUR(A6923)+MINUTE(A6923)/60</f>
        <v>9</v>
      </c>
      <c r="F6923" s="33" t="n">
        <f aca="false">IF(OR(D6923&gt;5,E6923&lt;8,E6923&gt;=18,COUNTIF($K$2:$K$10,INT(A6923))&gt;0),1,0)</f>
        <v>0</v>
      </c>
      <c r="G6923" s="34" t="n">
        <f aca="false">B6923/1</f>
        <v>219.401</v>
      </c>
      <c r="H6923" s="34" t="str">
        <f aca="false">IF(F6923=1,G6923,"")</f>
        <v/>
      </c>
    </row>
    <row r="6924" customFormat="false" ht="15" hidden="false" customHeight="false" outlineLevel="0" collapsed="false">
      <c r="A6924" s="31" t="n">
        <v>43024.4166666667</v>
      </c>
      <c r="B6924" s="32" t="n">
        <v>246.312</v>
      </c>
      <c r="D6924" s="33" t="n">
        <f aca="false">WEEKDAY(A6924,2)</f>
        <v>1</v>
      </c>
      <c r="E6924" s="33" t="n">
        <f aca="false">HOUR(A6924)+MINUTE(A6924)/60</f>
        <v>10</v>
      </c>
      <c r="F6924" s="33" t="n">
        <f aca="false">IF(OR(D6924&gt;5,E6924&lt;8,E6924&gt;=18,COUNTIF($K$2:$K$10,INT(A6924))&gt;0),1,0)</f>
        <v>0</v>
      </c>
      <c r="G6924" s="34" t="n">
        <f aca="false">B6924/1</f>
        <v>246.312</v>
      </c>
      <c r="H6924" s="34" t="str">
        <f aca="false">IF(F6924=1,G6924,"")</f>
        <v/>
      </c>
    </row>
    <row r="6925" customFormat="false" ht="15" hidden="false" customHeight="false" outlineLevel="0" collapsed="false">
      <c r="A6925" s="31" t="n">
        <v>43024.4583333333</v>
      </c>
      <c r="B6925" s="32" t="n">
        <v>259.17</v>
      </c>
      <c r="D6925" s="33" t="n">
        <f aca="false">WEEKDAY(A6925,2)</f>
        <v>1</v>
      </c>
      <c r="E6925" s="33" t="n">
        <f aca="false">HOUR(A6925)+MINUTE(A6925)/60</f>
        <v>11</v>
      </c>
      <c r="F6925" s="33" t="n">
        <f aca="false">IF(OR(D6925&gt;5,E6925&lt;8,E6925&gt;=18,COUNTIF($K$2:$K$10,INT(A6925))&gt;0),1,0)</f>
        <v>0</v>
      </c>
      <c r="G6925" s="34" t="n">
        <f aca="false">B6925/1</f>
        <v>259.17</v>
      </c>
      <c r="H6925" s="34" t="str">
        <f aca="false">IF(F6925=1,G6925,"")</f>
        <v/>
      </c>
    </row>
    <row r="6926" customFormat="false" ht="15" hidden="false" customHeight="false" outlineLevel="0" collapsed="false">
      <c r="A6926" s="31" t="n">
        <v>43024.5</v>
      </c>
      <c r="B6926" s="32" t="n">
        <v>268.274</v>
      </c>
      <c r="D6926" s="33" t="n">
        <f aca="false">WEEKDAY(A6926,2)</f>
        <v>1</v>
      </c>
      <c r="E6926" s="33" t="n">
        <f aca="false">HOUR(A6926)+MINUTE(A6926)/60</f>
        <v>12</v>
      </c>
      <c r="F6926" s="33" t="n">
        <f aca="false">IF(OR(D6926&gt;5,E6926&lt;8,E6926&gt;=18,COUNTIF($K$2:$K$10,INT(A6926))&gt;0),1,0)</f>
        <v>0</v>
      </c>
      <c r="G6926" s="34" t="n">
        <f aca="false">B6926/1</f>
        <v>268.274</v>
      </c>
      <c r="H6926" s="34" t="str">
        <f aca="false">IF(F6926=1,G6926,"")</f>
        <v/>
      </c>
    </row>
    <row r="6927" customFormat="false" ht="15" hidden="false" customHeight="false" outlineLevel="0" collapsed="false">
      <c r="A6927" s="31" t="n">
        <v>43024.5416666667</v>
      </c>
      <c r="B6927" s="32" t="n">
        <v>259.376</v>
      </c>
      <c r="D6927" s="33" t="n">
        <f aca="false">WEEKDAY(A6927,2)</f>
        <v>1</v>
      </c>
      <c r="E6927" s="33" t="n">
        <f aca="false">HOUR(A6927)+MINUTE(A6927)/60</f>
        <v>13</v>
      </c>
      <c r="F6927" s="33" t="n">
        <f aca="false">IF(OR(D6927&gt;5,E6927&lt;8,E6927&gt;=18,COUNTIF($K$2:$K$10,INT(A6927))&gt;0),1,0)</f>
        <v>0</v>
      </c>
      <c r="G6927" s="34" t="n">
        <f aca="false">B6927/1</f>
        <v>259.376</v>
      </c>
      <c r="H6927" s="34" t="str">
        <f aca="false">IF(F6927=1,G6927,"")</f>
        <v/>
      </c>
    </row>
    <row r="6928" customFormat="false" ht="15" hidden="false" customHeight="false" outlineLevel="0" collapsed="false">
      <c r="A6928" s="31" t="n">
        <v>43024.5833333333</v>
      </c>
      <c r="B6928" s="32" t="n">
        <v>262.136</v>
      </c>
      <c r="D6928" s="33" t="n">
        <f aca="false">WEEKDAY(A6928,2)</f>
        <v>1</v>
      </c>
      <c r="E6928" s="33" t="n">
        <f aca="false">HOUR(A6928)+MINUTE(A6928)/60</f>
        <v>14</v>
      </c>
      <c r="F6928" s="33" t="n">
        <f aca="false">IF(OR(D6928&gt;5,E6928&lt;8,E6928&gt;=18,COUNTIF($K$2:$K$10,INT(A6928))&gt;0),1,0)</f>
        <v>0</v>
      </c>
      <c r="G6928" s="34" t="n">
        <f aca="false">B6928/1</f>
        <v>262.136</v>
      </c>
      <c r="H6928" s="34" t="str">
        <f aca="false">IF(F6928=1,G6928,"")</f>
        <v/>
      </c>
    </row>
    <row r="6929" customFormat="false" ht="15" hidden="false" customHeight="false" outlineLevel="0" collapsed="false">
      <c r="A6929" s="31" t="n">
        <v>43024.625</v>
      </c>
      <c r="B6929" s="32" t="n">
        <v>263.819</v>
      </c>
      <c r="D6929" s="33" t="n">
        <f aca="false">WEEKDAY(A6929,2)</f>
        <v>1</v>
      </c>
      <c r="E6929" s="33" t="n">
        <f aca="false">HOUR(A6929)+MINUTE(A6929)/60</f>
        <v>15</v>
      </c>
      <c r="F6929" s="33" t="n">
        <f aca="false">IF(OR(D6929&gt;5,E6929&lt;8,E6929&gt;=18,COUNTIF($K$2:$K$10,INT(A6929))&gt;0),1,0)</f>
        <v>0</v>
      </c>
      <c r="G6929" s="34" t="n">
        <f aca="false">B6929/1</f>
        <v>263.819</v>
      </c>
      <c r="H6929" s="34" t="str">
        <f aca="false">IF(F6929=1,G6929,"")</f>
        <v/>
      </c>
    </row>
    <row r="6930" customFormat="false" ht="15" hidden="false" customHeight="false" outlineLevel="0" collapsed="false">
      <c r="A6930" s="31" t="n">
        <v>43024.6666666667</v>
      </c>
      <c r="B6930" s="32" t="n">
        <v>256.786</v>
      </c>
      <c r="D6930" s="33" t="n">
        <f aca="false">WEEKDAY(A6930,2)</f>
        <v>1</v>
      </c>
      <c r="E6930" s="33" t="n">
        <f aca="false">HOUR(A6930)+MINUTE(A6930)/60</f>
        <v>16</v>
      </c>
      <c r="F6930" s="33" t="n">
        <f aca="false">IF(OR(D6930&gt;5,E6930&lt;8,E6930&gt;=18,COUNTIF($K$2:$K$10,INT(A6930))&gt;0),1,0)</f>
        <v>0</v>
      </c>
      <c r="G6930" s="34" t="n">
        <f aca="false">B6930/1</f>
        <v>256.786</v>
      </c>
      <c r="H6930" s="34" t="str">
        <f aca="false">IF(F6930=1,G6930,"")</f>
        <v/>
      </c>
    </row>
    <row r="6931" customFormat="false" ht="15" hidden="false" customHeight="false" outlineLevel="0" collapsed="false">
      <c r="A6931" s="31" t="n">
        <v>43024.7083333333</v>
      </c>
      <c r="B6931" s="32" t="n">
        <v>249.498</v>
      </c>
      <c r="D6931" s="33" t="n">
        <f aca="false">WEEKDAY(A6931,2)</f>
        <v>1</v>
      </c>
      <c r="E6931" s="33" t="n">
        <f aca="false">HOUR(A6931)+MINUTE(A6931)/60</f>
        <v>17</v>
      </c>
      <c r="F6931" s="33" t="n">
        <f aca="false">IF(OR(D6931&gt;5,E6931&lt;8,E6931&gt;=18,COUNTIF($K$2:$K$10,INT(A6931))&gt;0),1,0)</f>
        <v>0</v>
      </c>
      <c r="G6931" s="34" t="n">
        <f aca="false">B6931/1</f>
        <v>249.498</v>
      </c>
      <c r="H6931" s="34" t="str">
        <f aca="false">IF(F6931=1,G6931,"")</f>
        <v/>
      </c>
    </row>
    <row r="6932" customFormat="false" ht="15" hidden="false" customHeight="false" outlineLevel="0" collapsed="false">
      <c r="A6932" s="31" t="n">
        <v>43024.75</v>
      </c>
      <c r="B6932" s="32" t="n">
        <v>223.129</v>
      </c>
      <c r="D6932" s="33" t="n">
        <f aca="false">WEEKDAY(A6932,2)</f>
        <v>1</v>
      </c>
      <c r="E6932" s="33" t="n">
        <f aca="false">HOUR(A6932)+MINUTE(A6932)/60</f>
        <v>18</v>
      </c>
      <c r="F6932" s="33" t="n">
        <f aca="false">IF(OR(D6932&gt;5,E6932&lt;8,E6932&gt;=18,COUNTIF($K$2:$K$10,INT(A6932))&gt;0),1,0)</f>
        <v>1</v>
      </c>
      <c r="G6932" s="34" t="n">
        <f aca="false">B6932/1</f>
        <v>223.129</v>
      </c>
      <c r="H6932" s="34" t="n">
        <f aca="false">IF(F6932=1,G6932,"")</f>
        <v>223.129</v>
      </c>
    </row>
    <row r="6933" customFormat="false" ht="15" hidden="false" customHeight="false" outlineLevel="0" collapsed="false">
      <c r="A6933" s="31" t="n">
        <v>43024.7916666667</v>
      </c>
      <c r="B6933" s="32" t="n">
        <v>213.769</v>
      </c>
      <c r="D6933" s="33" t="n">
        <f aca="false">WEEKDAY(A6933,2)</f>
        <v>1</v>
      </c>
      <c r="E6933" s="33" t="n">
        <f aca="false">HOUR(A6933)+MINUTE(A6933)/60</f>
        <v>19</v>
      </c>
      <c r="F6933" s="33" t="n">
        <f aca="false">IF(OR(D6933&gt;5,E6933&lt;8,E6933&gt;=18,COUNTIF($K$2:$K$10,INT(A6933))&gt;0),1,0)</f>
        <v>1</v>
      </c>
      <c r="G6933" s="34" t="n">
        <f aca="false">B6933/1</f>
        <v>213.769</v>
      </c>
      <c r="H6933" s="34" t="n">
        <f aca="false">IF(F6933=1,G6933,"")</f>
        <v>213.769</v>
      </c>
    </row>
    <row r="6934" customFormat="false" ht="15" hidden="false" customHeight="false" outlineLevel="0" collapsed="false">
      <c r="A6934" s="31" t="n">
        <v>43024.8333333333</v>
      </c>
      <c r="B6934" s="32" t="n">
        <v>208.169</v>
      </c>
      <c r="D6934" s="33" t="n">
        <f aca="false">WEEKDAY(A6934,2)</f>
        <v>1</v>
      </c>
      <c r="E6934" s="33" t="n">
        <f aca="false">HOUR(A6934)+MINUTE(A6934)/60</f>
        <v>20</v>
      </c>
      <c r="F6934" s="33" t="n">
        <f aca="false">IF(OR(D6934&gt;5,E6934&lt;8,E6934&gt;=18,COUNTIF($K$2:$K$10,INT(A6934))&gt;0),1,0)</f>
        <v>1</v>
      </c>
      <c r="G6934" s="34" t="n">
        <f aca="false">B6934/1</f>
        <v>208.169</v>
      </c>
      <c r="H6934" s="34" t="n">
        <f aca="false">IF(F6934=1,G6934,"")</f>
        <v>208.169</v>
      </c>
    </row>
    <row r="6935" customFormat="false" ht="15" hidden="false" customHeight="false" outlineLevel="0" collapsed="false">
      <c r="A6935" s="31" t="n">
        <v>43024.875</v>
      </c>
      <c r="B6935" s="32" t="n">
        <v>201.702</v>
      </c>
      <c r="D6935" s="33" t="n">
        <f aca="false">WEEKDAY(A6935,2)</f>
        <v>1</v>
      </c>
      <c r="E6935" s="33" t="n">
        <f aca="false">HOUR(A6935)+MINUTE(A6935)/60</f>
        <v>21</v>
      </c>
      <c r="F6935" s="33" t="n">
        <f aca="false">IF(OR(D6935&gt;5,E6935&lt;8,E6935&gt;=18,COUNTIF($K$2:$K$10,INT(A6935))&gt;0),1,0)</f>
        <v>1</v>
      </c>
      <c r="G6935" s="34" t="n">
        <f aca="false">B6935/1</f>
        <v>201.702</v>
      </c>
      <c r="H6935" s="34" t="n">
        <f aca="false">IF(F6935=1,G6935,"")</f>
        <v>201.702</v>
      </c>
    </row>
    <row r="6936" customFormat="false" ht="15" hidden="false" customHeight="false" outlineLevel="0" collapsed="false">
      <c r="A6936" s="31" t="n">
        <v>43024.9166666667</v>
      </c>
      <c r="B6936" s="32" t="n">
        <v>146.532</v>
      </c>
      <c r="D6936" s="33" t="n">
        <f aca="false">WEEKDAY(A6936,2)</f>
        <v>1</v>
      </c>
      <c r="E6936" s="33" t="n">
        <f aca="false">HOUR(A6936)+MINUTE(A6936)/60</f>
        <v>22</v>
      </c>
      <c r="F6936" s="33" t="n">
        <f aca="false">IF(OR(D6936&gt;5,E6936&lt;8,E6936&gt;=18,COUNTIF($K$2:$K$10,INT(A6936))&gt;0),1,0)</f>
        <v>1</v>
      </c>
      <c r="G6936" s="34" t="n">
        <f aca="false">B6936/1</f>
        <v>146.532</v>
      </c>
      <c r="H6936" s="34" t="n">
        <f aca="false">IF(F6936=1,G6936,"")</f>
        <v>146.532</v>
      </c>
    </row>
    <row r="6937" customFormat="false" ht="15" hidden="false" customHeight="false" outlineLevel="0" collapsed="false">
      <c r="A6937" s="31" t="n">
        <v>43024.9583333333</v>
      </c>
      <c r="B6937" s="32" t="n">
        <v>75.802</v>
      </c>
      <c r="D6937" s="33" t="n">
        <f aca="false">WEEKDAY(A6937,2)</f>
        <v>1</v>
      </c>
      <c r="E6937" s="33" t="n">
        <f aca="false">HOUR(A6937)+MINUTE(A6937)/60</f>
        <v>23</v>
      </c>
      <c r="F6937" s="33" t="n">
        <f aca="false">IF(OR(D6937&gt;5,E6937&lt;8,E6937&gt;=18,COUNTIF($K$2:$K$10,INT(A6937))&gt;0),1,0)</f>
        <v>1</v>
      </c>
      <c r="G6937" s="34" t="n">
        <f aca="false">B6937/1</f>
        <v>75.802</v>
      </c>
      <c r="H6937" s="34" t="n">
        <f aca="false">IF(F6937=1,G6937,"")</f>
        <v>75.802</v>
      </c>
    </row>
    <row r="6938" customFormat="false" ht="15" hidden="false" customHeight="false" outlineLevel="0" collapsed="false">
      <c r="A6938" s="31" t="n">
        <v>43025</v>
      </c>
      <c r="B6938" s="32" t="n">
        <v>67.594</v>
      </c>
      <c r="D6938" s="33" t="n">
        <f aca="false">WEEKDAY(A6938,2)</f>
        <v>2</v>
      </c>
      <c r="E6938" s="33" t="n">
        <f aca="false">HOUR(A6938)+MINUTE(A6938)/60</f>
        <v>0</v>
      </c>
      <c r="F6938" s="33" t="n">
        <f aca="false">IF(OR(D6938&gt;5,E6938&lt;8,E6938&gt;=18,COUNTIF($K$2:$K$10,INT(A6938))&gt;0),1,0)</f>
        <v>1</v>
      </c>
      <c r="G6938" s="34" t="n">
        <f aca="false">B6938/1</f>
        <v>67.594</v>
      </c>
      <c r="H6938" s="34" t="n">
        <f aca="false">IF(F6938=1,G6938,"")</f>
        <v>67.594</v>
      </c>
    </row>
    <row r="6939" customFormat="false" ht="15" hidden="false" customHeight="false" outlineLevel="0" collapsed="false">
      <c r="A6939" s="31" t="n">
        <v>43025.0416666667</v>
      </c>
      <c r="B6939" s="32" t="n">
        <v>66.075</v>
      </c>
      <c r="D6939" s="33" t="n">
        <f aca="false">WEEKDAY(A6939,2)</f>
        <v>2</v>
      </c>
      <c r="E6939" s="33" t="n">
        <f aca="false">HOUR(A6939)+MINUTE(A6939)/60</f>
        <v>1</v>
      </c>
      <c r="F6939" s="33" t="n">
        <f aca="false">IF(OR(D6939&gt;5,E6939&lt;8,E6939&gt;=18,COUNTIF($K$2:$K$10,INT(A6939))&gt;0),1,0)</f>
        <v>1</v>
      </c>
      <c r="G6939" s="34" t="n">
        <f aca="false">B6939/1</f>
        <v>66.075</v>
      </c>
      <c r="H6939" s="34" t="n">
        <f aca="false">IF(F6939=1,G6939,"")</f>
        <v>66.075</v>
      </c>
    </row>
    <row r="6940" customFormat="false" ht="15" hidden="false" customHeight="false" outlineLevel="0" collapsed="false">
      <c r="A6940" s="31" t="n">
        <v>43025.0833333333</v>
      </c>
      <c r="B6940" s="32" t="n">
        <v>64.961</v>
      </c>
      <c r="D6940" s="33" t="n">
        <f aca="false">WEEKDAY(A6940,2)</f>
        <v>2</v>
      </c>
      <c r="E6940" s="33" t="n">
        <f aca="false">HOUR(A6940)+MINUTE(A6940)/60</f>
        <v>2</v>
      </c>
      <c r="F6940" s="33" t="n">
        <f aca="false">IF(OR(D6940&gt;5,E6940&lt;8,E6940&gt;=18,COUNTIF($K$2:$K$10,INT(A6940))&gt;0),1,0)</f>
        <v>1</v>
      </c>
      <c r="G6940" s="34" t="n">
        <f aca="false">B6940/1</f>
        <v>64.961</v>
      </c>
      <c r="H6940" s="34" t="n">
        <f aca="false">IF(F6940=1,G6940,"")</f>
        <v>64.961</v>
      </c>
    </row>
    <row r="6941" customFormat="false" ht="15" hidden="false" customHeight="false" outlineLevel="0" collapsed="false">
      <c r="A6941" s="31" t="n">
        <v>43025.125</v>
      </c>
      <c r="B6941" s="32" t="n">
        <v>65.086</v>
      </c>
      <c r="D6941" s="33" t="n">
        <f aca="false">WEEKDAY(A6941,2)</f>
        <v>2</v>
      </c>
      <c r="E6941" s="33" t="n">
        <f aca="false">HOUR(A6941)+MINUTE(A6941)/60</f>
        <v>3</v>
      </c>
      <c r="F6941" s="33" t="n">
        <f aca="false">IF(OR(D6941&gt;5,E6941&lt;8,E6941&gt;=18,COUNTIF($K$2:$K$10,INT(A6941))&gt;0),1,0)</f>
        <v>1</v>
      </c>
      <c r="G6941" s="34" t="n">
        <f aca="false">B6941/1</f>
        <v>65.086</v>
      </c>
      <c r="H6941" s="34" t="n">
        <f aca="false">IF(F6941=1,G6941,"")</f>
        <v>65.086</v>
      </c>
    </row>
    <row r="6942" customFormat="false" ht="15" hidden="false" customHeight="false" outlineLevel="0" collapsed="false">
      <c r="A6942" s="31" t="n">
        <v>43025.1666666667</v>
      </c>
      <c r="B6942" s="32" t="n">
        <v>62.938</v>
      </c>
      <c r="D6942" s="33" t="n">
        <f aca="false">WEEKDAY(A6942,2)</f>
        <v>2</v>
      </c>
      <c r="E6942" s="33" t="n">
        <f aca="false">HOUR(A6942)+MINUTE(A6942)/60</f>
        <v>4</v>
      </c>
      <c r="F6942" s="33" t="n">
        <f aca="false">IF(OR(D6942&gt;5,E6942&lt;8,E6942&gt;=18,COUNTIF($K$2:$K$10,INT(A6942))&gt;0),1,0)</f>
        <v>1</v>
      </c>
      <c r="G6942" s="34" t="n">
        <f aca="false">B6942/1</f>
        <v>62.938</v>
      </c>
      <c r="H6942" s="34" t="n">
        <f aca="false">IF(F6942=1,G6942,"")</f>
        <v>62.938</v>
      </c>
    </row>
    <row r="6943" customFormat="false" ht="15" hidden="false" customHeight="false" outlineLevel="0" collapsed="false">
      <c r="A6943" s="31" t="n">
        <v>43025.2083333333</v>
      </c>
      <c r="B6943" s="32" t="n">
        <v>63.058</v>
      </c>
      <c r="D6943" s="33" t="n">
        <f aca="false">WEEKDAY(A6943,2)</f>
        <v>2</v>
      </c>
      <c r="E6943" s="33" t="n">
        <f aca="false">HOUR(A6943)+MINUTE(A6943)/60</f>
        <v>5</v>
      </c>
      <c r="F6943" s="33" t="n">
        <f aca="false">IF(OR(D6943&gt;5,E6943&lt;8,E6943&gt;=18,COUNTIF($K$2:$K$10,INT(A6943))&gt;0),1,0)</f>
        <v>1</v>
      </c>
      <c r="G6943" s="34" t="n">
        <f aca="false">B6943/1</f>
        <v>63.058</v>
      </c>
      <c r="H6943" s="34" t="n">
        <f aca="false">IF(F6943=1,G6943,"")</f>
        <v>63.058</v>
      </c>
    </row>
    <row r="6944" customFormat="false" ht="15" hidden="false" customHeight="false" outlineLevel="0" collapsed="false">
      <c r="A6944" s="31" t="n">
        <v>43025.25</v>
      </c>
      <c r="B6944" s="32" t="n">
        <v>63.135</v>
      </c>
      <c r="D6944" s="33" t="n">
        <f aca="false">WEEKDAY(A6944,2)</f>
        <v>2</v>
      </c>
      <c r="E6944" s="33" t="n">
        <f aca="false">HOUR(A6944)+MINUTE(A6944)/60</f>
        <v>6</v>
      </c>
      <c r="F6944" s="33" t="n">
        <f aca="false">IF(OR(D6944&gt;5,E6944&lt;8,E6944&gt;=18,COUNTIF($K$2:$K$10,INT(A6944))&gt;0),1,0)</f>
        <v>1</v>
      </c>
      <c r="G6944" s="34" t="n">
        <f aca="false">B6944/1</f>
        <v>63.135</v>
      </c>
      <c r="H6944" s="34" t="n">
        <f aca="false">IF(F6944=1,G6944,"")</f>
        <v>63.135</v>
      </c>
    </row>
    <row r="6945" customFormat="false" ht="15" hidden="false" customHeight="false" outlineLevel="0" collapsed="false">
      <c r="A6945" s="31" t="n">
        <v>43025.2916666667</v>
      </c>
      <c r="B6945" s="32" t="n">
        <v>66.32</v>
      </c>
      <c r="D6945" s="33" t="n">
        <f aca="false">WEEKDAY(A6945,2)</f>
        <v>2</v>
      </c>
      <c r="E6945" s="33" t="n">
        <f aca="false">HOUR(A6945)+MINUTE(A6945)/60</f>
        <v>7</v>
      </c>
      <c r="F6945" s="33" t="n">
        <f aca="false">IF(OR(D6945&gt;5,E6945&lt;8,E6945&gt;=18,COUNTIF($K$2:$K$10,INT(A6945))&gt;0),1,0)</f>
        <v>1</v>
      </c>
      <c r="G6945" s="34" t="n">
        <f aca="false">B6945/1</f>
        <v>66.32</v>
      </c>
      <c r="H6945" s="34" t="n">
        <f aca="false">IF(F6945=1,G6945,"")</f>
        <v>66.32</v>
      </c>
    </row>
    <row r="6946" customFormat="false" ht="15" hidden="false" customHeight="false" outlineLevel="0" collapsed="false">
      <c r="A6946" s="31" t="n">
        <v>43025.3333333333</v>
      </c>
      <c r="B6946" s="32" t="n">
        <v>178.157</v>
      </c>
      <c r="D6946" s="33" t="n">
        <f aca="false">WEEKDAY(A6946,2)</f>
        <v>2</v>
      </c>
      <c r="E6946" s="33" t="n">
        <f aca="false">HOUR(A6946)+MINUTE(A6946)/60</f>
        <v>8</v>
      </c>
      <c r="F6946" s="33" t="n">
        <f aca="false">IF(OR(D6946&gt;5,E6946&lt;8,E6946&gt;=18,COUNTIF($K$2:$K$10,INT(A6946))&gt;0),1,0)</f>
        <v>0</v>
      </c>
      <c r="G6946" s="34" t="n">
        <f aca="false">B6946/1</f>
        <v>178.157</v>
      </c>
      <c r="H6946" s="34" t="str">
        <f aca="false">IF(F6946=1,G6946,"")</f>
        <v/>
      </c>
    </row>
    <row r="6947" customFormat="false" ht="15" hidden="false" customHeight="false" outlineLevel="0" collapsed="false">
      <c r="A6947" s="31" t="n">
        <v>43025.375</v>
      </c>
      <c r="B6947" s="32" t="n">
        <v>217.351</v>
      </c>
      <c r="D6947" s="33" t="n">
        <f aca="false">WEEKDAY(A6947,2)</f>
        <v>2</v>
      </c>
      <c r="E6947" s="33" t="n">
        <f aca="false">HOUR(A6947)+MINUTE(A6947)/60</f>
        <v>9</v>
      </c>
      <c r="F6947" s="33" t="n">
        <f aca="false">IF(OR(D6947&gt;5,E6947&lt;8,E6947&gt;=18,COUNTIF($K$2:$K$10,INT(A6947))&gt;0),1,0)</f>
        <v>0</v>
      </c>
      <c r="G6947" s="34" t="n">
        <f aca="false">B6947/1</f>
        <v>217.351</v>
      </c>
      <c r="H6947" s="34" t="str">
        <f aca="false">IF(F6947=1,G6947,"")</f>
        <v/>
      </c>
    </row>
    <row r="6948" customFormat="false" ht="15" hidden="false" customHeight="false" outlineLevel="0" collapsed="false">
      <c r="A6948" s="31" t="n">
        <v>43025.4166666667</v>
      </c>
      <c r="B6948" s="32" t="n">
        <v>241.785</v>
      </c>
      <c r="D6948" s="33" t="n">
        <f aca="false">WEEKDAY(A6948,2)</f>
        <v>2</v>
      </c>
      <c r="E6948" s="33" t="n">
        <f aca="false">HOUR(A6948)+MINUTE(A6948)/60</f>
        <v>10</v>
      </c>
      <c r="F6948" s="33" t="n">
        <f aca="false">IF(OR(D6948&gt;5,E6948&lt;8,E6948&gt;=18,COUNTIF($K$2:$K$10,INT(A6948))&gt;0),1,0)</f>
        <v>0</v>
      </c>
      <c r="G6948" s="34" t="n">
        <f aca="false">B6948/1</f>
        <v>241.785</v>
      </c>
      <c r="H6948" s="34" t="str">
        <f aca="false">IF(F6948=1,G6948,"")</f>
        <v/>
      </c>
    </row>
    <row r="6949" customFormat="false" ht="15" hidden="false" customHeight="false" outlineLevel="0" collapsed="false">
      <c r="A6949" s="31" t="n">
        <v>43025.4583333333</v>
      </c>
      <c r="B6949" s="32" t="n">
        <v>267.241</v>
      </c>
      <c r="D6949" s="33" t="n">
        <f aca="false">WEEKDAY(A6949,2)</f>
        <v>2</v>
      </c>
      <c r="E6949" s="33" t="n">
        <f aca="false">HOUR(A6949)+MINUTE(A6949)/60</f>
        <v>11</v>
      </c>
      <c r="F6949" s="33" t="n">
        <f aca="false">IF(OR(D6949&gt;5,E6949&lt;8,E6949&gt;=18,COUNTIF($K$2:$K$10,INT(A6949))&gt;0),1,0)</f>
        <v>0</v>
      </c>
      <c r="G6949" s="34" t="n">
        <f aca="false">B6949/1</f>
        <v>267.241</v>
      </c>
      <c r="H6949" s="34" t="str">
        <f aca="false">IF(F6949=1,G6949,"")</f>
        <v/>
      </c>
    </row>
    <row r="6950" customFormat="false" ht="15" hidden="false" customHeight="false" outlineLevel="0" collapsed="false">
      <c r="A6950" s="31" t="n">
        <v>43025.5</v>
      </c>
      <c r="B6950" s="32" t="n">
        <v>266.84</v>
      </c>
      <c r="D6950" s="33" t="n">
        <f aca="false">WEEKDAY(A6950,2)</f>
        <v>2</v>
      </c>
      <c r="E6950" s="33" t="n">
        <f aca="false">HOUR(A6950)+MINUTE(A6950)/60</f>
        <v>12</v>
      </c>
      <c r="F6950" s="33" t="n">
        <f aca="false">IF(OR(D6950&gt;5,E6950&lt;8,E6950&gt;=18,COUNTIF($K$2:$K$10,INT(A6950))&gt;0),1,0)</f>
        <v>0</v>
      </c>
      <c r="G6950" s="34" t="n">
        <f aca="false">B6950/1</f>
        <v>266.84</v>
      </c>
      <c r="H6950" s="34" t="str">
        <f aca="false">IF(F6950=1,G6950,"")</f>
        <v/>
      </c>
    </row>
    <row r="6951" customFormat="false" ht="15" hidden="false" customHeight="false" outlineLevel="0" collapsed="false">
      <c r="A6951" s="31" t="n">
        <v>43025.5416666667</v>
      </c>
      <c r="B6951" s="32" t="n">
        <v>268.769</v>
      </c>
      <c r="D6951" s="33" t="n">
        <f aca="false">WEEKDAY(A6951,2)</f>
        <v>2</v>
      </c>
      <c r="E6951" s="33" t="n">
        <f aca="false">HOUR(A6951)+MINUTE(A6951)/60</f>
        <v>13</v>
      </c>
      <c r="F6951" s="33" t="n">
        <f aca="false">IF(OR(D6951&gt;5,E6951&lt;8,E6951&gt;=18,COUNTIF($K$2:$K$10,INT(A6951))&gt;0),1,0)</f>
        <v>0</v>
      </c>
      <c r="G6951" s="34" t="n">
        <f aca="false">B6951/1</f>
        <v>268.769</v>
      </c>
      <c r="H6951" s="34" t="str">
        <f aca="false">IF(F6951=1,G6951,"")</f>
        <v/>
      </c>
    </row>
    <row r="6952" customFormat="false" ht="15" hidden="false" customHeight="false" outlineLevel="0" collapsed="false">
      <c r="A6952" s="31" t="n">
        <v>43025.5833333333</v>
      </c>
      <c r="B6952" s="32" t="n">
        <v>263.794</v>
      </c>
      <c r="D6952" s="33" t="n">
        <f aca="false">WEEKDAY(A6952,2)</f>
        <v>2</v>
      </c>
      <c r="E6952" s="33" t="n">
        <f aca="false">HOUR(A6952)+MINUTE(A6952)/60</f>
        <v>14</v>
      </c>
      <c r="F6952" s="33" t="n">
        <f aca="false">IF(OR(D6952&gt;5,E6952&lt;8,E6952&gt;=18,COUNTIF($K$2:$K$10,INT(A6952))&gt;0),1,0)</f>
        <v>0</v>
      </c>
      <c r="G6952" s="34" t="n">
        <f aca="false">B6952/1</f>
        <v>263.794</v>
      </c>
      <c r="H6952" s="34" t="str">
        <f aca="false">IF(F6952=1,G6952,"")</f>
        <v/>
      </c>
    </row>
    <row r="6953" customFormat="false" ht="15" hidden="false" customHeight="false" outlineLevel="0" collapsed="false">
      <c r="A6953" s="31" t="n">
        <v>43025.625</v>
      </c>
      <c r="B6953" s="32" t="n">
        <v>251.871</v>
      </c>
      <c r="D6953" s="33" t="n">
        <f aca="false">WEEKDAY(A6953,2)</f>
        <v>2</v>
      </c>
      <c r="E6953" s="33" t="n">
        <f aca="false">HOUR(A6953)+MINUTE(A6953)/60</f>
        <v>15</v>
      </c>
      <c r="F6953" s="33" t="n">
        <f aca="false">IF(OR(D6953&gt;5,E6953&lt;8,E6953&gt;=18,COUNTIF($K$2:$K$10,INT(A6953))&gt;0),1,0)</f>
        <v>0</v>
      </c>
      <c r="G6953" s="34" t="n">
        <f aca="false">B6953/1</f>
        <v>251.871</v>
      </c>
      <c r="H6953" s="34" t="str">
        <f aca="false">IF(F6953=1,G6953,"")</f>
        <v/>
      </c>
    </row>
    <row r="6954" customFormat="false" ht="15" hidden="false" customHeight="false" outlineLevel="0" collapsed="false">
      <c r="A6954" s="31" t="n">
        <v>43025.6666666667</v>
      </c>
      <c r="B6954" s="32" t="n">
        <v>249.103</v>
      </c>
      <c r="D6954" s="33" t="n">
        <f aca="false">WEEKDAY(A6954,2)</f>
        <v>2</v>
      </c>
      <c r="E6954" s="33" t="n">
        <f aca="false">HOUR(A6954)+MINUTE(A6954)/60</f>
        <v>16</v>
      </c>
      <c r="F6954" s="33" t="n">
        <f aca="false">IF(OR(D6954&gt;5,E6954&lt;8,E6954&gt;=18,COUNTIF($K$2:$K$10,INT(A6954))&gt;0),1,0)</f>
        <v>0</v>
      </c>
      <c r="G6954" s="34" t="n">
        <f aca="false">B6954/1</f>
        <v>249.103</v>
      </c>
      <c r="H6954" s="34" t="str">
        <f aca="false">IF(F6954=1,G6954,"")</f>
        <v/>
      </c>
    </row>
    <row r="6955" customFormat="false" ht="15" hidden="false" customHeight="false" outlineLevel="0" collapsed="false">
      <c r="A6955" s="31" t="n">
        <v>43025.7083333333</v>
      </c>
      <c r="B6955" s="32" t="n">
        <v>250.303</v>
      </c>
      <c r="D6955" s="33" t="n">
        <f aca="false">WEEKDAY(A6955,2)</f>
        <v>2</v>
      </c>
      <c r="E6955" s="33" t="n">
        <f aca="false">HOUR(A6955)+MINUTE(A6955)/60</f>
        <v>17</v>
      </c>
      <c r="F6955" s="33" t="n">
        <f aca="false">IF(OR(D6955&gt;5,E6955&lt;8,E6955&gt;=18,COUNTIF($K$2:$K$10,INT(A6955))&gt;0),1,0)</f>
        <v>0</v>
      </c>
      <c r="G6955" s="34" t="n">
        <f aca="false">B6955/1</f>
        <v>250.303</v>
      </c>
      <c r="H6955" s="34" t="str">
        <f aca="false">IF(F6955=1,G6955,"")</f>
        <v/>
      </c>
    </row>
    <row r="6956" customFormat="false" ht="15" hidden="false" customHeight="false" outlineLevel="0" collapsed="false">
      <c r="A6956" s="31" t="n">
        <v>43025.75</v>
      </c>
      <c r="B6956" s="32" t="n">
        <v>231.454</v>
      </c>
      <c r="D6956" s="33" t="n">
        <f aca="false">WEEKDAY(A6956,2)</f>
        <v>2</v>
      </c>
      <c r="E6956" s="33" t="n">
        <f aca="false">HOUR(A6956)+MINUTE(A6956)/60</f>
        <v>18</v>
      </c>
      <c r="F6956" s="33" t="n">
        <f aca="false">IF(OR(D6956&gt;5,E6956&lt;8,E6956&gt;=18,COUNTIF($K$2:$K$10,INT(A6956))&gt;0),1,0)</f>
        <v>1</v>
      </c>
      <c r="G6956" s="34" t="n">
        <f aca="false">B6956/1</f>
        <v>231.454</v>
      </c>
      <c r="H6956" s="34" t="n">
        <f aca="false">IF(F6956=1,G6956,"")</f>
        <v>231.454</v>
      </c>
    </row>
    <row r="6957" customFormat="false" ht="15" hidden="false" customHeight="false" outlineLevel="0" collapsed="false">
      <c r="A6957" s="31" t="n">
        <v>43025.7916666667</v>
      </c>
      <c r="B6957" s="32" t="n">
        <v>221.561</v>
      </c>
      <c r="D6957" s="33" t="n">
        <f aca="false">WEEKDAY(A6957,2)</f>
        <v>2</v>
      </c>
      <c r="E6957" s="33" t="n">
        <f aca="false">HOUR(A6957)+MINUTE(A6957)/60</f>
        <v>19</v>
      </c>
      <c r="F6957" s="33" t="n">
        <f aca="false">IF(OR(D6957&gt;5,E6957&lt;8,E6957&gt;=18,COUNTIF($K$2:$K$10,INT(A6957))&gt;0),1,0)</f>
        <v>1</v>
      </c>
      <c r="G6957" s="34" t="n">
        <f aca="false">B6957/1</f>
        <v>221.561</v>
      </c>
      <c r="H6957" s="34" t="n">
        <f aca="false">IF(F6957=1,G6957,"")</f>
        <v>221.561</v>
      </c>
    </row>
    <row r="6958" customFormat="false" ht="15" hidden="false" customHeight="false" outlineLevel="0" collapsed="false">
      <c r="A6958" s="31" t="n">
        <v>43025.8333333333</v>
      </c>
      <c r="B6958" s="32" t="n">
        <v>220.949</v>
      </c>
      <c r="D6958" s="33" t="n">
        <f aca="false">WEEKDAY(A6958,2)</f>
        <v>2</v>
      </c>
      <c r="E6958" s="33" t="n">
        <f aca="false">HOUR(A6958)+MINUTE(A6958)/60</f>
        <v>20</v>
      </c>
      <c r="F6958" s="33" t="n">
        <f aca="false">IF(OR(D6958&gt;5,E6958&lt;8,E6958&gt;=18,COUNTIF($K$2:$K$10,INT(A6958))&gt;0),1,0)</f>
        <v>1</v>
      </c>
      <c r="G6958" s="34" t="n">
        <f aca="false">B6958/1</f>
        <v>220.949</v>
      </c>
      <c r="H6958" s="34" t="n">
        <f aca="false">IF(F6958=1,G6958,"")</f>
        <v>220.949</v>
      </c>
    </row>
    <row r="6959" customFormat="false" ht="15" hidden="false" customHeight="false" outlineLevel="0" collapsed="false">
      <c r="A6959" s="31" t="n">
        <v>43025.875</v>
      </c>
      <c r="B6959" s="32" t="n">
        <v>214.889</v>
      </c>
      <c r="D6959" s="33" t="n">
        <f aca="false">WEEKDAY(A6959,2)</f>
        <v>2</v>
      </c>
      <c r="E6959" s="33" t="n">
        <f aca="false">HOUR(A6959)+MINUTE(A6959)/60</f>
        <v>21</v>
      </c>
      <c r="F6959" s="33" t="n">
        <f aca="false">IF(OR(D6959&gt;5,E6959&lt;8,E6959&gt;=18,COUNTIF($K$2:$K$10,INT(A6959))&gt;0),1,0)</f>
        <v>1</v>
      </c>
      <c r="G6959" s="34" t="n">
        <f aca="false">B6959/1</f>
        <v>214.889</v>
      </c>
      <c r="H6959" s="34" t="n">
        <f aca="false">IF(F6959=1,G6959,"")</f>
        <v>214.889</v>
      </c>
    </row>
    <row r="6960" customFormat="false" ht="15" hidden="false" customHeight="false" outlineLevel="0" collapsed="false">
      <c r="A6960" s="31" t="n">
        <v>43025.9166666667</v>
      </c>
      <c r="B6960" s="32" t="n">
        <v>146.059</v>
      </c>
      <c r="D6960" s="33" t="n">
        <f aca="false">WEEKDAY(A6960,2)</f>
        <v>2</v>
      </c>
      <c r="E6960" s="33" t="n">
        <f aca="false">HOUR(A6960)+MINUTE(A6960)/60</f>
        <v>22</v>
      </c>
      <c r="F6960" s="33" t="n">
        <f aca="false">IF(OR(D6960&gt;5,E6960&lt;8,E6960&gt;=18,COUNTIF($K$2:$K$10,INT(A6960))&gt;0),1,0)</f>
        <v>1</v>
      </c>
      <c r="G6960" s="34" t="n">
        <f aca="false">B6960/1</f>
        <v>146.059</v>
      </c>
      <c r="H6960" s="34" t="n">
        <f aca="false">IF(F6960=1,G6960,"")</f>
        <v>146.059</v>
      </c>
    </row>
    <row r="6961" customFormat="false" ht="15" hidden="false" customHeight="false" outlineLevel="0" collapsed="false">
      <c r="A6961" s="31" t="n">
        <v>43025.9583333333</v>
      </c>
      <c r="B6961" s="32" t="n">
        <v>79.402</v>
      </c>
      <c r="D6961" s="33" t="n">
        <f aca="false">WEEKDAY(A6961,2)</f>
        <v>2</v>
      </c>
      <c r="E6961" s="33" t="n">
        <f aca="false">HOUR(A6961)+MINUTE(A6961)/60</f>
        <v>23</v>
      </c>
      <c r="F6961" s="33" t="n">
        <f aca="false">IF(OR(D6961&gt;5,E6961&lt;8,E6961&gt;=18,COUNTIF($K$2:$K$10,INT(A6961))&gt;0),1,0)</f>
        <v>1</v>
      </c>
      <c r="G6961" s="34" t="n">
        <f aca="false">B6961/1</f>
        <v>79.402</v>
      </c>
      <c r="H6961" s="34" t="n">
        <f aca="false">IF(F6961=1,G6961,"")</f>
        <v>79.402</v>
      </c>
    </row>
    <row r="6962" customFormat="false" ht="15" hidden="false" customHeight="false" outlineLevel="0" collapsed="false">
      <c r="A6962" s="31" t="n">
        <v>43026</v>
      </c>
      <c r="B6962" s="32" t="n">
        <v>70.49</v>
      </c>
      <c r="D6962" s="33" t="n">
        <f aca="false">WEEKDAY(A6962,2)</f>
        <v>3</v>
      </c>
      <c r="E6962" s="33" t="n">
        <f aca="false">HOUR(A6962)+MINUTE(A6962)/60</f>
        <v>0</v>
      </c>
      <c r="F6962" s="33" t="n">
        <f aca="false">IF(OR(D6962&gt;5,E6962&lt;8,E6962&gt;=18,COUNTIF($K$2:$K$10,INT(A6962))&gt;0),1,0)</f>
        <v>1</v>
      </c>
      <c r="G6962" s="34" t="n">
        <f aca="false">B6962/1</f>
        <v>70.49</v>
      </c>
      <c r="H6962" s="34" t="n">
        <f aca="false">IF(F6962=1,G6962,"")</f>
        <v>70.49</v>
      </c>
    </row>
    <row r="6963" customFormat="false" ht="15" hidden="false" customHeight="false" outlineLevel="0" collapsed="false">
      <c r="A6963" s="31" t="n">
        <v>43026.0416666667</v>
      </c>
      <c r="B6963" s="32" t="n">
        <v>66.124</v>
      </c>
      <c r="D6963" s="33" t="n">
        <f aca="false">WEEKDAY(A6963,2)</f>
        <v>3</v>
      </c>
      <c r="E6963" s="33" t="n">
        <f aca="false">HOUR(A6963)+MINUTE(A6963)/60</f>
        <v>1</v>
      </c>
      <c r="F6963" s="33" t="n">
        <f aca="false">IF(OR(D6963&gt;5,E6963&lt;8,E6963&gt;=18,COUNTIF($K$2:$K$10,INT(A6963))&gt;0),1,0)</f>
        <v>1</v>
      </c>
      <c r="G6963" s="34" t="n">
        <f aca="false">B6963/1</f>
        <v>66.124</v>
      </c>
      <c r="H6963" s="34" t="n">
        <f aca="false">IF(F6963=1,G6963,"")</f>
        <v>66.124</v>
      </c>
    </row>
    <row r="6964" customFormat="false" ht="15" hidden="false" customHeight="false" outlineLevel="0" collapsed="false">
      <c r="A6964" s="31" t="n">
        <v>43026.0833333333</v>
      </c>
      <c r="B6964" s="32" t="n">
        <v>64.214</v>
      </c>
      <c r="D6964" s="33" t="n">
        <f aca="false">WEEKDAY(A6964,2)</f>
        <v>3</v>
      </c>
      <c r="E6964" s="33" t="n">
        <f aca="false">HOUR(A6964)+MINUTE(A6964)/60</f>
        <v>2</v>
      </c>
      <c r="F6964" s="33" t="n">
        <f aca="false">IF(OR(D6964&gt;5,E6964&lt;8,E6964&gt;=18,COUNTIF($K$2:$K$10,INT(A6964))&gt;0),1,0)</f>
        <v>1</v>
      </c>
      <c r="G6964" s="34" t="n">
        <f aca="false">B6964/1</f>
        <v>64.214</v>
      </c>
      <c r="H6964" s="34" t="n">
        <f aca="false">IF(F6964=1,G6964,"")</f>
        <v>64.214</v>
      </c>
    </row>
    <row r="6965" customFormat="false" ht="15" hidden="false" customHeight="false" outlineLevel="0" collapsed="false">
      <c r="A6965" s="31" t="n">
        <v>43026.125</v>
      </c>
      <c r="B6965" s="32" t="n">
        <v>66.388</v>
      </c>
      <c r="D6965" s="33" t="n">
        <f aca="false">WEEKDAY(A6965,2)</f>
        <v>3</v>
      </c>
      <c r="E6965" s="33" t="n">
        <f aca="false">HOUR(A6965)+MINUTE(A6965)/60</f>
        <v>3</v>
      </c>
      <c r="F6965" s="33" t="n">
        <f aca="false">IF(OR(D6965&gt;5,E6965&lt;8,E6965&gt;=18,COUNTIF($K$2:$K$10,INT(A6965))&gt;0),1,0)</f>
        <v>1</v>
      </c>
      <c r="G6965" s="34" t="n">
        <f aca="false">B6965/1</f>
        <v>66.388</v>
      </c>
      <c r="H6965" s="34" t="n">
        <f aca="false">IF(F6965=1,G6965,"")</f>
        <v>66.388</v>
      </c>
    </row>
    <row r="6966" customFormat="false" ht="15" hidden="false" customHeight="false" outlineLevel="0" collapsed="false">
      <c r="A6966" s="31" t="n">
        <v>43026.1666666667</v>
      </c>
      <c r="B6966" s="32" t="n">
        <v>62.521</v>
      </c>
      <c r="D6966" s="33" t="n">
        <f aca="false">WEEKDAY(A6966,2)</f>
        <v>3</v>
      </c>
      <c r="E6966" s="33" t="n">
        <f aca="false">HOUR(A6966)+MINUTE(A6966)/60</f>
        <v>4</v>
      </c>
      <c r="F6966" s="33" t="n">
        <f aca="false">IF(OR(D6966&gt;5,E6966&lt;8,E6966&gt;=18,COUNTIF($K$2:$K$10,INT(A6966))&gt;0),1,0)</f>
        <v>1</v>
      </c>
      <c r="G6966" s="34" t="n">
        <f aca="false">B6966/1</f>
        <v>62.521</v>
      </c>
      <c r="H6966" s="34" t="n">
        <f aca="false">IF(F6966=1,G6966,"")</f>
        <v>62.521</v>
      </c>
    </row>
    <row r="6967" customFormat="false" ht="15" hidden="false" customHeight="false" outlineLevel="0" collapsed="false">
      <c r="A6967" s="31" t="n">
        <v>43026.2083333333</v>
      </c>
      <c r="B6967" s="32" t="n">
        <v>65.536</v>
      </c>
      <c r="D6967" s="33" t="n">
        <f aca="false">WEEKDAY(A6967,2)</f>
        <v>3</v>
      </c>
      <c r="E6967" s="33" t="n">
        <f aca="false">HOUR(A6967)+MINUTE(A6967)/60</f>
        <v>5</v>
      </c>
      <c r="F6967" s="33" t="n">
        <f aca="false">IF(OR(D6967&gt;5,E6967&lt;8,E6967&gt;=18,COUNTIF($K$2:$K$10,INT(A6967))&gt;0),1,0)</f>
        <v>1</v>
      </c>
      <c r="G6967" s="34" t="n">
        <f aca="false">B6967/1</f>
        <v>65.536</v>
      </c>
      <c r="H6967" s="34" t="n">
        <f aca="false">IF(F6967=1,G6967,"")</f>
        <v>65.536</v>
      </c>
    </row>
    <row r="6968" customFormat="false" ht="15" hidden="false" customHeight="false" outlineLevel="0" collapsed="false">
      <c r="A6968" s="31" t="n">
        <v>43026.25</v>
      </c>
      <c r="B6968" s="32" t="n">
        <v>65.529</v>
      </c>
      <c r="D6968" s="33" t="n">
        <f aca="false">WEEKDAY(A6968,2)</f>
        <v>3</v>
      </c>
      <c r="E6968" s="33" t="n">
        <f aca="false">HOUR(A6968)+MINUTE(A6968)/60</f>
        <v>6</v>
      </c>
      <c r="F6968" s="33" t="n">
        <f aca="false">IF(OR(D6968&gt;5,E6968&lt;8,E6968&gt;=18,COUNTIF($K$2:$K$10,INT(A6968))&gt;0),1,0)</f>
        <v>1</v>
      </c>
      <c r="G6968" s="34" t="n">
        <f aca="false">B6968/1</f>
        <v>65.529</v>
      </c>
      <c r="H6968" s="34" t="n">
        <f aca="false">IF(F6968=1,G6968,"")</f>
        <v>65.529</v>
      </c>
    </row>
    <row r="6969" customFormat="false" ht="15" hidden="false" customHeight="false" outlineLevel="0" collapsed="false">
      <c r="A6969" s="31" t="n">
        <v>43026.2916666667</v>
      </c>
      <c r="B6969" s="32" t="n">
        <v>71.351</v>
      </c>
      <c r="D6969" s="33" t="n">
        <f aca="false">WEEKDAY(A6969,2)</f>
        <v>3</v>
      </c>
      <c r="E6969" s="33" t="n">
        <f aca="false">HOUR(A6969)+MINUTE(A6969)/60</f>
        <v>7</v>
      </c>
      <c r="F6969" s="33" t="n">
        <f aca="false">IF(OR(D6969&gt;5,E6969&lt;8,E6969&gt;=18,COUNTIF($K$2:$K$10,INT(A6969))&gt;0),1,0)</f>
        <v>1</v>
      </c>
      <c r="G6969" s="34" t="n">
        <f aca="false">B6969/1</f>
        <v>71.351</v>
      </c>
      <c r="H6969" s="34" t="n">
        <f aca="false">IF(F6969=1,G6969,"")</f>
        <v>71.351</v>
      </c>
    </row>
    <row r="6970" customFormat="false" ht="15" hidden="false" customHeight="false" outlineLevel="0" collapsed="false">
      <c r="A6970" s="31" t="n">
        <v>43026.3333333333</v>
      </c>
      <c r="B6970" s="32" t="n">
        <v>184.043</v>
      </c>
      <c r="D6970" s="33" t="n">
        <f aca="false">WEEKDAY(A6970,2)</f>
        <v>3</v>
      </c>
      <c r="E6970" s="33" t="n">
        <f aca="false">HOUR(A6970)+MINUTE(A6970)/60</f>
        <v>8</v>
      </c>
      <c r="F6970" s="33" t="n">
        <f aca="false">IF(OR(D6970&gt;5,E6970&lt;8,E6970&gt;=18,COUNTIF($K$2:$K$10,INT(A6970))&gt;0),1,0)</f>
        <v>0</v>
      </c>
      <c r="G6970" s="34" t="n">
        <f aca="false">B6970/1</f>
        <v>184.043</v>
      </c>
      <c r="H6970" s="34" t="str">
        <f aca="false">IF(F6970=1,G6970,"")</f>
        <v/>
      </c>
    </row>
    <row r="6971" customFormat="false" ht="15" hidden="false" customHeight="false" outlineLevel="0" collapsed="false">
      <c r="A6971" s="31" t="n">
        <v>43026.375</v>
      </c>
      <c r="B6971" s="32" t="n">
        <v>219.29</v>
      </c>
      <c r="D6971" s="33" t="n">
        <f aca="false">WEEKDAY(A6971,2)</f>
        <v>3</v>
      </c>
      <c r="E6971" s="33" t="n">
        <f aca="false">HOUR(A6971)+MINUTE(A6971)/60</f>
        <v>9</v>
      </c>
      <c r="F6971" s="33" t="n">
        <f aca="false">IF(OR(D6971&gt;5,E6971&lt;8,E6971&gt;=18,COUNTIF($K$2:$K$10,INT(A6971))&gt;0),1,0)</f>
        <v>0</v>
      </c>
      <c r="G6971" s="34" t="n">
        <f aca="false">B6971/1</f>
        <v>219.29</v>
      </c>
      <c r="H6971" s="34" t="str">
        <f aca="false">IF(F6971=1,G6971,"")</f>
        <v/>
      </c>
    </row>
    <row r="6972" customFormat="false" ht="15" hidden="false" customHeight="false" outlineLevel="0" collapsed="false">
      <c r="A6972" s="31" t="n">
        <v>43026.4166666667</v>
      </c>
      <c r="B6972" s="32" t="n">
        <v>248.464</v>
      </c>
      <c r="D6972" s="33" t="n">
        <f aca="false">WEEKDAY(A6972,2)</f>
        <v>3</v>
      </c>
      <c r="E6972" s="33" t="n">
        <f aca="false">HOUR(A6972)+MINUTE(A6972)/60</f>
        <v>10</v>
      </c>
      <c r="F6972" s="33" t="n">
        <f aca="false">IF(OR(D6972&gt;5,E6972&lt;8,E6972&gt;=18,COUNTIF($K$2:$K$10,INT(A6972))&gt;0),1,0)</f>
        <v>0</v>
      </c>
      <c r="G6972" s="34" t="n">
        <f aca="false">B6972/1</f>
        <v>248.464</v>
      </c>
      <c r="H6972" s="34" t="str">
        <f aca="false">IF(F6972=1,G6972,"")</f>
        <v/>
      </c>
    </row>
    <row r="6973" customFormat="false" ht="15" hidden="false" customHeight="false" outlineLevel="0" collapsed="false">
      <c r="A6973" s="31" t="n">
        <v>43026.4583333333</v>
      </c>
      <c r="B6973" s="32" t="n">
        <v>259.301</v>
      </c>
      <c r="D6973" s="33" t="n">
        <f aca="false">WEEKDAY(A6973,2)</f>
        <v>3</v>
      </c>
      <c r="E6973" s="33" t="n">
        <f aca="false">HOUR(A6973)+MINUTE(A6973)/60</f>
        <v>11</v>
      </c>
      <c r="F6973" s="33" t="n">
        <f aca="false">IF(OR(D6973&gt;5,E6973&lt;8,E6973&gt;=18,COUNTIF($K$2:$K$10,INT(A6973))&gt;0),1,0)</f>
        <v>0</v>
      </c>
      <c r="G6973" s="34" t="n">
        <f aca="false">B6973/1</f>
        <v>259.301</v>
      </c>
      <c r="H6973" s="34" t="str">
        <f aca="false">IF(F6973=1,G6973,"")</f>
        <v/>
      </c>
    </row>
    <row r="6974" customFormat="false" ht="15" hidden="false" customHeight="false" outlineLevel="0" collapsed="false">
      <c r="A6974" s="31" t="n">
        <v>43026.5</v>
      </c>
      <c r="B6974" s="32" t="n">
        <v>262.56</v>
      </c>
      <c r="D6974" s="33" t="n">
        <f aca="false">WEEKDAY(A6974,2)</f>
        <v>3</v>
      </c>
      <c r="E6974" s="33" t="n">
        <f aca="false">HOUR(A6974)+MINUTE(A6974)/60</f>
        <v>12</v>
      </c>
      <c r="F6974" s="33" t="n">
        <f aca="false">IF(OR(D6974&gt;5,E6974&lt;8,E6974&gt;=18,COUNTIF($K$2:$K$10,INT(A6974))&gt;0),1,0)</f>
        <v>0</v>
      </c>
      <c r="G6974" s="34" t="n">
        <f aca="false">B6974/1</f>
        <v>262.56</v>
      </c>
      <c r="H6974" s="34" t="str">
        <f aca="false">IF(F6974=1,G6974,"")</f>
        <v/>
      </c>
    </row>
    <row r="6975" customFormat="false" ht="15" hidden="false" customHeight="false" outlineLevel="0" collapsed="false">
      <c r="A6975" s="31" t="n">
        <v>43026.5416666667</v>
      </c>
      <c r="B6975" s="32" t="n">
        <v>256.792</v>
      </c>
      <c r="D6975" s="33" t="n">
        <f aca="false">WEEKDAY(A6975,2)</f>
        <v>3</v>
      </c>
      <c r="E6975" s="33" t="n">
        <f aca="false">HOUR(A6975)+MINUTE(A6975)/60</f>
        <v>13</v>
      </c>
      <c r="F6975" s="33" t="n">
        <f aca="false">IF(OR(D6975&gt;5,E6975&lt;8,E6975&gt;=18,COUNTIF($K$2:$K$10,INT(A6975))&gt;0),1,0)</f>
        <v>0</v>
      </c>
      <c r="G6975" s="34" t="n">
        <f aca="false">B6975/1</f>
        <v>256.792</v>
      </c>
      <c r="H6975" s="34" t="str">
        <f aca="false">IF(F6975=1,G6975,"")</f>
        <v/>
      </c>
    </row>
    <row r="6976" customFormat="false" ht="15" hidden="false" customHeight="false" outlineLevel="0" collapsed="false">
      <c r="A6976" s="31" t="n">
        <v>43026.5833333333</v>
      </c>
      <c r="B6976" s="32" t="n">
        <v>259.399</v>
      </c>
      <c r="D6976" s="33" t="n">
        <f aca="false">WEEKDAY(A6976,2)</f>
        <v>3</v>
      </c>
      <c r="E6976" s="33" t="n">
        <f aca="false">HOUR(A6976)+MINUTE(A6976)/60</f>
        <v>14</v>
      </c>
      <c r="F6976" s="33" t="n">
        <f aca="false">IF(OR(D6976&gt;5,E6976&lt;8,E6976&gt;=18,COUNTIF($K$2:$K$10,INT(A6976))&gt;0),1,0)</f>
        <v>0</v>
      </c>
      <c r="G6976" s="34" t="n">
        <f aca="false">B6976/1</f>
        <v>259.399</v>
      </c>
      <c r="H6976" s="34" t="str">
        <f aca="false">IF(F6976=1,G6976,"")</f>
        <v/>
      </c>
    </row>
    <row r="6977" customFormat="false" ht="15" hidden="false" customHeight="false" outlineLevel="0" collapsed="false">
      <c r="A6977" s="31" t="n">
        <v>43026.625</v>
      </c>
      <c r="B6977" s="32" t="n">
        <v>262.365</v>
      </c>
      <c r="D6977" s="33" t="n">
        <f aca="false">WEEKDAY(A6977,2)</f>
        <v>3</v>
      </c>
      <c r="E6977" s="33" t="n">
        <f aca="false">HOUR(A6977)+MINUTE(A6977)/60</f>
        <v>15</v>
      </c>
      <c r="F6977" s="33" t="n">
        <f aca="false">IF(OR(D6977&gt;5,E6977&lt;8,E6977&gt;=18,COUNTIF($K$2:$K$10,INT(A6977))&gt;0),1,0)</f>
        <v>0</v>
      </c>
      <c r="G6977" s="34" t="n">
        <f aca="false">B6977/1</f>
        <v>262.365</v>
      </c>
      <c r="H6977" s="34" t="str">
        <f aca="false">IF(F6977=1,G6977,"")</f>
        <v/>
      </c>
    </row>
    <row r="6978" customFormat="false" ht="15" hidden="false" customHeight="false" outlineLevel="0" collapsed="false">
      <c r="A6978" s="31" t="n">
        <v>43026.6666666667</v>
      </c>
      <c r="B6978" s="32" t="n">
        <v>251.409</v>
      </c>
      <c r="D6978" s="33" t="n">
        <f aca="false">WEEKDAY(A6978,2)</f>
        <v>3</v>
      </c>
      <c r="E6978" s="33" t="n">
        <f aca="false">HOUR(A6978)+MINUTE(A6978)/60</f>
        <v>16</v>
      </c>
      <c r="F6978" s="33" t="n">
        <f aca="false">IF(OR(D6978&gt;5,E6978&lt;8,E6978&gt;=18,COUNTIF($K$2:$K$10,INT(A6978))&gt;0),1,0)</f>
        <v>0</v>
      </c>
      <c r="G6978" s="34" t="n">
        <f aca="false">B6978/1</f>
        <v>251.409</v>
      </c>
      <c r="H6978" s="34" t="str">
        <f aca="false">IF(F6978=1,G6978,"")</f>
        <v/>
      </c>
    </row>
    <row r="6979" customFormat="false" ht="15" hidden="false" customHeight="false" outlineLevel="0" collapsed="false">
      <c r="A6979" s="31" t="n">
        <v>43026.7083333333</v>
      </c>
      <c r="B6979" s="32" t="n">
        <v>233.474</v>
      </c>
      <c r="D6979" s="33" t="n">
        <f aca="false">WEEKDAY(A6979,2)</f>
        <v>3</v>
      </c>
      <c r="E6979" s="33" t="n">
        <f aca="false">HOUR(A6979)+MINUTE(A6979)/60</f>
        <v>17</v>
      </c>
      <c r="F6979" s="33" t="n">
        <f aca="false">IF(OR(D6979&gt;5,E6979&lt;8,E6979&gt;=18,COUNTIF($K$2:$K$10,INT(A6979))&gt;0),1,0)</f>
        <v>0</v>
      </c>
      <c r="G6979" s="34" t="n">
        <f aca="false">B6979/1</f>
        <v>233.474</v>
      </c>
      <c r="H6979" s="34" t="str">
        <f aca="false">IF(F6979=1,G6979,"")</f>
        <v/>
      </c>
    </row>
    <row r="6980" customFormat="false" ht="15" hidden="false" customHeight="false" outlineLevel="0" collapsed="false">
      <c r="A6980" s="31" t="n">
        <v>43026.75</v>
      </c>
      <c r="B6980" s="32" t="n">
        <v>214.566</v>
      </c>
      <c r="D6980" s="33" t="n">
        <f aca="false">WEEKDAY(A6980,2)</f>
        <v>3</v>
      </c>
      <c r="E6980" s="33" t="n">
        <f aca="false">HOUR(A6980)+MINUTE(A6980)/60</f>
        <v>18</v>
      </c>
      <c r="F6980" s="33" t="n">
        <f aca="false">IF(OR(D6980&gt;5,E6980&lt;8,E6980&gt;=18,COUNTIF($K$2:$K$10,INT(A6980))&gt;0),1,0)</f>
        <v>1</v>
      </c>
      <c r="G6980" s="34" t="n">
        <f aca="false">B6980/1</f>
        <v>214.566</v>
      </c>
      <c r="H6980" s="34" t="n">
        <f aca="false">IF(F6980=1,G6980,"")</f>
        <v>214.566</v>
      </c>
    </row>
    <row r="6981" customFormat="false" ht="15" hidden="false" customHeight="false" outlineLevel="0" collapsed="false">
      <c r="A6981" s="31" t="n">
        <v>43026.7916666667</v>
      </c>
      <c r="B6981" s="32" t="n">
        <v>212.771</v>
      </c>
      <c r="D6981" s="33" t="n">
        <f aca="false">WEEKDAY(A6981,2)</f>
        <v>3</v>
      </c>
      <c r="E6981" s="33" t="n">
        <f aca="false">HOUR(A6981)+MINUTE(A6981)/60</f>
        <v>19</v>
      </c>
      <c r="F6981" s="33" t="n">
        <f aca="false">IF(OR(D6981&gt;5,E6981&lt;8,E6981&gt;=18,COUNTIF($K$2:$K$10,INT(A6981))&gt;0),1,0)</f>
        <v>1</v>
      </c>
      <c r="G6981" s="34" t="n">
        <f aca="false">B6981/1</f>
        <v>212.771</v>
      </c>
      <c r="H6981" s="34" t="n">
        <f aca="false">IF(F6981=1,G6981,"")</f>
        <v>212.771</v>
      </c>
    </row>
    <row r="6982" customFormat="false" ht="15" hidden="false" customHeight="false" outlineLevel="0" collapsed="false">
      <c r="A6982" s="31" t="n">
        <v>43026.8333333333</v>
      </c>
      <c r="B6982" s="32" t="n">
        <v>204.858</v>
      </c>
      <c r="D6982" s="33" t="n">
        <f aca="false">WEEKDAY(A6982,2)</f>
        <v>3</v>
      </c>
      <c r="E6982" s="33" t="n">
        <f aca="false">HOUR(A6982)+MINUTE(A6982)/60</f>
        <v>20</v>
      </c>
      <c r="F6982" s="33" t="n">
        <f aca="false">IF(OR(D6982&gt;5,E6982&lt;8,E6982&gt;=18,COUNTIF($K$2:$K$10,INT(A6982))&gt;0),1,0)</f>
        <v>1</v>
      </c>
      <c r="G6982" s="34" t="n">
        <f aca="false">B6982/1</f>
        <v>204.858</v>
      </c>
      <c r="H6982" s="34" t="n">
        <f aca="false">IF(F6982=1,G6982,"")</f>
        <v>204.858</v>
      </c>
    </row>
    <row r="6983" customFormat="false" ht="15" hidden="false" customHeight="false" outlineLevel="0" collapsed="false">
      <c r="A6983" s="31" t="n">
        <v>43026.875</v>
      </c>
      <c r="B6983" s="32" t="n">
        <v>190.647</v>
      </c>
      <c r="D6983" s="33" t="n">
        <f aca="false">WEEKDAY(A6983,2)</f>
        <v>3</v>
      </c>
      <c r="E6983" s="33" t="n">
        <f aca="false">HOUR(A6983)+MINUTE(A6983)/60</f>
        <v>21</v>
      </c>
      <c r="F6983" s="33" t="n">
        <f aca="false">IF(OR(D6983&gt;5,E6983&lt;8,E6983&gt;=18,COUNTIF($K$2:$K$10,INT(A6983))&gt;0),1,0)</f>
        <v>1</v>
      </c>
      <c r="G6983" s="34" t="n">
        <f aca="false">B6983/1</f>
        <v>190.647</v>
      </c>
      <c r="H6983" s="34" t="n">
        <f aca="false">IF(F6983=1,G6983,"")</f>
        <v>190.647</v>
      </c>
    </row>
    <row r="6984" customFormat="false" ht="15" hidden="false" customHeight="false" outlineLevel="0" collapsed="false">
      <c r="A6984" s="31" t="n">
        <v>43026.9166666667</v>
      </c>
      <c r="B6984" s="32" t="n">
        <v>138.582</v>
      </c>
      <c r="D6984" s="33" t="n">
        <f aca="false">WEEKDAY(A6984,2)</f>
        <v>3</v>
      </c>
      <c r="E6984" s="33" t="n">
        <f aca="false">HOUR(A6984)+MINUTE(A6984)/60</f>
        <v>22</v>
      </c>
      <c r="F6984" s="33" t="n">
        <f aca="false">IF(OR(D6984&gt;5,E6984&lt;8,E6984&gt;=18,COUNTIF($K$2:$K$10,INT(A6984))&gt;0),1,0)</f>
        <v>1</v>
      </c>
      <c r="G6984" s="34" t="n">
        <f aca="false">B6984/1</f>
        <v>138.582</v>
      </c>
      <c r="H6984" s="34" t="n">
        <f aca="false">IF(F6984=1,G6984,"")</f>
        <v>138.582</v>
      </c>
    </row>
    <row r="6985" customFormat="false" ht="15" hidden="false" customHeight="false" outlineLevel="0" collapsed="false">
      <c r="A6985" s="31" t="n">
        <v>43026.9583333333</v>
      </c>
      <c r="B6985" s="32" t="n">
        <v>72.33</v>
      </c>
      <c r="D6985" s="33" t="n">
        <f aca="false">WEEKDAY(A6985,2)</f>
        <v>3</v>
      </c>
      <c r="E6985" s="33" t="n">
        <f aca="false">HOUR(A6985)+MINUTE(A6985)/60</f>
        <v>23</v>
      </c>
      <c r="F6985" s="33" t="n">
        <f aca="false">IF(OR(D6985&gt;5,E6985&lt;8,E6985&gt;=18,COUNTIF($K$2:$K$10,INT(A6985))&gt;0),1,0)</f>
        <v>1</v>
      </c>
      <c r="G6985" s="34" t="n">
        <f aca="false">B6985/1</f>
        <v>72.33</v>
      </c>
      <c r="H6985" s="34" t="n">
        <f aca="false">IF(F6985=1,G6985,"")</f>
        <v>72.33</v>
      </c>
    </row>
    <row r="6986" customFormat="false" ht="15" hidden="false" customHeight="false" outlineLevel="0" collapsed="false">
      <c r="A6986" s="31" t="n">
        <v>43027</v>
      </c>
      <c r="B6986" s="32" t="n">
        <v>69.661</v>
      </c>
      <c r="D6986" s="33" t="n">
        <f aca="false">WEEKDAY(A6986,2)</f>
        <v>4</v>
      </c>
      <c r="E6986" s="33" t="n">
        <f aca="false">HOUR(A6986)+MINUTE(A6986)/60</f>
        <v>0</v>
      </c>
      <c r="F6986" s="33" t="n">
        <f aca="false">IF(OR(D6986&gt;5,E6986&lt;8,E6986&gt;=18,COUNTIF($K$2:$K$10,INT(A6986))&gt;0),1,0)</f>
        <v>1</v>
      </c>
      <c r="G6986" s="34" t="n">
        <f aca="false">B6986/1</f>
        <v>69.661</v>
      </c>
      <c r="H6986" s="34" t="n">
        <f aca="false">IF(F6986=1,G6986,"")</f>
        <v>69.661</v>
      </c>
    </row>
    <row r="6987" customFormat="false" ht="15" hidden="false" customHeight="false" outlineLevel="0" collapsed="false">
      <c r="A6987" s="31" t="n">
        <v>43027.0416666667</v>
      </c>
      <c r="B6987" s="32" t="n">
        <v>62.098</v>
      </c>
      <c r="D6987" s="33" t="n">
        <f aca="false">WEEKDAY(A6987,2)</f>
        <v>4</v>
      </c>
      <c r="E6987" s="33" t="n">
        <f aca="false">HOUR(A6987)+MINUTE(A6987)/60</f>
        <v>1</v>
      </c>
      <c r="F6987" s="33" t="n">
        <f aca="false">IF(OR(D6987&gt;5,E6987&lt;8,E6987&gt;=18,COUNTIF($K$2:$K$10,INT(A6987))&gt;0),1,0)</f>
        <v>1</v>
      </c>
      <c r="G6987" s="34" t="n">
        <f aca="false">B6987/1</f>
        <v>62.098</v>
      </c>
      <c r="H6987" s="34" t="n">
        <f aca="false">IF(F6987=1,G6987,"")</f>
        <v>62.098</v>
      </c>
    </row>
    <row r="6988" customFormat="false" ht="15" hidden="false" customHeight="false" outlineLevel="0" collapsed="false">
      <c r="A6988" s="31" t="n">
        <v>43027.0833333333</v>
      </c>
      <c r="B6988" s="32" t="n">
        <v>59.419</v>
      </c>
      <c r="D6988" s="33" t="n">
        <f aca="false">WEEKDAY(A6988,2)</f>
        <v>4</v>
      </c>
      <c r="E6988" s="33" t="n">
        <f aca="false">HOUR(A6988)+MINUTE(A6988)/60</f>
        <v>2</v>
      </c>
      <c r="F6988" s="33" t="n">
        <f aca="false">IF(OR(D6988&gt;5,E6988&lt;8,E6988&gt;=18,COUNTIF($K$2:$K$10,INT(A6988))&gt;0),1,0)</f>
        <v>1</v>
      </c>
      <c r="G6988" s="34" t="n">
        <f aca="false">B6988/1</f>
        <v>59.419</v>
      </c>
      <c r="H6988" s="34" t="n">
        <f aca="false">IF(F6988=1,G6988,"")</f>
        <v>59.419</v>
      </c>
    </row>
    <row r="6989" customFormat="false" ht="15" hidden="false" customHeight="false" outlineLevel="0" collapsed="false">
      <c r="A6989" s="31" t="n">
        <v>43027.125</v>
      </c>
      <c r="B6989" s="32" t="n">
        <v>60.359</v>
      </c>
      <c r="D6989" s="33" t="n">
        <f aca="false">WEEKDAY(A6989,2)</f>
        <v>4</v>
      </c>
      <c r="E6989" s="33" t="n">
        <f aca="false">HOUR(A6989)+MINUTE(A6989)/60</f>
        <v>3</v>
      </c>
      <c r="F6989" s="33" t="n">
        <f aca="false">IF(OR(D6989&gt;5,E6989&lt;8,E6989&gt;=18,COUNTIF($K$2:$K$10,INT(A6989))&gt;0),1,0)</f>
        <v>1</v>
      </c>
      <c r="G6989" s="34" t="n">
        <f aca="false">B6989/1</f>
        <v>60.359</v>
      </c>
      <c r="H6989" s="34" t="n">
        <f aca="false">IF(F6989=1,G6989,"")</f>
        <v>60.359</v>
      </c>
    </row>
    <row r="6990" customFormat="false" ht="15" hidden="false" customHeight="false" outlineLevel="0" collapsed="false">
      <c r="A6990" s="31" t="n">
        <v>43027.1666666667</v>
      </c>
      <c r="B6990" s="32" t="n">
        <v>61.974</v>
      </c>
      <c r="D6990" s="33" t="n">
        <f aca="false">WEEKDAY(A6990,2)</f>
        <v>4</v>
      </c>
      <c r="E6990" s="33" t="n">
        <f aca="false">HOUR(A6990)+MINUTE(A6990)/60</f>
        <v>4</v>
      </c>
      <c r="F6990" s="33" t="n">
        <f aca="false">IF(OR(D6990&gt;5,E6990&lt;8,E6990&gt;=18,COUNTIF($K$2:$K$10,INT(A6990))&gt;0),1,0)</f>
        <v>1</v>
      </c>
      <c r="G6990" s="34" t="n">
        <f aca="false">B6990/1</f>
        <v>61.974</v>
      </c>
      <c r="H6990" s="34" t="n">
        <f aca="false">IF(F6990=1,G6990,"")</f>
        <v>61.974</v>
      </c>
    </row>
    <row r="6991" customFormat="false" ht="15" hidden="false" customHeight="false" outlineLevel="0" collapsed="false">
      <c r="A6991" s="31" t="n">
        <v>43027.2083333333</v>
      </c>
      <c r="B6991" s="32" t="n">
        <v>62.112</v>
      </c>
      <c r="D6991" s="33" t="n">
        <f aca="false">WEEKDAY(A6991,2)</f>
        <v>4</v>
      </c>
      <c r="E6991" s="33" t="n">
        <f aca="false">HOUR(A6991)+MINUTE(A6991)/60</f>
        <v>5</v>
      </c>
      <c r="F6991" s="33" t="n">
        <f aca="false">IF(OR(D6991&gt;5,E6991&lt;8,E6991&gt;=18,COUNTIF($K$2:$K$10,INT(A6991))&gt;0),1,0)</f>
        <v>1</v>
      </c>
      <c r="G6991" s="34" t="n">
        <f aca="false">B6991/1</f>
        <v>62.112</v>
      </c>
      <c r="H6991" s="34" t="n">
        <f aca="false">IF(F6991=1,G6991,"")</f>
        <v>62.112</v>
      </c>
    </row>
    <row r="6992" customFormat="false" ht="15" hidden="false" customHeight="false" outlineLevel="0" collapsed="false">
      <c r="A6992" s="31" t="n">
        <v>43027.25</v>
      </c>
      <c r="B6992" s="32" t="n">
        <v>62.156</v>
      </c>
      <c r="D6992" s="33" t="n">
        <f aca="false">WEEKDAY(A6992,2)</f>
        <v>4</v>
      </c>
      <c r="E6992" s="33" t="n">
        <f aca="false">HOUR(A6992)+MINUTE(A6992)/60</f>
        <v>6</v>
      </c>
      <c r="F6992" s="33" t="n">
        <f aca="false">IF(OR(D6992&gt;5,E6992&lt;8,E6992&gt;=18,COUNTIF($K$2:$K$10,INT(A6992))&gt;0),1,0)</f>
        <v>1</v>
      </c>
      <c r="G6992" s="34" t="n">
        <f aca="false">B6992/1</f>
        <v>62.156</v>
      </c>
      <c r="H6992" s="34" t="n">
        <f aca="false">IF(F6992=1,G6992,"")</f>
        <v>62.156</v>
      </c>
    </row>
    <row r="6993" customFormat="false" ht="15" hidden="false" customHeight="false" outlineLevel="0" collapsed="false">
      <c r="A6993" s="31" t="n">
        <v>43027.2916666667</v>
      </c>
      <c r="B6993" s="32" t="n">
        <v>67</v>
      </c>
      <c r="D6993" s="33" t="n">
        <f aca="false">WEEKDAY(A6993,2)</f>
        <v>4</v>
      </c>
      <c r="E6993" s="33" t="n">
        <f aca="false">HOUR(A6993)+MINUTE(A6993)/60</f>
        <v>7</v>
      </c>
      <c r="F6993" s="33" t="n">
        <f aca="false">IF(OR(D6993&gt;5,E6993&lt;8,E6993&gt;=18,COUNTIF($K$2:$K$10,INT(A6993))&gt;0),1,0)</f>
        <v>1</v>
      </c>
      <c r="G6993" s="34" t="n">
        <f aca="false">B6993/1</f>
        <v>67</v>
      </c>
      <c r="H6993" s="34" t="n">
        <f aca="false">IF(F6993=1,G6993,"")</f>
        <v>67</v>
      </c>
    </row>
    <row r="6994" customFormat="false" ht="15" hidden="false" customHeight="false" outlineLevel="0" collapsed="false">
      <c r="A6994" s="31" t="n">
        <v>43027.3333333333</v>
      </c>
      <c r="B6994" s="32" t="n">
        <v>176.909</v>
      </c>
      <c r="D6994" s="33" t="n">
        <f aca="false">WEEKDAY(A6994,2)</f>
        <v>4</v>
      </c>
      <c r="E6994" s="33" t="n">
        <f aca="false">HOUR(A6994)+MINUTE(A6994)/60</f>
        <v>8</v>
      </c>
      <c r="F6994" s="33" t="n">
        <f aca="false">IF(OR(D6994&gt;5,E6994&lt;8,E6994&gt;=18,COUNTIF($K$2:$K$10,INT(A6994))&gt;0),1,0)</f>
        <v>0</v>
      </c>
      <c r="G6994" s="34" t="n">
        <f aca="false">B6994/1</f>
        <v>176.909</v>
      </c>
      <c r="H6994" s="34" t="str">
        <f aca="false">IF(F6994=1,G6994,"")</f>
        <v/>
      </c>
    </row>
    <row r="6995" customFormat="false" ht="15" hidden="false" customHeight="false" outlineLevel="0" collapsed="false">
      <c r="A6995" s="31" t="n">
        <v>43027.375</v>
      </c>
      <c r="B6995" s="32" t="n">
        <v>214.72</v>
      </c>
      <c r="D6995" s="33" t="n">
        <f aca="false">WEEKDAY(A6995,2)</f>
        <v>4</v>
      </c>
      <c r="E6995" s="33" t="n">
        <f aca="false">HOUR(A6995)+MINUTE(A6995)/60</f>
        <v>9</v>
      </c>
      <c r="F6995" s="33" t="n">
        <f aca="false">IF(OR(D6995&gt;5,E6995&lt;8,E6995&gt;=18,COUNTIF($K$2:$K$10,INT(A6995))&gt;0),1,0)</f>
        <v>0</v>
      </c>
      <c r="G6995" s="34" t="n">
        <f aca="false">B6995/1</f>
        <v>214.72</v>
      </c>
      <c r="H6995" s="34" t="str">
        <f aca="false">IF(F6995=1,G6995,"")</f>
        <v/>
      </c>
    </row>
    <row r="6996" customFormat="false" ht="15" hidden="false" customHeight="false" outlineLevel="0" collapsed="false">
      <c r="A6996" s="31" t="n">
        <v>43027.4166666667</v>
      </c>
      <c r="B6996" s="32" t="n">
        <v>235.298</v>
      </c>
      <c r="D6996" s="33" t="n">
        <f aca="false">WEEKDAY(A6996,2)</f>
        <v>4</v>
      </c>
      <c r="E6996" s="33" t="n">
        <f aca="false">HOUR(A6996)+MINUTE(A6996)/60</f>
        <v>10</v>
      </c>
      <c r="F6996" s="33" t="n">
        <f aca="false">IF(OR(D6996&gt;5,E6996&lt;8,E6996&gt;=18,COUNTIF($K$2:$K$10,INT(A6996))&gt;0),1,0)</f>
        <v>0</v>
      </c>
      <c r="G6996" s="34" t="n">
        <f aca="false">B6996/1</f>
        <v>235.298</v>
      </c>
      <c r="H6996" s="34" t="str">
        <f aca="false">IF(F6996=1,G6996,"")</f>
        <v/>
      </c>
    </row>
    <row r="6997" customFormat="false" ht="15" hidden="false" customHeight="false" outlineLevel="0" collapsed="false">
      <c r="A6997" s="31" t="n">
        <v>43027.4583333333</v>
      </c>
      <c r="B6997" s="32" t="n">
        <v>262.193</v>
      </c>
      <c r="D6997" s="33" t="n">
        <f aca="false">WEEKDAY(A6997,2)</f>
        <v>4</v>
      </c>
      <c r="E6997" s="33" t="n">
        <f aca="false">HOUR(A6997)+MINUTE(A6997)/60</f>
        <v>11</v>
      </c>
      <c r="F6997" s="33" t="n">
        <f aca="false">IF(OR(D6997&gt;5,E6997&lt;8,E6997&gt;=18,COUNTIF($K$2:$K$10,INT(A6997))&gt;0),1,0)</f>
        <v>0</v>
      </c>
      <c r="G6997" s="34" t="n">
        <f aca="false">B6997/1</f>
        <v>262.193</v>
      </c>
      <c r="H6997" s="34" t="str">
        <f aca="false">IF(F6997=1,G6997,"")</f>
        <v/>
      </c>
    </row>
    <row r="6998" customFormat="false" ht="15" hidden="false" customHeight="false" outlineLevel="0" collapsed="false">
      <c r="A6998" s="31" t="n">
        <v>43027.5</v>
      </c>
      <c r="B6998" s="32" t="n">
        <v>260.262</v>
      </c>
      <c r="D6998" s="33" t="n">
        <f aca="false">WEEKDAY(A6998,2)</f>
        <v>4</v>
      </c>
      <c r="E6998" s="33" t="n">
        <f aca="false">HOUR(A6998)+MINUTE(A6998)/60</f>
        <v>12</v>
      </c>
      <c r="F6998" s="33" t="n">
        <f aca="false">IF(OR(D6998&gt;5,E6998&lt;8,E6998&gt;=18,COUNTIF($K$2:$K$10,INT(A6998))&gt;0),1,0)</f>
        <v>0</v>
      </c>
      <c r="G6998" s="34" t="n">
        <f aca="false">B6998/1</f>
        <v>260.262</v>
      </c>
      <c r="H6998" s="34" t="str">
        <f aca="false">IF(F6998=1,G6998,"")</f>
        <v/>
      </c>
    </row>
    <row r="6999" customFormat="false" ht="15" hidden="false" customHeight="false" outlineLevel="0" collapsed="false">
      <c r="A6999" s="31" t="n">
        <v>43027.5416666667</v>
      </c>
      <c r="B6999" s="32" t="n">
        <v>255.758</v>
      </c>
      <c r="D6999" s="33" t="n">
        <f aca="false">WEEKDAY(A6999,2)</f>
        <v>4</v>
      </c>
      <c r="E6999" s="33" t="n">
        <f aca="false">HOUR(A6999)+MINUTE(A6999)/60</f>
        <v>13</v>
      </c>
      <c r="F6999" s="33" t="n">
        <f aca="false">IF(OR(D6999&gt;5,E6999&lt;8,E6999&gt;=18,COUNTIF($K$2:$K$10,INT(A6999))&gt;0),1,0)</f>
        <v>0</v>
      </c>
      <c r="G6999" s="34" t="n">
        <f aca="false">B6999/1</f>
        <v>255.758</v>
      </c>
      <c r="H6999" s="34" t="str">
        <f aca="false">IF(F6999=1,G6999,"")</f>
        <v/>
      </c>
    </row>
    <row r="7000" customFormat="false" ht="15" hidden="false" customHeight="false" outlineLevel="0" collapsed="false">
      <c r="A7000" s="31" t="n">
        <v>43027.5833333333</v>
      </c>
      <c r="B7000" s="32" t="n">
        <v>258.676</v>
      </c>
      <c r="D7000" s="33" t="n">
        <f aca="false">WEEKDAY(A7000,2)</f>
        <v>4</v>
      </c>
      <c r="E7000" s="33" t="n">
        <f aca="false">HOUR(A7000)+MINUTE(A7000)/60</f>
        <v>14</v>
      </c>
      <c r="F7000" s="33" t="n">
        <f aca="false">IF(OR(D7000&gt;5,E7000&lt;8,E7000&gt;=18,COUNTIF($K$2:$K$10,INT(A7000))&gt;0),1,0)</f>
        <v>0</v>
      </c>
      <c r="G7000" s="34" t="n">
        <f aca="false">B7000/1</f>
        <v>258.676</v>
      </c>
      <c r="H7000" s="34" t="str">
        <f aca="false">IF(F7000=1,G7000,"")</f>
        <v/>
      </c>
    </row>
    <row r="7001" customFormat="false" ht="15" hidden="false" customHeight="false" outlineLevel="0" collapsed="false">
      <c r="A7001" s="31" t="n">
        <v>43027.625</v>
      </c>
      <c r="B7001" s="32" t="n">
        <v>257.483</v>
      </c>
      <c r="D7001" s="33" t="n">
        <f aca="false">WEEKDAY(A7001,2)</f>
        <v>4</v>
      </c>
      <c r="E7001" s="33" t="n">
        <f aca="false">HOUR(A7001)+MINUTE(A7001)/60</f>
        <v>15</v>
      </c>
      <c r="F7001" s="33" t="n">
        <f aca="false">IF(OR(D7001&gt;5,E7001&lt;8,E7001&gt;=18,COUNTIF($K$2:$K$10,INT(A7001))&gt;0),1,0)</f>
        <v>0</v>
      </c>
      <c r="G7001" s="34" t="n">
        <f aca="false">B7001/1</f>
        <v>257.483</v>
      </c>
      <c r="H7001" s="34" t="str">
        <f aca="false">IF(F7001=1,G7001,"")</f>
        <v/>
      </c>
    </row>
    <row r="7002" customFormat="false" ht="15" hidden="false" customHeight="false" outlineLevel="0" collapsed="false">
      <c r="A7002" s="31" t="n">
        <v>43027.6666666667</v>
      </c>
      <c r="B7002" s="32" t="n">
        <v>243.939</v>
      </c>
      <c r="D7002" s="33" t="n">
        <f aca="false">WEEKDAY(A7002,2)</f>
        <v>4</v>
      </c>
      <c r="E7002" s="33" t="n">
        <f aca="false">HOUR(A7002)+MINUTE(A7002)/60</f>
        <v>16</v>
      </c>
      <c r="F7002" s="33" t="n">
        <f aca="false">IF(OR(D7002&gt;5,E7002&lt;8,E7002&gt;=18,COUNTIF($K$2:$K$10,INT(A7002))&gt;0),1,0)</f>
        <v>0</v>
      </c>
      <c r="G7002" s="34" t="n">
        <f aca="false">B7002/1</f>
        <v>243.939</v>
      </c>
      <c r="H7002" s="34" t="str">
        <f aca="false">IF(F7002=1,G7002,"")</f>
        <v/>
      </c>
    </row>
    <row r="7003" customFormat="false" ht="15" hidden="false" customHeight="false" outlineLevel="0" collapsed="false">
      <c r="A7003" s="31" t="n">
        <v>43027.7083333333</v>
      </c>
      <c r="B7003" s="32" t="n">
        <v>236.014</v>
      </c>
      <c r="D7003" s="33" t="n">
        <f aca="false">WEEKDAY(A7003,2)</f>
        <v>4</v>
      </c>
      <c r="E7003" s="33" t="n">
        <f aca="false">HOUR(A7003)+MINUTE(A7003)/60</f>
        <v>17</v>
      </c>
      <c r="F7003" s="33" t="n">
        <f aca="false">IF(OR(D7003&gt;5,E7003&lt;8,E7003&gt;=18,COUNTIF($K$2:$K$10,INT(A7003))&gt;0),1,0)</f>
        <v>0</v>
      </c>
      <c r="G7003" s="34" t="n">
        <f aca="false">B7003/1</f>
        <v>236.014</v>
      </c>
      <c r="H7003" s="34" t="str">
        <f aca="false">IF(F7003=1,G7003,"")</f>
        <v/>
      </c>
    </row>
    <row r="7004" customFormat="false" ht="15" hidden="false" customHeight="false" outlineLevel="0" collapsed="false">
      <c r="A7004" s="31" t="n">
        <v>43027.75</v>
      </c>
      <c r="B7004" s="32" t="n">
        <v>217.197</v>
      </c>
      <c r="D7004" s="33" t="n">
        <f aca="false">WEEKDAY(A7004,2)</f>
        <v>4</v>
      </c>
      <c r="E7004" s="33" t="n">
        <f aca="false">HOUR(A7004)+MINUTE(A7004)/60</f>
        <v>18</v>
      </c>
      <c r="F7004" s="33" t="n">
        <f aca="false">IF(OR(D7004&gt;5,E7004&lt;8,E7004&gt;=18,COUNTIF($K$2:$K$10,INT(A7004))&gt;0),1,0)</f>
        <v>1</v>
      </c>
      <c r="G7004" s="34" t="n">
        <f aca="false">B7004/1</f>
        <v>217.197</v>
      </c>
      <c r="H7004" s="34" t="n">
        <f aca="false">IF(F7004=1,G7004,"")</f>
        <v>217.197</v>
      </c>
    </row>
    <row r="7005" customFormat="false" ht="15" hidden="false" customHeight="false" outlineLevel="0" collapsed="false">
      <c r="A7005" s="31" t="n">
        <v>43027.7916666667</v>
      </c>
      <c r="B7005" s="32" t="n">
        <v>204.136</v>
      </c>
      <c r="D7005" s="33" t="n">
        <f aca="false">WEEKDAY(A7005,2)</f>
        <v>4</v>
      </c>
      <c r="E7005" s="33" t="n">
        <f aca="false">HOUR(A7005)+MINUTE(A7005)/60</f>
        <v>19</v>
      </c>
      <c r="F7005" s="33" t="n">
        <f aca="false">IF(OR(D7005&gt;5,E7005&lt;8,E7005&gt;=18,COUNTIF($K$2:$K$10,INT(A7005))&gt;0),1,0)</f>
        <v>1</v>
      </c>
      <c r="G7005" s="34" t="n">
        <f aca="false">B7005/1</f>
        <v>204.136</v>
      </c>
      <c r="H7005" s="34" t="n">
        <f aca="false">IF(F7005=1,G7005,"")</f>
        <v>204.136</v>
      </c>
    </row>
    <row r="7006" customFormat="false" ht="15" hidden="false" customHeight="false" outlineLevel="0" collapsed="false">
      <c r="A7006" s="31" t="n">
        <v>43027.8333333333</v>
      </c>
      <c r="B7006" s="32" t="n">
        <v>198.17</v>
      </c>
      <c r="D7006" s="33" t="n">
        <f aca="false">WEEKDAY(A7006,2)</f>
        <v>4</v>
      </c>
      <c r="E7006" s="33" t="n">
        <f aca="false">HOUR(A7006)+MINUTE(A7006)/60</f>
        <v>20</v>
      </c>
      <c r="F7006" s="33" t="n">
        <f aca="false">IF(OR(D7006&gt;5,E7006&lt;8,E7006&gt;=18,COUNTIF($K$2:$K$10,INT(A7006))&gt;0),1,0)</f>
        <v>1</v>
      </c>
      <c r="G7006" s="34" t="n">
        <f aca="false">B7006/1</f>
        <v>198.17</v>
      </c>
      <c r="H7006" s="34" t="n">
        <f aca="false">IF(F7006=1,G7006,"")</f>
        <v>198.17</v>
      </c>
    </row>
    <row r="7007" customFormat="false" ht="15" hidden="false" customHeight="false" outlineLevel="0" collapsed="false">
      <c r="A7007" s="31" t="n">
        <v>43027.875</v>
      </c>
      <c r="B7007" s="32" t="n">
        <v>194.451</v>
      </c>
      <c r="D7007" s="33" t="n">
        <f aca="false">WEEKDAY(A7007,2)</f>
        <v>4</v>
      </c>
      <c r="E7007" s="33" t="n">
        <f aca="false">HOUR(A7007)+MINUTE(A7007)/60</f>
        <v>21</v>
      </c>
      <c r="F7007" s="33" t="n">
        <f aca="false">IF(OR(D7007&gt;5,E7007&lt;8,E7007&gt;=18,COUNTIF($K$2:$K$10,INT(A7007))&gt;0),1,0)</f>
        <v>1</v>
      </c>
      <c r="G7007" s="34" t="n">
        <f aca="false">B7007/1</f>
        <v>194.451</v>
      </c>
      <c r="H7007" s="34" t="n">
        <f aca="false">IF(F7007=1,G7007,"")</f>
        <v>194.451</v>
      </c>
    </row>
    <row r="7008" customFormat="false" ht="15" hidden="false" customHeight="false" outlineLevel="0" collapsed="false">
      <c r="A7008" s="31" t="n">
        <v>43027.9166666667</v>
      </c>
      <c r="B7008" s="32" t="n">
        <v>138.261</v>
      </c>
      <c r="D7008" s="33" t="n">
        <f aca="false">WEEKDAY(A7008,2)</f>
        <v>4</v>
      </c>
      <c r="E7008" s="33" t="n">
        <f aca="false">HOUR(A7008)+MINUTE(A7008)/60</f>
        <v>22</v>
      </c>
      <c r="F7008" s="33" t="n">
        <f aca="false">IF(OR(D7008&gt;5,E7008&lt;8,E7008&gt;=18,COUNTIF($K$2:$K$10,INT(A7008))&gt;0),1,0)</f>
        <v>1</v>
      </c>
      <c r="G7008" s="34" t="n">
        <f aca="false">B7008/1</f>
        <v>138.261</v>
      </c>
      <c r="H7008" s="34" t="n">
        <f aca="false">IF(F7008=1,G7008,"")</f>
        <v>138.261</v>
      </c>
    </row>
    <row r="7009" customFormat="false" ht="15" hidden="false" customHeight="false" outlineLevel="0" collapsed="false">
      <c r="A7009" s="31" t="n">
        <v>43027.9583333333</v>
      </c>
      <c r="B7009" s="32" t="n">
        <v>68.903</v>
      </c>
      <c r="D7009" s="33" t="n">
        <f aca="false">WEEKDAY(A7009,2)</f>
        <v>4</v>
      </c>
      <c r="E7009" s="33" t="n">
        <f aca="false">HOUR(A7009)+MINUTE(A7009)/60</f>
        <v>23</v>
      </c>
      <c r="F7009" s="33" t="n">
        <f aca="false">IF(OR(D7009&gt;5,E7009&lt;8,E7009&gt;=18,COUNTIF($K$2:$K$10,INT(A7009))&gt;0),1,0)</f>
        <v>1</v>
      </c>
      <c r="G7009" s="34" t="n">
        <f aca="false">B7009/1</f>
        <v>68.903</v>
      </c>
      <c r="H7009" s="34" t="n">
        <f aca="false">IF(F7009=1,G7009,"")</f>
        <v>68.903</v>
      </c>
    </row>
    <row r="7010" customFormat="false" ht="15" hidden="false" customHeight="false" outlineLevel="0" collapsed="false">
      <c r="A7010" s="31" t="n">
        <v>43028</v>
      </c>
      <c r="B7010" s="32" t="n">
        <v>62.809</v>
      </c>
      <c r="D7010" s="33" t="n">
        <f aca="false">WEEKDAY(A7010,2)</f>
        <v>5</v>
      </c>
      <c r="E7010" s="33" t="n">
        <f aca="false">HOUR(A7010)+MINUTE(A7010)/60</f>
        <v>0</v>
      </c>
      <c r="F7010" s="33" t="n">
        <f aca="false">IF(OR(D7010&gt;5,E7010&lt;8,E7010&gt;=18,COUNTIF($K$2:$K$10,INT(A7010))&gt;0),1,0)</f>
        <v>1</v>
      </c>
      <c r="G7010" s="34" t="n">
        <f aca="false">B7010/1</f>
        <v>62.809</v>
      </c>
      <c r="H7010" s="34" t="n">
        <f aca="false">IF(F7010=1,G7010,"")</f>
        <v>62.809</v>
      </c>
    </row>
    <row r="7011" customFormat="false" ht="15" hidden="false" customHeight="false" outlineLevel="0" collapsed="false">
      <c r="A7011" s="31" t="n">
        <v>43028.0416666667</v>
      </c>
      <c r="B7011" s="32" t="n">
        <v>56.725</v>
      </c>
      <c r="D7011" s="33" t="n">
        <f aca="false">WEEKDAY(A7011,2)</f>
        <v>5</v>
      </c>
      <c r="E7011" s="33" t="n">
        <f aca="false">HOUR(A7011)+MINUTE(A7011)/60</f>
        <v>1</v>
      </c>
      <c r="F7011" s="33" t="n">
        <f aca="false">IF(OR(D7011&gt;5,E7011&lt;8,E7011&gt;=18,COUNTIF($K$2:$K$10,INT(A7011))&gt;0),1,0)</f>
        <v>1</v>
      </c>
      <c r="G7011" s="34" t="n">
        <f aca="false">B7011/1</f>
        <v>56.725</v>
      </c>
      <c r="H7011" s="34" t="n">
        <f aca="false">IF(F7011=1,G7011,"")</f>
        <v>56.725</v>
      </c>
    </row>
    <row r="7012" customFormat="false" ht="15" hidden="false" customHeight="false" outlineLevel="0" collapsed="false">
      <c r="A7012" s="31" t="n">
        <v>43028.0833333333</v>
      </c>
      <c r="B7012" s="32" t="n">
        <v>56.39</v>
      </c>
      <c r="D7012" s="33" t="n">
        <f aca="false">WEEKDAY(A7012,2)</f>
        <v>5</v>
      </c>
      <c r="E7012" s="33" t="n">
        <f aca="false">HOUR(A7012)+MINUTE(A7012)/60</f>
        <v>2</v>
      </c>
      <c r="F7012" s="33" t="n">
        <f aca="false">IF(OR(D7012&gt;5,E7012&lt;8,E7012&gt;=18,COUNTIF($K$2:$K$10,INT(A7012))&gt;0),1,0)</f>
        <v>1</v>
      </c>
      <c r="G7012" s="34" t="n">
        <f aca="false">B7012/1</f>
        <v>56.39</v>
      </c>
      <c r="H7012" s="34" t="n">
        <f aca="false">IF(F7012=1,G7012,"")</f>
        <v>56.39</v>
      </c>
    </row>
    <row r="7013" customFormat="false" ht="15" hidden="false" customHeight="false" outlineLevel="0" collapsed="false">
      <c r="A7013" s="31" t="n">
        <v>43028.125</v>
      </c>
      <c r="B7013" s="32" t="n">
        <v>52.948</v>
      </c>
      <c r="D7013" s="33" t="n">
        <f aca="false">WEEKDAY(A7013,2)</f>
        <v>5</v>
      </c>
      <c r="E7013" s="33" t="n">
        <f aca="false">HOUR(A7013)+MINUTE(A7013)/60</f>
        <v>3</v>
      </c>
      <c r="F7013" s="33" t="n">
        <f aca="false">IF(OR(D7013&gt;5,E7013&lt;8,E7013&gt;=18,COUNTIF($K$2:$K$10,INT(A7013))&gt;0),1,0)</f>
        <v>1</v>
      </c>
      <c r="G7013" s="34" t="n">
        <f aca="false">B7013/1</f>
        <v>52.948</v>
      </c>
      <c r="H7013" s="34" t="n">
        <f aca="false">IF(F7013=1,G7013,"")</f>
        <v>52.948</v>
      </c>
    </row>
    <row r="7014" customFormat="false" ht="15" hidden="false" customHeight="false" outlineLevel="0" collapsed="false">
      <c r="A7014" s="31" t="n">
        <v>43028.1666666667</v>
      </c>
      <c r="B7014" s="32" t="n">
        <v>55.238</v>
      </c>
      <c r="D7014" s="33" t="n">
        <f aca="false">WEEKDAY(A7014,2)</f>
        <v>5</v>
      </c>
      <c r="E7014" s="33" t="n">
        <f aca="false">HOUR(A7014)+MINUTE(A7014)/60</f>
        <v>4</v>
      </c>
      <c r="F7014" s="33" t="n">
        <f aca="false">IF(OR(D7014&gt;5,E7014&lt;8,E7014&gt;=18,COUNTIF($K$2:$K$10,INT(A7014))&gt;0),1,0)</f>
        <v>1</v>
      </c>
      <c r="G7014" s="34" t="n">
        <f aca="false">B7014/1</f>
        <v>55.238</v>
      </c>
      <c r="H7014" s="34" t="n">
        <f aca="false">IF(F7014=1,G7014,"")</f>
        <v>55.238</v>
      </c>
    </row>
    <row r="7015" customFormat="false" ht="15" hidden="false" customHeight="false" outlineLevel="0" collapsed="false">
      <c r="A7015" s="31" t="n">
        <v>43028.2083333333</v>
      </c>
      <c r="B7015" s="32" t="n">
        <v>53.573</v>
      </c>
      <c r="D7015" s="33" t="n">
        <f aca="false">WEEKDAY(A7015,2)</f>
        <v>5</v>
      </c>
      <c r="E7015" s="33" t="n">
        <f aca="false">HOUR(A7015)+MINUTE(A7015)/60</f>
        <v>5</v>
      </c>
      <c r="F7015" s="33" t="n">
        <f aca="false">IF(OR(D7015&gt;5,E7015&lt;8,E7015&gt;=18,COUNTIF($K$2:$K$10,INT(A7015))&gt;0),1,0)</f>
        <v>1</v>
      </c>
      <c r="G7015" s="34" t="n">
        <f aca="false">B7015/1</f>
        <v>53.573</v>
      </c>
      <c r="H7015" s="34" t="n">
        <f aca="false">IF(F7015=1,G7015,"")</f>
        <v>53.573</v>
      </c>
    </row>
    <row r="7016" customFormat="false" ht="15" hidden="false" customHeight="false" outlineLevel="0" collapsed="false">
      <c r="A7016" s="31" t="n">
        <v>43028.25</v>
      </c>
      <c r="B7016" s="32" t="n">
        <v>55.457</v>
      </c>
      <c r="D7016" s="33" t="n">
        <f aca="false">WEEKDAY(A7016,2)</f>
        <v>5</v>
      </c>
      <c r="E7016" s="33" t="n">
        <f aca="false">HOUR(A7016)+MINUTE(A7016)/60</f>
        <v>6</v>
      </c>
      <c r="F7016" s="33" t="n">
        <f aca="false">IF(OR(D7016&gt;5,E7016&lt;8,E7016&gt;=18,COUNTIF($K$2:$K$10,INT(A7016))&gt;0),1,0)</f>
        <v>1</v>
      </c>
      <c r="G7016" s="34" t="n">
        <f aca="false">B7016/1</f>
        <v>55.457</v>
      </c>
      <c r="H7016" s="34" t="n">
        <f aca="false">IF(F7016=1,G7016,"")</f>
        <v>55.457</v>
      </c>
    </row>
    <row r="7017" customFormat="false" ht="15" hidden="false" customHeight="false" outlineLevel="0" collapsed="false">
      <c r="A7017" s="31" t="n">
        <v>43028.2916666667</v>
      </c>
      <c r="B7017" s="32" t="n">
        <v>63.81</v>
      </c>
      <c r="D7017" s="33" t="n">
        <f aca="false">WEEKDAY(A7017,2)</f>
        <v>5</v>
      </c>
      <c r="E7017" s="33" t="n">
        <f aca="false">HOUR(A7017)+MINUTE(A7017)/60</f>
        <v>7</v>
      </c>
      <c r="F7017" s="33" t="n">
        <f aca="false">IF(OR(D7017&gt;5,E7017&lt;8,E7017&gt;=18,COUNTIF($K$2:$K$10,INT(A7017))&gt;0),1,0)</f>
        <v>1</v>
      </c>
      <c r="G7017" s="34" t="n">
        <f aca="false">B7017/1</f>
        <v>63.81</v>
      </c>
      <c r="H7017" s="34" t="n">
        <f aca="false">IF(F7017=1,G7017,"")</f>
        <v>63.81</v>
      </c>
    </row>
    <row r="7018" customFormat="false" ht="15" hidden="false" customHeight="false" outlineLevel="0" collapsed="false">
      <c r="A7018" s="31" t="n">
        <v>43028.3333333333</v>
      </c>
      <c r="B7018" s="32" t="n">
        <v>176.409</v>
      </c>
      <c r="D7018" s="33" t="n">
        <f aca="false">WEEKDAY(A7018,2)</f>
        <v>5</v>
      </c>
      <c r="E7018" s="33" t="n">
        <f aca="false">HOUR(A7018)+MINUTE(A7018)/60</f>
        <v>8</v>
      </c>
      <c r="F7018" s="33" t="n">
        <f aca="false">IF(OR(D7018&gt;5,E7018&lt;8,E7018&gt;=18,COUNTIF($K$2:$K$10,INT(A7018))&gt;0),1,0)</f>
        <v>0</v>
      </c>
      <c r="G7018" s="34" t="n">
        <f aca="false">B7018/1</f>
        <v>176.409</v>
      </c>
      <c r="H7018" s="34" t="str">
        <f aca="false">IF(F7018=1,G7018,"")</f>
        <v/>
      </c>
    </row>
    <row r="7019" customFormat="false" ht="15" hidden="false" customHeight="false" outlineLevel="0" collapsed="false">
      <c r="A7019" s="31" t="n">
        <v>43028.375</v>
      </c>
      <c r="B7019" s="32" t="n">
        <v>209.971</v>
      </c>
      <c r="D7019" s="33" t="n">
        <f aca="false">WEEKDAY(A7019,2)</f>
        <v>5</v>
      </c>
      <c r="E7019" s="33" t="n">
        <f aca="false">HOUR(A7019)+MINUTE(A7019)/60</f>
        <v>9</v>
      </c>
      <c r="F7019" s="33" t="n">
        <f aca="false">IF(OR(D7019&gt;5,E7019&lt;8,E7019&gt;=18,COUNTIF($K$2:$K$10,INT(A7019))&gt;0),1,0)</f>
        <v>0</v>
      </c>
      <c r="G7019" s="34" t="n">
        <f aca="false">B7019/1</f>
        <v>209.971</v>
      </c>
      <c r="H7019" s="34" t="str">
        <f aca="false">IF(F7019=1,G7019,"")</f>
        <v/>
      </c>
    </row>
    <row r="7020" customFormat="false" ht="15" hidden="false" customHeight="false" outlineLevel="0" collapsed="false">
      <c r="A7020" s="31" t="n">
        <v>43028.4166666667</v>
      </c>
      <c r="B7020" s="32" t="n">
        <v>230.31</v>
      </c>
      <c r="D7020" s="33" t="n">
        <f aca="false">WEEKDAY(A7020,2)</f>
        <v>5</v>
      </c>
      <c r="E7020" s="33" t="n">
        <f aca="false">HOUR(A7020)+MINUTE(A7020)/60</f>
        <v>10</v>
      </c>
      <c r="F7020" s="33" t="n">
        <f aca="false">IF(OR(D7020&gt;5,E7020&lt;8,E7020&gt;=18,COUNTIF($K$2:$K$10,INT(A7020))&gt;0),1,0)</f>
        <v>0</v>
      </c>
      <c r="G7020" s="34" t="n">
        <f aca="false">B7020/1</f>
        <v>230.31</v>
      </c>
      <c r="H7020" s="34" t="str">
        <f aca="false">IF(F7020=1,G7020,"")</f>
        <v/>
      </c>
    </row>
    <row r="7021" customFormat="false" ht="15" hidden="false" customHeight="false" outlineLevel="0" collapsed="false">
      <c r="A7021" s="31" t="n">
        <v>43028.4583333333</v>
      </c>
      <c r="B7021" s="32" t="n">
        <v>236.78</v>
      </c>
      <c r="D7021" s="33" t="n">
        <f aca="false">WEEKDAY(A7021,2)</f>
        <v>5</v>
      </c>
      <c r="E7021" s="33" t="n">
        <f aca="false">HOUR(A7021)+MINUTE(A7021)/60</f>
        <v>11</v>
      </c>
      <c r="F7021" s="33" t="n">
        <f aca="false">IF(OR(D7021&gt;5,E7021&lt;8,E7021&gt;=18,COUNTIF($K$2:$K$10,INT(A7021))&gt;0),1,0)</f>
        <v>0</v>
      </c>
      <c r="G7021" s="34" t="n">
        <f aca="false">B7021/1</f>
        <v>236.78</v>
      </c>
      <c r="H7021" s="34" t="str">
        <f aca="false">IF(F7021=1,G7021,"")</f>
        <v/>
      </c>
    </row>
    <row r="7022" customFormat="false" ht="15" hidden="false" customHeight="false" outlineLevel="0" collapsed="false">
      <c r="A7022" s="31" t="n">
        <v>43028.5</v>
      </c>
      <c r="B7022" s="32" t="n">
        <v>234.672</v>
      </c>
      <c r="D7022" s="33" t="n">
        <f aca="false">WEEKDAY(A7022,2)</f>
        <v>5</v>
      </c>
      <c r="E7022" s="33" t="n">
        <f aca="false">HOUR(A7022)+MINUTE(A7022)/60</f>
        <v>12</v>
      </c>
      <c r="F7022" s="33" t="n">
        <f aca="false">IF(OR(D7022&gt;5,E7022&lt;8,E7022&gt;=18,COUNTIF($K$2:$K$10,INT(A7022))&gt;0),1,0)</f>
        <v>0</v>
      </c>
      <c r="G7022" s="34" t="n">
        <f aca="false">B7022/1</f>
        <v>234.672</v>
      </c>
      <c r="H7022" s="34" t="str">
        <f aca="false">IF(F7022=1,G7022,"")</f>
        <v/>
      </c>
    </row>
    <row r="7023" customFormat="false" ht="15" hidden="false" customHeight="false" outlineLevel="0" collapsed="false">
      <c r="A7023" s="31" t="n">
        <v>43028.5416666667</v>
      </c>
      <c r="B7023" s="32" t="n">
        <v>228.919</v>
      </c>
      <c r="D7023" s="33" t="n">
        <f aca="false">WEEKDAY(A7023,2)</f>
        <v>5</v>
      </c>
      <c r="E7023" s="33" t="n">
        <f aca="false">HOUR(A7023)+MINUTE(A7023)/60</f>
        <v>13</v>
      </c>
      <c r="F7023" s="33" t="n">
        <f aca="false">IF(OR(D7023&gt;5,E7023&lt;8,E7023&gt;=18,COUNTIF($K$2:$K$10,INT(A7023))&gt;0),1,0)</f>
        <v>0</v>
      </c>
      <c r="G7023" s="34" t="n">
        <f aca="false">B7023/1</f>
        <v>228.919</v>
      </c>
      <c r="H7023" s="34" t="str">
        <f aca="false">IF(F7023=1,G7023,"")</f>
        <v/>
      </c>
    </row>
    <row r="7024" customFormat="false" ht="15" hidden="false" customHeight="false" outlineLevel="0" collapsed="false">
      <c r="A7024" s="31" t="n">
        <v>43028.5833333333</v>
      </c>
      <c r="B7024" s="32" t="n">
        <v>226.116</v>
      </c>
      <c r="D7024" s="33" t="n">
        <f aca="false">WEEKDAY(A7024,2)</f>
        <v>5</v>
      </c>
      <c r="E7024" s="33" t="n">
        <f aca="false">HOUR(A7024)+MINUTE(A7024)/60</f>
        <v>14</v>
      </c>
      <c r="F7024" s="33" t="n">
        <f aca="false">IF(OR(D7024&gt;5,E7024&lt;8,E7024&gt;=18,COUNTIF($K$2:$K$10,INT(A7024))&gt;0),1,0)</f>
        <v>0</v>
      </c>
      <c r="G7024" s="34" t="n">
        <f aca="false">B7024/1</f>
        <v>226.116</v>
      </c>
      <c r="H7024" s="34" t="str">
        <f aca="false">IF(F7024=1,G7024,"")</f>
        <v/>
      </c>
    </row>
    <row r="7025" customFormat="false" ht="15" hidden="false" customHeight="false" outlineLevel="0" collapsed="false">
      <c r="A7025" s="31" t="n">
        <v>43028.625</v>
      </c>
      <c r="B7025" s="32" t="n">
        <v>223.301</v>
      </c>
      <c r="D7025" s="33" t="n">
        <f aca="false">WEEKDAY(A7025,2)</f>
        <v>5</v>
      </c>
      <c r="E7025" s="33" t="n">
        <f aca="false">HOUR(A7025)+MINUTE(A7025)/60</f>
        <v>15</v>
      </c>
      <c r="F7025" s="33" t="n">
        <f aca="false">IF(OR(D7025&gt;5,E7025&lt;8,E7025&gt;=18,COUNTIF($K$2:$K$10,INT(A7025))&gt;0),1,0)</f>
        <v>0</v>
      </c>
      <c r="G7025" s="34" t="n">
        <f aca="false">B7025/1</f>
        <v>223.301</v>
      </c>
      <c r="H7025" s="34" t="str">
        <f aca="false">IF(F7025=1,G7025,"")</f>
        <v/>
      </c>
    </row>
    <row r="7026" customFormat="false" ht="15" hidden="false" customHeight="false" outlineLevel="0" collapsed="false">
      <c r="A7026" s="31" t="n">
        <v>43028.6666666667</v>
      </c>
      <c r="B7026" s="32" t="n">
        <v>216.612</v>
      </c>
      <c r="D7026" s="33" t="n">
        <f aca="false">WEEKDAY(A7026,2)</f>
        <v>5</v>
      </c>
      <c r="E7026" s="33" t="n">
        <f aca="false">HOUR(A7026)+MINUTE(A7026)/60</f>
        <v>16</v>
      </c>
      <c r="F7026" s="33" t="n">
        <f aca="false">IF(OR(D7026&gt;5,E7026&lt;8,E7026&gt;=18,COUNTIF($K$2:$K$10,INT(A7026))&gt;0),1,0)</f>
        <v>0</v>
      </c>
      <c r="G7026" s="34" t="n">
        <f aca="false">B7026/1</f>
        <v>216.612</v>
      </c>
      <c r="H7026" s="34" t="str">
        <f aca="false">IF(F7026=1,G7026,"")</f>
        <v/>
      </c>
    </row>
    <row r="7027" customFormat="false" ht="15" hidden="false" customHeight="false" outlineLevel="0" collapsed="false">
      <c r="A7027" s="31" t="n">
        <v>43028.7083333333</v>
      </c>
      <c r="B7027" s="32" t="n">
        <v>205.319</v>
      </c>
      <c r="D7027" s="33" t="n">
        <f aca="false">WEEKDAY(A7027,2)</f>
        <v>5</v>
      </c>
      <c r="E7027" s="33" t="n">
        <f aca="false">HOUR(A7027)+MINUTE(A7027)/60</f>
        <v>17</v>
      </c>
      <c r="F7027" s="33" t="n">
        <f aca="false">IF(OR(D7027&gt;5,E7027&lt;8,E7027&gt;=18,COUNTIF($K$2:$K$10,INT(A7027))&gt;0),1,0)</f>
        <v>0</v>
      </c>
      <c r="G7027" s="34" t="n">
        <f aca="false">B7027/1</f>
        <v>205.319</v>
      </c>
      <c r="H7027" s="34" t="str">
        <f aca="false">IF(F7027=1,G7027,"")</f>
        <v/>
      </c>
    </row>
    <row r="7028" customFormat="false" ht="15" hidden="false" customHeight="false" outlineLevel="0" collapsed="false">
      <c r="A7028" s="31" t="n">
        <v>43028.75</v>
      </c>
      <c r="B7028" s="32" t="n">
        <v>186.397</v>
      </c>
      <c r="D7028" s="33" t="n">
        <f aca="false">WEEKDAY(A7028,2)</f>
        <v>5</v>
      </c>
      <c r="E7028" s="33" t="n">
        <f aca="false">HOUR(A7028)+MINUTE(A7028)/60</f>
        <v>18</v>
      </c>
      <c r="F7028" s="33" t="n">
        <f aca="false">IF(OR(D7028&gt;5,E7028&lt;8,E7028&gt;=18,COUNTIF($K$2:$K$10,INT(A7028))&gt;0),1,0)</f>
        <v>1</v>
      </c>
      <c r="G7028" s="34" t="n">
        <f aca="false">B7028/1</f>
        <v>186.397</v>
      </c>
      <c r="H7028" s="34" t="n">
        <f aca="false">IF(F7028=1,G7028,"")</f>
        <v>186.397</v>
      </c>
    </row>
    <row r="7029" customFormat="false" ht="15" hidden="false" customHeight="false" outlineLevel="0" collapsed="false">
      <c r="A7029" s="31" t="n">
        <v>43028.7916666667</v>
      </c>
      <c r="B7029" s="32" t="n">
        <v>183.874</v>
      </c>
      <c r="D7029" s="33" t="n">
        <f aca="false">WEEKDAY(A7029,2)</f>
        <v>5</v>
      </c>
      <c r="E7029" s="33" t="n">
        <f aca="false">HOUR(A7029)+MINUTE(A7029)/60</f>
        <v>19</v>
      </c>
      <c r="F7029" s="33" t="n">
        <f aca="false">IF(OR(D7029&gt;5,E7029&lt;8,E7029&gt;=18,COUNTIF($K$2:$K$10,INT(A7029))&gt;0),1,0)</f>
        <v>1</v>
      </c>
      <c r="G7029" s="34" t="n">
        <f aca="false">B7029/1</f>
        <v>183.874</v>
      </c>
      <c r="H7029" s="34" t="n">
        <f aca="false">IF(F7029=1,G7029,"")</f>
        <v>183.874</v>
      </c>
    </row>
    <row r="7030" customFormat="false" ht="15" hidden="false" customHeight="false" outlineLevel="0" collapsed="false">
      <c r="A7030" s="31" t="n">
        <v>43028.8333333333</v>
      </c>
      <c r="B7030" s="32" t="n">
        <v>181.872</v>
      </c>
      <c r="D7030" s="33" t="n">
        <f aca="false">WEEKDAY(A7030,2)</f>
        <v>5</v>
      </c>
      <c r="E7030" s="33" t="n">
        <f aca="false">HOUR(A7030)+MINUTE(A7030)/60</f>
        <v>20</v>
      </c>
      <c r="F7030" s="33" t="n">
        <f aca="false">IF(OR(D7030&gt;5,E7030&lt;8,E7030&gt;=18,COUNTIF($K$2:$K$10,INT(A7030))&gt;0),1,0)</f>
        <v>1</v>
      </c>
      <c r="G7030" s="34" t="n">
        <f aca="false">B7030/1</f>
        <v>181.872</v>
      </c>
      <c r="H7030" s="34" t="n">
        <f aca="false">IF(F7030=1,G7030,"")</f>
        <v>181.872</v>
      </c>
    </row>
    <row r="7031" customFormat="false" ht="15" hidden="false" customHeight="false" outlineLevel="0" collapsed="false">
      <c r="A7031" s="31" t="n">
        <v>43028.875</v>
      </c>
      <c r="B7031" s="32" t="n">
        <v>176.284</v>
      </c>
      <c r="D7031" s="33" t="n">
        <f aca="false">WEEKDAY(A7031,2)</f>
        <v>5</v>
      </c>
      <c r="E7031" s="33" t="n">
        <f aca="false">HOUR(A7031)+MINUTE(A7031)/60</f>
        <v>21</v>
      </c>
      <c r="F7031" s="33" t="n">
        <f aca="false">IF(OR(D7031&gt;5,E7031&lt;8,E7031&gt;=18,COUNTIF($K$2:$K$10,INT(A7031))&gt;0),1,0)</f>
        <v>1</v>
      </c>
      <c r="G7031" s="34" t="n">
        <f aca="false">B7031/1</f>
        <v>176.284</v>
      </c>
      <c r="H7031" s="34" t="n">
        <f aca="false">IF(F7031=1,G7031,"")</f>
        <v>176.284</v>
      </c>
    </row>
    <row r="7032" customFormat="false" ht="15" hidden="false" customHeight="false" outlineLevel="0" collapsed="false">
      <c r="A7032" s="31" t="n">
        <v>43028.9166666667</v>
      </c>
      <c r="B7032" s="32" t="n">
        <v>117.55</v>
      </c>
      <c r="D7032" s="33" t="n">
        <f aca="false">WEEKDAY(A7032,2)</f>
        <v>5</v>
      </c>
      <c r="E7032" s="33" t="n">
        <f aca="false">HOUR(A7032)+MINUTE(A7032)/60</f>
        <v>22</v>
      </c>
      <c r="F7032" s="33" t="n">
        <f aca="false">IF(OR(D7032&gt;5,E7032&lt;8,E7032&gt;=18,COUNTIF($K$2:$K$10,INT(A7032))&gt;0),1,0)</f>
        <v>1</v>
      </c>
      <c r="G7032" s="34" t="n">
        <f aca="false">B7032/1</f>
        <v>117.55</v>
      </c>
      <c r="H7032" s="34" t="n">
        <f aca="false">IF(F7032=1,G7032,"")</f>
        <v>117.55</v>
      </c>
    </row>
    <row r="7033" customFormat="false" ht="15" hidden="false" customHeight="false" outlineLevel="0" collapsed="false">
      <c r="A7033" s="31" t="n">
        <v>43028.9583333333</v>
      </c>
      <c r="B7033" s="32" t="n">
        <v>60.127</v>
      </c>
      <c r="D7033" s="33" t="n">
        <f aca="false">WEEKDAY(A7033,2)</f>
        <v>5</v>
      </c>
      <c r="E7033" s="33" t="n">
        <f aca="false">HOUR(A7033)+MINUTE(A7033)/60</f>
        <v>23</v>
      </c>
      <c r="F7033" s="33" t="n">
        <f aca="false">IF(OR(D7033&gt;5,E7033&lt;8,E7033&gt;=18,COUNTIF($K$2:$K$10,INT(A7033))&gt;0),1,0)</f>
        <v>1</v>
      </c>
      <c r="G7033" s="34" t="n">
        <f aca="false">B7033/1</f>
        <v>60.127</v>
      </c>
      <c r="H7033" s="34" t="n">
        <f aca="false">IF(F7033=1,G7033,"")</f>
        <v>60.127</v>
      </c>
    </row>
    <row r="7034" customFormat="false" ht="15" hidden="false" customHeight="false" outlineLevel="0" collapsed="false">
      <c r="A7034" s="31" t="n">
        <v>43029</v>
      </c>
      <c r="B7034" s="32" t="n">
        <v>58.11</v>
      </c>
      <c r="D7034" s="33" t="n">
        <f aca="false">WEEKDAY(A7034,2)</f>
        <v>6</v>
      </c>
      <c r="E7034" s="33" t="n">
        <f aca="false">HOUR(A7034)+MINUTE(A7034)/60</f>
        <v>0</v>
      </c>
      <c r="F7034" s="33" t="n">
        <f aca="false">IF(OR(D7034&gt;5,E7034&lt;8,E7034&gt;=18,COUNTIF($K$2:$K$10,INT(A7034))&gt;0),1,0)</f>
        <v>1</v>
      </c>
      <c r="G7034" s="34" t="n">
        <f aca="false">B7034/1</f>
        <v>58.11</v>
      </c>
      <c r="H7034" s="34" t="n">
        <f aca="false">IF(F7034=1,G7034,"")</f>
        <v>58.11</v>
      </c>
    </row>
    <row r="7035" customFormat="false" ht="15" hidden="false" customHeight="false" outlineLevel="0" collapsed="false">
      <c r="A7035" s="31" t="n">
        <v>43029.0416666667</v>
      </c>
      <c r="B7035" s="32" t="n">
        <v>50.651</v>
      </c>
      <c r="D7035" s="33" t="n">
        <f aca="false">WEEKDAY(A7035,2)</f>
        <v>6</v>
      </c>
      <c r="E7035" s="33" t="n">
        <f aca="false">HOUR(A7035)+MINUTE(A7035)/60</f>
        <v>1</v>
      </c>
      <c r="F7035" s="33" t="n">
        <f aca="false">IF(OR(D7035&gt;5,E7035&lt;8,E7035&gt;=18,COUNTIF($K$2:$K$10,INT(A7035))&gt;0),1,0)</f>
        <v>1</v>
      </c>
      <c r="G7035" s="34" t="n">
        <f aca="false">B7035/1</f>
        <v>50.651</v>
      </c>
      <c r="H7035" s="34" t="n">
        <f aca="false">IF(F7035=1,G7035,"")</f>
        <v>50.651</v>
      </c>
    </row>
    <row r="7036" customFormat="false" ht="15" hidden="false" customHeight="false" outlineLevel="0" collapsed="false">
      <c r="A7036" s="31" t="n">
        <v>43029.0833333333</v>
      </c>
      <c r="B7036" s="32" t="n">
        <v>51.495</v>
      </c>
      <c r="D7036" s="33" t="n">
        <f aca="false">WEEKDAY(A7036,2)</f>
        <v>6</v>
      </c>
      <c r="E7036" s="33" t="n">
        <f aca="false">HOUR(A7036)+MINUTE(A7036)/60</f>
        <v>2</v>
      </c>
      <c r="F7036" s="33" t="n">
        <f aca="false">IF(OR(D7036&gt;5,E7036&lt;8,E7036&gt;=18,COUNTIF($K$2:$K$10,INT(A7036))&gt;0),1,0)</f>
        <v>1</v>
      </c>
      <c r="G7036" s="34" t="n">
        <f aca="false">B7036/1</f>
        <v>51.495</v>
      </c>
      <c r="H7036" s="34" t="n">
        <f aca="false">IF(F7036=1,G7036,"")</f>
        <v>51.495</v>
      </c>
    </row>
    <row r="7037" customFormat="false" ht="15" hidden="false" customHeight="false" outlineLevel="0" collapsed="false">
      <c r="A7037" s="31" t="n">
        <v>43029.125</v>
      </c>
      <c r="B7037" s="32" t="n">
        <v>52.807</v>
      </c>
      <c r="D7037" s="33" t="n">
        <f aca="false">WEEKDAY(A7037,2)</f>
        <v>6</v>
      </c>
      <c r="E7037" s="33" t="n">
        <f aca="false">HOUR(A7037)+MINUTE(A7037)/60</f>
        <v>3</v>
      </c>
      <c r="F7037" s="33" t="n">
        <f aca="false">IF(OR(D7037&gt;5,E7037&lt;8,E7037&gt;=18,COUNTIF($K$2:$K$10,INT(A7037))&gt;0),1,0)</f>
        <v>1</v>
      </c>
      <c r="G7037" s="34" t="n">
        <f aca="false">B7037/1</f>
        <v>52.807</v>
      </c>
      <c r="H7037" s="34" t="n">
        <f aca="false">IF(F7037=1,G7037,"")</f>
        <v>52.807</v>
      </c>
    </row>
    <row r="7038" customFormat="false" ht="15" hidden="false" customHeight="false" outlineLevel="0" collapsed="false">
      <c r="A7038" s="31" t="n">
        <v>43029.1666666667</v>
      </c>
      <c r="B7038" s="32" t="n">
        <v>47.883</v>
      </c>
      <c r="D7038" s="33" t="n">
        <f aca="false">WEEKDAY(A7038,2)</f>
        <v>6</v>
      </c>
      <c r="E7038" s="33" t="n">
        <f aca="false">HOUR(A7038)+MINUTE(A7038)/60</f>
        <v>4</v>
      </c>
      <c r="F7038" s="33" t="n">
        <f aca="false">IF(OR(D7038&gt;5,E7038&lt;8,E7038&gt;=18,COUNTIF($K$2:$K$10,INT(A7038))&gt;0),1,0)</f>
        <v>1</v>
      </c>
      <c r="G7038" s="34" t="n">
        <f aca="false">B7038/1</f>
        <v>47.883</v>
      </c>
      <c r="H7038" s="34" t="n">
        <f aca="false">IF(F7038=1,G7038,"")</f>
        <v>47.883</v>
      </c>
    </row>
    <row r="7039" customFormat="false" ht="15" hidden="false" customHeight="false" outlineLevel="0" collapsed="false">
      <c r="A7039" s="31" t="n">
        <v>43029.2083333333</v>
      </c>
      <c r="B7039" s="32" t="n">
        <v>51.272</v>
      </c>
      <c r="D7039" s="33" t="n">
        <f aca="false">WEEKDAY(A7039,2)</f>
        <v>6</v>
      </c>
      <c r="E7039" s="33" t="n">
        <f aca="false">HOUR(A7039)+MINUTE(A7039)/60</f>
        <v>5</v>
      </c>
      <c r="F7039" s="33" t="n">
        <f aca="false">IF(OR(D7039&gt;5,E7039&lt;8,E7039&gt;=18,COUNTIF($K$2:$K$10,INT(A7039))&gt;0),1,0)</f>
        <v>1</v>
      </c>
      <c r="G7039" s="34" t="n">
        <f aca="false">B7039/1</f>
        <v>51.272</v>
      </c>
      <c r="H7039" s="34" t="n">
        <f aca="false">IF(F7039=1,G7039,"")</f>
        <v>51.272</v>
      </c>
    </row>
    <row r="7040" customFormat="false" ht="15" hidden="false" customHeight="false" outlineLevel="0" collapsed="false">
      <c r="A7040" s="31" t="n">
        <v>43029.25</v>
      </c>
      <c r="B7040" s="32" t="n">
        <v>48.63</v>
      </c>
      <c r="D7040" s="33" t="n">
        <f aca="false">WEEKDAY(A7040,2)</f>
        <v>6</v>
      </c>
      <c r="E7040" s="33" t="n">
        <f aca="false">HOUR(A7040)+MINUTE(A7040)/60</f>
        <v>6</v>
      </c>
      <c r="F7040" s="33" t="n">
        <f aca="false">IF(OR(D7040&gt;5,E7040&lt;8,E7040&gt;=18,COUNTIF($K$2:$K$10,INT(A7040))&gt;0),1,0)</f>
        <v>1</v>
      </c>
      <c r="G7040" s="34" t="n">
        <f aca="false">B7040/1</f>
        <v>48.63</v>
      </c>
      <c r="H7040" s="34" t="n">
        <f aca="false">IF(F7040=1,G7040,"")</f>
        <v>48.63</v>
      </c>
    </row>
    <row r="7041" customFormat="false" ht="15" hidden="false" customHeight="false" outlineLevel="0" collapsed="false">
      <c r="A7041" s="31" t="n">
        <v>43029.2916666667</v>
      </c>
      <c r="B7041" s="32" t="n">
        <v>51.129</v>
      </c>
      <c r="D7041" s="33" t="n">
        <f aca="false">WEEKDAY(A7041,2)</f>
        <v>6</v>
      </c>
      <c r="E7041" s="33" t="n">
        <f aca="false">HOUR(A7041)+MINUTE(A7041)/60</f>
        <v>7</v>
      </c>
      <c r="F7041" s="33" t="n">
        <f aca="false">IF(OR(D7041&gt;5,E7041&lt;8,E7041&gt;=18,COUNTIF($K$2:$K$10,INT(A7041))&gt;0),1,0)</f>
        <v>1</v>
      </c>
      <c r="G7041" s="34" t="n">
        <f aca="false">B7041/1</f>
        <v>51.129</v>
      </c>
      <c r="H7041" s="34" t="n">
        <f aca="false">IF(F7041=1,G7041,"")</f>
        <v>51.129</v>
      </c>
    </row>
    <row r="7042" customFormat="false" ht="15" hidden="false" customHeight="false" outlineLevel="0" collapsed="false">
      <c r="A7042" s="31" t="n">
        <v>43029.3333333333</v>
      </c>
      <c r="B7042" s="32" t="n">
        <v>115.014</v>
      </c>
      <c r="D7042" s="33" t="n">
        <f aca="false">WEEKDAY(A7042,2)</f>
        <v>6</v>
      </c>
      <c r="E7042" s="33" t="n">
        <f aca="false">HOUR(A7042)+MINUTE(A7042)/60</f>
        <v>8</v>
      </c>
      <c r="F7042" s="33" t="n">
        <f aca="false">IF(OR(D7042&gt;5,E7042&lt;8,E7042&gt;=18,COUNTIF($K$2:$K$10,INT(A7042))&gt;0),1,0)</f>
        <v>1</v>
      </c>
      <c r="G7042" s="34" t="n">
        <f aca="false">B7042/1</f>
        <v>115.014</v>
      </c>
      <c r="H7042" s="34" t="n">
        <f aca="false">IF(F7042=1,G7042,"")</f>
        <v>115.014</v>
      </c>
    </row>
    <row r="7043" customFormat="false" ht="15" hidden="false" customHeight="false" outlineLevel="0" collapsed="false">
      <c r="A7043" s="31" t="n">
        <v>43029.375</v>
      </c>
      <c r="B7043" s="32" t="n">
        <v>156.733</v>
      </c>
      <c r="D7043" s="33" t="n">
        <f aca="false">WEEKDAY(A7043,2)</f>
        <v>6</v>
      </c>
      <c r="E7043" s="33" t="n">
        <f aca="false">HOUR(A7043)+MINUTE(A7043)/60</f>
        <v>9</v>
      </c>
      <c r="F7043" s="33" t="n">
        <f aca="false">IF(OR(D7043&gt;5,E7043&lt;8,E7043&gt;=18,COUNTIF($K$2:$K$10,INT(A7043))&gt;0),1,0)</f>
        <v>1</v>
      </c>
      <c r="G7043" s="34" t="n">
        <f aca="false">B7043/1</f>
        <v>156.733</v>
      </c>
      <c r="H7043" s="34" t="n">
        <f aca="false">IF(F7043=1,G7043,"")</f>
        <v>156.733</v>
      </c>
    </row>
    <row r="7044" customFormat="false" ht="15" hidden="false" customHeight="false" outlineLevel="0" collapsed="false">
      <c r="A7044" s="31" t="n">
        <v>43029.4166666667</v>
      </c>
      <c r="B7044" s="32" t="n">
        <v>157.743</v>
      </c>
      <c r="D7044" s="33" t="n">
        <f aca="false">WEEKDAY(A7044,2)</f>
        <v>6</v>
      </c>
      <c r="E7044" s="33" t="n">
        <f aca="false">HOUR(A7044)+MINUTE(A7044)/60</f>
        <v>10</v>
      </c>
      <c r="F7044" s="33" t="n">
        <f aca="false">IF(OR(D7044&gt;5,E7044&lt;8,E7044&gt;=18,COUNTIF($K$2:$K$10,INT(A7044))&gt;0),1,0)</f>
        <v>1</v>
      </c>
      <c r="G7044" s="34" t="n">
        <f aca="false">B7044/1</f>
        <v>157.743</v>
      </c>
      <c r="H7044" s="34" t="n">
        <f aca="false">IF(F7044=1,G7044,"")</f>
        <v>157.743</v>
      </c>
    </row>
    <row r="7045" customFormat="false" ht="15" hidden="false" customHeight="false" outlineLevel="0" collapsed="false">
      <c r="A7045" s="31" t="n">
        <v>43029.4583333333</v>
      </c>
      <c r="B7045" s="32" t="n">
        <v>160.642</v>
      </c>
      <c r="D7045" s="33" t="n">
        <f aca="false">WEEKDAY(A7045,2)</f>
        <v>6</v>
      </c>
      <c r="E7045" s="33" t="n">
        <f aca="false">HOUR(A7045)+MINUTE(A7045)/60</f>
        <v>11</v>
      </c>
      <c r="F7045" s="33" t="n">
        <f aca="false">IF(OR(D7045&gt;5,E7045&lt;8,E7045&gt;=18,COUNTIF($K$2:$K$10,INT(A7045))&gt;0),1,0)</f>
        <v>1</v>
      </c>
      <c r="G7045" s="34" t="n">
        <f aca="false">B7045/1</f>
        <v>160.642</v>
      </c>
      <c r="H7045" s="34" t="n">
        <f aca="false">IF(F7045=1,G7045,"")</f>
        <v>160.642</v>
      </c>
    </row>
    <row r="7046" customFormat="false" ht="15" hidden="false" customHeight="false" outlineLevel="0" collapsed="false">
      <c r="A7046" s="31" t="n">
        <v>43029.5</v>
      </c>
      <c r="B7046" s="32" t="n">
        <v>176.05</v>
      </c>
      <c r="D7046" s="33" t="n">
        <f aca="false">WEEKDAY(A7046,2)</f>
        <v>6</v>
      </c>
      <c r="E7046" s="33" t="n">
        <f aca="false">HOUR(A7046)+MINUTE(A7046)/60</f>
        <v>12</v>
      </c>
      <c r="F7046" s="33" t="n">
        <f aca="false">IF(OR(D7046&gt;5,E7046&lt;8,E7046&gt;=18,COUNTIF($K$2:$K$10,INT(A7046))&gt;0),1,0)</f>
        <v>1</v>
      </c>
      <c r="G7046" s="34" t="n">
        <f aca="false">B7046/1</f>
        <v>176.05</v>
      </c>
      <c r="H7046" s="34" t="n">
        <f aca="false">IF(F7046=1,G7046,"")</f>
        <v>176.05</v>
      </c>
    </row>
    <row r="7047" customFormat="false" ht="15" hidden="false" customHeight="false" outlineLevel="0" collapsed="false">
      <c r="A7047" s="31" t="n">
        <v>43029.5416666667</v>
      </c>
      <c r="B7047" s="32" t="n">
        <v>186.386</v>
      </c>
      <c r="D7047" s="33" t="n">
        <f aca="false">WEEKDAY(A7047,2)</f>
        <v>6</v>
      </c>
      <c r="E7047" s="33" t="n">
        <f aca="false">HOUR(A7047)+MINUTE(A7047)/60</f>
        <v>13</v>
      </c>
      <c r="F7047" s="33" t="n">
        <f aca="false">IF(OR(D7047&gt;5,E7047&lt;8,E7047&gt;=18,COUNTIF($K$2:$K$10,INT(A7047))&gt;0),1,0)</f>
        <v>1</v>
      </c>
      <c r="G7047" s="34" t="n">
        <f aca="false">B7047/1</f>
        <v>186.386</v>
      </c>
      <c r="H7047" s="34" t="n">
        <f aca="false">IF(F7047=1,G7047,"")</f>
        <v>186.386</v>
      </c>
    </row>
    <row r="7048" customFormat="false" ht="15" hidden="false" customHeight="false" outlineLevel="0" collapsed="false">
      <c r="A7048" s="31" t="n">
        <v>43029.5833333333</v>
      </c>
      <c r="B7048" s="32" t="n">
        <v>196.314</v>
      </c>
      <c r="D7048" s="33" t="n">
        <f aca="false">WEEKDAY(A7048,2)</f>
        <v>6</v>
      </c>
      <c r="E7048" s="33" t="n">
        <f aca="false">HOUR(A7048)+MINUTE(A7048)/60</f>
        <v>14</v>
      </c>
      <c r="F7048" s="33" t="n">
        <f aca="false">IF(OR(D7048&gt;5,E7048&lt;8,E7048&gt;=18,COUNTIF($K$2:$K$10,INT(A7048))&gt;0),1,0)</f>
        <v>1</v>
      </c>
      <c r="G7048" s="34" t="n">
        <f aca="false">B7048/1</f>
        <v>196.314</v>
      </c>
      <c r="H7048" s="34" t="n">
        <f aca="false">IF(F7048=1,G7048,"")</f>
        <v>196.314</v>
      </c>
    </row>
    <row r="7049" customFormat="false" ht="15" hidden="false" customHeight="false" outlineLevel="0" collapsed="false">
      <c r="A7049" s="31" t="n">
        <v>43029.625</v>
      </c>
      <c r="B7049" s="32" t="n">
        <v>200.837</v>
      </c>
      <c r="D7049" s="33" t="n">
        <f aca="false">WEEKDAY(A7049,2)</f>
        <v>6</v>
      </c>
      <c r="E7049" s="33" t="n">
        <f aca="false">HOUR(A7049)+MINUTE(A7049)/60</f>
        <v>15</v>
      </c>
      <c r="F7049" s="33" t="n">
        <f aca="false">IF(OR(D7049&gt;5,E7049&lt;8,E7049&gt;=18,COUNTIF($K$2:$K$10,INT(A7049))&gt;0),1,0)</f>
        <v>1</v>
      </c>
      <c r="G7049" s="34" t="n">
        <f aca="false">B7049/1</f>
        <v>200.837</v>
      </c>
      <c r="H7049" s="34" t="n">
        <f aca="false">IF(F7049=1,G7049,"")</f>
        <v>200.837</v>
      </c>
    </row>
    <row r="7050" customFormat="false" ht="15" hidden="false" customHeight="false" outlineLevel="0" collapsed="false">
      <c r="A7050" s="31" t="n">
        <v>43029.6666666667</v>
      </c>
      <c r="B7050" s="32" t="n">
        <v>194.332</v>
      </c>
      <c r="D7050" s="33" t="n">
        <f aca="false">WEEKDAY(A7050,2)</f>
        <v>6</v>
      </c>
      <c r="E7050" s="33" t="n">
        <f aca="false">HOUR(A7050)+MINUTE(A7050)/60</f>
        <v>16</v>
      </c>
      <c r="F7050" s="33" t="n">
        <f aca="false">IF(OR(D7050&gt;5,E7050&lt;8,E7050&gt;=18,COUNTIF($K$2:$K$10,INT(A7050))&gt;0),1,0)</f>
        <v>1</v>
      </c>
      <c r="G7050" s="34" t="n">
        <f aca="false">B7050/1</f>
        <v>194.332</v>
      </c>
      <c r="H7050" s="34" t="n">
        <f aca="false">IF(F7050=1,G7050,"")</f>
        <v>194.332</v>
      </c>
    </row>
    <row r="7051" customFormat="false" ht="15" hidden="false" customHeight="false" outlineLevel="0" collapsed="false">
      <c r="A7051" s="31" t="n">
        <v>43029.7083333333</v>
      </c>
      <c r="B7051" s="32" t="n">
        <v>192.588</v>
      </c>
      <c r="D7051" s="33" t="n">
        <f aca="false">WEEKDAY(A7051,2)</f>
        <v>6</v>
      </c>
      <c r="E7051" s="33" t="n">
        <f aca="false">HOUR(A7051)+MINUTE(A7051)/60</f>
        <v>17</v>
      </c>
      <c r="F7051" s="33" t="n">
        <f aca="false">IF(OR(D7051&gt;5,E7051&lt;8,E7051&gt;=18,COUNTIF($K$2:$K$10,INT(A7051))&gt;0),1,0)</f>
        <v>1</v>
      </c>
      <c r="G7051" s="34" t="n">
        <f aca="false">B7051/1</f>
        <v>192.588</v>
      </c>
      <c r="H7051" s="34" t="n">
        <f aca="false">IF(F7051=1,G7051,"")</f>
        <v>192.588</v>
      </c>
    </row>
    <row r="7052" customFormat="false" ht="15" hidden="false" customHeight="false" outlineLevel="0" collapsed="false">
      <c r="A7052" s="31" t="n">
        <v>43029.75</v>
      </c>
      <c r="B7052" s="32" t="n">
        <v>93.907</v>
      </c>
      <c r="D7052" s="33" t="n">
        <f aca="false">WEEKDAY(A7052,2)</f>
        <v>6</v>
      </c>
      <c r="E7052" s="33" t="n">
        <f aca="false">HOUR(A7052)+MINUTE(A7052)/60</f>
        <v>18</v>
      </c>
      <c r="F7052" s="33" t="n">
        <f aca="false">IF(OR(D7052&gt;5,E7052&lt;8,E7052&gt;=18,COUNTIF($K$2:$K$10,INT(A7052))&gt;0),1,0)</f>
        <v>1</v>
      </c>
      <c r="G7052" s="34" t="n">
        <f aca="false">B7052/1</f>
        <v>93.907</v>
      </c>
      <c r="H7052" s="34" t="n">
        <f aca="false">IF(F7052=1,G7052,"")</f>
        <v>93.907</v>
      </c>
    </row>
    <row r="7053" customFormat="false" ht="15" hidden="false" customHeight="false" outlineLevel="0" collapsed="false">
      <c r="A7053" s="31" t="n">
        <v>43029.7916666667</v>
      </c>
      <c r="B7053" s="32" t="n">
        <v>75.742</v>
      </c>
      <c r="D7053" s="33" t="n">
        <f aca="false">WEEKDAY(A7053,2)</f>
        <v>6</v>
      </c>
      <c r="E7053" s="33" t="n">
        <f aca="false">HOUR(A7053)+MINUTE(A7053)/60</f>
        <v>19</v>
      </c>
      <c r="F7053" s="33" t="n">
        <f aca="false">IF(OR(D7053&gt;5,E7053&lt;8,E7053&gt;=18,COUNTIF($K$2:$K$10,INT(A7053))&gt;0),1,0)</f>
        <v>1</v>
      </c>
      <c r="G7053" s="34" t="n">
        <f aca="false">B7053/1</f>
        <v>75.742</v>
      </c>
      <c r="H7053" s="34" t="n">
        <f aca="false">IF(F7053=1,G7053,"")</f>
        <v>75.742</v>
      </c>
    </row>
    <row r="7054" customFormat="false" ht="15" hidden="false" customHeight="false" outlineLevel="0" collapsed="false">
      <c r="A7054" s="31" t="n">
        <v>43029.8333333333</v>
      </c>
      <c r="B7054" s="32" t="n">
        <v>75.141</v>
      </c>
      <c r="D7054" s="33" t="n">
        <f aca="false">WEEKDAY(A7054,2)</f>
        <v>6</v>
      </c>
      <c r="E7054" s="33" t="n">
        <f aca="false">HOUR(A7054)+MINUTE(A7054)/60</f>
        <v>20</v>
      </c>
      <c r="F7054" s="33" t="n">
        <f aca="false">IF(OR(D7054&gt;5,E7054&lt;8,E7054&gt;=18,COUNTIF($K$2:$K$10,INT(A7054))&gt;0),1,0)</f>
        <v>1</v>
      </c>
      <c r="G7054" s="34" t="n">
        <f aca="false">B7054/1</f>
        <v>75.141</v>
      </c>
      <c r="H7054" s="34" t="n">
        <f aca="false">IF(F7054=1,G7054,"")</f>
        <v>75.141</v>
      </c>
    </row>
    <row r="7055" customFormat="false" ht="15" hidden="false" customHeight="false" outlineLevel="0" collapsed="false">
      <c r="A7055" s="31" t="n">
        <v>43029.875</v>
      </c>
      <c r="B7055" s="32" t="n">
        <v>72.118</v>
      </c>
      <c r="D7055" s="33" t="n">
        <f aca="false">WEEKDAY(A7055,2)</f>
        <v>6</v>
      </c>
      <c r="E7055" s="33" t="n">
        <f aca="false">HOUR(A7055)+MINUTE(A7055)/60</f>
        <v>21</v>
      </c>
      <c r="F7055" s="33" t="n">
        <f aca="false">IF(OR(D7055&gt;5,E7055&lt;8,E7055&gt;=18,COUNTIF($K$2:$K$10,INT(A7055))&gt;0),1,0)</f>
        <v>1</v>
      </c>
      <c r="G7055" s="34" t="n">
        <f aca="false">B7055/1</f>
        <v>72.118</v>
      </c>
      <c r="H7055" s="34" t="n">
        <f aca="false">IF(F7055=1,G7055,"")</f>
        <v>72.118</v>
      </c>
    </row>
    <row r="7056" customFormat="false" ht="15" hidden="false" customHeight="false" outlineLevel="0" collapsed="false">
      <c r="A7056" s="31" t="n">
        <v>43029.9166666667</v>
      </c>
      <c r="B7056" s="32" t="n">
        <v>72.111</v>
      </c>
      <c r="D7056" s="33" t="n">
        <f aca="false">WEEKDAY(A7056,2)</f>
        <v>6</v>
      </c>
      <c r="E7056" s="33" t="n">
        <f aca="false">HOUR(A7056)+MINUTE(A7056)/60</f>
        <v>22</v>
      </c>
      <c r="F7056" s="33" t="n">
        <f aca="false">IF(OR(D7056&gt;5,E7056&lt;8,E7056&gt;=18,COUNTIF($K$2:$K$10,INT(A7056))&gt;0),1,0)</f>
        <v>1</v>
      </c>
      <c r="G7056" s="34" t="n">
        <f aca="false">B7056/1</f>
        <v>72.111</v>
      </c>
      <c r="H7056" s="34" t="n">
        <f aca="false">IF(F7056=1,G7056,"")</f>
        <v>72.111</v>
      </c>
    </row>
    <row r="7057" customFormat="false" ht="15" hidden="false" customHeight="false" outlineLevel="0" collapsed="false">
      <c r="A7057" s="31" t="n">
        <v>43029.9583333333</v>
      </c>
      <c r="B7057" s="32" t="n">
        <v>71.051</v>
      </c>
      <c r="D7057" s="33" t="n">
        <f aca="false">WEEKDAY(A7057,2)</f>
        <v>6</v>
      </c>
      <c r="E7057" s="33" t="n">
        <f aca="false">HOUR(A7057)+MINUTE(A7057)/60</f>
        <v>23</v>
      </c>
      <c r="F7057" s="33" t="n">
        <f aca="false">IF(OR(D7057&gt;5,E7057&lt;8,E7057&gt;=18,COUNTIF($K$2:$K$10,INT(A7057))&gt;0),1,0)</f>
        <v>1</v>
      </c>
      <c r="G7057" s="34" t="n">
        <f aca="false">B7057/1</f>
        <v>71.051</v>
      </c>
      <c r="H7057" s="34" t="n">
        <f aca="false">IF(F7057=1,G7057,"")</f>
        <v>71.051</v>
      </c>
    </row>
    <row r="7058" customFormat="false" ht="15" hidden="false" customHeight="false" outlineLevel="0" collapsed="false">
      <c r="A7058" s="31" t="n">
        <v>43030</v>
      </c>
      <c r="B7058" s="32" t="n">
        <v>62.066</v>
      </c>
      <c r="D7058" s="33" t="n">
        <f aca="false">WEEKDAY(A7058,2)</f>
        <v>7</v>
      </c>
      <c r="E7058" s="33" t="n">
        <f aca="false">HOUR(A7058)+MINUTE(A7058)/60</f>
        <v>0</v>
      </c>
      <c r="F7058" s="33" t="n">
        <f aca="false">IF(OR(D7058&gt;5,E7058&lt;8,E7058&gt;=18,COUNTIF($K$2:$K$10,INT(A7058))&gt;0),1,0)</f>
        <v>1</v>
      </c>
      <c r="G7058" s="34" t="n">
        <f aca="false">B7058/1</f>
        <v>62.066</v>
      </c>
      <c r="H7058" s="34" t="n">
        <f aca="false">IF(F7058=1,G7058,"")</f>
        <v>62.066</v>
      </c>
    </row>
    <row r="7059" customFormat="false" ht="15" hidden="false" customHeight="false" outlineLevel="0" collapsed="false">
      <c r="A7059" s="31" t="n">
        <v>43030.0416666667</v>
      </c>
      <c r="B7059" s="32" t="n">
        <v>52.51</v>
      </c>
      <c r="D7059" s="33" t="n">
        <f aca="false">WEEKDAY(A7059,2)</f>
        <v>7</v>
      </c>
      <c r="E7059" s="33" t="n">
        <f aca="false">HOUR(A7059)+MINUTE(A7059)/60</f>
        <v>1</v>
      </c>
      <c r="F7059" s="33" t="n">
        <f aca="false">IF(OR(D7059&gt;5,E7059&lt;8,E7059&gt;=18,COUNTIF($K$2:$K$10,INT(A7059))&gt;0),1,0)</f>
        <v>1</v>
      </c>
      <c r="G7059" s="34" t="n">
        <f aca="false">B7059/1</f>
        <v>52.51</v>
      </c>
      <c r="H7059" s="34" t="n">
        <f aca="false">IF(F7059=1,G7059,"")</f>
        <v>52.51</v>
      </c>
    </row>
    <row r="7060" customFormat="false" ht="15" hidden="false" customHeight="false" outlineLevel="0" collapsed="false">
      <c r="A7060" s="31" t="n">
        <v>43030.0833333333</v>
      </c>
      <c r="B7060" s="32" t="n">
        <v>53.569</v>
      </c>
      <c r="D7060" s="33" t="n">
        <f aca="false">WEEKDAY(A7060,2)</f>
        <v>7</v>
      </c>
      <c r="E7060" s="33" t="n">
        <f aca="false">HOUR(A7060)+MINUTE(A7060)/60</f>
        <v>2</v>
      </c>
      <c r="F7060" s="33" t="n">
        <f aca="false">IF(OR(D7060&gt;5,E7060&lt;8,E7060&gt;=18,COUNTIF($K$2:$K$10,INT(A7060))&gt;0),1,0)</f>
        <v>1</v>
      </c>
      <c r="G7060" s="34" t="n">
        <f aca="false">B7060/1</f>
        <v>53.569</v>
      </c>
      <c r="H7060" s="34" t="n">
        <f aca="false">IF(F7060=1,G7060,"")</f>
        <v>53.569</v>
      </c>
    </row>
    <row r="7061" customFormat="false" ht="15" hidden="false" customHeight="false" outlineLevel="0" collapsed="false">
      <c r="A7061" s="31" t="n">
        <v>43030.125</v>
      </c>
      <c r="B7061" s="32" t="n">
        <v>53.531</v>
      </c>
      <c r="D7061" s="33" t="n">
        <f aca="false">WEEKDAY(A7061,2)</f>
        <v>7</v>
      </c>
      <c r="E7061" s="33" t="n">
        <f aca="false">HOUR(A7061)+MINUTE(A7061)/60</f>
        <v>3</v>
      </c>
      <c r="F7061" s="33" t="n">
        <f aca="false">IF(OR(D7061&gt;5,E7061&lt;8,E7061&gt;=18,COUNTIF($K$2:$K$10,INT(A7061))&gt;0),1,0)</f>
        <v>1</v>
      </c>
      <c r="G7061" s="34" t="n">
        <f aca="false">B7061/1</f>
        <v>53.531</v>
      </c>
      <c r="H7061" s="34" t="n">
        <f aca="false">IF(F7061=1,G7061,"")</f>
        <v>53.531</v>
      </c>
    </row>
    <row r="7062" customFormat="false" ht="15" hidden="false" customHeight="false" outlineLevel="0" collapsed="false">
      <c r="A7062" s="31" t="n">
        <v>43030.1666666667</v>
      </c>
      <c r="B7062" s="32" t="n">
        <v>53.448</v>
      </c>
      <c r="D7062" s="33" t="n">
        <f aca="false">WEEKDAY(A7062,2)</f>
        <v>7</v>
      </c>
      <c r="E7062" s="33" t="n">
        <f aca="false">HOUR(A7062)+MINUTE(A7062)/60</f>
        <v>4</v>
      </c>
      <c r="F7062" s="33" t="n">
        <f aca="false">IF(OR(D7062&gt;5,E7062&lt;8,E7062&gt;=18,COUNTIF($K$2:$K$10,INT(A7062))&gt;0),1,0)</f>
        <v>1</v>
      </c>
      <c r="G7062" s="34" t="n">
        <f aca="false">B7062/1</f>
        <v>53.448</v>
      </c>
      <c r="H7062" s="34" t="n">
        <f aca="false">IF(F7062=1,G7062,"")</f>
        <v>53.448</v>
      </c>
    </row>
    <row r="7063" customFormat="false" ht="15" hidden="false" customHeight="false" outlineLevel="0" collapsed="false">
      <c r="A7063" s="31" t="n">
        <v>43030.2083333333</v>
      </c>
      <c r="B7063" s="32" t="n">
        <v>54.007</v>
      </c>
      <c r="D7063" s="33" t="n">
        <f aca="false">WEEKDAY(A7063,2)</f>
        <v>7</v>
      </c>
      <c r="E7063" s="33" t="n">
        <f aca="false">HOUR(A7063)+MINUTE(A7063)/60</f>
        <v>5</v>
      </c>
      <c r="F7063" s="33" t="n">
        <f aca="false">IF(OR(D7063&gt;5,E7063&lt;8,E7063&gt;=18,COUNTIF($K$2:$K$10,INT(A7063))&gt;0),1,0)</f>
        <v>1</v>
      </c>
      <c r="G7063" s="34" t="n">
        <f aca="false">B7063/1</f>
        <v>54.007</v>
      </c>
      <c r="H7063" s="34" t="n">
        <f aca="false">IF(F7063=1,G7063,"")</f>
        <v>54.007</v>
      </c>
    </row>
    <row r="7064" customFormat="false" ht="15" hidden="false" customHeight="false" outlineLevel="0" collapsed="false">
      <c r="A7064" s="31" t="n">
        <v>43030.25</v>
      </c>
      <c r="B7064" s="32" t="n">
        <v>53.784</v>
      </c>
      <c r="D7064" s="33" t="n">
        <f aca="false">WEEKDAY(A7064,2)</f>
        <v>7</v>
      </c>
      <c r="E7064" s="33" t="n">
        <f aca="false">HOUR(A7064)+MINUTE(A7064)/60</f>
        <v>6</v>
      </c>
      <c r="F7064" s="33" t="n">
        <f aca="false">IF(OR(D7064&gt;5,E7064&lt;8,E7064&gt;=18,COUNTIF($K$2:$K$10,INT(A7064))&gt;0),1,0)</f>
        <v>1</v>
      </c>
      <c r="G7064" s="34" t="n">
        <f aca="false">B7064/1</f>
        <v>53.784</v>
      </c>
      <c r="H7064" s="34" t="n">
        <f aca="false">IF(F7064=1,G7064,"")</f>
        <v>53.784</v>
      </c>
    </row>
    <row r="7065" customFormat="false" ht="15" hidden="false" customHeight="false" outlineLevel="0" collapsed="false">
      <c r="A7065" s="31" t="n">
        <v>43030.2916666667</v>
      </c>
      <c r="B7065" s="32" t="n">
        <v>53.36</v>
      </c>
      <c r="D7065" s="33" t="n">
        <f aca="false">WEEKDAY(A7065,2)</f>
        <v>7</v>
      </c>
      <c r="E7065" s="33" t="n">
        <f aca="false">HOUR(A7065)+MINUTE(A7065)/60</f>
        <v>7</v>
      </c>
      <c r="F7065" s="33" t="n">
        <f aca="false">IF(OR(D7065&gt;5,E7065&lt;8,E7065&gt;=18,COUNTIF($K$2:$K$10,INT(A7065))&gt;0),1,0)</f>
        <v>1</v>
      </c>
      <c r="G7065" s="34" t="n">
        <f aca="false">B7065/1</f>
        <v>53.36</v>
      </c>
      <c r="H7065" s="34" t="n">
        <f aca="false">IF(F7065=1,G7065,"")</f>
        <v>53.36</v>
      </c>
    </row>
    <row r="7066" customFormat="false" ht="15" hidden="false" customHeight="false" outlineLevel="0" collapsed="false">
      <c r="A7066" s="31" t="n">
        <v>43030.3333333333</v>
      </c>
      <c r="B7066" s="32" t="n">
        <v>57.559</v>
      </c>
      <c r="D7066" s="33" t="n">
        <f aca="false">WEEKDAY(A7066,2)</f>
        <v>7</v>
      </c>
      <c r="E7066" s="33" t="n">
        <f aca="false">HOUR(A7066)+MINUTE(A7066)/60</f>
        <v>8</v>
      </c>
      <c r="F7066" s="33" t="n">
        <f aca="false">IF(OR(D7066&gt;5,E7066&lt;8,E7066&gt;=18,COUNTIF($K$2:$K$10,INT(A7066))&gt;0),1,0)</f>
        <v>1</v>
      </c>
      <c r="G7066" s="34" t="n">
        <f aca="false">B7066/1</f>
        <v>57.559</v>
      </c>
      <c r="H7066" s="34" t="n">
        <f aca="false">IF(F7066=1,G7066,"")</f>
        <v>57.559</v>
      </c>
    </row>
    <row r="7067" customFormat="false" ht="15" hidden="false" customHeight="false" outlineLevel="0" collapsed="false">
      <c r="A7067" s="31" t="n">
        <v>43030.375</v>
      </c>
      <c r="B7067" s="32" t="n">
        <v>53.588</v>
      </c>
      <c r="D7067" s="33" t="n">
        <f aca="false">WEEKDAY(A7067,2)</f>
        <v>7</v>
      </c>
      <c r="E7067" s="33" t="n">
        <f aca="false">HOUR(A7067)+MINUTE(A7067)/60</f>
        <v>9</v>
      </c>
      <c r="F7067" s="33" t="n">
        <f aca="false">IF(OR(D7067&gt;5,E7067&lt;8,E7067&gt;=18,COUNTIF($K$2:$K$10,INT(A7067))&gt;0),1,0)</f>
        <v>1</v>
      </c>
      <c r="G7067" s="34" t="n">
        <f aca="false">B7067/1</f>
        <v>53.588</v>
      </c>
      <c r="H7067" s="34" t="n">
        <f aca="false">IF(F7067=1,G7067,"")</f>
        <v>53.588</v>
      </c>
    </row>
    <row r="7068" customFormat="false" ht="15" hidden="false" customHeight="false" outlineLevel="0" collapsed="false">
      <c r="A7068" s="31" t="n">
        <v>43030.4166666667</v>
      </c>
      <c r="B7068" s="32" t="n">
        <v>54.368</v>
      </c>
      <c r="D7068" s="33" t="n">
        <f aca="false">WEEKDAY(A7068,2)</f>
        <v>7</v>
      </c>
      <c r="E7068" s="33" t="n">
        <f aca="false">HOUR(A7068)+MINUTE(A7068)/60</f>
        <v>10</v>
      </c>
      <c r="F7068" s="33" t="n">
        <f aca="false">IF(OR(D7068&gt;5,E7068&lt;8,E7068&gt;=18,COUNTIF($K$2:$K$10,INT(A7068))&gt;0),1,0)</f>
        <v>1</v>
      </c>
      <c r="G7068" s="34" t="n">
        <f aca="false">B7068/1</f>
        <v>54.368</v>
      </c>
      <c r="H7068" s="34" t="n">
        <f aca="false">IF(F7068=1,G7068,"")</f>
        <v>54.368</v>
      </c>
    </row>
    <row r="7069" customFormat="false" ht="15" hidden="false" customHeight="false" outlineLevel="0" collapsed="false">
      <c r="A7069" s="31" t="n">
        <v>43030.4583333333</v>
      </c>
      <c r="B7069" s="32" t="n">
        <v>53.775</v>
      </c>
      <c r="D7069" s="33" t="n">
        <f aca="false">WEEKDAY(A7069,2)</f>
        <v>7</v>
      </c>
      <c r="E7069" s="33" t="n">
        <f aca="false">HOUR(A7069)+MINUTE(A7069)/60</f>
        <v>11</v>
      </c>
      <c r="F7069" s="33" t="n">
        <f aca="false">IF(OR(D7069&gt;5,E7069&lt;8,E7069&gt;=18,COUNTIF($K$2:$K$10,INT(A7069))&gt;0),1,0)</f>
        <v>1</v>
      </c>
      <c r="G7069" s="34" t="n">
        <f aca="false">B7069/1</f>
        <v>53.775</v>
      </c>
      <c r="H7069" s="34" t="n">
        <f aca="false">IF(F7069=1,G7069,"")</f>
        <v>53.775</v>
      </c>
    </row>
    <row r="7070" customFormat="false" ht="15" hidden="false" customHeight="false" outlineLevel="0" collapsed="false">
      <c r="A7070" s="31" t="n">
        <v>43030.5</v>
      </c>
      <c r="B7070" s="32" t="n">
        <v>57.749</v>
      </c>
      <c r="D7070" s="33" t="n">
        <f aca="false">WEEKDAY(A7070,2)</f>
        <v>7</v>
      </c>
      <c r="E7070" s="33" t="n">
        <f aca="false">HOUR(A7070)+MINUTE(A7070)/60</f>
        <v>12</v>
      </c>
      <c r="F7070" s="33" t="n">
        <f aca="false">IF(OR(D7070&gt;5,E7070&lt;8,E7070&gt;=18,COUNTIF($K$2:$K$10,INT(A7070))&gt;0),1,0)</f>
        <v>1</v>
      </c>
      <c r="G7070" s="34" t="n">
        <f aca="false">B7070/1</f>
        <v>57.749</v>
      </c>
      <c r="H7070" s="34" t="n">
        <f aca="false">IF(F7070=1,G7070,"")</f>
        <v>57.749</v>
      </c>
    </row>
    <row r="7071" customFormat="false" ht="15" hidden="false" customHeight="false" outlineLevel="0" collapsed="false">
      <c r="A7071" s="31" t="n">
        <v>43030.5416666667</v>
      </c>
      <c r="B7071" s="32" t="n">
        <v>108.194</v>
      </c>
      <c r="D7071" s="33" t="n">
        <f aca="false">WEEKDAY(A7071,2)</f>
        <v>7</v>
      </c>
      <c r="E7071" s="33" t="n">
        <f aca="false">HOUR(A7071)+MINUTE(A7071)/60</f>
        <v>13</v>
      </c>
      <c r="F7071" s="33" t="n">
        <f aca="false">IF(OR(D7071&gt;5,E7071&lt;8,E7071&gt;=18,COUNTIF($K$2:$K$10,INT(A7071))&gt;0),1,0)</f>
        <v>1</v>
      </c>
      <c r="G7071" s="34" t="n">
        <f aca="false">B7071/1</f>
        <v>108.194</v>
      </c>
      <c r="H7071" s="34" t="n">
        <f aca="false">IF(F7071=1,G7071,"")</f>
        <v>108.194</v>
      </c>
    </row>
    <row r="7072" customFormat="false" ht="15" hidden="false" customHeight="false" outlineLevel="0" collapsed="false">
      <c r="A7072" s="31" t="n">
        <v>43030.5833333333</v>
      </c>
      <c r="B7072" s="32" t="n">
        <v>150.007</v>
      </c>
      <c r="D7072" s="33" t="n">
        <f aca="false">WEEKDAY(A7072,2)</f>
        <v>7</v>
      </c>
      <c r="E7072" s="33" t="n">
        <f aca="false">HOUR(A7072)+MINUTE(A7072)/60</f>
        <v>14</v>
      </c>
      <c r="F7072" s="33" t="n">
        <f aca="false">IF(OR(D7072&gt;5,E7072&lt;8,E7072&gt;=18,COUNTIF($K$2:$K$10,INT(A7072))&gt;0),1,0)</f>
        <v>1</v>
      </c>
      <c r="G7072" s="34" t="n">
        <f aca="false">B7072/1</f>
        <v>150.007</v>
      </c>
      <c r="H7072" s="34" t="n">
        <f aca="false">IF(F7072=1,G7072,"")</f>
        <v>150.007</v>
      </c>
    </row>
    <row r="7073" customFormat="false" ht="15" hidden="false" customHeight="false" outlineLevel="0" collapsed="false">
      <c r="A7073" s="31" t="n">
        <v>43030.625</v>
      </c>
      <c r="B7073" s="32" t="n">
        <v>154.183</v>
      </c>
      <c r="D7073" s="33" t="n">
        <f aca="false">WEEKDAY(A7073,2)</f>
        <v>7</v>
      </c>
      <c r="E7073" s="33" t="n">
        <f aca="false">HOUR(A7073)+MINUTE(A7073)/60</f>
        <v>15</v>
      </c>
      <c r="F7073" s="33" t="n">
        <f aca="false">IF(OR(D7073&gt;5,E7073&lt;8,E7073&gt;=18,COUNTIF($K$2:$K$10,INT(A7073))&gt;0),1,0)</f>
        <v>1</v>
      </c>
      <c r="G7073" s="34" t="n">
        <f aca="false">B7073/1</f>
        <v>154.183</v>
      </c>
      <c r="H7073" s="34" t="n">
        <f aca="false">IF(F7073=1,G7073,"")</f>
        <v>154.183</v>
      </c>
    </row>
    <row r="7074" customFormat="false" ht="15" hidden="false" customHeight="false" outlineLevel="0" collapsed="false">
      <c r="A7074" s="31" t="n">
        <v>43030.6666666667</v>
      </c>
      <c r="B7074" s="32" t="n">
        <v>151.94</v>
      </c>
      <c r="D7074" s="33" t="n">
        <f aca="false">WEEKDAY(A7074,2)</f>
        <v>7</v>
      </c>
      <c r="E7074" s="33" t="n">
        <f aca="false">HOUR(A7074)+MINUTE(A7074)/60</f>
        <v>16</v>
      </c>
      <c r="F7074" s="33" t="n">
        <f aca="false">IF(OR(D7074&gt;5,E7074&lt;8,E7074&gt;=18,COUNTIF($K$2:$K$10,INT(A7074))&gt;0),1,0)</f>
        <v>1</v>
      </c>
      <c r="G7074" s="34" t="n">
        <f aca="false">B7074/1</f>
        <v>151.94</v>
      </c>
      <c r="H7074" s="34" t="n">
        <f aca="false">IF(F7074=1,G7074,"")</f>
        <v>151.94</v>
      </c>
    </row>
    <row r="7075" customFormat="false" ht="15" hidden="false" customHeight="false" outlineLevel="0" collapsed="false">
      <c r="A7075" s="31" t="n">
        <v>43030.7083333333</v>
      </c>
      <c r="B7075" s="32" t="n">
        <v>151.599</v>
      </c>
      <c r="D7075" s="33" t="n">
        <f aca="false">WEEKDAY(A7075,2)</f>
        <v>7</v>
      </c>
      <c r="E7075" s="33" t="n">
        <f aca="false">HOUR(A7075)+MINUTE(A7075)/60</f>
        <v>17</v>
      </c>
      <c r="F7075" s="33" t="n">
        <f aca="false">IF(OR(D7075&gt;5,E7075&lt;8,E7075&gt;=18,COUNTIF($K$2:$K$10,INT(A7075))&gt;0),1,0)</f>
        <v>1</v>
      </c>
      <c r="G7075" s="34" t="n">
        <f aca="false">B7075/1</f>
        <v>151.599</v>
      </c>
      <c r="H7075" s="34" t="n">
        <f aca="false">IF(F7075=1,G7075,"")</f>
        <v>151.599</v>
      </c>
    </row>
    <row r="7076" customFormat="false" ht="15" hidden="false" customHeight="false" outlineLevel="0" collapsed="false">
      <c r="A7076" s="31" t="n">
        <v>43030.75</v>
      </c>
      <c r="B7076" s="32" t="n">
        <v>75.611</v>
      </c>
      <c r="D7076" s="33" t="n">
        <f aca="false">WEEKDAY(A7076,2)</f>
        <v>7</v>
      </c>
      <c r="E7076" s="33" t="n">
        <f aca="false">HOUR(A7076)+MINUTE(A7076)/60</f>
        <v>18</v>
      </c>
      <c r="F7076" s="33" t="n">
        <f aca="false">IF(OR(D7076&gt;5,E7076&lt;8,E7076&gt;=18,COUNTIF($K$2:$K$10,INT(A7076))&gt;0),1,0)</f>
        <v>1</v>
      </c>
      <c r="G7076" s="34" t="n">
        <f aca="false">B7076/1</f>
        <v>75.611</v>
      </c>
      <c r="H7076" s="34" t="n">
        <f aca="false">IF(F7076=1,G7076,"")</f>
        <v>75.611</v>
      </c>
    </row>
    <row r="7077" customFormat="false" ht="15" hidden="false" customHeight="false" outlineLevel="0" collapsed="false">
      <c r="A7077" s="31" t="n">
        <v>43030.7916666667</v>
      </c>
      <c r="B7077" s="32" t="n">
        <v>67.957</v>
      </c>
      <c r="D7077" s="33" t="n">
        <f aca="false">WEEKDAY(A7077,2)</f>
        <v>7</v>
      </c>
      <c r="E7077" s="33" t="n">
        <f aca="false">HOUR(A7077)+MINUTE(A7077)/60</f>
        <v>19</v>
      </c>
      <c r="F7077" s="33" t="n">
        <f aca="false">IF(OR(D7077&gt;5,E7077&lt;8,E7077&gt;=18,COUNTIF($K$2:$K$10,INT(A7077))&gt;0),1,0)</f>
        <v>1</v>
      </c>
      <c r="G7077" s="34" t="n">
        <f aca="false">B7077/1</f>
        <v>67.957</v>
      </c>
      <c r="H7077" s="34" t="n">
        <f aca="false">IF(F7077=1,G7077,"")</f>
        <v>67.957</v>
      </c>
    </row>
    <row r="7078" customFormat="false" ht="15" hidden="false" customHeight="false" outlineLevel="0" collapsed="false">
      <c r="A7078" s="31" t="n">
        <v>43030.8333333333</v>
      </c>
      <c r="B7078" s="32" t="n">
        <v>66.568</v>
      </c>
      <c r="D7078" s="33" t="n">
        <f aca="false">WEEKDAY(A7078,2)</f>
        <v>7</v>
      </c>
      <c r="E7078" s="33" t="n">
        <f aca="false">HOUR(A7078)+MINUTE(A7078)/60</f>
        <v>20</v>
      </c>
      <c r="F7078" s="33" t="n">
        <f aca="false">IF(OR(D7078&gt;5,E7078&lt;8,E7078&gt;=18,COUNTIF($K$2:$K$10,INT(A7078))&gt;0),1,0)</f>
        <v>1</v>
      </c>
      <c r="G7078" s="34" t="n">
        <f aca="false">B7078/1</f>
        <v>66.568</v>
      </c>
      <c r="H7078" s="34" t="n">
        <f aca="false">IF(F7078=1,G7078,"")</f>
        <v>66.568</v>
      </c>
    </row>
    <row r="7079" customFormat="false" ht="15" hidden="false" customHeight="false" outlineLevel="0" collapsed="false">
      <c r="A7079" s="31" t="n">
        <v>43030.875</v>
      </c>
      <c r="B7079" s="32" t="n">
        <v>60.348</v>
      </c>
      <c r="D7079" s="33" t="n">
        <f aca="false">WEEKDAY(A7079,2)</f>
        <v>7</v>
      </c>
      <c r="E7079" s="33" t="n">
        <f aca="false">HOUR(A7079)+MINUTE(A7079)/60</f>
        <v>21</v>
      </c>
      <c r="F7079" s="33" t="n">
        <f aca="false">IF(OR(D7079&gt;5,E7079&lt;8,E7079&gt;=18,COUNTIF($K$2:$K$10,INT(A7079))&gt;0),1,0)</f>
        <v>1</v>
      </c>
      <c r="G7079" s="34" t="n">
        <f aca="false">B7079/1</f>
        <v>60.348</v>
      </c>
      <c r="H7079" s="34" t="n">
        <f aca="false">IF(F7079=1,G7079,"")</f>
        <v>60.348</v>
      </c>
    </row>
    <row r="7080" customFormat="false" ht="15" hidden="false" customHeight="false" outlineLevel="0" collapsed="false">
      <c r="A7080" s="31" t="n">
        <v>43030.9166666667</v>
      </c>
      <c r="B7080" s="32" t="n">
        <v>60.753</v>
      </c>
      <c r="D7080" s="33" t="n">
        <f aca="false">WEEKDAY(A7080,2)</f>
        <v>7</v>
      </c>
      <c r="E7080" s="33" t="n">
        <f aca="false">HOUR(A7080)+MINUTE(A7080)/60</f>
        <v>22</v>
      </c>
      <c r="F7080" s="33" t="n">
        <f aca="false">IF(OR(D7080&gt;5,E7080&lt;8,E7080&gt;=18,COUNTIF($K$2:$K$10,INT(A7080))&gt;0),1,0)</f>
        <v>1</v>
      </c>
      <c r="G7080" s="34" t="n">
        <f aca="false">B7080/1</f>
        <v>60.753</v>
      </c>
      <c r="H7080" s="34" t="n">
        <f aca="false">IF(F7080=1,G7080,"")</f>
        <v>60.753</v>
      </c>
    </row>
    <row r="7081" customFormat="false" ht="15" hidden="false" customHeight="false" outlineLevel="0" collapsed="false">
      <c r="A7081" s="31" t="n">
        <v>43030.9583333333</v>
      </c>
      <c r="B7081" s="32" t="n">
        <v>59.696</v>
      </c>
      <c r="D7081" s="33" t="n">
        <f aca="false">WEEKDAY(A7081,2)</f>
        <v>7</v>
      </c>
      <c r="E7081" s="33" t="n">
        <f aca="false">HOUR(A7081)+MINUTE(A7081)/60</f>
        <v>23</v>
      </c>
      <c r="F7081" s="33" t="n">
        <f aca="false">IF(OR(D7081&gt;5,E7081&lt;8,E7081&gt;=18,COUNTIF($K$2:$K$10,INT(A7081))&gt;0),1,0)</f>
        <v>1</v>
      </c>
      <c r="G7081" s="34" t="n">
        <f aca="false">B7081/1</f>
        <v>59.696</v>
      </c>
      <c r="H7081" s="34" t="n">
        <f aca="false">IF(F7081=1,G7081,"")</f>
        <v>59.696</v>
      </c>
    </row>
    <row r="7082" customFormat="false" ht="15" hidden="false" customHeight="false" outlineLevel="0" collapsed="false">
      <c r="A7082" s="31" t="n">
        <v>43031</v>
      </c>
      <c r="B7082" s="32" t="n">
        <v>59.084</v>
      </c>
      <c r="D7082" s="33" t="n">
        <f aca="false">WEEKDAY(A7082,2)</f>
        <v>1</v>
      </c>
      <c r="E7082" s="33" t="n">
        <f aca="false">HOUR(A7082)+MINUTE(A7082)/60</f>
        <v>0</v>
      </c>
      <c r="F7082" s="33" t="n">
        <f aca="false">IF(OR(D7082&gt;5,E7082&lt;8,E7082&gt;=18,COUNTIF($K$2:$K$10,INT(A7082))&gt;0),1,0)</f>
        <v>1</v>
      </c>
      <c r="G7082" s="34" t="n">
        <f aca="false">B7082/1</f>
        <v>59.084</v>
      </c>
      <c r="H7082" s="34" t="n">
        <f aca="false">IF(F7082=1,G7082,"")</f>
        <v>59.084</v>
      </c>
    </row>
    <row r="7083" customFormat="false" ht="15" hidden="false" customHeight="false" outlineLevel="0" collapsed="false">
      <c r="A7083" s="31" t="n">
        <v>43031.0416666667</v>
      </c>
      <c r="B7083" s="32" t="n">
        <v>55.191</v>
      </c>
      <c r="D7083" s="33" t="n">
        <f aca="false">WEEKDAY(A7083,2)</f>
        <v>1</v>
      </c>
      <c r="E7083" s="33" t="n">
        <f aca="false">HOUR(A7083)+MINUTE(A7083)/60</f>
        <v>1</v>
      </c>
      <c r="F7083" s="33" t="n">
        <f aca="false">IF(OR(D7083&gt;5,E7083&lt;8,E7083&gt;=18,COUNTIF($K$2:$K$10,INT(A7083))&gt;0),1,0)</f>
        <v>1</v>
      </c>
      <c r="G7083" s="34" t="n">
        <f aca="false">B7083/1</f>
        <v>55.191</v>
      </c>
      <c r="H7083" s="34" t="n">
        <f aca="false">IF(F7083=1,G7083,"")</f>
        <v>55.191</v>
      </c>
    </row>
    <row r="7084" customFormat="false" ht="15" hidden="false" customHeight="false" outlineLevel="0" collapsed="false">
      <c r="A7084" s="31" t="n">
        <v>43031.0833333333</v>
      </c>
      <c r="B7084" s="32" t="n">
        <v>56.65</v>
      </c>
      <c r="D7084" s="33" t="n">
        <f aca="false">WEEKDAY(A7084,2)</f>
        <v>1</v>
      </c>
      <c r="E7084" s="33" t="n">
        <f aca="false">HOUR(A7084)+MINUTE(A7084)/60</f>
        <v>2</v>
      </c>
      <c r="F7084" s="33" t="n">
        <f aca="false">IF(OR(D7084&gt;5,E7084&lt;8,E7084&gt;=18,COUNTIF($K$2:$K$10,INT(A7084))&gt;0),1,0)</f>
        <v>1</v>
      </c>
      <c r="G7084" s="34" t="n">
        <f aca="false">B7084/1</f>
        <v>56.65</v>
      </c>
      <c r="H7084" s="34" t="n">
        <f aca="false">IF(F7084=1,G7084,"")</f>
        <v>56.65</v>
      </c>
    </row>
    <row r="7085" customFormat="false" ht="15" hidden="false" customHeight="false" outlineLevel="0" collapsed="false">
      <c r="A7085" s="31" t="n">
        <v>43031.125</v>
      </c>
      <c r="B7085" s="32" t="n">
        <v>59.302</v>
      </c>
      <c r="D7085" s="33" t="n">
        <f aca="false">WEEKDAY(A7085,2)</f>
        <v>1</v>
      </c>
      <c r="E7085" s="33" t="n">
        <f aca="false">HOUR(A7085)+MINUTE(A7085)/60</f>
        <v>3</v>
      </c>
      <c r="F7085" s="33" t="n">
        <f aca="false">IF(OR(D7085&gt;5,E7085&lt;8,E7085&gt;=18,COUNTIF($K$2:$K$10,INT(A7085))&gt;0),1,0)</f>
        <v>1</v>
      </c>
      <c r="G7085" s="34" t="n">
        <f aca="false">B7085/1</f>
        <v>59.302</v>
      </c>
      <c r="H7085" s="34" t="n">
        <f aca="false">IF(F7085=1,G7085,"")</f>
        <v>59.302</v>
      </c>
    </row>
    <row r="7086" customFormat="false" ht="15" hidden="false" customHeight="false" outlineLevel="0" collapsed="false">
      <c r="A7086" s="31" t="n">
        <v>43031.1666666667</v>
      </c>
      <c r="B7086" s="32" t="n">
        <v>56.643</v>
      </c>
      <c r="D7086" s="33" t="n">
        <f aca="false">WEEKDAY(A7086,2)</f>
        <v>1</v>
      </c>
      <c r="E7086" s="33" t="n">
        <f aca="false">HOUR(A7086)+MINUTE(A7086)/60</f>
        <v>4</v>
      </c>
      <c r="F7086" s="33" t="n">
        <f aca="false">IF(OR(D7086&gt;5,E7086&lt;8,E7086&gt;=18,COUNTIF($K$2:$K$10,INT(A7086))&gt;0),1,0)</f>
        <v>1</v>
      </c>
      <c r="G7086" s="34" t="n">
        <f aca="false">B7086/1</f>
        <v>56.643</v>
      </c>
      <c r="H7086" s="34" t="n">
        <f aca="false">IF(F7086=1,G7086,"")</f>
        <v>56.643</v>
      </c>
    </row>
    <row r="7087" customFormat="false" ht="15" hidden="false" customHeight="false" outlineLevel="0" collapsed="false">
      <c r="A7087" s="31" t="n">
        <v>43031.2083333333</v>
      </c>
      <c r="B7087" s="32" t="n">
        <v>56.114</v>
      </c>
      <c r="D7087" s="33" t="n">
        <f aca="false">WEEKDAY(A7087,2)</f>
        <v>1</v>
      </c>
      <c r="E7087" s="33" t="n">
        <f aca="false">HOUR(A7087)+MINUTE(A7087)/60</f>
        <v>5</v>
      </c>
      <c r="F7087" s="33" t="n">
        <f aca="false">IF(OR(D7087&gt;5,E7087&lt;8,E7087&gt;=18,COUNTIF($K$2:$K$10,INT(A7087))&gt;0),1,0)</f>
        <v>1</v>
      </c>
      <c r="G7087" s="34" t="n">
        <f aca="false">B7087/1</f>
        <v>56.114</v>
      </c>
      <c r="H7087" s="34" t="n">
        <f aca="false">IF(F7087=1,G7087,"")</f>
        <v>56.114</v>
      </c>
    </row>
    <row r="7088" customFormat="false" ht="15" hidden="false" customHeight="false" outlineLevel="0" collapsed="false">
      <c r="A7088" s="31" t="n">
        <v>43031.25</v>
      </c>
      <c r="B7088" s="32" t="n">
        <v>59.483</v>
      </c>
      <c r="D7088" s="33" t="n">
        <f aca="false">WEEKDAY(A7088,2)</f>
        <v>1</v>
      </c>
      <c r="E7088" s="33" t="n">
        <f aca="false">HOUR(A7088)+MINUTE(A7088)/60</f>
        <v>6</v>
      </c>
      <c r="F7088" s="33" t="n">
        <f aca="false">IF(OR(D7088&gt;5,E7088&lt;8,E7088&gt;=18,COUNTIF($K$2:$K$10,INT(A7088))&gt;0),1,0)</f>
        <v>1</v>
      </c>
      <c r="G7088" s="34" t="n">
        <f aca="false">B7088/1</f>
        <v>59.483</v>
      </c>
      <c r="H7088" s="34" t="n">
        <f aca="false">IF(F7088=1,G7088,"")</f>
        <v>59.483</v>
      </c>
    </row>
    <row r="7089" customFormat="false" ht="15" hidden="false" customHeight="false" outlineLevel="0" collapsed="false">
      <c r="A7089" s="31" t="n">
        <v>43031.2916666667</v>
      </c>
      <c r="B7089" s="32" t="n">
        <v>78.456</v>
      </c>
      <c r="D7089" s="33" t="n">
        <f aca="false">WEEKDAY(A7089,2)</f>
        <v>1</v>
      </c>
      <c r="E7089" s="33" t="n">
        <f aca="false">HOUR(A7089)+MINUTE(A7089)/60</f>
        <v>7</v>
      </c>
      <c r="F7089" s="33" t="n">
        <f aca="false">IF(OR(D7089&gt;5,E7089&lt;8,E7089&gt;=18,COUNTIF($K$2:$K$10,INT(A7089))&gt;0),1,0)</f>
        <v>1</v>
      </c>
      <c r="G7089" s="34" t="n">
        <f aca="false">B7089/1</f>
        <v>78.456</v>
      </c>
      <c r="H7089" s="34" t="n">
        <f aca="false">IF(F7089=1,G7089,"")</f>
        <v>78.456</v>
      </c>
    </row>
    <row r="7090" customFormat="false" ht="15" hidden="false" customHeight="false" outlineLevel="0" collapsed="false">
      <c r="A7090" s="31" t="n">
        <v>43031.3333333333</v>
      </c>
      <c r="B7090" s="32" t="n">
        <v>178.359</v>
      </c>
      <c r="D7090" s="33" t="n">
        <f aca="false">WEEKDAY(A7090,2)</f>
        <v>1</v>
      </c>
      <c r="E7090" s="33" t="n">
        <f aca="false">HOUR(A7090)+MINUTE(A7090)/60</f>
        <v>8</v>
      </c>
      <c r="F7090" s="33" t="n">
        <f aca="false">IF(OR(D7090&gt;5,E7090&lt;8,E7090&gt;=18,COUNTIF($K$2:$K$10,INT(A7090))&gt;0),1,0)</f>
        <v>0</v>
      </c>
      <c r="G7090" s="34" t="n">
        <f aca="false">B7090/1</f>
        <v>178.359</v>
      </c>
      <c r="H7090" s="34" t="str">
        <f aca="false">IF(F7090=1,G7090,"")</f>
        <v/>
      </c>
    </row>
    <row r="7091" customFormat="false" ht="15" hidden="false" customHeight="false" outlineLevel="0" collapsed="false">
      <c r="A7091" s="31" t="n">
        <v>43031.375</v>
      </c>
      <c r="B7091" s="32" t="n">
        <v>215.382</v>
      </c>
      <c r="D7091" s="33" t="n">
        <f aca="false">WEEKDAY(A7091,2)</f>
        <v>1</v>
      </c>
      <c r="E7091" s="33" t="n">
        <f aca="false">HOUR(A7091)+MINUTE(A7091)/60</f>
        <v>9</v>
      </c>
      <c r="F7091" s="33" t="n">
        <f aca="false">IF(OR(D7091&gt;5,E7091&lt;8,E7091&gt;=18,COUNTIF($K$2:$K$10,INT(A7091))&gt;0),1,0)</f>
        <v>0</v>
      </c>
      <c r="G7091" s="34" t="n">
        <f aca="false">B7091/1</f>
        <v>215.382</v>
      </c>
      <c r="H7091" s="34" t="str">
        <f aca="false">IF(F7091=1,G7091,"")</f>
        <v/>
      </c>
    </row>
    <row r="7092" customFormat="false" ht="15" hidden="false" customHeight="false" outlineLevel="0" collapsed="false">
      <c r="A7092" s="31" t="n">
        <v>43031.4166666667</v>
      </c>
      <c r="B7092" s="32" t="n">
        <v>240.265</v>
      </c>
      <c r="D7092" s="33" t="n">
        <f aca="false">WEEKDAY(A7092,2)</f>
        <v>1</v>
      </c>
      <c r="E7092" s="33" t="n">
        <f aca="false">HOUR(A7092)+MINUTE(A7092)/60</f>
        <v>10</v>
      </c>
      <c r="F7092" s="33" t="n">
        <f aca="false">IF(OR(D7092&gt;5,E7092&lt;8,E7092&gt;=18,COUNTIF($K$2:$K$10,INT(A7092))&gt;0),1,0)</f>
        <v>0</v>
      </c>
      <c r="G7092" s="34" t="n">
        <f aca="false">B7092/1</f>
        <v>240.265</v>
      </c>
      <c r="H7092" s="34" t="str">
        <f aca="false">IF(F7092=1,G7092,"")</f>
        <v/>
      </c>
    </row>
    <row r="7093" customFormat="false" ht="15" hidden="false" customHeight="false" outlineLevel="0" collapsed="false">
      <c r="A7093" s="31" t="n">
        <v>43031.4583333333</v>
      </c>
      <c r="B7093" s="32" t="n">
        <v>250.432</v>
      </c>
      <c r="D7093" s="33" t="n">
        <f aca="false">WEEKDAY(A7093,2)</f>
        <v>1</v>
      </c>
      <c r="E7093" s="33" t="n">
        <f aca="false">HOUR(A7093)+MINUTE(A7093)/60</f>
        <v>11</v>
      </c>
      <c r="F7093" s="33" t="n">
        <f aca="false">IF(OR(D7093&gt;5,E7093&lt;8,E7093&gt;=18,COUNTIF($K$2:$K$10,INT(A7093))&gt;0),1,0)</f>
        <v>0</v>
      </c>
      <c r="G7093" s="34" t="n">
        <f aca="false">B7093/1</f>
        <v>250.432</v>
      </c>
      <c r="H7093" s="34" t="str">
        <f aca="false">IF(F7093=1,G7093,"")</f>
        <v/>
      </c>
    </row>
    <row r="7094" customFormat="false" ht="15" hidden="false" customHeight="false" outlineLevel="0" collapsed="false">
      <c r="A7094" s="31" t="n">
        <v>43031.5</v>
      </c>
      <c r="B7094" s="32" t="n">
        <v>256.369</v>
      </c>
      <c r="D7094" s="33" t="n">
        <f aca="false">WEEKDAY(A7094,2)</f>
        <v>1</v>
      </c>
      <c r="E7094" s="33" t="n">
        <f aca="false">HOUR(A7094)+MINUTE(A7094)/60</f>
        <v>12</v>
      </c>
      <c r="F7094" s="33" t="n">
        <f aca="false">IF(OR(D7094&gt;5,E7094&lt;8,E7094&gt;=18,COUNTIF($K$2:$K$10,INT(A7094))&gt;0),1,0)</f>
        <v>0</v>
      </c>
      <c r="G7094" s="34" t="n">
        <f aca="false">B7094/1</f>
        <v>256.369</v>
      </c>
      <c r="H7094" s="34" t="str">
        <f aca="false">IF(F7094=1,G7094,"")</f>
        <v/>
      </c>
    </row>
    <row r="7095" customFormat="false" ht="15" hidden="false" customHeight="false" outlineLevel="0" collapsed="false">
      <c r="A7095" s="31" t="n">
        <v>43031.5416666667</v>
      </c>
      <c r="B7095" s="32" t="n">
        <v>256.066</v>
      </c>
      <c r="D7095" s="33" t="n">
        <f aca="false">WEEKDAY(A7095,2)</f>
        <v>1</v>
      </c>
      <c r="E7095" s="33" t="n">
        <f aca="false">HOUR(A7095)+MINUTE(A7095)/60</f>
        <v>13</v>
      </c>
      <c r="F7095" s="33" t="n">
        <f aca="false">IF(OR(D7095&gt;5,E7095&lt;8,E7095&gt;=18,COUNTIF($K$2:$K$10,INT(A7095))&gt;0),1,0)</f>
        <v>0</v>
      </c>
      <c r="G7095" s="34" t="n">
        <f aca="false">B7095/1</f>
        <v>256.066</v>
      </c>
      <c r="H7095" s="34" t="str">
        <f aca="false">IF(F7095=1,G7095,"")</f>
        <v/>
      </c>
    </row>
    <row r="7096" customFormat="false" ht="15" hidden="false" customHeight="false" outlineLevel="0" collapsed="false">
      <c r="A7096" s="31" t="n">
        <v>43031.5833333333</v>
      </c>
      <c r="B7096" s="32" t="n">
        <v>262.321</v>
      </c>
      <c r="D7096" s="33" t="n">
        <f aca="false">WEEKDAY(A7096,2)</f>
        <v>1</v>
      </c>
      <c r="E7096" s="33" t="n">
        <f aca="false">HOUR(A7096)+MINUTE(A7096)/60</f>
        <v>14</v>
      </c>
      <c r="F7096" s="33" t="n">
        <f aca="false">IF(OR(D7096&gt;5,E7096&lt;8,E7096&gt;=18,COUNTIF($K$2:$K$10,INT(A7096))&gt;0),1,0)</f>
        <v>0</v>
      </c>
      <c r="G7096" s="34" t="n">
        <f aca="false">B7096/1</f>
        <v>262.321</v>
      </c>
      <c r="H7096" s="34" t="str">
        <f aca="false">IF(F7096=1,G7096,"")</f>
        <v/>
      </c>
    </row>
    <row r="7097" customFormat="false" ht="15" hidden="false" customHeight="false" outlineLevel="0" collapsed="false">
      <c r="A7097" s="31" t="n">
        <v>43031.625</v>
      </c>
      <c r="B7097" s="32" t="n">
        <v>258.523</v>
      </c>
      <c r="D7097" s="33" t="n">
        <f aca="false">WEEKDAY(A7097,2)</f>
        <v>1</v>
      </c>
      <c r="E7097" s="33" t="n">
        <f aca="false">HOUR(A7097)+MINUTE(A7097)/60</f>
        <v>15</v>
      </c>
      <c r="F7097" s="33" t="n">
        <f aca="false">IF(OR(D7097&gt;5,E7097&lt;8,E7097&gt;=18,COUNTIF($K$2:$K$10,INT(A7097))&gt;0),1,0)</f>
        <v>0</v>
      </c>
      <c r="G7097" s="34" t="n">
        <f aca="false">B7097/1</f>
        <v>258.523</v>
      </c>
      <c r="H7097" s="34" t="str">
        <f aca="false">IF(F7097=1,G7097,"")</f>
        <v/>
      </c>
    </row>
    <row r="7098" customFormat="false" ht="15" hidden="false" customHeight="false" outlineLevel="0" collapsed="false">
      <c r="A7098" s="31" t="n">
        <v>43031.6666666667</v>
      </c>
      <c r="B7098" s="32" t="n">
        <v>263.444</v>
      </c>
      <c r="D7098" s="33" t="n">
        <f aca="false">WEEKDAY(A7098,2)</f>
        <v>1</v>
      </c>
      <c r="E7098" s="33" t="n">
        <f aca="false">HOUR(A7098)+MINUTE(A7098)/60</f>
        <v>16</v>
      </c>
      <c r="F7098" s="33" t="n">
        <f aca="false">IF(OR(D7098&gt;5,E7098&lt;8,E7098&gt;=18,COUNTIF($K$2:$K$10,INT(A7098))&gt;0),1,0)</f>
        <v>0</v>
      </c>
      <c r="G7098" s="34" t="n">
        <f aca="false">B7098/1</f>
        <v>263.444</v>
      </c>
      <c r="H7098" s="34" t="str">
        <f aca="false">IF(F7098=1,G7098,"")</f>
        <v/>
      </c>
    </row>
    <row r="7099" customFormat="false" ht="15" hidden="false" customHeight="false" outlineLevel="0" collapsed="false">
      <c r="A7099" s="31" t="n">
        <v>43031.7083333333</v>
      </c>
      <c r="B7099" s="32" t="n">
        <v>254.681</v>
      </c>
      <c r="D7099" s="33" t="n">
        <f aca="false">WEEKDAY(A7099,2)</f>
        <v>1</v>
      </c>
      <c r="E7099" s="33" t="n">
        <f aca="false">HOUR(A7099)+MINUTE(A7099)/60</f>
        <v>17</v>
      </c>
      <c r="F7099" s="33" t="n">
        <f aca="false">IF(OR(D7099&gt;5,E7099&lt;8,E7099&gt;=18,COUNTIF($K$2:$K$10,INT(A7099))&gt;0),1,0)</f>
        <v>0</v>
      </c>
      <c r="G7099" s="34" t="n">
        <f aca="false">B7099/1</f>
        <v>254.681</v>
      </c>
      <c r="H7099" s="34" t="str">
        <f aca="false">IF(F7099=1,G7099,"")</f>
        <v/>
      </c>
    </row>
    <row r="7100" customFormat="false" ht="15" hidden="false" customHeight="false" outlineLevel="0" collapsed="false">
      <c r="A7100" s="31" t="n">
        <v>43031.75</v>
      </c>
      <c r="B7100" s="32" t="n">
        <v>237.956</v>
      </c>
      <c r="D7100" s="33" t="n">
        <f aca="false">WEEKDAY(A7100,2)</f>
        <v>1</v>
      </c>
      <c r="E7100" s="33" t="n">
        <f aca="false">HOUR(A7100)+MINUTE(A7100)/60</f>
        <v>18</v>
      </c>
      <c r="F7100" s="33" t="n">
        <f aca="false">IF(OR(D7100&gt;5,E7100&lt;8,E7100&gt;=18,COUNTIF($K$2:$K$10,INT(A7100))&gt;0),1,0)</f>
        <v>1</v>
      </c>
      <c r="G7100" s="34" t="n">
        <f aca="false">B7100/1</f>
        <v>237.956</v>
      </c>
      <c r="H7100" s="34" t="n">
        <f aca="false">IF(F7100=1,G7100,"")</f>
        <v>237.956</v>
      </c>
    </row>
    <row r="7101" customFormat="false" ht="15" hidden="false" customHeight="false" outlineLevel="0" collapsed="false">
      <c r="A7101" s="31" t="n">
        <v>43031.7916666667</v>
      </c>
      <c r="B7101" s="32" t="n">
        <v>221.736</v>
      </c>
      <c r="D7101" s="33" t="n">
        <f aca="false">WEEKDAY(A7101,2)</f>
        <v>1</v>
      </c>
      <c r="E7101" s="33" t="n">
        <f aca="false">HOUR(A7101)+MINUTE(A7101)/60</f>
        <v>19</v>
      </c>
      <c r="F7101" s="33" t="n">
        <f aca="false">IF(OR(D7101&gt;5,E7101&lt;8,E7101&gt;=18,COUNTIF($K$2:$K$10,INT(A7101))&gt;0),1,0)</f>
        <v>1</v>
      </c>
      <c r="G7101" s="34" t="n">
        <f aca="false">B7101/1</f>
        <v>221.736</v>
      </c>
      <c r="H7101" s="34" t="n">
        <f aca="false">IF(F7101=1,G7101,"")</f>
        <v>221.736</v>
      </c>
    </row>
    <row r="7102" customFormat="false" ht="15" hidden="false" customHeight="false" outlineLevel="0" collapsed="false">
      <c r="A7102" s="31" t="n">
        <v>43031.8333333333</v>
      </c>
      <c r="B7102" s="32" t="n">
        <v>210.014</v>
      </c>
      <c r="D7102" s="33" t="n">
        <f aca="false">WEEKDAY(A7102,2)</f>
        <v>1</v>
      </c>
      <c r="E7102" s="33" t="n">
        <f aca="false">HOUR(A7102)+MINUTE(A7102)/60</f>
        <v>20</v>
      </c>
      <c r="F7102" s="33" t="n">
        <f aca="false">IF(OR(D7102&gt;5,E7102&lt;8,E7102&gt;=18,COUNTIF($K$2:$K$10,INT(A7102))&gt;0),1,0)</f>
        <v>1</v>
      </c>
      <c r="G7102" s="34" t="n">
        <f aca="false">B7102/1</f>
        <v>210.014</v>
      </c>
      <c r="H7102" s="34" t="n">
        <f aca="false">IF(F7102=1,G7102,"")</f>
        <v>210.014</v>
      </c>
    </row>
    <row r="7103" customFormat="false" ht="15" hidden="false" customHeight="false" outlineLevel="0" collapsed="false">
      <c r="A7103" s="31" t="n">
        <v>43031.875</v>
      </c>
      <c r="B7103" s="32" t="n">
        <v>200.695</v>
      </c>
      <c r="D7103" s="33" t="n">
        <f aca="false">WEEKDAY(A7103,2)</f>
        <v>1</v>
      </c>
      <c r="E7103" s="33" t="n">
        <f aca="false">HOUR(A7103)+MINUTE(A7103)/60</f>
        <v>21</v>
      </c>
      <c r="F7103" s="33" t="n">
        <f aca="false">IF(OR(D7103&gt;5,E7103&lt;8,E7103&gt;=18,COUNTIF($K$2:$K$10,INT(A7103))&gt;0),1,0)</f>
        <v>1</v>
      </c>
      <c r="G7103" s="34" t="n">
        <f aca="false">B7103/1</f>
        <v>200.695</v>
      </c>
      <c r="H7103" s="34" t="n">
        <f aca="false">IF(F7103=1,G7103,"")</f>
        <v>200.695</v>
      </c>
    </row>
    <row r="7104" customFormat="false" ht="15" hidden="false" customHeight="false" outlineLevel="0" collapsed="false">
      <c r="A7104" s="31" t="n">
        <v>43031.9166666667</v>
      </c>
      <c r="B7104" s="32" t="n">
        <v>143.332</v>
      </c>
      <c r="D7104" s="33" t="n">
        <f aca="false">WEEKDAY(A7104,2)</f>
        <v>1</v>
      </c>
      <c r="E7104" s="33" t="n">
        <f aca="false">HOUR(A7104)+MINUTE(A7104)/60</f>
        <v>22</v>
      </c>
      <c r="F7104" s="33" t="n">
        <f aca="false">IF(OR(D7104&gt;5,E7104&lt;8,E7104&gt;=18,COUNTIF($K$2:$K$10,INT(A7104))&gt;0),1,0)</f>
        <v>1</v>
      </c>
      <c r="G7104" s="34" t="n">
        <f aca="false">B7104/1</f>
        <v>143.332</v>
      </c>
      <c r="H7104" s="34" t="n">
        <f aca="false">IF(F7104=1,G7104,"")</f>
        <v>143.332</v>
      </c>
    </row>
    <row r="7105" customFormat="false" ht="15" hidden="false" customHeight="false" outlineLevel="0" collapsed="false">
      <c r="A7105" s="31" t="n">
        <v>43031.9583333333</v>
      </c>
      <c r="B7105" s="32" t="n">
        <v>76.613</v>
      </c>
      <c r="D7105" s="33" t="n">
        <f aca="false">WEEKDAY(A7105,2)</f>
        <v>1</v>
      </c>
      <c r="E7105" s="33" t="n">
        <f aca="false">HOUR(A7105)+MINUTE(A7105)/60</f>
        <v>23</v>
      </c>
      <c r="F7105" s="33" t="n">
        <f aca="false">IF(OR(D7105&gt;5,E7105&lt;8,E7105&gt;=18,COUNTIF($K$2:$K$10,INT(A7105))&gt;0),1,0)</f>
        <v>1</v>
      </c>
      <c r="G7105" s="34" t="n">
        <f aca="false">B7105/1</f>
        <v>76.613</v>
      </c>
      <c r="H7105" s="34" t="n">
        <f aca="false">IF(F7105=1,G7105,"")</f>
        <v>76.613</v>
      </c>
    </row>
    <row r="7106" customFormat="false" ht="15" hidden="false" customHeight="false" outlineLevel="0" collapsed="false">
      <c r="A7106" s="31" t="n">
        <v>43032</v>
      </c>
      <c r="B7106" s="32" t="n">
        <v>68.558</v>
      </c>
      <c r="D7106" s="33" t="n">
        <f aca="false">WEEKDAY(A7106,2)</f>
        <v>2</v>
      </c>
      <c r="E7106" s="33" t="n">
        <f aca="false">HOUR(A7106)+MINUTE(A7106)/60</f>
        <v>0</v>
      </c>
      <c r="F7106" s="33" t="n">
        <f aca="false">IF(OR(D7106&gt;5,E7106&lt;8,E7106&gt;=18,COUNTIF($K$2:$K$10,INT(A7106))&gt;0),1,0)</f>
        <v>1</v>
      </c>
      <c r="G7106" s="34" t="n">
        <f aca="false">B7106/1</f>
        <v>68.558</v>
      </c>
      <c r="H7106" s="34" t="n">
        <f aca="false">IF(F7106=1,G7106,"")</f>
        <v>68.558</v>
      </c>
    </row>
    <row r="7107" customFormat="false" ht="15" hidden="false" customHeight="false" outlineLevel="0" collapsed="false">
      <c r="A7107" s="31" t="n">
        <v>43032.0416666667</v>
      </c>
      <c r="B7107" s="32" t="n">
        <v>62.972</v>
      </c>
      <c r="D7107" s="33" t="n">
        <f aca="false">WEEKDAY(A7107,2)</f>
        <v>2</v>
      </c>
      <c r="E7107" s="33" t="n">
        <f aca="false">HOUR(A7107)+MINUTE(A7107)/60</f>
        <v>1</v>
      </c>
      <c r="F7107" s="33" t="n">
        <f aca="false">IF(OR(D7107&gt;5,E7107&lt;8,E7107&gt;=18,COUNTIF($K$2:$K$10,INT(A7107))&gt;0),1,0)</f>
        <v>1</v>
      </c>
      <c r="G7107" s="34" t="n">
        <f aca="false">B7107/1</f>
        <v>62.972</v>
      </c>
      <c r="H7107" s="34" t="n">
        <f aca="false">IF(F7107=1,G7107,"")</f>
        <v>62.972</v>
      </c>
    </row>
    <row r="7108" customFormat="false" ht="15" hidden="false" customHeight="false" outlineLevel="0" collapsed="false">
      <c r="A7108" s="31" t="n">
        <v>43032.0833333333</v>
      </c>
      <c r="B7108" s="32" t="n">
        <v>62.694</v>
      </c>
      <c r="D7108" s="33" t="n">
        <f aca="false">WEEKDAY(A7108,2)</f>
        <v>2</v>
      </c>
      <c r="E7108" s="33" t="n">
        <f aca="false">HOUR(A7108)+MINUTE(A7108)/60</f>
        <v>2</v>
      </c>
      <c r="F7108" s="33" t="n">
        <f aca="false">IF(OR(D7108&gt;5,E7108&lt;8,E7108&gt;=18,COUNTIF($K$2:$K$10,INT(A7108))&gt;0),1,0)</f>
        <v>1</v>
      </c>
      <c r="G7108" s="34" t="n">
        <f aca="false">B7108/1</f>
        <v>62.694</v>
      </c>
      <c r="H7108" s="34" t="n">
        <f aca="false">IF(F7108=1,G7108,"")</f>
        <v>62.694</v>
      </c>
    </row>
    <row r="7109" customFormat="false" ht="15" hidden="false" customHeight="false" outlineLevel="0" collapsed="false">
      <c r="A7109" s="31" t="n">
        <v>43032.125</v>
      </c>
      <c r="B7109" s="32" t="n">
        <v>62.198</v>
      </c>
      <c r="D7109" s="33" t="n">
        <f aca="false">WEEKDAY(A7109,2)</f>
        <v>2</v>
      </c>
      <c r="E7109" s="33" t="n">
        <f aca="false">HOUR(A7109)+MINUTE(A7109)/60</f>
        <v>3</v>
      </c>
      <c r="F7109" s="33" t="n">
        <f aca="false">IF(OR(D7109&gt;5,E7109&lt;8,E7109&gt;=18,COUNTIF($K$2:$K$10,INT(A7109))&gt;0),1,0)</f>
        <v>1</v>
      </c>
      <c r="G7109" s="34" t="n">
        <f aca="false">B7109/1</f>
        <v>62.198</v>
      </c>
      <c r="H7109" s="34" t="n">
        <f aca="false">IF(F7109=1,G7109,"")</f>
        <v>62.198</v>
      </c>
    </row>
    <row r="7110" customFormat="false" ht="15" hidden="false" customHeight="false" outlineLevel="0" collapsed="false">
      <c r="A7110" s="31" t="n">
        <v>43032.1666666667</v>
      </c>
      <c r="B7110" s="32" t="n">
        <v>61.131</v>
      </c>
      <c r="D7110" s="33" t="n">
        <f aca="false">WEEKDAY(A7110,2)</f>
        <v>2</v>
      </c>
      <c r="E7110" s="33" t="n">
        <f aca="false">HOUR(A7110)+MINUTE(A7110)/60</f>
        <v>4</v>
      </c>
      <c r="F7110" s="33" t="n">
        <f aca="false">IF(OR(D7110&gt;5,E7110&lt;8,E7110&gt;=18,COUNTIF($K$2:$K$10,INT(A7110))&gt;0),1,0)</f>
        <v>1</v>
      </c>
      <c r="G7110" s="34" t="n">
        <f aca="false">B7110/1</f>
        <v>61.131</v>
      </c>
      <c r="H7110" s="34" t="n">
        <f aca="false">IF(F7110=1,G7110,"")</f>
        <v>61.131</v>
      </c>
    </row>
    <row r="7111" customFormat="false" ht="15" hidden="false" customHeight="false" outlineLevel="0" collapsed="false">
      <c r="A7111" s="31" t="n">
        <v>43032.2083333333</v>
      </c>
      <c r="B7111" s="32" t="n">
        <v>61.034</v>
      </c>
      <c r="D7111" s="33" t="n">
        <f aca="false">WEEKDAY(A7111,2)</f>
        <v>2</v>
      </c>
      <c r="E7111" s="33" t="n">
        <f aca="false">HOUR(A7111)+MINUTE(A7111)/60</f>
        <v>5</v>
      </c>
      <c r="F7111" s="33" t="n">
        <f aca="false">IF(OR(D7111&gt;5,E7111&lt;8,E7111&gt;=18,COUNTIF($K$2:$K$10,INT(A7111))&gt;0),1,0)</f>
        <v>1</v>
      </c>
      <c r="G7111" s="34" t="n">
        <f aca="false">B7111/1</f>
        <v>61.034</v>
      </c>
      <c r="H7111" s="34" t="n">
        <f aca="false">IF(F7111=1,G7111,"")</f>
        <v>61.034</v>
      </c>
    </row>
    <row r="7112" customFormat="false" ht="15" hidden="false" customHeight="false" outlineLevel="0" collapsed="false">
      <c r="A7112" s="31" t="n">
        <v>43032.25</v>
      </c>
      <c r="B7112" s="32" t="n">
        <v>63.587</v>
      </c>
      <c r="D7112" s="33" t="n">
        <f aca="false">WEEKDAY(A7112,2)</f>
        <v>2</v>
      </c>
      <c r="E7112" s="33" t="n">
        <f aca="false">HOUR(A7112)+MINUTE(A7112)/60</f>
        <v>6</v>
      </c>
      <c r="F7112" s="33" t="n">
        <f aca="false">IF(OR(D7112&gt;5,E7112&lt;8,E7112&gt;=18,COUNTIF($K$2:$K$10,INT(A7112))&gt;0),1,0)</f>
        <v>1</v>
      </c>
      <c r="G7112" s="34" t="n">
        <f aca="false">B7112/1</f>
        <v>63.587</v>
      </c>
      <c r="H7112" s="34" t="n">
        <f aca="false">IF(F7112=1,G7112,"")</f>
        <v>63.587</v>
      </c>
    </row>
    <row r="7113" customFormat="false" ht="15" hidden="false" customHeight="false" outlineLevel="0" collapsed="false">
      <c r="A7113" s="31" t="n">
        <v>43032.2916666667</v>
      </c>
      <c r="B7113" s="32" t="n">
        <v>67.84</v>
      </c>
      <c r="D7113" s="33" t="n">
        <f aca="false">WEEKDAY(A7113,2)</f>
        <v>2</v>
      </c>
      <c r="E7113" s="33" t="n">
        <f aca="false">HOUR(A7113)+MINUTE(A7113)/60</f>
        <v>7</v>
      </c>
      <c r="F7113" s="33" t="n">
        <f aca="false">IF(OR(D7113&gt;5,E7113&lt;8,E7113&gt;=18,COUNTIF($K$2:$K$10,INT(A7113))&gt;0),1,0)</f>
        <v>1</v>
      </c>
      <c r="G7113" s="34" t="n">
        <f aca="false">B7113/1</f>
        <v>67.84</v>
      </c>
      <c r="H7113" s="34" t="n">
        <f aca="false">IF(F7113=1,G7113,"")</f>
        <v>67.84</v>
      </c>
    </row>
    <row r="7114" customFormat="false" ht="15" hidden="false" customHeight="false" outlineLevel="0" collapsed="false">
      <c r="A7114" s="31" t="n">
        <v>43032.3333333333</v>
      </c>
      <c r="B7114" s="32" t="n">
        <v>172.987</v>
      </c>
      <c r="D7114" s="33" t="n">
        <f aca="false">WEEKDAY(A7114,2)</f>
        <v>2</v>
      </c>
      <c r="E7114" s="33" t="n">
        <f aca="false">HOUR(A7114)+MINUTE(A7114)/60</f>
        <v>8</v>
      </c>
      <c r="F7114" s="33" t="n">
        <f aca="false">IF(OR(D7114&gt;5,E7114&lt;8,E7114&gt;=18,COUNTIF($K$2:$K$10,INT(A7114))&gt;0),1,0)</f>
        <v>0</v>
      </c>
      <c r="G7114" s="34" t="n">
        <f aca="false">B7114/1</f>
        <v>172.987</v>
      </c>
      <c r="H7114" s="34" t="str">
        <f aca="false">IF(F7114=1,G7114,"")</f>
        <v/>
      </c>
    </row>
    <row r="7115" customFormat="false" ht="15" hidden="false" customHeight="false" outlineLevel="0" collapsed="false">
      <c r="A7115" s="31" t="n">
        <v>43032.375</v>
      </c>
      <c r="B7115" s="32" t="n">
        <v>210.054</v>
      </c>
      <c r="D7115" s="33" t="n">
        <f aca="false">WEEKDAY(A7115,2)</f>
        <v>2</v>
      </c>
      <c r="E7115" s="33" t="n">
        <f aca="false">HOUR(A7115)+MINUTE(A7115)/60</f>
        <v>9</v>
      </c>
      <c r="F7115" s="33" t="n">
        <f aca="false">IF(OR(D7115&gt;5,E7115&lt;8,E7115&gt;=18,COUNTIF($K$2:$K$10,INT(A7115))&gt;0),1,0)</f>
        <v>0</v>
      </c>
      <c r="G7115" s="34" t="n">
        <f aca="false">B7115/1</f>
        <v>210.054</v>
      </c>
      <c r="H7115" s="34" t="str">
        <f aca="false">IF(F7115=1,G7115,"")</f>
        <v/>
      </c>
    </row>
    <row r="7116" customFormat="false" ht="15" hidden="false" customHeight="false" outlineLevel="0" collapsed="false">
      <c r="A7116" s="31" t="n">
        <v>43032.4166666667</v>
      </c>
      <c r="B7116" s="32" t="n">
        <v>233.226</v>
      </c>
      <c r="D7116" s="33" t="n">
        <f aca="false">WEEKDAY(A7116,2)</f>
        <v>2</v>
      </c>
      <c r="E7116" s="33" t="n">
        <f aca="false">HOUR(A7116)+MINUTE(A7116)/60</f>
        <v>10</v>
      </c>
      <c r="F7116" s="33" t="n">
        <f aca="false">IF(OR(D7116&gt;5,E7116&lt;8,E7116&gt;=18,COUNTIF($K$2:$K$10,INT(A7116))&gt;0),1,0)</f>
        <v>0</v>
      </c>
      <c r="G7116" s="34" t="n">
        <f aca="false">B7116/1</f>
        <v>233.226</v>
      </c>
      <c r="H7116" s="34" t="str">
        <f aca="false">IF(F7116=1,G7116,"")</f>
        <v/>
      </c>
    </row>
    <row r="7117" customFormat="false" ht="15" hidden="false" customHeight="false" outlineLevel="0" collapsed="false">
      <c r="A7117" s="31" t="n">
        <v>43032.4583333333</v>
      </c>
      <c r="B7117" s="32" t="n">
        <v>260.63</v>
      </c>
      <c r="D7117" s="33" t="n">
        <f aca="false">WEEKDAY(A7117,2)</f>
        <v>2</v>
      </c>
      <c r="E7117" s="33" t="n">
        <f aca="false">HOUR(A7117)+MINUTE(A7117)/60</f>
        <v>11</v>
      </c>
      <c r="F7117" s="33" t="n">
        <f aca="false">IF(OR(D7117&gt;5,E7117&lt;8,E7117&gt;=18,COUNTIF($K$2:$K$10,INT(A7117))&gt;0),1,0)</f>
        <v>0</v>
      </c>
      <c r="G7117" s="34" t="n">
        <f aca="false">B7117/1</f>
        <v>260.63</v>
      </c>
      <c r="H7117" s="34" t="str">
        <f aca="false">IF(F7117=1,G7117,"")</f>
        <v/>
      </c>
    </row>
    <row r="7118" customFormat="false" ht="15" hidden="false" customHeight="false" outlineLevel="0" collapsed="false">
      <c r="A7118" s="31" t="n">
        <v>43032.5</v>
      </c>
      <c r="B7118" s="32" t="n">
        <v>294.996</v>
      </c>
      <c r="D7118" s="33" t="n">
        <f aca="false">WEEKDAY(A7118,2)</f>
        <v>2</v>
      </c>
      <c r="E7118" s="33" t="n">
        <f aca="false">HOUR(A7118)+MINUTE(A7118)/60</f>
        <v>12</v>
      </c>
      <c r="F7118" s="33" t="n">
        <f aca="false">IF(OR(D7118&gt;5,E7118&lt;8,E7118&gt;=18,COUNTIF($K$2:$K$10,INT(A7118))&gt;0),1,0)</f>
        <v>0</v>
      </c>
      <c r="G7118" s="34" t="n">
        <f aca="false">B7118/1</f>
        <v>294.996</v>
      </c>
      <c r="H7118" s="34" t="str">
        <f aca="false">IF(F7118=1,G7118,"")</f>
        <v/>
      </c>
    </row>
    <row r="7119" customFormat="false" ht="15" hidden="false" customHeight="false" outlineLevel="0" collapsed="false">
      <c r="A7119" s="31" t="n">
        <v>43032.5416666667</v>
      </c>
      <c r="B7119" s="32" t="n">
        <v>260.172</v>
      </c>
      <c r="D7119" s="33" t="n">
        <f aca="false">WEEKDAY(A7119,2)</f>
        <v>2</v>
      </c>
      <c r="E7119" s="33" t="n">
        <f aca="false">HOUR(A7119)+MINUTE(A7119)/60</f>
        <v>13</v>
      </c>
      <c r="F7119" s="33" t="n">
        <f aca="false">IF(OR(D7119&gt;5,E7119&lt;8,E7119&gt;=18,COUNTIF($K$2:$K$10,INT(A7119))&gt;0),1,0)</f>
        <v>0</v>
      </c>
      <c r="G7119" s="34" t="n">
        <f aca="false">B7119/1</f>
        <v>260.172</v>
      </c>
      <c r="H7119" s="34" t="str">
        <f aca="false">IF(F7119=1,G7119,"")</f>
        <v/>
      </c>
    </row>
    <row r="7120" customFormat="false" ht="15" hidden="false" customHeight="false" outlineLevel="0" collapsed="false">
      <c r="A7120" s="31" t="n">
        <v>43032.5833333333</v>
      </c>
      <c r="B7120" s="32" t="n">
        <v>314.391</v>
      </c>
      <c r="D7120" s="33" t="n">
        <f aca="false">WEEKDAY(A7120,2)</f>
        <v>2</v>
      </c>
      <c r="E7120" s="33" t="n">
        <f aca="false">HOUR(A7120)+MINUTE(A7120)/60</f>
        <v>14</v>
      </c>
      <c r="F7120" s="33" t="n">
        <f aca="false">IF(OR(D7120&gt;5,E7120&lt;8,E7120&gt;=18,COUNTIF($K$2:$K$10,INT(A7120))&gt;0),1,0)</f>
        <v>0</v>
      </c>
      <c r="G7120" s="34" t="n">
        <f aca="false">B7120/1</f>
        <v>314.391</v>
      </c>
      <c r="H7120" s="34" t="str">
        <f aca="false">IF(F7120=1,G7120,"")</f>
        <v/>
      </c>
    </row>
    <row r="7121" customFormat="false" ht="15" hidden="false" customHeight="false" outlineLevel="0" collapsed="false">
      <c r="A7121" s="31" t="n">
        <v>43032.625</v>
      </c>
      <c r="B7121" s="32" t="n">
        <v>268.723</v>
      </c>
      <c r="D7121" s="33" t="n">
        <f aca="false">WEEKDAY(A7121,2)</f>
        <v>2</v>
      </c>
      <c r="E7121" s="33" t="n">
        <f aca="false">HOUR(A7121)+MINUTE(A7121)/60</f>
        <v>15</v>
      </c>
      <c r="F7121" s="33" t="n">
        <f aca="false">IF(OR(D7121&gt;5,E7121&lt;8,E7121&gt;=18,COUNTIF($K$2:$K$10,INT(A7121))&gt;0),1,0)</f>
        <v>0</v>
      </c>
      <c r="G7121" s="34" t="n">
        <f aca="false">B7121/1</f>
        <v>268.723</v>
      </c>
      <c r="H7121" s="34" t="str">
        <f aca="false">IF(F7121=1,G7121,"")</f>
        <v/>
      </c>
    </row>
    <row r="7122" customFormat="false" ht="15" hidden="false" customHeight="false" outlineLevel="0" collapsed="false">
      <c r="A7122" s="31" t="n">
        <v>43032.6666666667</v>
      </c>
      <c r="B7122" s="32" t="n">
        <v>270.21</v>
      </c>
      <c r="D7122" s="33" t="n">
        <f aca="false">WEEKDAY(A7122,2)</f>
        <v>2</v>
      </c>
      <c r="E7122" s="33" t="n">
        <f aca="false">HOUR(A7122)+MINUTE(A7122)/60</f>
        <v>16</v>
      </c>
      <c r="F7122" s="33" t="n">
        <f aca="false">IF(OR(D7122&gt;5,E7122&lt;8,E7122&gt;=18,COUNTIF($K$2:$K$10,INT(A7122))&gt;0),1,0)</f>
        <v>0</v>
      </c>
      <c r="G7122" s="34" t="n">
        <f aca="false">B7122/1</f>
        <v>270.21</v>
      </c>
      <c r="H7122" s="34" t="str">
        <f aca="false">IF(F7122=1,G7122,"")</f>
        <v/>
      </c>
    </row>
    <row r="7123" customFormat="false" ht="15" hidden="false" customHeight="false" outlineLevel="0" collapsed="false">
      <c r="A7123" s="31" t="n">
        <v>43032.7083333333</v>
      </c>
      <c r="B7123" s="32" t="n">
        <v>289.773</v>
      </c>
      <c r="D7123" s="33" t="n">
        <f aca="false">WEEKDAY(A7123,2)</f>
        <v>2</v>
      </c>
      <c r="E7123" s="33" t="n">
        <f aca="false">HOUR(A7123)+MINUTE(A7123)/60</f>
        <v>17</v>
      </c>
      <c r="F7123" s="33" t="n">
        <f aca="false">IF(OR(D7123&gt;5,E7123&lt;8,E7123&gt;=18,COUNTIF($K$2:$K$10,INT(A7123))&gt;0),1,0)</f>
        <v>0</v>
      </c>
      <c r="G7123" s="34" t="n">
        <f aca="false">B7123/1</f>
        <v>289.773</v>
      </c>
      <c r="H7123" s="34" t="str">
        <f aca="false">IF(F7123=1,G7123,"")</f>
        <v/>
      </c>
    </row>
    <row r="7124" customFormat="false" ht="15" hidden="false" customHeight="false" outlineLevel="0" collapsed="false">
      <c r="A7124" s="31" t="n">
        <v>43032.75</v>
      </c>
      <c r="B7124" s="32" t="n">
        <v>242.557</v>
      </c>
      <c r="D7124" s="33" t="n">
        <f aca="false">WEEKDAY(A7124,2)</f>
        <v>2</v>
      </c>
      <c r="E7124" s="33" t="n">
        <f aca="false">HOUR(A7124)+MINUTE(A7124)/60</f>
        <v>18</v>
      </c>
      <c r="F7124" s="33" t="n">
        <f aca="false">IF(OR(D7124&gt;5,E7124&lt;8,E7124&gt;=18,COUNTIF($K$2:$K$10,INT(A7124))&gt;0),1,0)</f>
        <v>1</v>
      </c>
      <c r="G7124" s="34" t="n">
        <f aca="false">B7124/1</f>
        <v>242.557</v>
      </c>
      <c r="H7124" s="34" t="n">
        <f aca="false">IF(F7124=1,G7124,"")</f>
        <v>242.557</v>
      </c>
    </row>
    <row r="7125" customFormat="false" ht="15" hidden="false" customHeight="false" outlineLevel="0" collapsed="false">
      <c r="A7125" s="31" t="n">
        <v>43032.7916666667</v>
      </c>
      <c r="B7125" s="32" t="n">
        <v>222.828</v>
      </c>
      <c r="D7125" s="33" t="n">
        <f aca="false">WEEKDAY(A7125,2)</f>
        <v>2</v>
      </c>
      <c r="E7125" s="33" t="n">
        <f aca="false">HOUR(A7125)+MINUTE(A7125)/60</f>
        <v>19</v>
      </c>
      <c r="F7125" s="33" t="n">
        <f aca="false">IF(OR(D7125&gt;5,E7125&lt;8,E7125&gt;=18,COUNTIF($K$2:$K$10,INT(A7125))&gt;0),1,0)</f>
        <v>1</v>
      </c>
      <c r="G7125" s="34" t="n">
        <f aca="false">B7125/1</f>
        <v>222.828</v>
      </c>
      <c r="H7125" s="34" t="n">
        <f aca="false">IF(F7125=1,G7125,"")</f>
        <v>222.828</v>
      </c>
    </row>
    <row r="7126" customFormat="false" ht="15" hidden="false" customHeight="false" outlineLevel="0" collapsed="false">
      <c r="A7126" s="31" t="n">
        <v>43032.8333333333</v>
      </c>
      <c r="B7126" s="32" t="n">
        <v>214.186</v>
      </c>
      <c r="D7126" s="33" t="n">
        <f aca="false">WEEKDAY(A7126,2)</f>
        <v>2</v>
      </c>
      <c r="E7126" s="33" t="n">
        <f aca="false">HOUR(A7126)+MINUTE(A7126)/60</f>
        <v>20</v>
      </c>
      <c r="F7126" s="33" t="n">
        <f aca="false">IF(OR(D7126&gt;5,E7126&lt;8,E7126&gt;=18,COUNTIF($K$2:$K$10,INT(A7126))&gt;0),1,0)</f>
        <v>1</v>
      </c>
      <c r="G7126" s="34" t="n">
        <f aca="false">B7126/1</f>
        <v>214.186</v>
      </c>
      <c r="H7126" s="34" t="n">
        <f aca="false">IF(F7126=1,G7126,"")</f>
        <v>214.186</v>
      </c>
    </row>
    <row r="7127" customFormat="false" ht="15" hidden="false" customHeight="false" outlineLevel="0" collapsed="false">
      <c r="A7127" s="31" t="n">
        <v>43032.875</v>
      </c>
      <c r="B7127" s="32" t="n">
        <v>204.181</v>
      </c>
      <c r="D7127" s="33" t="n">
        <f aca="false">WEEKDAY(A7127,2)</f>
        <v>2</v>
      </c>
      <c r="E7127" s="33" t="n">
        <f aca="false">HOUR(A7127)+MINUTE(A7127)/60</f>
        <v>21</v>
      </c>
      <c r="F7127" s="33" t="n">
        <f aca="false">IF(OR(D7127&gt;5,E7127&lt;8,E7127&gt;=18,COUNTIF($K$2:$K$10,INT(A7127))&gt;0),1,0)</f>
        <v>1</v>
      </c>
      <c r="G7127" s="34" t="n">
        <f aca="false">B7127/1</f>
        <v>204.181</v>
      </c>
      <c r="H7127" s="34" t="n">
        <f aca="false">IF(F7127=1,G7127,"")</f>
        <v>204.181</v>
      </c>
    </row>
    <row r="7128" customFormat="false" ht="15" hidden="false" customHeight="false" outlineLevel="0" collapsed="false">
      <c r="A7128" s="31" t="n">
        <v>43032.9166666667</v>
      </c>
      <c r="B7128" s="32" t="n">
        <v>146.712</v>
      </c>
      <c r="D7128" s="33" t="n">
        <f aca="false">WEEKDAY(A7128,2)</f>
        <v>2</v>
      </c>
      <c r="E7128" s="33" t="n">
        <f aca="false">HOUR(A7128)+MINUTE(A7128)/60</f>
        <v>22</v>
      </c>
      <c r="F7128" s="33" t="n">
        <f aca="false">IF(OR(D7128&gt;5,E7128&lt;8,E7128&gt;=18,COUNTIF($K$2:$K$10,INT(A7128))&gt;0),1,0)</f>
        <v>1</v>
      </c>
      <c r="G7128" s="34" t="n">
        <f aca="false">B7128/1</f>
        <v>146.712</v>
      </c>
      <c r="H7128" s="34" t="n">
        <f aca="false">IF(F7128=1,G7128,"")</f>
        <v>146.712</v>
      </c>
    </row>
    <row r="7129" customFormat="false" ht="15" hidden="false" customHeight="false" outlineLevel="0" collapsed="false">
      <c r="A7129" s="31" t="n">
        <v>43032.9583333333</v>
      </c>
      <c r="B7129" s="32" t="n">
        <v>82.157</v>
      </c>
      <c r="D7129" s="33" t="n">
        <f aca="false">WEEKDAY(A7129,2)</f>
        <v>2</v>
      </c>
      <c r="E7129" s="33" t="n">
        <f aca="false">HOUR(A7129)+MINUTE(A7129)/60</f>
        <v>23</v>
      </c>
      <c r="F7129" s="33" t="n">
        <f aca="false">IF(OR(D7129&gt;5,E7129&lt;8,E7129&gt;=18,COUNTIF($K$2:$K$10,INT(A7129))&gt;0),1,0)</f>
        <v>1</v>
      </c>
      <c r="G7129" s="34" t="n">
        <f aca="false">B7129/1</f>
        <v>82.157</v>
      </c>
      <c r="H7129" s="34" t="n">
        <f aca="false">IF(F7129=1,G7129,"")</f>
        <v>82.157</v>
      </c>
    </row>
    <row r="7130" customFormat="false" ht="15" hidden="false" customHeight="false" outlineLevel="0" collapsed="false">
      <c r="A7130" s="31" t="n">
        <v>43033</v>
      </c>
      <c r="B7130" s="32" t="n">
        <v>78.004</v>
      </c>
      <c r="D7130" s="33" t="n">
        <f aca="false">WEEKDAY(A7130,2)</f>
        <v>3</v>
      </c>
      <c r="E7130" s="33" t="n">
        <f aca="false">HOUR(A7130)+MINUTE(A7130)/60</f>
        <v>0</v>
      </c>
      <c r="F7130" s="33" t="n">
        <f aca="false">IF(OR(D7130&gt;5,E7130&lt;8,E7130&gt;=18,COUNTIF($K$2:$K$10,INT(A7130))&gt;0),1,0)</f>
        <v>1</v>
      </c>
      <c r="G7130" s="34" t="n">
        <f aca="false">B7130/1</f>
        <v>78.004</v>
      </c>
      <c r="H7130" s="34" t="n">
        <f aca="false">IF(F7130=1,G7130,"")</f>
        <v>78.004</v>
      </c>
    </row>
    <row r="7131" customFormat="false" ht="15" hidden="false" customHeight="false" outlineLevel="0" collapsed="false">
      <c r="A7131" s="31" t="n">
        <v>43033.0416666667</v>
      </c>
      <c r="B7131" s="32" t="n">
        <v>66.437</v>
      </c>
      <c r="D7131" s="33" t="n">
        <f aca="false">WEEKDAY(A7131,2)</f>
        <v>3</v>
      </c>
      <c r="E7131" s="33" t="n">
        <f aca="false">HOUR(A7131)+MINUTE(A7131)/60</f>
        <v>1</v>
      </c>
      <c r="F7131" s="33" t="n">
        <f aca="false">IF(OR(D7131&gt;5,E7131&lt;8,E7131&gt;=18,COUNTIF($K$2:$K$10,INT(A7131))&gt;0),1,0)</f>
        <v>1</v>
      </c>
      <c r="G7131" s="34" t="n">
        <f aca="false">B7131/1</f>
        <v>66.437</v>
      </c>
      <c r="H7131" s="34" t="n">
        <f aca="false">IF(F7131=1,G7131,"")</f>
        <v>66.437</v>
      </c>
    </row>
    <row r="7132" customFormat="false" ht="15" hidden="false" customHeight="false" outlineLevel="0" collapsed="false">
      <c r="A7132" s="31" t="n">
        <v>43033.0833333333</v>
      </c>
      <c r="B7132" s="32" t="n">
        <v>63.95</v>
      </c>
      <c r="D7132" s="33" t="n">
        <f aca="false">WEEKDAY(A7132,2)</f>
        <v>3</v>
      </c>
      <c r="E7132" s="33" t="n">
        <f aca="false">HOUR(A7132)+MINUTE(A7132)/60</f>
        <v>2</v>
      </c>
      <c r="F7132" s="33" t="n">
        <f aca="false">IF(OR(D7132&gt;5,E7132&lt;8,E7132&gt;=18,COUNTIF($K$2:$K$10,INT(A7132))&gt;0),1,0)</f>
        <v>1</v>
      </c>
      <c r="G7132" s="34" t="n">
        <f aca="false">B7132/1</f>
        <v>63.95</v>
      </c>
      <c r="H7132" s="34" t="n">
        <f aca="false">IF(F7132=1,G7132,"")</f>
        <v>63.95</v>
      </c>
    </row>
    <row r="7133" customFormat="false" ht="15" hidden="false" customHeight="false" outlineLevel="0" collapsed="false">
      <c r="A7133" s="31" t="n">
        <v>43033.125</v>
      </c>
      <c r="B7133" s="32" t="n">
        <v>62.79</v>
      </c>
      <c r="D7133" s="33" t="n">
        <f aca="false">WEEKDAY(A7133,2)</f>
        <v>3</v>
      </c>
      <c r="E7133" s="33" t="n">
        <f aca="false">HOUR(A7133)+MINUTE(A7133)/60</f>
        <v>3</v>
      </c>
      <c r="F7133" s="33" t="n">
        <f aca="false">IF(OR(D7133&gt;5,E7133&lt;8,E7133&gt;=18,COUNTIF($K$2:$K$10,INT(A7133))&gt;0),1,0)</f>
        <v>1</v>
      </c>
      <c r="G7133" s="34" t="n">
        <f aca="false">B7133/1</f>
        <v>62.79</v>
      </c>
      <c r="H7133" s="34" t="n">
        <f aca="false">IF(F7133=1,G7133,"")</f>
        <v>62.79</v>
      </c>
    </row>
    <row r="7134" customFormat="false" ht="15" hidden="false" customHeight="false" outlineLevel="0" collapsed="false">
      <c r="A7134" s="31" t="n">
        <v>43033.1666666667</v>
      </c>
      <c r="B7134" s="32" t="n">
        <v>63.767</v>
      </c>
      <c r="D7134" s="33" t="n">
        <f aca="false">WEEKDAY(A7134,2)</f>
        <v>3</v>
      </c>
      <c r="E7134" s="33" t="n">
        <f aca="false">HOUR(A7134)+MINUTE(A7134)/60</f>
        <v>4</v>
      </c>
      <c r="F7134" s="33" t="n">
        <f aca="false">IF(OR(D7134&gt;5,E7134&lt;8,E7134&gt;=18,COUNTIF($K$2:$K$10,INT(A7134))&gt;0),1,0)</f>
        <v>1</v>
      </c>
      <c r="G7134" s="34" t="n">
        <f aca="false">B7134/1</f>
        <v>63.767</v>
      </c>
      <c r="H7134" s="34" t="n">
        <f aca="false">IF(F7134=1,G7134,"")</f>
        <v>63.767</v>
      </c>
    </row>
    <row r="7135" customFormat="false" ht="15" hidden="false" customHeight="false" outlineLevel="0" collapsed="false">
      <c r="A7135" s="31" t="n">
        <v>43033.2083333333</v>
      </c>
      <c r="B7135" s="32" t="n">
        <v>62.564</v>
      </c>
      <c r="D7135" s="33" t="n">
        <f aca="false">WEEKDAY(A7135,2)</f>
        <v>3</v>
      </c>
      <c r="E7135" s="33" t="n">
        <f aca="false">HOUR(A7135)+MINUTE(A7135)/60</f>
        <v>5</v>
      </c>
      <c r="F7135" s="33" t="n">
        <f aca="false">IF(OR(D7135&gt;5,E7135&lt;8,E7135&gt;=18,COUNTIF($K$2:$K$10,INT(A7135))&gt;0),1,0)</f>
        <v>1</v>
      </c>
      <c r="G7135" s="34" t="n">
        <f aca="false">B7135/1</f>
        <v>62.564</v>
      </c>
      <c r="H7135" s="34" t="n">
        <f aca="false">IF(F7135=1,G7135,"")</f>
        <v>62.564</v>
      </c>
    </row>
    <row r="7136" customFormat="false" ht="15" hidden="false" customHeight="false" outlineLevel="0" collapsed="false">
      <c r="A7136" s="31" t="n">
        <v>43033.25</v>
      </c>
      <c r="B7136" s="32" t="n">
        <v>64.839</v>
      </c>
      <c r="D7136" s="33" t="n">
        <f aca="false">WEEKDAY(A7136,2)</f>
        <v>3</v>
      </c>
      <c r="E7136" s="33" t="n">
        <f aca="false">HOUR(A7136)+MINUTE(A7136)/60</f>
        <v>6</v>
      </c>
      <c r="F7136" s="33" t="n">
        <f aca="false">IF(OR(D7136&gt;5,E7136&lt;8,E7136&gt;=18,COUNTIF($K$2:$K$10,INT(A7136))&gt;0),1,0)</f>
        <v>1</v>
      </c>
      <c r="G7136" s="34" t="n">
        <f aca="false">B7136/1</f>
        <v>64.839</v>
      </c>
      <c r="H7136" s="34" t="n">
        <f aca="false">IF(F7136=1,G7136,"")</f>
        <v>64.839</v>
      </c>
    </row>
    <row r="7137" customFormat="false" ht="15" hidden="false" customHeight="false" outlineLevel="0" collapsed="false">
      <c r="A7137" s="31" t="n">
        <v>43033.2916666667</v>
      </c>
      <c r="B7137" s="32" t="n">
        <v>65.485</v>
      </c>
      <c r="D7137" s="33" t="n">
        <f aca="false">WEEKDAY(A7137,2)</f>
        <v>3</v>
      </c>
      <c r="E7137" s="33" t="n">
        <f aca="false">HOUR(A7137)+MINUTE(A7137)/60</f>
        <v>7</v>
      </c>
      <c r="F7137" s="33" t="n">
        <f aca="false">IF(OR(D7137&gt;5,E7137&lt;8,E7137&gt;=18,COUNTIF($K$2:$K$10,INT(A7137))&gt;0),1,0)</f>
        <v>1</v>
      </c>
      <c r="G7137" s="34" t="n">
        <f aca="false">B7137/1</f>
        <v>65.485</v>
      </c>
      <c r="H7137" s="34" t="n">
        <f aca="false">IF(F7137=1,G7137,"")</f>
        <v>65.485</v>
      </c>
    </row>
    <row r="7138" customFormat="false" ht="15" hidden="false" customHeight="false" outlineLevel="0" collapsed="false">
      <c r="A7138" s="31" t="n">
        <v>43033.3333333333</v>
      </c>
      <c r="B7138" s="32" t="n">
        <v>172.002</v>
      </c>
      <c r="D7138" s="33" t="n">
        <f aca="false">WEEKDAY(A7138,2)</f>
        <v>3</v>
      </c>
      <c r="E7138" s="33" t="n">
        <f aca="false">HOUR(A7138)+MINUTE(A7138)/60</f>
        <v>8</v>
      </c>
      <c r="F7138" s="33" t="n">
        <f aca="false">IF(OR(D7138&gt;5,E7138&lt;8,E7138&gt;=18,COUNTIF($K$2:$K$10,INT(A7138))&gt;0),1,0)</f>
        <v>0</v>
      </c>
      <c r="G7138" s="34" t="n">
        <f aca="false">B7138/1</f>
        <v>172.002</v>
      </c>
      <c r="H7138" s="34" t="str">
        <f aca="false">IF(F7138=1,G7138,"")</f>
        <v/>
      </c>
    </row>
    <row r="7139" customFormat="false" ht="15" hidden="false" customHeight="false" outlineLevel="0" collapsed="false">
      <c r="A7139" s="31" t="n">
        <v>43033.375</v>
      </c>
      <c r="B7139" s="32" t="n">
        <v>213.652</v>
      </c>
      <c r="D7139" s="33" t="n">
        <f aca="false">WEEKDAY(A7139,2)</f>
        <v>3</v>
      </c>
      <c r="E7139" s="33" t="n">
        <f aca="false">HOUR(A7139)+MINUTE(A7139)/60</f>
        <v>9</v>
      </c>
      <c r="F7139" s="33" t="n">
        <f aca="false">IF(OR(D7139&gt;5,E7139&lt;8,E7139&gt;=18,COUNTIF($K$2:$K$10,INT(A7139))&gt;0),1,0)</f>
        <v>0</v>
      </c>
      <c r="G7139" s="34" t="n">
        <f aca="false">B7139/1</f>
        <v>213.652</v>
      </c>
      <c r="H7139" s="34" t="str">
        <f aca="false">IF(F7139=1,G7139,"")</f>
        <v/>
      </c>
    </row>
    <row r="7140" customFormat="false" ht="15" hidden="false" customHeight="false" outlineLevel="0" collapsed="false">
      <c r="A7140" s="31" t="n">
        <v>43033.4166666667</v>
      </c>
      <c r="B7140" s="32" t="n">
        <v>238.895</v>
      </c>
      <c r="D7140" s="33" t="n">
        <f aca="false">WEEKDAY(A7140,2)</f>
        <v>3</v>
      </c>
      <c r="E7140" s="33" t="n">
        <f aca="false">HOUR(A7140)+MINUTE(A7140)/60</f>
        <v>10</v>
      </c>
      <c r="F7140" s="33" t="n">
        <f aca="false">IF(OR(D7140&gt;5,E7140&lt;8,E7140&gt;=18,COUNTIF($K$2:$K$10,INT(A7140))&gt;0),1,0)</f>
        <v>0</v>
      </c>
      <c r="G7140" s="34" t="n">
        <f aca="false">B7140/1</f>
        <v>238.895</v>
      </c>
      <c r="H7140" s="34" t="str">
        <f aca="false">IF(F7140=1,G7140,"")</f>
        <v/>
      </c>
    </row>
    <row r="7141" customFormat="false" ht="15" hidden="false" customHeight="false" outlineLevel="0" collapsed="false">
      <c r="A7141" s="31" t="n">
        <v>43033.4583333333</v>
      </c>
      <c r="B7141" s="32" t="n">
        <v>255.073</v>
      </c>
      <c r="D7141" s="33" t="n">
        <f aca="false">WEEKDAY(A7141,2)</f>
        <v>3</v>
      </c>
      <c r="E7141" s="33" t="n">
        <f aca="false">HOUR(A7141)+MINUTE(A7141)/60</f>
        <v>11</v>
      </c>
      <c r="F7141" s="33" t="n">
        <f aca="false">IF(OR(D7141&gt;5,E7141&lt;8,E7141&gt;=18,COUNTIF($K$2:$K$10,INT(A7141))&gt;0),1,0)</f>
        <v>0</v>
      </c>
      <c r="G7141" s="34" t="n">
        <f aca="false">B7141/1</f>
        <v>255.073</v>
      </c>
      <c r="H7141" s="34" t="str">
        <f aca="false">IF(F7141=1,G7141,"")</f>
        <v/>
      </c>
    </row>
    <row r="7142" customFormat="false" ht="15" hidden="false" customHeight="false" outlineLevel="0" collapsed="false">
      <c r="A7142" s="31" t="n">
        <v>43033.5</v>
      </c>
      <c r="B7142" s="32" t="n">
        <v>262.686</v>
      </c>
      <c r="D7142" s="33" t="n">
        <f aca="false">WEEKDAY(A7142,2)</f>
        <v>3</v>
      </c>
      <c r="E7142" s="33" t="n">
        <f aca="false">HOUR(A7142)+MINUTE(A7142)/60</f>
        <v>12</v>
      </c>
      <c r="F7142" s="33" t="n">
        <f aca="false">IF(OR(D7142&gt;5,E7142&lt;8,E7142&gt;=18,COUNTIF($K$2:$K$10,INT(A7142))&gt;0),1,0)</f>
        <v>0</v>
      </c>
      <c r="G7142" s="34" t="n">
        <f aca="false">B7142/1</f>
        <v>262.686</v>
      </c>
      <c r="H7142" s="34" t="str">
        <f aca="false">IF(F7142=1,G7142,"")</f>
        <v/>
      </c>
    </row>
    <row r="7143" customFormat="false" ht="15" hidden="false" customHeight="false" outlineLevel="0" collapsed="false">
      <c r="A7143" s="31" t="n">
        <v>43033.5416666667</v>
      </c>
      <c r="B7143" s="32" t="n">
        <v>263.892</v>
      </c>
      <c r="D7143" s="33" t="n">
        <f aca="false">WEEKDAY(A7143,2)</f>
        <v>3</v>
      </c>
      <c r="E7143" s="33" t="n">
        <f aca="false">HOUR(A7143)+MINUTE(A7143)/60</f>
        <v>13</v>
      </c>
      <c r="F7143" s="33" t="n">
        <f aca="false">IF(OR(D7143&gt;5,E7143&lt;8,E7143&gt;=18,COUNTIF($K$2:$K$10,INT(A7143))&gt;0),1,0)</f>
        <v>0</v>
      </c>
      <c r="G7143" s="34" t="n">
        <f aca="false">B7143/1</f>
        <v>263.892</v>
      </c>
      <c r="H7143" s="34" t="str">
        <f aca="false">IF(F7143=1,G7143,"")</f>
        <v/>
      </c>
    </row>
    <row r="7144" customFormat="false" ht="15" hidden="false" customHeight="false" outlineLevel="0" collapsed="false">
      <c r="A7144" s="31" t="n">
        <v>43033.5833333333</v>
      </c>
      <c r="B7144" s="32" t="n">
        <v>263.495</v>
      </c>
      <c r="D7144" s="33" t="n">
        <f aca="false">WEEKDAY(A7144,2)</f>
        <v>3</v>
      </c>
      <c r="E7144" s="33" t="n">
        <f aca="false">HOUR(A7144)+MINUTE(A7144)/60</f>
        <v>14</v>
      </c>
      <c r="F7144" s="33" t="n">
        <f aca="false">IF(OR(D7144&gt;5,E7144&lt;8,E7144&gt;=18,COUNTIF($K$2:$K$10,INT(A7144))&gt;0),1,0)</f>
        <v>0</v>
      </c>
      <c r="G7144" s="34" t="n">
        <f aca="false">B7144/1</f>
        <v>263.495</v>
      </c>
      <c r="H7144" s="34" t="str">
        <f aca="false">IF(F7144=1,G7144,"")</f>
        <v/>
      </c>
    </row>
    <row r="7145" customFormat="false" ht="15" hidden="false" customHeight="false" outlineLevel="0" collapsed="false">
      <c r="A7145" s="31" t="n">
        <v>43033.625</v>
      </c>
      <c r="B7145" s="32" t="n">
        <v>264.361</v>
      </c>
      <c r="D7145" s="33" t="n">
        <f aca="false">WEEKDAY(A7145,2)</f>
        <v>3</v>
      </c>
      <c r="E7145" s="33" t="n">
        <f aca="false">HOUR(A7145)+MINUTE(A7145)/60</f>
        <v>15</v>
      </c>
      <c r="F7145" s="33" t="n">
        <f aca="false">IF(OR(D7145&gt;5,E7145&lt;8,E7145&gt;=18,COUNTIF($K$2:$K$10,INT(A7145))&gt;0),1,0)</f>
        <v>0</v>
      </c>
      <c r="G7145" s="34" t="n">
        <f aca="false">B7145/1</f>
        <v>264.361</v>
      </c>
      <c r="H7145" s="34" t="str">
        <f aca="false">IF(F7145=1,G7145,"")</f>
        <v/>
      </c>
    </row>
    <row r="7146" customFormat="false" ht="15" hidden="false" customHeight="false" outlineLevel="0" collapsed="false">
      <c r="A7146" s="31" t="n">
        <v>43033.6666666667</v>
      </c>
      <c r="B7146" s="32" t="n">
        <v>263.939</v>
      </c>
      <c r="D7146" s="33" t="n">
        <f aca="false">WEEKDAY(A7146,2)</f>
        <v>3</v>
      </c>
      <c r="E7146" s="33" t="n">
        <f aca="false">HOUR(A7146)+MINUTE(A7146)/60</f>
        <v>16</v>
      </c>
      <c r="F7146" s="33" t="n">
        <f aca="false">IF(OR(D7146&gt;5,E7146&lt;8,E7146&gt;=18,COUNTIF($K$2:$K$10,INT(A7146))&gt;0),1,0)</f>
        <v>0</v>
      </c>
      <c r="G7146" s="34" t="n">
        <f aca="false">B7146/1</f>
        <v>263.939</v>
      </c>
      <c r="H7146" s="34" t="str">
        <f aca="false">IF(F7146=1,G7146,"")</f>
        <v/>
      </c>
    </row>
    <row r="7147" customFormat="false" ht="15" hidden="false" customHeight="false" outlineLevel="0" collapsed="false">
      <c r="A7147" s="31" t="n">
        <v>43033.7083333333</v>
      </c>
      <c r="B7147" s="32" t="n">
        <v>252.525</v>
      </c>
      <c r="D7147" s="33" t="n">
        <f aca="false">WEEKDAY(A7147,2)</f>
        <v>3</v>
      </c>
      <c r="E7147" s="33" t="n">
        <f aca="false">HOUR(A7147)+MINUTE(A7147)/60</f>
        <v>17</v>
      </c>
      <c r="F7147" s="33" t="n">
        <f aca="false">IF(OR(D7147&gt;5,E7147&lt;8,E7147&gt;=18,COUNTIF($K$2:$K$10,INT(A7147))&gt;0),1,0)</f>
        <v>0</v>
      </c>
      <c r="G7147" s="34" t="n">
        <f aca="false">B7147/1</f>
        <v>252.525</v>
      </c>
      <c r="H7147" s="34" t="str">
        <f aca="false">IF(F7147=1,G7147,"")</f>
        <v/>
      </c>
    </row>
    <row r="7148" customFormat="false" ht="15" hidden="false" customHeight="false" outlineLevel="0" collapsed="false">
      <c r="A7148" s="31" t="n">
        <v>43033.75</v>
      </c>
      <c r="B7148" s="32" t="n">
        <v>227.97</v>
      </c>
      <c r="D7148" s="33" t="n">
        <f aca="false">WEEKDAY(A7148,2)</f>
        <v>3</v>
      </c>
      <c r="E7148" s="33" t="n">
        <f aca="false">HOUR(A7148)+MINUTE(A7148)/60</f>
        <v>18</v>
      </c>
      <c r="F7148" s="33" t="n">
        <f aca="false">IF(OR(D7148&gt;5,E7148&lt;8,E7148&gt;=18,COUNTIF($K$2:$K$10,INT(A7148))&gt;0),1,0)</f>
        <v>1</v>
      </c>
      <c r="G7148" s="34" t="n">
        <f aca="false">B7148/1</f>
        <v>227.97</v>
      </c>
      <c r="H7148" s="34" t="n">
        <f aca="false">IF(F7148=1,G7148,"")</f>
        <v>227.97</v>
      </c>
    </row>
    <row r="7149" customFormat="false" ht="15" hidden="false" customHeight="false" outlineLevel="0" collapsed="false">
      <c r="A7149" s="31" t="n">
        <v>43033.7916666667</v>
      </c>
      <c r="B7149" s="32" t="n">
        <v>219.821</v>
      </c>
      <c r="D7149" s="33" t="n">
        <f aca="false">WEEKDAY(A7149,2)</f>
        <v>3</v>
      </c>
      <c r="E7149" s="33" t="n">
        <f aca="false">HOUR(A7149)+MINUTE(A7149)/60</f>
        <v>19</v>
      </c>
      <c r="F7149" s="33" t="n">
        <f aca="false">IF(OR(D7149&gt;5,E7149&lt;8,E7149&gt;=18,COUNTIF($K$2:$K$10,INT(A7149))&gt;0),1,0)</f>
        <v>1</v>
      </c>
      <c r="G7149" s="34" t="n">
        <f aca="false">B7149/1</f>
        <v>219.821</v>
      </c>
      <c r="H7149" s="34" t="n">
        <f aca="false">IF(F7149=1,G7149,"")</f>
        <v>219.821</v>
      </c>
    </row>
    <row r="7150" customFormat="false" ht="15" hidden="false" customHeight="false" outlineLevel="0" collapsed="false">
      <c r="A7150" s="31" t="n">
        <v>43033.8333333333</v>
      </c>
      <c r="B7150" s="32" t="n">
        <v>211.116</v>
      </c>
      <c r="D7150" s="33" t="n">
        <f aca="false">WEEKDAY(A7150,2)</f>
        <v>3</v>
      </c>
      <c r="E7150" s="33" t="n">
        <f aca="false">HOUR(A7150)+MINUTE(A7150)/60</f>
        <v>20</v>
      </c>
      <c r="F7150" s="33" t="n">
        <f aca="false">IF(OR(D7150&gt;5,E7150&lt;8,E7150&gt;=18,COUNTIF($K$2:$K$10,INT(A7150))&gt;0),1,0)</f>
        <v>1</v>
      </c>
      <c r="G7150" s="34" t="n">
        <f aca="false">B7150/1</f>
        <v>211.116</v>
      </c>
      <c r="H7150" s="34" t="n">
        <f aca="false">IF(F7150=1,G7150,"")</f>
        <v>211.116</v>
      </c>
    </row>
    <row r="7151" customFormat="false" ht="15" hidden="false" customHeight="false" outlineLevel="0" collapsed="false">
      <c r="A7151" s="31" t="n">
        <v>43033.875</v>
      </c>
      <c r="B7151" s="32" t="n">
        <v>200.056</v>
      </c>
      <c r="D7151" s="33" t="n">
        <f aca="false">WEEKDAY(A7151,2)</f>
        <v>3</v>
      </c>
      <c r="E7151" s="33" t="n">
        <f aca="false">HOUR(A7151)+MINUTE(A7151)/60</f>
        <v>21</v>
      </c>
      <c r="F7151" s="33" t="n">
        <f aca="false">IF(OR(D7151&gt;5,E7151&lt;8,E7151&gt;=18,COUNTIF($K$2:$K$10,INT(A7151))&gt;0),1,0)</f>
        <v>1</v>
      </c>
      <c r="G7151" s="34" t="n">
        <f aca="false">B7151/1</f>
        <v>200.056</v>
      </c>
      <c r="H7151" s="34" t="n">
        <f aca="false">IF(F7151=1,G7151,"")</f>
        <v>200.056</v>
      </c>
    </row>
    <row r="7152" customFormat="false" ht="15" hidden="false" customHeight="false" outlineLevel="0" collapsed="false">
      <c r="A7152" s="31" t="n">
        <v>43033.9166666667</v>
      </c>
      <c r="B7152" s="32" t="n">
        <v>143.187</v>
      </c>
      <c r="D7152" s="33" t="n">
        <f aca="false">WEEKDAY(A7152,2)</f>
        <v>3</v>
      </c>
      <c r="E7152" s="33" t="n">
        <f aca="false">HOUR(A7152)+MINUTE(A7152)/60</f>
        <v>22</v>
      </c>
      <c r="F7152" s="33" t="n">
        <f aca="false">IF(OR(D7152&gt;5,E7152&lt;8,E7152&gt;=18,COUNTIF($K$2:$K$10,INT(A7152))&gt;0),1,0)</f>
        <v>1</v>
      </c>
      <c r="G7152" s="34" t="n">
        <f aca="false">B7152/1</f>
        <v>143.187</v>
      </c>
      <c r="H7152" s="34" t="n">
        <f aca="false">IF(F7152=1,G7152,"")</f>
        <v>143.187</v>
      </c>
    </row>
    <row r="7153" customFormat="false" ht="15" hidden="false" customHeight="false" outlineLevel="0" collapsed="false">
      <c r="A7153" s="31" t="n">
        <v>43033.9583333333</v>
      </c>
      <c r="B7153" s="32" t="n">
        <v>75.426</v>
      </c>
      <c r="D7153" s="33" t="n">
        <f aca="false">WEEKDAY(A7153,2)</f>
        <v>3</v>
      </c>
      <c r="E7153" s="33" t="n">
        <f aca="false">HOUR(A7153)+MINUTE(A7153)/60</f>
        <v>23</v>
      </c>
      <c r="F7153" s="33" t="n">
        <f aca="false">IF(OR(D7153&gt;5,E7153&lt;8,E7153&gt;=18,COUNTIF($K$2:$K$10,INT(A7153))&gt;0),1,0)</f>
        <v>1</v>
      </c>
      <c r="G7153" s="34" t="n">
        <f aca="false">B7153/1</f>
        <v>75.426</v>
      </c>
      <c r="H7153" s="34" t="n">
        <f aca="false">IF(F7153=1,G7153,"")</f>
        <v>75.426</v>
      </c>
    </row>
    <row r="7154" customFormat="false" ht="15" hidden="false" customHeight="false" outlineLevel="0" collapsed="false">
      <c r="A7154" s="31" t="n">
        <v>43034</v>
      </c>
      <c r="B7154" s="32" t="n">
        <v>66.319</v>
      </c>
      <c r="D7154" s="33" t="n">
        <f aca="false">WEEKDAY(A7154,2)</f>
        <v>4</v>
      </c>
      <c r="E7154" s="33" t="n">
        <f aca="false">HOUR(A7154)+MINUTE(A7154)/60</f>
        <v>0</v>
      </c>
      <c r="F7154" s="33" t="n">
        <f aca="false">IF(OR(D7154&gt;5,E7154&lt;8,E7154&gt;=18,COUNTIF($K$2:$K$10,INT(A7154))&gt;0),1,0)</f>
        <v>1</v>
      </c>
      <c r="G7154" s="34" t="n">
        <f aca="false">B7154/1</f>
        <v>66.319</v>
      </c>
      <c r="H7154" s="34" t="n">
        <f aca="false">IF(F7154=1,G7154,"")</f>
        <v>66.319</v>
      </c>
    </row>
    <row r="7155" customFormat="false" ht="15" hidden="false" customHeight="false" outlineLevel="0" collapsed="false">
      <c r="A7155" s="31" t="n">
        <v>43034.0416666667</v>
      </c>
      <c r="B7155" s="32" t="n">
        <v>59.374</v>
      </c>
      <c r="D7155" s="33" t="n">
        <f aca="false">WEEKDAY(A7155,2)</f>
        <v>4</v>
      </c>
      <c r="E7155" s="33" t="n">
        <f aca="false">HOUR(A7155)+MINUTE(A7155)/60</f>
        <v>1</v>
      </c>
      <c r="F7155" s="33" t="n">
        <f aca="false">IF(OR(D7155&gt;5,E7155&lt;8,E7155&gt;=18,COUNTIF($K$2:$K$10,INT(A7155))&gt;0),1,0)</f>
        <v>1</v>
      </c>
      <c r="G7155" s="34" t="n">
        <f aca="false">B7155/1</f>
        <v>59.374</v>
      </c>
      <c r="H7155" s="34" t="n">
        <f aca="false">IF(F7155=1,G7155,"")</f>
        <v>59.374</v>
      </c>
    </row>
    <row r="7156" customFormat="false" ht="15" hidden="false" customHeight="false" outlineLevel="0" collapsed="false">
      <c r="A7156" s="31" t="n">
        <v>43034.0833333333</v>
      </c>
      <c r="B7156" s="32" t="n">
        <v>61.404</v>
      </c>
      <c r="D7156" s="33" t="n">
        <f aca="false">WEEKDAY(A7156,2)</f>
        <v>4</v>
      </c>
      <c r="E7156" s="33" t="n">
        <f aca="false">HOUR(A7156)+MINUTE(A7156)/60</f>
        <v>2</v>
      </c>
      <c r="F7156" s="33" t="n">
        <f aca="false">IF(OR(D7156&gt;5,E7156&lt;8,E7156&gt;=18,COUNTIF($K$2:$K$10,INT(A7156))&gt;0),1,0)</f>
        <v>1</v>
      </c>
      <c r="G7156" s="34" t="n">
        <f aca="false">B7156/1</f>
        <v>61.404</v>
      </c>
      <c r="H7156" s="34" t="n">
        <f aca="false">IF(F7156=1,G7156,"")</f>
        <v>61.404</v>
      </c>
    </row>
    <row r="7157" customFormat="false" ht="15" hidden="false" customHeight="false" outlineLevel="0" collapsed="false">
      <c r="A7157" s="31" t="n">
        <v>43034.125</v>
      </c>
      <c r="B7157" s="32" t="n">
        <v>61.338</v>
      </c>
      <c r="D7157" s="33" t="n">
        <f aca="false">WEEKDAY(A7157,2)</f>
        <v>4</v>
      </c>
      <c r="E7157" s="33" t="n">
        <f aca="false">HOUR(A7157)+MINUTE(A7157)/60</f>
        <v>3</v>
      </c>
      <c r="F7157" s="33" t="n">
        <f aca="false">IF(OR(D7157&gt;5,E7157&lt;8,E7157&gt;=18,COUNTIF($K$2:$K$10,INT(A7157))&gt;0),1,0)</f>
        <v>1</v>
      </c>
      <c r="G7157" s="34" t="n">
        <f aca="false">B7157/1</f>
        <v>61.338</v>
      </c>
      <c r="H7157" s="34" t="n">
        <f aca="false">IF(F7157=1,G7157,"")</f>
        <v>61.338</v>
      </c>
    </row>
    <row r="7158" customFormat="false" ht="15" hidden="false" customHeight="false" outlineLevel="0" collapsed="false">
      <c r="A7158" s="31" t="n">
        <v>43034.1666666667</v>
      </c>
      <c r="B7158" s="32" t="n">
        <v>58.658</v>
      </c>
      <c r="D7158" s="33" t="n">
        <f aca="false">WEEKDAY(A7158,2)</f>
        <v>4</v>
      </c>
      <c r="E7158" s="33" t="n">
        <f aca="false">HOUR(A7158)+MINUTE(A7158)/60</f>
        <v>4</v>
      </c>
      <c r="F7158" s="33" t="n">
        <f aca="false">IF(OR(D7158&gt;5,E7158&lt;8,E7158&gt;=18,COUNTIF($K$2:$K$10,INT(A7158))&gt;0),1,0)</f>
        <v>1</v>
      </c>
      <c r="G7158" s="34" t="n">
        <f aca="false">B7158/1</f>
        <v>58.658</v>
      </c>
      <c r="H7158" s="34" t="n">
        <f aca="false">IF(F7158=1,G7158,"")</f>
        <v>58.658</v>
      </c>
    </row>
    <row r="7159" customFormat="false" ht="15" hidden="false" customHeight="false" outlineLevel="0" collapsed="false">
      <c r="A7159" s="31" t="n">
        <v>43034.2083333333</v>
      </c>
      <c r="B7159" s="32" t="n">
        <v>58.764</v>
      </c>
      <c r="D7159" s="33" t="n">
        <f aca="false">WEEKDAY(A7159,2)</f>
        <v>4</v>
      </c>
      <c r="E7159" s="33" t="n">
        <f aca="false">HOUR(A7159)+MINUTE(A7159)/60</f>
        <v>5</v>
      </c>
      <c r="F7159" s="33" t="n">
        <f aca="false">IF(OR(D7159&gt;5,E7159&lt;8,E7159&gt;=18,COUNTIF($K$2:$K$10,INT(A7159))&gt;0),1,0)</f>
        <v>1</v>
      </c>
      <c r="G7159" s="34" t="n">
        <f aca="false">B7159/1</f>
        <v>58.764</v>
      </c>
      <c r="H7159" s="34" t="n">
        <f aca="false">IF(F7159=1,G7159,"")</f>
        <v>58.764</v>
      </c>
    </row>
    <row r="7160" customFormat="false" ht="15" hidden="false" customHeight="false" outlineLevel="0" collapsed="false">
      <c r="A7160" s="31" t="n">
        <v>43034.25</v>
      </c>
      <c r="B7160" s="32" t="n">
        <v>58.922</v>
      </c>
      <c r="D7160" s="33" t="n">
        <f aca="false">WEEKDAY(A7160,2)</f>
        <v>4</v>
      </c>
      <c r="E7160" s="33" t="n">
        <f aca="false">HOUR(A7160)+MINUTE(A7160)/60</f>
        <v>6</v>
      </c>
      <c r="F7160" s="33" t="n">
        <f aca="false">IF(OR(D7160&gt;5,E7160&lt;8,E7160&gt;=18,COUNTIF($K$2:$K$10,INT(A7160))&gt;0),1,0)</f>
        <v>1</v>
      </c>
      <c r="G7160" s="34" t="n">
        <f aca="false">B7160/1</f>
        <v>58.922</v>
      </c>
      <c r="H7160" s="34" t="n">
        <f aca="false">IF(F7160=1,G7160,"")</f>
        <v>58.922</v>
      </c>
    </row>
    <row r="7161" customFormat="false" ht="15" hidden="false" customHeight="false" outlineLevel="0" collapsed="false">
      <c r="A7161" s="31" t="n">
        <v>43034.2916666667</v>
      </c>
      <c r="B7161" s="32" t="n">
        <v>66.279</v>
      </c>
      <c r="D7161" s="33" t="n">
        <f aca="false">WEEKDAY(A7161,2)</f>
        <v>4</v>
      </c>
      <c r="E7161" s="33" t="n">
        <f aca="false">HOUR(A7161)+MINUTE(A7161)/60</f>
        <v>7</v>
      </c>
      <c r="F7161" s="33" t="n">
        <f aca="false">IF(OR(D7161&gt;5,E7161&lt;8,E7161&gt;=18,COUNTIF($K$2:$K$10,INT(A7161))&gt;0),1,0)</f>
        <v>1</v>
      </c>
      <c r="G7161" s="34" t="n">
        <f aca="false">B7161/1</f>
        <v>66.279</v>
      </c>
      <c r="H7161" s="34" t="n">
        <f aca="false">IF(F7161=1,G7161,"")</f>
        <v>66.279</v>
      </c>
    </row>
    <row r="7162" customFormat="false" ht="15" hidden="false" customHeight="false" outlineLevel="0" collapsed="false">
      <c r="A7162" s="31" t="n">
        <v>43034.3333333333</v>
      </c>
      <c r="B7162" s="32" t="n">
        <v>174.021</v>
      </c>
      <c r="D7162" s="33" t="n">
        <f aca="false">WEEKDAY(A7162,2)</f>
        <v>4</v>
      </c>
      <c r="E7162" s="33" t="n">
        <f aca="false">HOUR(A7162)+MINUTE(A7162)/60</f>
        <v>8</v>
      </c>
      <c r="F7162" s="33" t="n">
        <f aca="false">IF(OR(D7162&gt;5,E7162&lt;8,E7162&gt;=18,COUNTIF($K$2:$K$10,INT(A7162))&gt;0),1,0)</f>
        <v>0</v>
      </c>
      <c r="G7162" s="34" t="n">
        <f aca="false">B7162/1</f>
        <v>174.021</v>
      </c>
      <c r="H7162" s="34" t="str">
        <f aca="false">IF(F7162=1,G7162,"")</f>
        <v/>
      </c>
    </row>
    <row r="7163" customFormat="false" ht="15" hidden="false" customHeight="false" outlineLevel="0" collapsed="false">
      <c r="A7163" s="31" t="n">
        <v>43034.375</v>
      </c>
      <c r="B7163" s="32" t="n">
        <v>218.526</v>
      </c>
      <c r="D7163" s="33" t="n">
        <f aca="false">WEEKDAY(A7163,2)</f>
        <v>4</v>
      </c>
      <c r="E7163" s="33" t="n">
        <f aca="false">HOUR(A7163)+MINUTE(A7163)/60</f>
        <v>9</v>
      </c>
      <c r="F7163" s="33" t="n">
        <f aca="false">IF(OR(D7163&gt;5,E7163&lt;8,E7163&gt;=18,COUNTIF($K$2:$K$10,INT(A7163))&gt;0),1,0)</f>
        <v>0</v>
      </c>
      <c r="G7163" s="34" t="n">
        <f aca="false">B7163/1</f>
        <v>218.526</v>
      </c>
      <c r="H7163" s="34" t="str">
        <f aca="false">IF(F7163=1,G7163,"")</f>
        <v/>
      </c>
    </row>
    <row r="7164" customFormat="false" ht="15" hidden="false" customHeight="false" outlineLevel="0" collapsed="false">
      <c r="A7164" s="31" t="n">
        <v>43034.4166666667</v>
      </c>
      <c r="B7164" s="32" t="n">
        <v>243.027</v>
      </c>
      <c r="D7164" s="33" t="n">
        <f aca="false">WEEKDAY(A7164,2)</f>
        <v>4</v>
      </c>
      <c r="E7164" s="33" t="n">
        <f aca="false">HOUR(A7164)+MINUTE(A7164)/60</f>
        <v>10</v>
      </c>
      <c r="F7164" s="33" t="n">
        <f aca="false">IF(OR(D7164&gt;5,E7164&lt;8,E7164&gt;=18,COUNTIF($K$2:$K$10,INT(A7164))&gt;0),1,0)</f>
        <v>0</v>
      </c>
      <c r="G7164" s="34" t="n">
        <f aca="false">B7164/1</f>
        <v>243.027</v>
      </c>
      <c r="H7164" s="34" t="str">
        <f aca="false">IF(F7164=1,G7164,"")</f>
        <v/>
      </c>
    </row>
    <row r="7165" customFormat="false" ht="15" hidden="false" customHeight="false" outlineLevel="0" collapsed="false">
      <c r="A7165" s="31" t="n">
        <v>43034.4583333333</v>
      </c>
      <c r="B7165" s="32" t="n">
        <v>267.709</v>
      </c>
      <c r="D7165" s="33" t="n">
        <f aca="false">WEEKDAY(A7165,2)</f>
        <v>4</v>
      </c>
      <c r="E7165" s="33" t="n">
        <f aca="false">HOUR(A7165)+MINUTE(A7165)/60</f>
        <v>11</v>
      </c>
      <c r="F7165" s="33" t="n">
        <f aca="false">IF(OR(D7165&gt;5,E7165&lt;8,E7165&gt;=18,COUNTIF($K$2:$K$10,INT(A7165))&gt;0),1,0)</f>
        <v>0</v>
      </c>
      <c r="G7165" s="34" t="n">
        <f aca="false">B7165/1</f>
        <v>267.709</v>
      </c>
      <c r="H7165" s="34" t="str">
        <f aca="false">IF(F7165=1,G7165,"")</f>
        <v/>
      </c>
    </row>
    <row r="7166" customFormat="false" ht="15" hidden="false" customHeight="false" outlineLevel="0" collapsed="false">
      <c r="A7166" s="31" t="n">
        <v>43034.5</v>
      </c>
      <c r="B7166" s="32" t="n">
        <v>303.838</v>
      </c>
      <c r="D7166" s="33" t="n">
        <f aca="false">WEEKDAY(A7166,2)</f>
        <v>4</v>
      </c>
      <c r="E7166" s="33" t="n">
        <f aca="false">HOUR(A7166)+MINUTE(A7166)/60</f>
        <v>12</v>
      </c>
      <c r="F7166" s="33" t="n">
        <f aca="false">IF(OR(D7166&gt;5,E7166&lt;8,E7166&gt;=18,COUNTIF($K$2:$K$10,INT(A7166))&gt;0),1,0)</f>
        <v>0</v>
      </c>
      <c r="G7166" s="34" t="n">
        <f aca="false">B7166/1</f>
        <v>303.838</v>
      </c>
      <c r="H7166" s="34" t="str">
        <f aca="false">IF(F7166=1,G7166,"")</f>
        <v/>
      </c>
    </row>
    <row r="7167" customFormat="false" ht="15" hidden="false" customHeight="false" outlineLevel="0" collapsed="false">
      <c r="A7167" s="31" t="n">
        <v>43034.5416666667</v>
      </c>
      <c r="B7167" s="32" t="n">
        <v>261.472</v>
      </c>
      <c r="D7167" s="33" t="n">
        <f aca="false">WEEKDAY(A7167,2)</f>
        <v>4</v>
      </c>
      <c r="E7167" s="33" t="n">
        <f aca="false">HOUR(A7167)+MINUTE(A7167)/60</f>
        <v>13</v>
      </c>
      <c r="F7167" s="33" t="n">
        <f aca="false">IF(OR(D7167&gt;5,E7167&lt;8,E7167&gt;=18,COUNTIF($K$2:$K$10,INT(A7167))&gt;0),1,0)</f>
        <v>0</v>
      </c>
      <c r="G7167" s="34" t="n">
        <f aca="false">B7167/1</f>
        <v>261.472</v>
      </c>
      <c r="H7167" s="34" t="str">
        <f aca="false">IF(F7167=1,G7167,"")</f>
        <v/>
      </c>
    </row>
    <row r="7168" customFormat="false" ht="15" hidden="false" customHeight="false" outlineLevel="0" collapsed="false">
      <c r="A7168" s="31" t="n">
        <v>43034.5833333333</v>
      </c>
      <c r="B7168" s="32" t="n">
        <v>307.446</v>
      </c>
      <c r="D7168" s="33" t="n">
        <f aca="false">WEEKDAY(A7168,2)</f>
        <v>4</v>
      </c>
      <c r="E7168" s="33" t="n">
        <f aca="false">HOUR(A7168)+MINUTE(A7168)/60</f>
        <v>14</v>
      </c>
      <c r="F7168" s="33" t="n">
        <f aca="false">IF(OR(D7168&gt;5,E7168&lt;8,E7168&gt;=18,COUNTIF($K$2:$K$10,INT(A7168))&gt;0),1,0)</f>
        <v>0</v>
      </c>
      <c r="G7168" s="34" t="n">
        <f aca="false">B7168/1</f>
        <v>307.446</v>
      </c>
      <c r="H7168" s="34" t="str">
        <f aca="false">IF(F7168=1,G7168,"")</f>
        <v/>
      </c>
    </row>
    <row r="7169" customFormat="false" ht="15" hidden="false" customHeight="false" outlineLevel="0" collapsed="false">
      <c r="A7169" s="31" t="n">
        <v>43034.625</v>
      </c>
      <c r="B7169" s="32" t="n">
        <v>267.541</v>
      </c>
      <c r="D7169" s="33" t="n">
        <f aca="false">WEEKDAY(A7169,2)</f>
        <v>4</v>
      </c>
      <c r="E7169" s="33" t="n">
        <f aca="false">HOUR(A7169)+MINUTE(A7169)/60</f>
        <v>15</v>
      </c>
      <c r="F7169" s="33" t="n">
        <f aca="false">IF(OR(D7169&gt;5,E7169&lt;8,E7169&gt;=18,COUNTIF($K$2:$K$10,INT(A7169))&gt;0),1,0)</f>
        <v>0</v>
      </c>
      <c r="G7169" s="34" t="n">
        <f aca="false">B7169/1</f>
        <v>267.541</v>
      </c>
      <c r="H7169" s="34" t="str">
        <f aca="false">IF(F7169=1,G7169,"")</f>
        <v/>
      </c>
    </row>
    <row r="7170" customFormat="false" ht="15" hidden="false" customHeight="false" outlineLevel="0" collapsed="false">
      <c r="A7170" s="31" t="n">
        <v>43034.6666666667</v>
      </c>
      <c r="B7170" s="32" t="n">
        <v>259.286</v>
      </c>
      <c r="D7170" s="33" t="n">
        <f aca="false">WEEKDAY(A7170,2)</f>
        <v>4</v>
      </c>
      <c r="E7170" s="33" t="n">
        <f aca="false">HOUR(A7170)+MINUTE(A7170)/60</f>
        <v>16</v>
      </c>
      <c r="F7170" s="33" t="n">
        <f aca="false">IF(OR(D7170&gt;5,E7170&lt;8,E7170&gt;=18,COUNTIF($K$2:$K$10,INT(A7170))&gt;0),1,0)</f>
        <v>0</v>
      </c>
      <c r="G7170" s="34" t="n">
        <f aca="false">B7170/1</f>
        <v>259.286</v>
      </c>
      <c r="H7170" s="34" t="str">
        <f aca="false">IF(F7170=1,G7170,"")</f>
        <v/>
      </c>
    </row>
    <row r="7171" customFormat="false" ht="15" hidden="false" customHeight="false" outlineLevel="0" collapsed="false">
      <c r="A7171" s="31" t="n">
        <v>43034.7083333333</v>
      </c>
      <c r="B7171" s="32" t="n">
        <v>268.131</v>
      </c>
      <c r="D7171" s="33" t="n">
        <f aca="false">WEEKDAY(A7171,2)</f>
        <v>4</v>
      </c>
      <c r="E7171" s="33" t="n">
        <f aca="false">HOUR(A7171)+MINUTE(A7171)/60</f>
        <v>17</v>
      </c>
      <c r="F7171" s="33" t="n">
        <f aca="false">IF(OR(D7171&gt;5,E7171&lt;8,E7171&gt;=18,COUNTIF($K$2:$K$10,INT(A7171))&gt;0),1,0)</f>
        <v>0</v>
      </c>
      <c r="G7171" s="34" t="n">
        <f aca="false">B7171/1</f>
        <v>268.131</v>
      </c>
      <c r="H7171" s="34" t="str">
        <f aca="false">IF(F7171=1,G7171,"")</f>
        <v/>
      </c>
    </row>
    <row r="7172" customFormat="false" ht="15" hidden="false" customHeight="false" outlineLevel="0" collapsed="false">
      <c r="A7172" s="31" t="n">
        <v>43034.75</v>
      </c>
      <c r="B7172" s="32" t="n">
        <v>226.29</v>
      </c>
      <c r="D7172" s="33" t="n">
        <f aca="false">WEEKDAY(A7172,2)</f>
        <v>4</v>
      </c>
      <c r="E7172" s="33" t="n">
        <f aca="false">HOUR(A7172)+MINUTE(A7172)/60</f>
        <v>18</v>
      </c>
      <c r="F7172" s="33" t="n">
        <f aca="false">IF(OR(D7172&gt;5,E7172&lt;8,E7172&gt;=18,COUNTIF($K$2:$K$10,INT(A7172))&gt;0),1,0)</f>
        <v>1</v>
      </c>
      <c r="G7172" s="34" t="n">
        <f aca="false">B7172/1</f>
        <v>226.29</v>
      </c>
      <c r="H7172" s="34" t="n">
        <f aca="false">IF(F7172=1,G7172,"")</f>
        <v>226.29</v>
      </c>
    </row>
    <row r="7173" customFormat="false" ht="15" hidden="false" customHeight="false" outlineLevel="0" collapsed="false">
      <c r="A7173" s="31" t="n">
        <v>43034.7916666667</v>
      </c>
      <c r="B7173" s="32" t="n">
        <v>216.546</v>
      </c>
      <c r="D7173" s="33" t="n">
        <f aca="false">WEEKDAY(A7173,2)</f>
        <v>4</v>
      </c>
      <c r="E7173" s="33" t="n">
        <f aca="false">HOUR(A7173)+MINUTE(A7173)/60</f>
        <v>19</v>
      </c>
      <c r="F7173" s="33" t="n">
        <f aca="false">IF(OR(D7173&gt;5,E7173&lt;8,E7173&gt;=18,COUNTIF($K$2:$K$10,INT(A7173))&gt;0),1,0)</f>
        <v>1</v>
      </c>
      <c r="G7173" s="34" t="n">
        <f aca="false">B7173/1</f>
        <v>216.546</v>
      </c>
      <c r="H7173" s="34" t="n">
        <f aca="false">IF(F7173=1,G7173,"")</f>
        <v>216.546</v>
      </c>
    </row>
    <row r="7174" customFormat="false" ht="15" hidden="false" customHeight="false" outlineLevel="0" collapsed="false">
      <c r="A7174" s="31" t="n">
        <v>43034.8333333333</v>
      </c>
      <c r="B7174" s="32" t="n">
        <v>206.744</v>
      </c>
      <c r="D7174" s="33" t="n">
        <f aca="false">WEEKDAY(A7174,2)</f>
        <v>4</v>
      </c>
      <c r="E7174" s="33" t="n">
        <f aca="false">HOUR(A7174)+MINUTE(A7174)/60</f>
        <v>20</v>
      </c>
      <c r="F7174" s="33" t="n">
        <f aca="false">IF(OR(D7174&gt;5,E7174&lt;8,E7174&gt;=18,COUNTIF($K$2:$K$10,INT(A7174))&gt;0),1,0)</f>
        <v>1</v>
      </c>
      <c r="G7174" s="34" t="n">
        <f aca="false">B7174/1</f>
        <v>206.744</v>
      </c>
      <c r="H7174" s="34" t="n">
        <f aca="false">IF(F7174=1,G7174,"")</f>
        <v>206.744</v>
      </c>
    </row>
    <row r="7175" customFormat="false" ht="15" hidden="false" customHeight="false" outlineLevel="0" collapsed="false">
      <c r="A7175" s="31" t="n">
        <v>43034.875</v>
      </c>
      <c r="B7175" s="32" t="n">
        <v>199.955</v>
      </c>
      <c r="D7175" s="33" t="n">
        <f aca="false">WEEKDAY(A7175,2)</f>
        <v>4</v>
      </c>
      <c r="E7175" s="33" t="n">
        <f aca="false">HOUR(A7175)+MINUTE(A7175)/60</f>
        <v>21</v>
      </c>
      <c r="F7175" s="33" t="n">
        <f aca="false">IF(OR(D7175&gt;5,E7175&lt;8,E7175&gt;=18,COUNTIF($K$2:$K$10,INT(A7175))&gt;0),1,0)</f>
        <v>1</v>
      </c>
      <c r="G7175" s="34" t="n">
        <f aca="false">B7175/1</f>
        <v>199.955</v>
      </c>
      <c r="H7175" s="34" t="n">
        <f aca="false">IF(F7175=1,G7175,"")</f>
        <v>199.955</v>
      </c>
    </row>
    <row r="7176" customFormat="false" ht="15" hidden="false" customHeight="false" outlineLevel="0" collapsed="false">
      <c r="A7176" s="31" t="n">
        <v>43034.9166666667</v>
      </c>
      <c r="B7176" s="32" t="n">
        <v>143.894</v>
      </c>
      <c r="D7176" s="33" t="n">
        <f aca="false">WEEKDAY(A7176,2)</f>
        <v>4</v>
      </c>
      <c r="E7176" s="33" t="n">
        <f aca="false">HOUR(A7176)+MINUTE(A7176)/60</f>
        <v>22</v>
      </c>
      <c r="F7176" s="33" t="n">
        <f aca="false">IF(OR(D7176&gt;5,E7176&lt;8,E7176&gt;=18,COUNTIF($K$2:$K$10,INT(A7176))&gt;0),1,0)</f>
        <v>1</v>
      </c>
      <c r="G7176" s="34" t="n">
        <f aca="false">B7176/1</f>
        <v>143.894</v>
      </c>
      <c r="H7176" s="34" t="n">
        <f aca="false">IF(F7176=1,G7176,"")</f>
        <v>143.894</v>
      </c>
    </row>
    <row r="7177" customFormat="false" ht="15" hidden="false" customHeight="false" outlineLevel="0" collapsed="false">
      <c r="A7177" s="31" t="n">
        <v>43034.9583333333</v>
      </c>
      <c r="B7177" s="32" t="n">
        <v>75.581</v>
      </c>
      <c r="D7177" s="33" t="n">
        <f aca="false">WEEKDAY(A7177,2)</f>
        <v>4</v>
      </c>
      <c r="E7177" s="33" t="n">
        <f aca="false">HOUR(A7177)+MINUTE(A7177)/60</f>
        <v>23</v>
      </c>
      <c r="F7177" s="33" t="n">
        <f aca="false">IF(OR(D7177&gt;5,E7177&lt;8,E7177&gt;=18,COUNTIF($K$2:$K$10,INT(A7177))&gt;0),1,0)</f>
        <v>1</v>
      </c>
      <c r="G7177" s="34" t="n">
        <f aca="false">B7177/1</f>
        <v>75.581</v>
      </c>
      <c r="H7177" s="34" t="n">
        <f aca="false">IF(F7177=1,G7177,"")</f>
        <v>75.581</v>
      </c>
    </row>
    <row r="7178" customFormat="false" ht="15" hidden="false" customHeight="false" outlineLevel="0" collapsed="false">
      <c r="A7178" s="31" t="n">
        <v>43035</v>
      </c>
      <c r="B7178" s="32" t="n">
        <v>65.405</v>
      </c>
      <c r="D7178" s="33" t="n">
        <f aca="false">WEEKDAY(A7178,2)</f>
        <v>5</v>
      </c>
      <c r="E7178" s="33" t="n">
        <f aca="false">HOUR(A7178)+MINUTE(A7178)/60</f>
        <v>0</v>
      </c>
      <c r="F7178" s="33" t="n">
        <f aca="false">IF(OR(D7178&gt;5,E7178&lt;8,E7178&gt;=18,COUNTIF($K$2:$K$10,INT(A7178))&gt;0),1,0)</f>
        <v>1</v>
      </c>
      <c r="G7178" s="34" t="n">
        <f aca="false">B7178/1</f>
        <v>65.405</v>
      </c>
      <c r="H7178" s="34" t="n">
        <f aca="false">IF(F7178=1,G7178,"")</f>
        <v>65.405</v>
      </c>
    </row>
    <row r="7179" customFormat="false" ht="15" hidden="false" customHeight="false" outlineLevel="0" collapsed="false">
      <c r="A7179" s="31" t="n">
        <v>43035.0416666667</v>
      </c>
      <c r="B7179" s="32" t="n">
        <v>60.071</v>
      </c>
      <c r="D7179" s="33" t="n">
        <f aca="false">WEEKDAY(A7179,2)</f>
        <v>5</v>
      </c>
      <c r="E7179" s="33" t="n">
        <f aca="false">HOUR(A7179)+MINUTE(A7179)/60</f>
        <v>1</v>
      </c>
      <c r="F7179" s="33" t="n">
        <f aca="false">IF(OR(D7179&gt;5,E7179&lt;8,E7179&gt;=18,COUNTIF($K$2:$K$10,INT(A7179))&gt;0),1,0)</f>
        <v>1</v>
      </c>
      <c r="G7179" s="34" t="n">
        <f aca="false">B7179/1</f>
        <v>60.071</v>
      </c>
      <c r="H7179" s="34" t="n">
        <f aca="false">IF(F7179=1,G7179,"")</f>
        <v>60.071</v>
      </c>
    </row>
    <row r="7180" customFormat="false" ht="15" hidden="false" customHeight="false" outlineLevel="0" collapsed="false">
      <c r="A7180" s="31" t="n">
        <v>43035.0833333333</v>
      </c>
      <c r="B7180" s="32" t="n">
        <v>59.495</v>
      </c>
      <c r="D7180" s="33" t="n">
        <f aca="false">WEEKDAY(A7180,2)</f>
        <v>5</v>
      </c>
      <c r="E7180" s="33" t="n">
        <f aca="false">HOUR(A7180)+MINUTE(A7180)/60</f>
        <v>2</v>
      </c>
      <c r="F7180" s="33" t="n">
        <f aca="false">IF(OR(D7180&gt;5,E7180&lt;8,E7180&gt;=18,COUNTIF($K$2:$K$10,INT(A7180))&gt;0),1,0)</f>
        <v>1</v>
      </c>
      <c r="G7180" s="34" t="n">
        <f aca="false">B7180/1</f>
        <v>59.495</v>
      </c>
      <c r="H7180" s="34" t="n">
        <f aca="false">IF(F7180=1,G7180,"")</f>
        <v>59.495</v>
      </c>
    </row>
    <row r="7181" customFormat="false" ht="15" hidden="false" customHeight="false" outlineLevel="0" collapsed="false">
      <c r="A7181" s="31" t="n">
        <v>43035.125</v>
      </c>
      <c r="B7181" s="32" t="n">
        <v>59.934</v>
      </c>
      <c r="D7181" s="33" t="n">
        <f aca="false">WEEKDAY(A7181,2)</f>
        <v>5</v>
      </c>
      <c r="E7181" s="33" t="n">
        <f aca="false">HOUR(A7181)+MINUTE(A7181)/60</f>
        <v>3</v>
      </c>
      <c r="F7181" s="33" t="n">
        <f aca="false">IF(OR(D7181&gt;5,E7181&lt;8,E7181&gt;=18,COUNTIF($K$2:$K$10,INT(A7181))&gt;0),1,0)</f>
        <v>1</v>
      </c>
      <c r="G7181" s="34" t="n">
        <f aca="false">B7181/1</f>
        <v>59.934</v>
      </c>
      <c r="H7181" s="34" t="n">
        <f aca="false">IF(F7181=1,G7181,"")</f>
        <v>59.934</v>
      </c>
    </row>
    <row r="7182" customFormat="false" ht="15" hidden="false" customHeight="false" outlineLevel="0" collapsed="false">
      <c r="A7182" s="31" t="n">
        <v>43035.1666666667</v>
      </c>
      <c r="B7182" s="32" t="n">
        <v>58.868</v>
      </c>
      <c r="D7182" s="33" t="n">
        <f aca="false">WEEKDAY(A7182,2)</f>
        <v>5</v>
      </c>
      <c r="E7182" s="33" t="n">
        <f aca="false">HOUR(A7182)+MINUTE(A7182)/60</f>
        <v>4</v>
      </c>
      <c r="F7182" s="33" t="n">
        <f aca="false">IF(OR(D7182&gt;5,E7182&lt;8,E7182&gt;=18,COUNTIF($K$2:$K$10,INT(A7182))&gt;0),1,0)</f>
        <v>1</v>
      </c>
      <c r="G7182" s="34" t="n">
        <f aca="false">B7182/1</f>
        <v>58.868</v>
      </c>
      <c r="H7182" s="34" t="n">
        <f aca="false">IF(F7182=1,G7182,"")</f>
        <v>58.868</v>
      </c>
    </row>
    <row r="7183" customFormat="false" ht="15" hidden="false" customHeight="false" outlineLevel="0" collapsed="false">
      <c r="A7183" s="31" t="n">
        <v>43035.2083333333</v>
      </c>
      <c r="B7183" s="32" t="n">
        <v>58.039</v>
      </c>
      <c r="D7183" s="33" t="n">
        <f aca="false">WEEKDAY(A7183,2)</f>
        <v>5</v>
      </c>
      <c r="E7183" s="33" t="n">
        <f aca="false">HOUR(A7183)+MINUTE(A7183)/60</f>
        <v>5</v>
      </c>
      <c r="F7183" s="33" t="n">
        <f aca="false">IF(OR(D7183&gt;5,E7183&lt;8,E7183&gt;=18,COUNTIF($K$2:$K$10,INT(A7183))&gt;0),1,0)</f>
        <v>1</v>
      </c>
      <c r="G7183" s="34" t="n">
        <f aca="false">B7183/1</f>
        <v>58.039</v>
      </c>
      <c r="H7183" s="34" t="n">
        <f aca="false">IF(F7183=1,G7183,"")</f>
        <v>58.039</v>
      </c>
    </row>
    <row r="7184" customFormat="false" ht="15" hidden="false" customHeight="false" outlineLevel="0" collapsed="false">
      <c r="A7184" s="31" t="n">
        <v>43035.25</v>
      </c>
      <c r="B7184" s="32" t="n">
        <v>60.486</v>
      </c>
      <c r="D7184" s="33" t="n">
        <f aca="false">WEEKDAY(A7184,2)</f>
        <v>5</v>
      </c>
      <c r="E7184" s="33" t="n">
        <f aca="false">HOUR(A7184)+MINUTE(A7184)/60</f>
        <v>6</v>
      </c>
      <c r="F7184" s="33" t="n">
        <f aca="false">IF(OR(D7184&gt;5,E7184&lt;8,E7184&gt;=18,COUNTIF($K$2:$K$10,INT(A7184))&gt;0),1,0)</f>
        <v>1</v>
      </c>
      <c r="G7184" s="34" t="n">
        <f aca="false">B7184/1</f>
        <v>60.486</v>
      </c>
      <c r="H7184" s="34" t="n">
        <f aca="false">IF(F7184=1,G7184,"")</f>
        <v>60.486</v>
      </c>
    </row>
    <row r="7185" customFormat="false" ht="15" hidden="false" customHeight="false" outlineLevel="0" collapsed="false">
      <c r="A7185" s="31" t="n">
        <v>43035.2916666667</v>
      </c>
      <c r="B7185" s="32" t="n">
        <v>66.539</v>
      </c>
      <c r="D7185" s="33" t="n">
        <f aca="false">WEEKDAY(A7185,2)</f>
        <v>5</v>
      </c>
      <c r="E7185" s="33" t="n">
        <f aca="false">HOUR(A7185)+MINUTE(A7185)/60</f>
        <v>7</v>
      </c>
      <c r="F7185" s="33" t="n">
        <f aca="false">IF(OR(D7185&gt;5,E7185&lt;8,E7185&gt;=18,COUNTIF($K$2:$K$10,INT(A7185))&gt;0),1,0)</f>
        <v>1</v>
      </c>
      <c r="G7185" s="34" t="n">
        <f aca="false">B7185/1</f>
        <v>66.539</v>
      </c>
      <c r="H7185" s="34" t="n">
        <f aca="false">IF(F7185=1,G7185,"")</f>
        <v>66.539</v>
      </c>
    </row>
    <row r="7186" customFormat="false" ht="15" hidden="false" customHeight="false" outlineLevel="0" collapsed="false">
      <c r="A7186" s="31" t="n">
        <v>43035.3333333333</v>
      </c>
      <c r="B7186" s="32" t="n">
        <v>171.016</v>
      </c>
      <c r="D7186" s="33" t="n">
        <f aca="false">WEEKDAY(A7186,2)</f>
        <v>5</v>
      </c>
      <c r="E7186" s="33" t="n">
        <f aca="false">HOUR(A7186)+MINUTE(A7186)/60</f>
        <v>8</v>
      </c>
      <c r="F7186" s="33" t="n">
        <f aca="false">IF(OR(D7186&gt;5,E7186&lt;8,E7186&gt;=18,COUNTIF($K$2:$K$10,INT(A7186))&gt;0),1,0)</f>
        <v>0</v>
      </c>
      <c r="G7186" s="34" t="n">
        <f aca="false">B7186/1</f>
        <v>171.016</v>
      </c>
      <c r="H7186" s="34" t="str">
        <f aca="false">IF(F7186=1,G7186,"")</f>
        <v/>
      </c>
    </row>
    <row r="7187" customFormat="false" ht="15" hidden="false" customHeight="false" outlineLevel="0" collapsed="false">
      <c r="A7187" s="31" t="n">
        <v>43035.375</v>
      </c>
      <c r="B7187" s="32" t="n">
        <v>209.641</v>
      </c>
      <c r="D7187" s="33" t="n">
        <f aca="false">WEEKDAY(A7187,2)</f>
        <v>5</v>
      </c>
      <c r="E7187" s="33" t="n">
        <f aca="false">HOUR(A7187)+MINUTE(A7187)/60</f>
        <v>9</v>
      </c>
      <c r="F7187" s="33" t="n">
        <f aca="false">IF(OR(D7187&gt;5,E7187&lt;8,E7187&gt;=18,COUNTIF($K$2:$K$10,INT(A7187))&gt;0),1,0)</f>
        <v>0</v>
      </c>
      <c r="G7187" s="34" t="n">
        <f aca="false">B7187/1</f>
        <v>209.641</v>
      </c>
      <c r="H7187" s="34" t="str">
        <f aca="false">IF(F7187=1,G7187,"")</f>
        <v/>
      </c>
    </row>
    <row r="7188" customFormat="false" ht="15" hidden="false" customHeight="false" outlineLevel="0" collapsed="false">
      <c r="A7188" s="31" t="n">
        <v>43035.4166666667</v>
      </c>
      <c r="B7188" s="32" t="n">
        <v>248.267</v>
      </c>
      <c r="D7188" s="33" t="n">
        <f aca="false">WEEKDAY(A7188,2)</f>
        <v>5</v>
      </c>
      <c r="E7188" s="33" t="n">
        <f aca="false">HOUR(A7188)+MINUTE(A7188)/60</f>
        <v>10</v>
      </c>
      <c r="F7188" s="33" t="n">
        <f aca="false">IF(OR(D7188&gt;5,E7188&lt;8,E7188&gt;=18,COUNTIF($K$2:$K$10,INT(A7188))&gt;0),1,0)</f>
        <v>0</v>
      </c>
      <c r="G7188" s="34" t="n">
        <f aca="false">B7188/1</f>
        <v>248.267</v>
      </c>
      <c r="H7188" s="34" t="str">
        <f aca="false">IF(F7188=1,G7188,"")</f>
        <v/>
      </c>
    </row>
    <row r="7189" customFormat="false" ht="15" hidden="false" customHeight="false" outlineLevel="0" collapsed="false">
      <c r="A7189" s="31" t="n">
        <v>43035.4583333333</v>
      </c>
      <c r="B7189" s="32" t="n">
        <v>234.256</v>
      </c>
      <c r="D7189" s="33" t="n">
        <f aca="false">WEEKDAY(A7189,2)</f>
        <v>5</v>
      </c>
      <c r="E7189" s="33" t="n">
        <f aca="false">HOUR(A7189)+MINUTE(A7189)/60</f>
        <v>11</v>
      </c>
      <c r="F7189" s="33" t="n">
        <f aca="false">IF(OR(D7189&gt;5,E7189&lt;8,E7189&gt;=18,COUNTIF($K$2:$K$10,INT(A7189))&gt;0),1,0)</f>
        <v>0</v>
      </c>
      <c r="G7189" s="34" t="n">
        <f aca="false">B7189/1</f>
        <v>234.256</v>
      </c>
      <c r="H7189" s="34" t="str">
        <f aca="false">IF(F7189=1,G7189,"")</f>
        <v/>
      </c>
    </row>
    <row r="7190" customFormat="false" ht="15" hidden="false" customHeight="false" outlineLevel="0" collapsed="false">
      <c r="A7190" s="31" t="n">
        <v>43035.5</v>
      </c>
      <c r="B7190" s="32" t="n">
        <v>235.927</v>
      </c>
      <c r="D7190" s="33" t="n">
        <f aca="false">WEEKDAY(A7190,2)</f>
        <v>5</v>
      </c>
      <c r="E7190" s="33" t="n">
        <f aca="false">HOUR(A7190)+MINUTE(A7190)/60</f>
        <v>12</v>
      </c>
      <c r="F7190" s="33" t="n">
        <f aca="false">IF(OR(D7190&gt;5,E7190&lt;8,E7190&gt;=18,COUNTIF($K$2:$K$10,INT(A7190))&gt;0),1,0)</f>
        <v>0</v>
      </c>
      <c r="G7190" s="34" t="n">
        <f aca="false">B7190/1</f>
        <v>235.927</v>
      </c>
      <c r="H7190" s="34" t="str">
        <f aca="false">IF(F7190=1,G7190,"")</f>
        <v/>
      </c>
    </row>
    <row r="7191" customFormat="false" ht="15" hidden="false" customHeight="false" outlineLevel="0" collapsed="false">
      <c r="A7191" s="31" t="n">
        <v>43035.5416666667</v>
      </c>
      <c r="B7191" s="32" t="n">
        <v>240.998</v>
      </c>
      <c r="D7191" s="33" t="n">
        <f aca="false">WEEKDAY(A7191,2)</f>
        <v>5</v>
      </c>
      <c r="E7191" s="33" t="n">
        <f aca="false">HOUR(A7191)+MINUTE(A7191)/60</f>
        <v>13</v>
      </c>
      <c r="F7191" s="33" t="n">
        <f aca="false">IF(OR(D7191&gt;5,E7191&lt;8,E7191&gt;=18,COUNTIF($K$2:$K$10,INT(A7191))&gt;0),1,0)</f>
        <v>0</v>
      </c>
      <c r="G7191" s="34" t="n">
        <f aca="false">B7191/1</f>
        <v>240.998</v>
      </c>
      <c r="H7191" s="34" t="str">
        <f aca="false">IF(F7191=1,G7191,"")</f>
        <v/>
      </c>
    </row>
    <row r="7192" customFormat="false" ht="15" hidden="false" customHeight="false" outlineLevel="0" collapsed="false">
      <c r="A7192" s="31" t="n">
        <v>43035.5833333333</v>
      </c>
      <c r="B7192" s="32" t="n">
        <v>251.789</v>
      </c>
      <c r="D7192" s="33" t="n">
        <f aca="false">WEEKDAY(A7192,2)</f>
        <v>5</v>
      </c>
      <c r="E7192" s="33" t="n">
        <f aca="false">HOUR(A7192)+MINUTE(A7192)/60</f>
        <v>14</v>
      </c>
      <c r="F7192" s="33" t="n">
        <f aca="false">IF(OR(D7192&gt;5,E7192&lt;8,E7192&gt;=18,COUNTIF($K$2:$K$10,INT(A7192))&gt;0),1,0)</f>
        <v>0</v>
      </c>
      <c r="G7192" s="34" t="n">
        <f aca="false">B7192/1</f>
        <v>251.789</v>
      </c>
      <c r="H7192" s="34" t="str">
        <f aca="false">IF(F7192=1,G7192,"")</f>
        <v/>
      </c>
    </row>
    <row r="7193" customFormat="false" ht="15" hidden="false" customHeight="false" outlineLevel="0" collapsed="false">
      <c r="A7193" s="31" t="n">
        <v>43035.625</v>
      </c>
      <c r="B7193" s="32" t="n">
        <v>239.862</v>
      </c>
      <c r="D7193" s="33" t="n">
        <f aca="false">WEEKDAY(A7193,2)</f>
        <v>5</v>
      </c>
      <c r="E7193" s="33" t="n">
        <f aca="false">HOUR(A7193)+MINUTE(A7193)/60</f>
        <v>15</v>
      </c>
      <c r="F7193" s="33" t="n">
        <f aca="false">IF(OR(D7193&gt;5,E7193&lt;8,E7193&gt;=18,COUNTIF($K$2:$K$10,INT(A7193))&gt;0),1,0)</f>
        <v>0</v>
      </c>
      <c r="G7193" s="34" t="n">
        <f aca="false">B7193/1</f>
        <v>239.862</v>
      </c>
      <c r="H7193" s="34" t="str">
        <f aca="false">IF(F7193=1,G7193,"")</f>
        <v/>
      </c>
    </row>
    <row r="7194" customFormat="false" ht="15" hidden="false" customHeight="false" outlineLevel="0" collapsed="false">
      <c r="A7194" s="31" t="n">
        <v>43035.6666666667</v>
      </c>
      <c r="B7194" s="32" t="n">
        <v>224.113</v>
      </c>
      <c r="D7194" s="33" t="n">
        <f aca="false">WEEKDAY(A7194,2)</f>
        <v>5</v>
      </c>
      <c r="E7194" s="33" t="n">
        <f aca="false">HOUR(A7194)+MINUTE(A7194)/60</f>
        <v>16</v>
      </c>
      <c r="F7194" s="33" t="n">
        <f aca="false">IF(OR(D7194&gt;5,E7194&lt;8,E7194&gt;=18,COUNTIF($K$2:$K$10,INT(A7194))&gt;0),1,0)</f>
        <v>0</v>
      </c>
      <c r="G7194" s="34" t="n">
        <f aca="false">B7194/1</f>
        <v>224.113</v>
      </c>
      <c r="H7194" s="34" t="str">
        <f aca="false">IF(F7194=1,G7194,"")</f>
        <v/>
      </c>
    </row>
    <row r="7195" customFormat="false" ht="15" hidden="false" customHeight="false" outlineLevel="0" collapsed="false">
      <c r="A7195" s="31" t="n">
        <v>43035.7083333333</v>
      </c>
      <c r="B7195" s="32" t="n">
        <v>210.721</v>
      </c>
      <c r="D7195" s="33" t="n">
        <f aca="false">WEEKDAY(A7195,2)</f>
        <v>5</v>
      </c>
      <c r="E7195" s="33" t="n">
        <f aca="false">HOUR(A7195)+MINUTE(A7195)/60</f>
        <v>17</v>
      </c>
      <c r="F7195" s="33" t="n">
        <f aca="false">IF(OR(D7195&gt;5,E7195&lt;8,E7195&gt;=18,COUNTIF($K$2:$K$10,INT(A7195))&gt;0),1,0)</f>
        <v>0</v>
      </c>
      <c r="G7195" s="34" t="n">
        <f aca="false">B7195/1</f>
        <v>210.721</v>
      </c>
      <c r="H7195" s="34" t="str">
        <f aca="false">IF(F7195=1,G7195,"")</f>
        <v/>
      </c>
    </row>
    <row r="7196" customFormat="false" ht="15" hidden="false" customHeight="false" outlineLevel="0" collapsed="false">
      <c r="A7196" s="31" t="n">
        <v>43035.75</v>
      </c>
      <c r="B7196" s="32" t="n">
        <v>191.045</v>
      </c>
      <c r="D7196" s="33" t="n">
        <f aca="false">WEEKDAY(A7196,2)</f>
        <v>5</v>
      </c>
      <c r="E7196" s="33" t="n">
        <f aca="false">HOUR(A7196)+MINUTE(A7196)/60</f>
        <v>18</v>
      </c>
      <c r="F7196" s="33" t="n">
        <f aca="false">IF(OR(D7196&gt;5,E7196&lt;8,E7196&gt;=18,COUNTIF($K$2:$K$10,INT(A7196))&gt;0),1,0)</f>
        <v>1</v>
      </c>
      <c r="G7196" s="34" t="n">
        <f aca="false">B7196/1</f>
        <v>191.045</v>
      </c>
      <c r="H7196" s="34" t="n">
        <f aca="false">IF(F7196=1,G7196,"")</f>
        <v>191.045</v>
      </c>
    </row>
    <row r="7197" customFormat="false" ht="15" hidden="false" customHeight="false" outlineLevel="0" collapsed="false">
      <c r="A7197" s="31" t="n">
        <v>43035.7916666667</v>
      </c>
      <c r="B7197" s="32" t="n">
        <v>188.2</v>
      </c>
      <c r="D7197" s="33" t="n">
        <f aca="false">WEEKDAY(A7197,2)</f>
        <v>5</v>
      </c>
      <c r="E7197" s="33" t="n">
        <f aca="false">HOUR(A7197)+MINUTE(A7197)/60</f>
        <v>19</v>
      </c>
      <c r="F7197" s="33" t="n">
        <f aca="false">IF(OR(D7197&gt;5,E7197&lt;8,E7197&gt;=18,COUNTIF($K$2:$K$10,INT(A7197))&gt;0),1,0)</f>
        <v>1</v>
      </c>
      <c r="G7197" s="34" t="n">
        <f aca="false">B7197/1</f>
        <v>188.2</v>
      </c>
      <c r="H7197" s="34" t="n">
        <f aca="false">IF(F7197=1,G7197,"")</f>
        <v>188.2</v>
      </c>
    </row>
    <row r="7198" customFormat="false" ht="15" hidden="false" customHeight="false" outlineLevel="0" collapsed="false">
      <c r="A7198" s="31" t="n">
        <v>43035.8333333333</v>
      </c>
      <c r="B7198" s="32" t="n">
        <v>190.07</v>
      </c>
      <c r="D7198" s="33" t="n">
        <f aca="false">WEEKDAY(A7198,2)</f>
        <v>5</v>
      </c>
      <c r="E7198" s="33" t="n">
        <f aca="false">HOUR(A7198)+MINUTE(A7198)/60</f>
        <v>20</v>
      </c>
      <c r="F7198" s="33" t="n">
        <f aca="false">IF(OR(D7198&gt;5,E7198&lt;8,E7198&gt;=18,COUNTIF($K$2:$K$10,INT(A7198))&gt;0),1,0)</f>
        <v>1</v>
      </c>
      <c r="G7198" s="34" t="n">
        <f aca="false">B7198/1</f>
        <v>190.07</v>
      </c>
      <c r="H7198" s="34" t="n">
        <f aca="false">IF(F7198=1,G7198,"")</f>
        <v>190.07</v>
      </c>
    </row>
    <row r="7199" customFormat="false" ht="15" hidden="false" customHeight="false" outlineLevel="0" collapsed="false">
      <c r="A7199" s="31" t="n">
        <v>43035.875</v>
      </c>
      <c r="B7199" s="32" t="n">
        <v>185.974</v>
      </c>
      <c r="D7199" s="33" t="n">
        <f aca="false">WEEKDAY(A7199,2)</f>
        <v>5</v>
      </c>
      <c r="E7199" s="33" t="n">
        <f aca="false">HOUR(A7199)+MINUTE(A7199)/60</f>
        <v>21</v>
      </c>
      <c r="F7199" s="33" t="n">
        <f aca="false">IF(OR(D7199&gt;5,E7199&lt;8,E7199&gt;=18,COUNTIF($K$2:$K$10,INT(A7199))&gt;0),1,0)</f>
        <v>1</v>
      </c>
      <c r="G7199" s="34" t="n">
        <f aca="false">B7199/1</f>
        <v>185.974</v>
      </c>
      <c r="H7199" s="34" t="n">
        <f aca="false">IF(F7199=1,G7199,"")</f>
        <v>185.974</v>
      </c>
    </row>
    <row r="7200" customFormat="false" ht="15" hidden="false" customHeight="false" outlineLevel="0" collapsed="false">
      <c r="A7200" s="31" t="n">
        <v>43035.9166666667</v>
      </c>
      <c r="B7200" s="32" t="n">
        <v>133.656</v>
      </c>
      <c r="D7200" s="33" t="n">
        <f aca="false">WEEKDAY(A7200,2)</f>
        <v>5</v>
      </c>
      <c r="E7200" s="33" t="n">
        <f aca="false">HOUR(A7200)+MINUTE(A7200)/60</f>
        <v>22</v>
      </c>
      <c r="F7200" s="33" t="n">
        <f aca="false">IF(OR(D7200&gt;5,E7200&lt;8,E7200&gt;=18,COUNTIF($K$2:$K$10,INT(A7200))&gt;0),1,0)</f>
        <v>1</v>
      </c>
      <c r="G7200" s="34" t="n">
        <f aca="false">B7200/1</f>
        <v>133.656</v>
      </c>
      <c r="H7200" s="34" t="n">
        <f aca="false">IF(F7200=1,G7200,"")</f>
        <v>133.656</v>
      </c>
    </row>
    <row r="7201" customFormat="false" ht="15" hidden="false" customHeight="false" outlineLevel="0" collapsed="false">
      <c r="A7201" s="31" t="n">
        <v>43035.9583333333</v>
      </c>
      <c r="B7201" s="32" t="n">
        <v>72.371</v>
      </c>
      <c r="D7201" s="33" t="n">
        <f aca="false">WEEKDAY(A7201,2)</f>
        <v>5</v>
      </c>
      <c r="E7201" s="33" t="n">
        <f aca="false">HOUR(A7201)+MINUTE(A7201)/60</f>
        <v>23</v>
      </c>
      <c r="F7201" s="33" t="n">
        <f aca="false">IF(OR(D7201&gt;5,E7201&lt;8,E7201&gt;=18,COUNTIF($K$2:$K$10,INT(A7201))&gt;0),1,0)</f>
        <v>1</v>
      </c>
      <c r="G7201" s="34" t="n">
        <f aca="false">B7201/1</f>
        <v>72.371</v>
      </c>
      <c r="H7201" s="34" t="n">
        <f aca="false">IF(F7201=1,G7201,"")</f>
        <v>72.371</v>
      </c>
    </row>
    <row r="7202" customFormat="false" ht="15" hidden="false" customHeight="false" outlineLevel="0" collapsed="false">
      <c r="A7202" s="31" t="n">
        <v>43036</v>
      </c>
      <c r="B7202" s="32" t="n">
        <v>65.408</v>
      </c>
      <c r="D7202" s="33" t="n">
        <f aca="false">WEEKDAY(A7202,2)</f>
        <v>6</v>
      </c>
      <c r="E7202" s="33" t="n">
        <f aca="false">HOUR(A7202)+MINUTE(A7202)/60</f>
        <v>0</v>
      </c>
      <c r="F7202" s="33" t="n">
        <f aca="false">IF(OR(D7202&gt;5,E7202&lt;8,E7202&gt;=18,COUNTIF($K$2:$K$10,INT(A7202))&gt;0),1,0)</f>
        <v>1</v>
      </c>
      <c r="G7202" s="34" t="n">
        <f aca="false">B7202/1</f>
        <v>65.408</v>
      </c>
      <c r="H7202" s="34" t="n">
        <f aca="false">IF(F7202=1,G7202,"")</f>
        <v>65.408</v>
      </c>
    </row>
    <row r="7203" customFormat="false" ht="15" hidden="false" customHeight="false" outlineLevel="0" collapsed="false">
      <c r="A7203" s="31" t="n">
        <v>43036.0416666667</v>
      </c>
      <c r="B7203" s="32" t="n">
        <v>64.743</v>
      </c>
      <c r="D7203" s="33" t="n">
        <f aca="false">WEEKDAY(A7203,2)</f>
        <v>6</v>
      </c>
      <c r="E7203" s="33" t="n">
        <f aca="false">HOUR(A7203)+MINUTE(A7203)/60</f>
        <v>1</v>
      </c>
      <c r="F7203" s="33" t="n">
        <f aca="false">IF(OR(D7203&gt;5,E7203&lt;8,E7203&gt;=18,COUNTIF($K$2:$K$10,INT(A7203))&gt;0),1,0)</f>
        <v>1</v>
      </c>
      <c r="G7203" s="34" t="n">
        <f aca="false">B7203/1</f>
        <v>64.743</v>
      </c>
      <c r="H7203" s="34" t="n">
        <f aca="false">IF(F7203=1,G7203,"")</f>
        <v>64.743</v>
      </c>
    </row>
    <row r="7204" customFormat="false" ht="15" hidden="false" customHeight="false" outlineLevel="0" collapsed="false">
      <c r="A7204" s="31" t="n">
        <v>43036.0833333333</v>
      </c>
      <c r="B7204" s="32" t="n">
        <v>63.136</v>
      </c>
      <c r="D7204" s="33" t="n">
        <f aca="false">WEEKDAY(A7204,2)</f>
        <v>6</v>
      </c>
      <c r="E7204" s="33" t="n">
        <f aca="false">HOUR(A7204)+MINUTE(A7204)/60</f>
        <v>2</v>
      </c>
      <c r="F7204" s="33" t="n">
        <f aca="false">IF(OR(D7204&gt;5,E7204&lt;8,E7204&gt;=18,COUNTIF($K$2:$K$10,INT(A7204))&gt;0),1,0)</f>
        <v>1</v>
      </c>
      <c r="G7204" s="34" t="n">
        <f aca="false">B7204/1</f>
        <v>63.136</v>
      </c>
      <c r="H7204" s="34" t="n">
        <f aca="false">IF(F7204=1,G7204,"")</f>
        <v>63.136</v>
      </c>
    </row>
    <row r="7205" customFormat="false" ht="15" hidden="false" customHeight="false" outlineLevel="0" collapsed="false">
      <c r="A7205" s="31" t="n">
        <v>43036.125</v>
      </c>
      <c r="B7205" s="32" t="n">
        <v>62.727</v>
      </c>
      <c r="D7205" s="33" t="n">
        <f aca="false">WEEKDAY(A7205,2)</f>
        <v>6</v>
      </c>
      <c r="E7205" s="33" t="n">
        <f aca="false">HOUR(A7205)+MINUTE(A7205)/60</f>
        <v>3</v>
      </c>
      <c r="F7205" s="33" t="n">
        <f aca="false">IF(OR(D7205&gt;5,E7205&lt;8,E7205&gt;=18,COUNTIF($K$2:$K$10,INT(A7205))&gt;0),1,0)</f>
        <v>1</v>
      </c>
      <c r="G7205" s="34" t="n">
        <f aca="false">B7205/1</f>
        <v>62.727</v>
      </c>
      <c r="H7205" s="34" t="n">
        <f aca="false">IF(F7205=1,G7205,"")</f>
        <v>62.727</v>
      </c>
    </row>
    <row r="7206" customFormat="false" ht="15" hidden="false" customHeight="false" outlineLevel="0" collapsed="false">
      <c r="A7206" s="31" t="n">
        <v>43036.1666666667</v>
      </c>
      <c r="B7206" s="32" t="n">
        <v>59.342</v>
      </c>
      <c r="D7206" s="33" t="n">
        <f aca="false">WEEKDAY(A7206,2)</f>
        <v>6</v>
      </c>
      <c r="E7206" s="33" t="n">
        <f aca="false">HOUR(A7206)+MINUTE(A7206)/60</f>
        <v>4</v>
      </c>
      <c r="F7206" s="33" t="n">
        <f aca="false">IF(OR(D7206&gt;5,E7206&lt;8,E7206&gt;=18,COUNTIF($K$2:$K$10,INT(A7206))&gt;0),1,0)</f>
        <v>1</v>
      </c>
      <c r="G7206" s="34" t="n">
        <f aca="false">B7206/1</f>
        <v>59.342</v>
      </c>
      <c r="H7206" s="34" t="n">
        <f aca="false">IF(F7206=1,G7206,"")</f>
        <v>59.342</v>
      </c>
    </row>
    <row r="7207" customFormat="false" ht="15" hidden="false" customHeight="false" outlineLevel="0" collapsed="false">
      <c r="A7207" s="31" t="n">
        <v>43036.2083333333</v>
      </c>
      <c r="B7207" s="32" t="n">
        <v>63.255</v>
      </c>
      <c r="D7207" s="33" t="n">
        <f aca="false">WEEKDAY(A7207,2)</f>
        <v>6</v>
      </c>
      <c r="E7207" s="33" t="n">
        <f aca="false">HOUR(A7207)+MINUTE(A7207)/60</f>
        <v>5</v>
      </c>
      <c r="F7207" s="33" t="n">
        <f aca="false">IF(OR(D7207&gt;5,E7207&lt;8,E7207&gt;=18,COUNTIF($K$2:$K$10,INT(A7207))&gt;0),1,0)</f>
        <v>1</v>
      </c>
      <c r="G7207" s="34" t="n">
        <f aca="false">B7207/1</f>
        <v>63.255</v>
      </c>
      <c r="H7207" s="34" t="n">
        <f aca="false">IF(F7207=1,G7207,"")</f>
        <v>63.255</v>
      </c>
    </row>
    <row r="7208" customFormat="false" ht="15" hidden="false" customHeight="false" outlineLevel="0" collapsed="false">
      <c r="A7208" s="31" t="n">
        <v>43036.25</v>
      </c>
      <c r="B7208" s="32" t="n">
        <v>62.529</v>
      </c>
      <c r="D7208" s="33" t="n">
        <f aca="false">WEEKDAY(A7208,2)</f>
        <v>6</v>
      </c>
      <c r="E7208" s="33" t="n">
        <f aca="false">HOUR(A7208)+MINUTE(A7208)/60</f>
        <v>6</v>
      </c>
      <c r="F7208" s="33" t="n">
        <f aca="false">IF(OR(D7208&gt;5,E7208&lt;8,E7208&gt;=18,COUNTIF($K$2:$K$10,INT(A7208))&gt;0),1,0)</f>
        <v>1</v>
      </c>
      <c r="G7208" s="34" t="n">
        <f aca="false">B7208/1</f>
        <v>62.529</v>
      </c>
      <c r="H7208" s="34" t="n">
        <f aca="false">IF(F7208=1,G7208,"")</f>
        <v>62.529</v>
      </c>
    </row>
    <row r="7209" customFormat="false" ht="15" hidden="false" customHeight="false" outlineLevel="0" collapsed="false">
      <c r="A7209" s="31" t="n">
        <v>43036.2916666667</v>
      </c>
      <c r="B7209" s="32" t="n">
        <v>61.745</v>
      </c>
      <c r="D7209" s="33" t="n">
        <f aca="false">WEEKDAY(A7209,2)</f>
        <v>6</v>
      </c>
      <c r="E7209" s="33" t="n">
        <f aca="false">HOUR(A7209)+MINUTE(A7209)/60</f>
        <v>7</v>
      </c>
      <c r="F7209" s="33" t="n">
        <f aca="false">IF(OR(D7209&gt;5,E7209&lt;8,E7209&gt;=18,COUNTIF($K$2:$K$10,INT(A7209))&gt;0),1,0)</f>
        <v>1</v>
      </c>
      <c r="G7209" s="34" t="n">
        <f aca="false">B7209/1</f>
        <v>61.745</v>
      </c>
      <c r="H7209" s="34" t="n">
        <f aca="false">IF(F7209=1,G7209,"")</f>
        <v>61.745</v>
      </c>
    </row>
    <row r="7210" customFormat="false" ht="15" hidden="false" customHeight="false" outlineLevel="0" collapsed="false">
      <c r="A7210" s="31" t="n">
        <v>43036.3333333333</v>
      </c>
      <c r="B7210" s="32" t="n">
        <v>118.617</v>
      </c>
      <c r="D7210" s="33" t="n">
        <f aca="false">WEEKDAY(A7210,2)</f>
        <v>6</v>
      </c>
      <c r="E7210" s="33" t="n">
        <f aca="false">HOUR(A7210)+MINUTE(A7210)/60</f>
        <v>8</v>
      </c>
      <c r="F7210" s="33" t="n">
        <f aca="false">IF(OR(D7210&gt;5,E7210&lt;8,E7210&gt;=18,COUNTIF($K$2:$K$10,INT(A7210))&gt;0),1,0)</f>
        <v>1</v>
      </c>
      <c r="G7210" s="34" t="n">
        <f aca="false">B7210/1</f>
        <v>118.617</v>
      </c>
      <c r="H7210" s="34" t="n">
        <f aca="false">IF(F7210=1,G7210,"")</f>
        <v>118.617</v>
      </c>
    </row>
    <row r="7211" customFormat="false" ht="15" hidden="false" customHeight="false" outlineLevel="0" collapsed="false">
      <c r="A7211" s="31" t="n">
        <v>43036.375</v>
      </c>
      <c r="B7211" s="32" t="n">
        <v>165.101</v>
      </c>
      <c r="D7211" s="33" t="n">
        <f aca="false">WEEKDAY(A7211,2)</f>
        <v>6</v>
      </c>
      <c r="E7211" s="33" t="n">
        <f aca="false">HOUR(A7211)+MINUTE(A7211)/60</f>
        <v>9</v>
      </c>
      <c r="F7211" s="33" t="n">
        <f aca="false">IF(OR(D7211&gt;5,E7211&lt;8,E7211&gt;=18,COUNTIF($K$2:$K$10,INT(A7211))&gt;0),1,0)</f>
        <v>1</v>
      </c>
      <c r="G7211" s="34" t="n">
        <f aca="false">B7211/1</f>
        <v>165.101</v>
      </c>
      <c r="H7211" s="34" t="n">
        <f aca="false">IF(F7211=1,G7211,"")</f>
        <v>165.101</v>
      </c>
    </row>
    <row r="7212" customFormat="false" ht="15" hidden="false" customHeight="false" outlineLevel="0" collapsed="false">
      <c r="A7212" s="31" t="n">
        <v>43036.4166666667</v>
      </c>
      <c r="B7212" s="32" t="n">
        <v>168.497</v>
      </c>
      <c r="D7212" s="33" t="n">
        <f aca="false">WEEKDAY(A7212,2)</f>
        <v>6</v>
      </c>
      <c r="E7212" s="33" t="n">
        <f aca="false">HOUR(A7212)+MINUTE(A7212)/60</f>
        <v>10</v>
      </c>
      <c r="F7212" s="33" t="n">
        <f aca="false">IF(OR(D7212&gt;5,E7212&lt;8,E7212&gt;=18,COUNTIF($K$2:$K$10,INT(A7212))&gt;0),1,0)</f>
        <v>1</v>
      </c>
      <c r="G7212" s="34" t="n">
        <f aca="false">B7212/1</f>
        <v>168.497</v>
      </c>
      <c r="H7212" s="34" t="n">
        <f aca="false">IF(F7212=1,G7212,"")</f>
        <v>168.497</v>
      </c>
    </row>
    <row r="7213" customFormat="false" ht="15" hidden="false" customHeight="false" outlineLevel="0" collapsed="false">
      <c r="A7213" s="31" t="n">
        <v>43036.4583333333</v>
      </c>
      <c r="B7213" s="32" t="n">
        <v>168.622</v>
      </c>
      <c r="D7213" s="33" t="n">
        <f aca="false">WEEKDAY(A7213,2)</f>
        <v>6</v>
      </c>
      <c r="E7213" s="33" t="n">
        <f aca="false">HOUR(A7213)+MINUTE(A7213)/60</f>
        <v>11</v>
      </c>
      <c r="F7213" s="33" t="n">
        <f aca="false">IF(OR(D7213&gt;5,E7213&lt;8,E7213&gt;=18,COUNTIF($K$2:$K$10,INT(A7213))&gt;0),1,0)</f>
        <v>1</v>
      </c>
      <c r="G7213" s="34" t="n">
        <f aca="false">B7213/1</f>
        <v>168.622</v>
      </c>
      <c r="H7213" s="34" t="n">
        <f aca="false">IF(F7213=1,G7213,"")</f>
        <v>168.622</v>
      </c>
    </row>
    <row r="7214" customFormat="false" ht="15" hidden="false" customHeight="false" outlineLevel="0" collapsed="false">
      <c r="A7214" s="31" t="n">
        <v>43036.5</v>
      </c>
      <c r="B7214" s="32" t="n">
        <v>172.355</v>
      </c>
      <c r="D7214" s="33" t="n">
        <f aca="false">WEEKDAY(A7214,2)</f>
        <v>6</v>
      </c>
      <c r="E7214" s="33" t="n">
        <f aca="false">HOUR(A7214)+MINUTE(A7214)/60</f>
        <v>12</v>
      </c>
      <c r="F7214" s="33" t="n">
        <f aca="false">IF(OR(D7214&gt;5,E7214&lt;8,E7214&gt;=18,COUNTIF($K$2:$K$10,INT(A7214))&gt;0),1,0)</f>
        <v>1</v>
      </c>
      <c r="G7214" s="34" t="n">
        <f aca="false">B7214/1</f>
        <v>172.355</v>
      </c>
      <c r="H7214" s="34" t="n">
        <f aca="false">IF(F7214=1,G7214,"")</f>
        <v>172.355</v>
      </c>
    </row>
    <row r="7215" customFormat="false" ht="15" hidden="false" customHeight="false" outlineLevel="0" collapsed="false">
      <c r="A7215" s="31" t="n">
        <v>43036.5416666667</v>
      </c>
      <c r="B7215" s="32" t="n">
        <v>177.319</v>
      </c>
      <c r="D7215" s="33" t="n">
        <f aca="false">WEEKDAY(A7215,2)</f>
        <v>6</v>
      </c>
      <c r="E7215" s="33" t="n">
        <f aca="false">HOUR(A7215)+MINUTE(A7215)/60</f>
        <v>13</v>
      </c>
      <c r="F7215" s="33" t="n">
        <f aca="false">IF(OR(D7215&gt;5,E7215&lt;8,E7215&gt;=18,COUNTIF($K$2:$K$10,INT(A7215))&gt;0),1,0)</f>
        <v>1</v>
      </c>
      <c r="G7215" s="34" t="n">
        <f aca="false">B7215/1</f>
        <v>177.319</v>
      </c>
      <c r="H7215" s="34" t="n">
        <f aca="false">IF(F7215=1,G7215,"")</f>
        <v>177.319</v>
      </c>
    </row>
    <row r="7216" customFormat="false" ht="15" hidden="false" customHeight="false" outlineLevel="0" collapsed="false">
      <c r="A7216" s="31" t="n">
        <v>43036.5833333333</v>
      </c>
      <c r="B7216" s="32" t="n">
        <v>184.49</v>
      </c>
      <c r="D7216" s="33" t="n">
        <f aca="false">WEEKDAY(A7216,2)</f>
        <v>6</v>
      </c>
      <c r="E7216" s="33" t="n">
        <f aca="false">HOUR(A7216)+MINUTE(A7216)/60</f>
        <v>14</v>
      </c>
      <c r="F7216" s="33" t="n">
        <f aca="false">IF(OR(D7216&gt;5,E7216&lt;8,E7216&gt;=18,COUNTIF($K$2:$K$10,INT(A7216))&gt;0),1,0)</f>
        <v>1</v>
      </c>
      <c r="G7216" s="34" t="n">
        <f aca="false">B7216/1</f>
        <v>184.49</v>
      </c>
      <c r="H7216" s="34" t="n">
        <f aca="false">IF(F7216=1,G7216,"")</f>
        <v>184.49</v>
      </c>
    </row>
    <row r="7217" customFormat="false" ht="15" hidden="false" customHeight="false" outlineLevel="0" collapsed="false">
      <c r="A7217" s="31" t="n">
        <v>43036.625</v>
      </c>
      <c r="B7217" s="32" t="n">
        <v>184.768</v>
      </c>
      <c r="D7217" s="33" t="n">
        <f aca="false">WEEKDAY(A7217,2)</f>
        <v>6</v>
      </c>
      <c r="E7217" s="33" t="n">
        <f aca="false">HOUR(A7217)+MINUTE(A7217)/60</f>
        <v>15</v>
      </c>
      <c r="F7217" s="33" t="n">
        <f aca="false">IF(OR(D7217&gt;5,E7217&lt;8,E7217&gt;=18,COUNTIF($K$2:$K$10,INT(A7217))&gt;0),1,0)</f>
        <v>1</v>
      </c>
      <c r="G7217" s="34" t="n">
        <f aca="false">B7217/1</f>
        <v>184.768</v>
      </c>
      <c r="H7217" s="34" t="n">
        <f aca="false">IF(F7217=1,G7217,"")</f>
        <v>184.768</v>
      </c>
    </row>
    <row r="7218" customFormat="false" ht="15" hidden="false" customHeight="false" outlineLevel="0" collapsed="false">
      <c r="A7218" s="31" t="n">
        <v>43036.6666666667</v>
      </c>
      <c r="B7218" s="32" t="n">
        <v>182.098</v>
      </c>
      <c r="D7218" s="33" t="n">
        <f aca="false">WEEKDAY(A7218,2)</f>
        <v>6</v>
      </c>
      <c r="E7218" s="33" t="n">
        <f aca="false">HOUR(A7218)+MINUTE(A7218)/60</f>
        <v>16</v>
      </c>
      <c r="F7218" s="33" t="n">
        <f aca="false">IF(OR(D7218&gt;5,E7218&lt;8,E7218&gt;=18,COUNTIF($K$2:$K$10,INT(A7218))&gt;0),1,0)</f>
        <v>1</v>
      </c>
      <c r="G7218" s="34" t="n">
        <f aca="false">B7218/1</f>
        <v>182.098</v>
      </c>
      <c r="H7218" s="34" t="n">
        <f aca="false">IF(F7218=1,G7218,"")</f>
        <v>182.098</v>
      </c>
    </row>
    <row r="7219" customFormat="false" ht="15" hidden="false" customHeight="false" outlineLevel="0" collapsed="false">
      <c r="A7219" s="31" t="n">
        <v>43036.7083333333</v>
      </c>
      <c r="B7219" s="32" t="n">
        <v>177.28</v>
      </c>
      <c r="D7219" s="33" t="n">
        <f aca="false">WEEKDAY(A7219,2)</f>
        <v>6</v>
      </c>
      <c r="E7219" s="33" t="n">
        <f aca="false">HOUR(A7219)+MINUTE(A7219)/60</f>
        <v>17</v>
      </c>
      <c r="F7219" s="33" t="n">
        <f aca="false">IF(OR(D7219&gt;5,E7219&lt;8,E7219&gt;=18,COUNTIF($K$2:$K$10,INT(A7219))&gt;0),1,0)</f>
        <v>1</v>
      </c>
      <c r="G7219" s="34" t="n">
        <f aca="false">B7219/1</f>
        <v>177.28</v>
      </c>
      <c r="H7219" s="34" t="n">
        <f aca="false">IF(F7219=1,G7219,"")</f>
        <v>177.28</v>
      </c>
    </row>
    <row r="7220" customFormat="false" ht="15" hidden="false" customHeight="false" outlineLevel="0" collapsed="false">
      <c r="A7220" s="31" t="n">
        <v>43036.75</v>
      </c>
      <c r="B7220" s="32" t="n">
        <v>92.094</v>
      </c>
      <c r="D7220" s="33" t="n">
        <f aca="false">WEEKDAY(A7220,2)</f>
        <v>6</v>
      </c>
      <c r="E7220" s="33" t="n">
        <f aca="false">HOUR(A7220)+MINUTE(A7220)/60</f>
        <v>18</v>
      </c>
      <c r="F7220" s="33" t="n">
        <f aca="false">IF(OR(D7220&gt;5,E7220&lt;8,E7220&gt;=18,COUNTIF($K$2:$K$10,INT(A7220))&gt;0),1,0)</f>
        <v>1</v>
      </c>
      <c r="G7220" s="34" t="n">
        <f aca="false">B7220/1</f>
        <v>92.094</v>
      </c>
      <c r="H7220" s="34" t="n">
        <f aca="false">IF(F7220=1,G7220,"")</f>
        <v>92.094</v>
      </c>
    </row>
    <row r="7221" customFormat="false" ht="15" hidden="false" customHeight="false" outlineLevel="0" collapsed="false">
      <c r="A7221" s="31" t="n">
        <v>43036.7916666667</v>
      </c>
      <c r="B7221" s="32" t="n">
        <v>77.799</v>
      </c>
      <c r="D7221" s="33" t="n">
        <f aca="false">WEEKDAY(A7221,2)</f>
        <v>6</v>
      </c>
      <c r="E7221" s="33" t="n">
        <f aca="false">HOUR(A7221)+MINUTE(A7221)/60</f>
        <v>19</v>
      </c>
      <c r="F7221" s="33" t="n">
        <f aca="false">IF(OR(D7221&gt;5,E7221&lt;8,E7221&gt;=18,COUNTIF($K$2:$K$10,INT(A7221))&gt;0),1,0)</f>
        <v>1</v>
      </c>
      <c r="G7221" s="34" t="n">
        <f aca="false">B7221/1</f>
        <v>77.799</v>
      </c>
      <c r="H7221" s="34" t="n">
        <f aca="false">IF(F7221=1,G7221,"")</f>
        <v>77.799</v>
      </c>
    </row>
    <row r="7222" customFormat="false" ht="15" hidden="false" customHeight="false" outlineLevel="0" collapsed="false">
      <c r="A7222" s="31" t="n">
        <v>43036.8333333333</v>
      </c>
      <c r="B7222" s="32" t="n">
        <v>72.478</v>
      </c>
      <c r="D7222" s="33" t="n">
        <f aca="false">WEEKDAY(A7222,2)</f>
        <v>6</v>
      </c>
      <c r="E7222" s="33" t="n">
        <f aca="false">HOUR(A7222)+MINUTE(A7222)/60</f>
        <v>20</v>
      </c>
      <c r="F7222" s="33" t="n">
        <f aca="false">IF(OR(D7222&gt;5,E7222&lt;8,E7222&gt;=18,COUNTIF($K$2:$K$10,INT(A7222))&gt;0),1,0)</f>
        <v>1</v>
      </c>
      <c r="G7222" s="34" t="n">
        <f aca="false">B7222/1</f>
        <v>72.478</v>
      </c>
      <c r="H7222" s="34" t="n">
        <f aca="false">IF(F7222=1,G7222,"")</f>
        <v>72.478</v>
      </c>
    </row>
    <row r="7223" customFormat="false" ht="15" hidden="false" customHeight="false" outlineLevel="0" collapsed="false">
      <c r="A7223" s="31" t="n">
        <v>43036.875</v>
      </c>
      <c r="B7223" s="32" t="n">
        <v>70.883</v>
      </c>
      <c r="D7223" s="33" t="n">
        <f aca="false">WEEKDAY(A7223,2)</f>
        <v>6</v>
      </c>
      <c r="E7223" s="33" t="n">
        <f aca="false">HOUR(A7223)+MINUTE(A7223)/60</f>
        <v>21</v>
      </c>
      <c r="F7223" s="33" t="n">
        <f aca="false">IF(OR(D7223&gt;5,E7223&lt;8,E7223&gt;=18,COUNTIF($K$2:$K$10,INT(A7223))&gt;0),1,0)</f>
        <v>1</v>
      </c>
      <c r="G7223" s="34" t="n">
        <f aca="false">B7223/1</f>
        <v>70.883</v>
      </c>
      <c r="H7223" s="34" t="n">
        <f aca="false">IF(F7223=1,G7223,"")</f>
        <v>70.883</v>
      </c>
    </row>
    <row r="7224" customFormat="false" ht="15" hidden="false" customHeight="false" outlineLevel="0" collapsed="false">
      <c r="A7224" s="31" t="n">
        <v>43036.9166666667</v>
      </c>
      <c r="B7224" s="32" t="n">
        <v>68.989</v>
      </c>
      <c r="D7224" s="33" t="n">
        <f aca="false">WEEKDAY(A7224,2)</f>
        <v>6</v>
      </c>
      <c r="E7224" s="33" t="n">
        <f aca="false">HOUR(A7224)+MINUTE(A7224)/60</f>
        <v>22</v>
      </c>
      <c r="F7224" s="33" t="n">
        <f aca="false">IF(OR(D7224&gt;5,E7224&lt;8,E7224&gt;=18,COUNTIF($K$2:$K$10,INT(A7224))&gt;0),1,0)</f>
        <v>1</v>
      </c>
      <c r="G7224" s="34" t="n">
        <f aca="false">B7224/1</f>
        <v>68.989</v>
      </c>
      <c r="H7224" s="34" t="n">
        <f aca="false">IF(F7224=1,G7224,"")</f>
        <v>68.989</v>
      </c>
    </row>
    <row r="7225" customFormat="false" ht="15" hidden="false" customHeight="false" outlineLevel="0" collapsed="false">
      <c r="A7225" s="31" t="n">
        <v>43036.9583333333</v>
      </c>
      <c r="B7225" s="32" t="n">
        <v>68.834</v>
      </c>
      <c r="D7225" s="33" t="n">
        <f aca="false">WEEKDAY(A7225,2)</f>
        <v>6</v>
      </c>
      <c r="E7225" s="33" t="n">
        <f aca="false">HOUR(A7225)+MINUTE(A7225)/60</f>
        <v>23</v>
      </c>
      <c r="F7225" s="33" t="n">
        <f aca="false">IF(OR(D7225&gt;5,E7225&lt;8,E7225&gt;=18,COUNTIF($K$2:$K$10,INT(A7225))&gt;0),1,0)</f>
        <v>1</v>
      </c>
      <c r="G7225" s="34" t="n">
        <f aca="false">B7225/1</f>
        <v>68.834</v>
      </c>
      <c r="H7225" s="34" t="n">
        <f aca="false">IF(F7225=1,G7225,"")</f>
        <v>68.834</v>
      </c>
    </row>
    <row r="7226" customFormat="false" ht="15" hidden="false" customHeight="false" outlineLevel="0" collapsed="false">
      <c r="A7226" s="31" t="n">
        <v>43037</v>
      </c>
      <c r="B7226" s="32" t="n">
        <v>69.02</v>
      </c>
      <c r="D7226" s="33" t="n">
        <f aca="false">WEEKDAY(A7226,2)</f>
        <v>7</v>
      </c>
      <c r="E7226" s="33" t="n">
        <f aca="false">HOUR(A7226)+MINUTE(A7226)/60</f>
        <v>0</v>
      </c>
      <c r="F7226" s="33" t="n">
        <f aca="false">IF(OR(D7226&gt;5,E7226&lt;8,E7226&gt;=18,COUNTIF($K$2:$K$10,INT(A7226))&gt;0),1,0)</f>
        <v>1</v>
      </c>
      <c r="G7226" s="34" t="n">
        <f aca="false">B7226/1</f>
        <v>69.02</v>
      </c>
      <c r="H7226" s="34" t="n">
        <f aca="false">IF(F7226=1,G7226,"")</f>
        <v>69.02</v>
      </c>
    </row>
    <row r="7227" customFormat="false" ht="15" hidden="false" customHeight="false" outlineLevel="0" collapsed="false">
      <c r="A7227" s="31" t="n">
        <v>43037.0416666667</v>
      </c>
      <c r="B7227" s="32" t="n">
        <v>66.534</v>
      </c>
      <c r="D7227" s="33" t="n">
        <f aca="false">WEEKDAY(A7227,2)</f>
        <v>7</v>
      </c>
      <c r="E7227" s="33" t="n">
        <f aca="false">HOUR(A7227)+MINUTE(A7227)/60</f>
        <v>1</v>
      </c>
      <c r="F7227" s="33" t="n">
        <f aca="false">IF(OR(D7227&gt;5,E7227&lt;8,E7227&gt;=18,COUNTIF($K$2:$K$10,INT(A7227))&gt;0),1,0)</f>
        <v>1</v>
      </c>
      <c r="G7227" s="34" t="n">
        <f aca="false">B7227/1</f>
        <v>66.534</v>
      </c>
      <c r="H7227" s="34" t="n">
        <f aca="false">IF(F7227=1,G7227,"")</f>
        <v>66.534</v>
      </c>
    </row>
    <row r="7228" customFormat="false" ht="15" hidden="false" customHeight="false" outlineLevel="0" collapsed="false">
      <c r="A7228" s="31" t="n">
        <v>43037.0833333333</v>
      </c>
      <c r="B7228" s="32" t="n">
        <v>65.905</v>
      </c>
      <c r="D7228" s="33" t="n">
        <f aca="false">WEEKDAY(A7228,2)</f>
        <v>7</v>
      </c>
      <c r="E7228" s="33" t="n">
        <f aca="false">HOUR(A7228)+MINUTE(A7228)/60</f>
        <v>2</v>
      </c>
      <c r="F7228" s="33" t="n">
        <f aca="false">IF(OR(D7228&gt;5,E7228&lt;8,E7228&gt;=18,COUNTIF($K$2:$K$10,INT(A7228))&gt;0),1,0)</f>
        <v>1</v>
      </c>
      <c r="G7228" s="34" t="n">
        <f aca="false">B7228/1</f>
        <v>65.905</v>
      </c>
      <c r="H7228" s="34" t="n">
        <f aca="false">IF(F7228=1,G7228,"")</f>
        <v>65.905</v>
      </c>
    </row>
    <row r="7229" customFormat="false" ht="15" hidden="false" customHeight="false" outlineLevel="0" collapsed="false">
      <c r="A7229" s="31" t="n">
        <v>43037.125</v>
      </c>
      <c r="B7229" s="32" t="n">
        <v>64.894</v>
      </c>
      <c r="D7229" s="33" t="n">
        <f aca="false">WEEKDAY(A7229,2)</f>
        <v>7</v>
      </c>
      <c r="E7229" s="33" t="n">
        <f aca="false">HOUR(A7229)+MINUTE(A7229)/60</f>
        <v>3</v>
      </c>
      <c r="F7229" s="33" t="n">
        <f aca="false">IF(OR(D7229&gt;5,E7229&lt;8,E7229&gt;=18,COUNTIF($K$2:$K$10,INT(A7229))&gt;0),1,0)</f>
        <v>1</v>
      </c>
      <c r="G7229" s="34" t="n">
        <f aca="false">B7229/1</f>
        <v>64.894</v>
      </c>
      <c r="H7229" s="34" t="n">
        <f aca="false">IF(F7229=1,G7229,"")</f>
        <v>64.894</v>
      </c>
    </row>
    <row r="7230" customFormat="false" ht="15" hidden="false" customHeight="false" outlineLevel="0" collapsed="false">
      <c r="A7230" s="31" t="n">
        <v>43037.1666666667</v>
      </c>
      <c r="B7230" s="32" t="n">
        <v>62.762</v>
      </c>
      <c r="D7230" s="33" t="n">
        <f aca="false">WEEKDAY(A7230,2)</f>
        <v>7</v>
      </c>
      <c r="E7230" s="33" t="n">
        <f aca="false">HOUR(A7230)+MINUTE(A7230)/60</f>
        <v>4</v>
      </c>
      <c r="F7230" s="33" t="n">
        <f aca="false">IF(OR(D7230&gt;5,E7230&lt;8,E7230&gt;=18,COUNTIF($K$2:$K$10,INT(A7230))&gt;0),1,0)</f>
        <v>1</v>
      </c>
      <c r="G7230" s="34" t="n">
        <f aca="false">B7230/1</f>
        <v>62.762</v>
      </c>
      <c r="H7230" s="34" t="n">
        <f aca="false">IF(F7230=1,G7230,"")</f>
        <v>62.762</v>
      </c>
    </row>
    <row r="7231" customFormat="false" ht="15" hidden="false" customHeight="false" outlineLevel="0" collapsed="false">
      <c r="A7231" s="31" t="n">
        <v>43037.2083333333</v>
      </c>
      <c r="B7231" s="32" t="n">
        <v>62.767</v>
      </c>
      <c r="D7231" s="33" t="n">
        <f aca="false">WEEKDAY(A7231,2)</f>
        <v>7</v>
      </c>
      <c r="E7231" s="33" t="n">
        <f aca="false">HOUR(A7231)+MINUTE(A7231)/60</f>
        <v>5</v>
      </c>
      <c r="F7231" s="33" t="n">
        <f aca="false">IF(OR(D7231&gt;5,E7231&lt;8,E7231&gt;=18,COUNTIF($K$2:$K$10,INT(A7231))&gt;0),1,0)</f>
        <v>1</v>
      </c>
      <c r="G7231" s="34" t="n">
        <f aca="false">B7231/1</f>
        <v>62.767</v>
      </c>
      <c r="H7231" s="34" t="n">
        <f aca="false">IF(F7231=1,G7231,"")</f>
        <v>62.767</v>
      </c>
    </row>
    <row r="7232" customFormat="false" ht="15" hidden="false" customHeight="false" outlineLevel="0" collapsed="false">
      <c r="A7232" s="31" t="n">
        <v>43037.25</v>
      </c>
      <c r="B7232" s="32" t="n">
        <v>64.482</v>
      </c>
      <c r="D7232" s="33" t="n">
        <f aca="false">WEEKDAY(A7232,2)</f>
        <v>7</v>
      </c>
      <c r="E7232" s="33" t="n">
        <f aca="false">HOUR(A7232)+MINUTE(A7232)/60</f>
        <v>6</v>
      </c>
      <c r="F7232" s="33" t="n">
        <f aca="false">IF(OR(D7232&gt;5,E7232&lt;8,E7232&gt;=18,COUNTIF($K$2:$K$10,INT(A7232))&gt;0),1,0)</f>
        <v>1</v>
      </c>
      <c r="G7232" s="34" t="n">
        <f aca="false">B7232/1</f>
        <v>64.482</v>
      </c>
      <c r="H7232" s="34" t="n">
        <f aca="false">IF(F7232=1,G7232,"")</f>
        <v>64.482</v>
      </c>
    </row>
    <row r="7233" customFormat="false" ht="15" hidden="false" customHeight="false" outlineLevel="0" collapsed="false">
      <c r="A7233" s="31" t="n">
        <v>43037.2916666667</v>
      </c>
      <c r="B7233" s="32" t="n">
        <v>61.554</v>
      </c>
      <c r="D7233" s="33" t="n">
        <f aca="false">WEEKDAY(A7233,2)</f>
        <v>7</v>
      </c>
      <c r="E7233" s="33" t="n">
        <f aca="false">HOUR(A7233)+MINUTE(A7233)/60</f>
        <v>7</v>
      </c>
      <c r="F7233" s="33" t="n">
        <f aca="false">IF(OR(D7233&gt;5,E7233&lt;8,E7233&gt;=18,COUNTIF($K$2:$K$10,INT(A7233))&gt;0),1,0)</f>
        <v>1</v>
      </c>
      <c r="G7233" s="34" t="n">
        <f aca="false">B7233/1</f>
        <v>61.554</v>
      </c>
      <c r="H7233" s="34" t="n">
        <f aca="false">IF(F7233=1,G7233,"")</f>
        <v>61.554</v>
      </c>
    </row>
    <row r="7234" customFormat="false" ht="15" hidden="false" customHeight="false" outlineLevel="0" collapsed="false">
      <c r="A7234" s="31" t="n">
        <v>43037.3333333333</v>
      </c>
      <c r="B7234" s="32" t="n">
        <v>62.321</v>
      </c>
      <c r="D7234" s="33" t="n">
        <f aca="false">WEEKDAY(A7234,2)</f>
        <v>7</v>
      </c>
      <c r="E7234" s="33" t="n">
        <f aca="false">HOUR(A7234)+MINUTE(A7234)/60</f>
        <v>8</v>
      </c>
      <c r="F7234" s="33" t="n">
        <f aca="false">IF(OR(D7234&gt;5,E7234&lt;8,E7234&gt;=18,COUNTIF($K$2:$K$10,INT(A7234))&gt;0),1,0)</f>
        <v>1</v>
      </c>
      <c r="G7234" s="34" t="n">
        <f aca="false">B7234/1</f>
        <v>62.321</v>
      </c>
      <c r="H7234" s="34" t="n">
        <f aca="false">IF(F7234=1,G7234,"")</f>
        <v>62.321</v>
      </c>
    </row>
    <row r="7235" customFormat="false" ht="15" hidden="false" customHeight="false" outlineLevel="0" collapsed="false">
      <c r="A7235" s="31" t="n">
        <v>43037.375</v>
      </c>
      <c r="B7235" s="32" t="n">
        <v>62.322</v>
      </c>
      <c r="D7235" s="33" t="n">
        <f aca="false">WEEKDAY(A7235,2)</f>
        <v>7</v>
      </c>
      <c r="E7235" s="33" t="n">
        <f aca="false">HOUR(A7235)+MINUTE(A7235)/60</f>
        <v>9</v>
      </c>
      <c r="F7235" s="33" t="n">
        <f aca="false">IF(OR(D7235&gt;5,E7235&lt;8,E7235&gt;=18,COUNTIF($K$2:$K$10,INT(A7235))&gt;0),1,0)</f>
        <v>1</v>
      </c>
      <c r="G7235" s="34" t="n">
        <f aca="false">B7235/1</f>
        <v>62.322</v>
      </c>
      <c r="H7235" s="34" t="n">
        <f aca="false">IF(F7235=1,G7235,"")</f>
        <v>62.322</v>
      </c>
    </row>
    <row r="7236" customFormat="false" ht="15" hidden="false" customHeight="false" outlineLevel="0" collapsed="false">
      <c r="A7236" s="31" t="n">
        <v>43037.4166666667</v>
      </c>
      <c r="B7236" s="32" t="n">
        <v>60.954</v>
      </c>
      <c r="D7236" s="33" t="n">
        <f aca="false">WEEKDAY(A7236,2)</f>
        <v>7</v>
      </c>
      <c r="E7236" s="33" t="n">
        <f aca="false">HOUR(A7236)+MINUTE(A7236)/60</f>
        <v>10</v>
      </c>
      <c r="F7236" s="33" t="n">
        <f aca="false">IF(OR(D7236&gt;5,E7236&lt;8,E7236&gt;=18,COUNTIF($K$2:$K$10,INT(A7236))&gt;0),1,0)</f>
        <v>1</v>
      </c>
      <c r="G7236" s="34" t="n">
        <f aca="false">B7236/1</f>
        <v>60.954</v>
      </c>
      <c r="H7236" s="34" t="n">
        <f aca="false">IF(F7236=1,G7236,"")</f>
        <v>60.954</v>
      </c>
    </row>
    <row r="7237" customFormat="false" ht="15" hidden="false" customHeight="false" outlineLevel="0" collapsed="false">
      <c r="A7237" s="31" t="n">
        <v>43037.4583333333</v>
      </c>
      <c r="B7237" s="32" t="n">
        <v>64.065</v>
      </c>
      <c r="D7237" s="33" t="n">
        <f aca="false">WEEKDAY(A7237,2)</f>
        <v>7</v>
      </c>
      <c r="E7237" s="33" t="n">
        <f aca="false">HOUR(A7237)+MINUTE(A7237)/60</f>
        <v>11</v>
      </c>
      <c r="F7237" s="33" t="n">
        <f aca="false">IF(OR(D7237&gt;5,E7237&lt;8,E7237&gt;=18,COUNTIF($K$2:$K$10,INT(A7237))&gt;0),1,0)</f>
        <v>1</v>
      </c>
      <c r="G7237" s="34" t="n">
        <f aca="false">B7237/1</f>
        <v>64.065</v>
      </c>
      <c r="H7237" s="34" t="n">
        <f aca="false">IF(F7237=1,G7237,"")</f>
        <v>64.065</v>
      </c>
    </row>
    <row r="7238" customFormat="false" ht="15" hidden="false" customHeight="false" outlineLevel="0" collapsed="false">
      <c r="A7238" s="31" t="n">
        <v>43037.5</v>
      </c>
      <c r="B7238" s="32" t="n">
        <v>66.41</v>
      </c>
      <c r="D7238" s="33" t="n">
        <f aca="false">WEEKDAY(A7238,2)</f>
        <v>7</v>
      </c>
      <c r="E7238" s="33" t="n">
        <f aca="false">HOUR(A7238)+MINUTE(A7238)/60</f>
        <v>12</v>
      </c>
      <c r="F7238" s="33" t="n">
        <f aca="false">IF(OR(D7238&gt;5,E7238&lt;8,E7238&gt;=18,COUNTIF($K$2:$K$10,INT(A7238))&gt;0),1,0)</f>
        <v>1</v>
      </c>
      <c r="G7238" s="34" t="n">
        <f aca="false">B7238/1</f>
        <v>66.41</v>
      </c>
      <c r="H7238" s="34" t="n">
        <f aca="false">IF(F7238=1,G7238,"")</f>
        <v>66.41</v>
      </c>
    </row>
    <row r="7239" customFormat="false" ht="15" hidden="false" customHeight="false" outlineLevel="0" collapsed="false">
      <c r="A7239" s="31" t="n">
        <v>43037.5416666667</v>
      </c>
      <c r="B7239" s="32" t="n">
        <v>110.257</v>
      </c>
      <c r="D7239" s="33" t="n">
        <f aca="false">WEEKDAY(A7239,2)</f>
        <v>7</v>
      </c>
      <c r="E7239" s="33" t="n">
        <f aca="false">HOUR(A7239)+MINUTE(A7239)/60</f>
        <v>13</v>
      </c>
      <c r="F7239" s="33" t="n">
        <f aca="false">IF(OR(D7239&gt;5,E7239&lt;8,E7239&gt;=18,COUNTIF($K$2:$K$10,INT(A7239))&gt;0),1,0)</f>
        <v>1</v>
      </c>
      <c r="G7239" s="34" t="n">
        <f aca="false">B7239/1</f>
        <v>110.257</v>
      </c>
      <c r="H7239" s="34" t="n">
        <f aca="false">IF(F7239=1,G7239,"")</f>
        <v>110.257</v>
      </c>
    </row>
    <row r="7240" customFormat="false" ht="15" hidden="false" customHeight="false" outlineLevel="0" collapsed="false">
      <c r="A7240" s="31" t="n">
        <v>43037.5833333333</v>
      </c>
      <c r="B7240" s="32" t="n">
        <v>137.484</v>
      </c>
      <c r="D7240" s="33" t="n">
        <f aca="false">WEEKDAY(A7240,2)</f>
        <v>7</v>
      </c>
      <c r="E7240" s="33" t="n">
        <f aca="false">HOUR(A7240)+MINUTE(A7240)/60</f>
        <v>14</v>
      </c>
      <c r="F7240" s="33" t="n">
        <f aca="false">IF(OR(D7240&gt;5,E7240&lt;8,E7240&gt;=18,COUNTIF($K$2:$K$10,INT(A7240))&gt;0),1,0)</f>
        <v>1</v>
      </c>
      <c r="G7240" s="34" t="n">
        <f aca="false">B7240/1</f>
        <v>137.484</v>
      </c>
      <c r="H7240" s="34" t="n">
        <f aca="false">IF(F7240=1,G7240,"")</f>
        <v>137.484</v>
      </c>
    </row>
    <row r="7241" customFormat="false" ht="15" hidden="false" customHeight="false" outlineLevel="0" collapsed="false">
      <c r="A7241" s="31" t="n">
        <v>43037.625</v>
      </c>
      <c r="B7241" s="32" t="n">
        <v>141.661</v>
      </c>
      <c r="D7241" s="33" t="n">
        <f aca="false">WEEKDAY(A7241,2)</f>
        <v>7</v>
      </c>
      <c r="E7241" s="33" t="n">
        <f aca="false">HOUR(A7241)+MINUTE(A7241)/60</f>
        <v>15</v>
      </c>
      <c r="F7241" s="33" t="n">
        <f aca="false">IF(OR(D7241&gt;5,E7241&lt;8,E7241&gt;=18,COUNTIF($K$2:$K$10,INT(A7241))&gt;0),1,0)</f>
        <v>1</v>
      </c>
      <c r="G7241" s="34" t="n">
        <f aca="false">B7241/1</f>
        <v>141.661</v>
      </c>
      <c r="H7241" s="34" t="n">
        <f aca="false">IF(F7241=1,G7241,"")</f>
        <v>141.661</v>
      </c>
    </row>
    <row r="7242" customFormat="false" ht="15" hidden="false" customHeight="false" outlineLevel="0" collapsed="false">
      <c r="A7242" s="31" t="n">
        <v>43037.6666666667</v>
      </c>
      <c r="B7242" s="32" t="n">
        <v>143.683</v>
      </c>
      <c r="D7242" s="33" t="n">
        <f aca="false">WEEKDAY(A7242,2)</f>
        <v>7</v>
      </c>
      <c r="E7242" s="33" t="n">
        <f aca="false">HOUR(A7242)+MINUTE(A7242)/60</f>
        <v>16</v>
      </c>
      <c r="F7242" s="33" t="n">
        <f aca="false">IF(OR(D7242&gt;5,E7242&lt;8,E7242&gt;=18,COUNTIF($K$2:$K$10,INT(A7242))&gt;0),1,0)</f>
        <v>1</v>
      </c>
      <c r="G7242" s="34" t="n">
        <f aca="false">B7242/1</f>
        <v>143.683</v>
      </c>
      <c r="H7242" s="34" t="n">
        <f aca="false">IF(F7242=1,G7242,"")</f>
        <v>143.683</v>
      </c>
    </row>
    <row r="7243" customFormat="false" ht="15" hidden="false" customHeight="false" outlineLevel="0" collapsed="false">
      <c r="A7243" s="31" t="n">
        <v>43037.7083333333</v>
      </c>
      <c r="B7243" s="32" t="n">
        <v>146.31</v>
      </c>
      <c r="D7243" s="33" t="n">
        <f aca="false">WEEKDAY(A7243,2)</f>
        <v>7</v>
      </c>
      <c r="E7243" s="33" t="n">
        <f aca="false">HOUR(A7243)+MINUTE(A7243)/60</f>
        <v>17</v>
      </c>
      <c r="F7243" s="33" t="n">
        <f aca="false">IF(OR(D7243&gt;5,E7243&lt;8,E7243&gt;=18,COUNTIF($K$2:$K$10,INT(A7243))&gt;0),1,0)</f>
        <v>1</v>
      </c>
      <c r="G7243" s="34" t="n">
        <f aca="false">B7243/1</f>
        <v>146.31</v>
      </c>
      <c r="H7243" s="34" t="n">
        <f aca="false">IF(F7243=1,G7243,"")</f>
        <v>146.31</v>
      </c>
    </row>
    <row r="7244" customFormat="false" ht="15" hidden="false" customHeight="false" outlineLevel="0" collapsed="false">
      <c r="A7244" s="31" t="n">
        <v>43037.75</v>
      </c>
      <c r="B7244" s="32" t="n">
        <v>84.828</v>
      </c>
      <c r="D7244" s="33" t="n">
        <f aca="false">WEEKDAY(A7244,2)</f>
        <v>7</v>
      </c>
      <c r="E7244" s="33" t="n">
        <f aca="false">HOUR(A7244)+MINUTE(A7244)/60</f>
        <v>18</v>
      </c>
      <c r="F7244" s="33" t="n">
        <f aca="false">IF(OR(D7244&gt;5,E7244&lt;8,E7244&gt;=18,COUNTIF($K$2:$K$10,INT(A7244))&gt;0),1,0)</f>
        <v>1</v>
      </c>
      <c r="G7244" s="34" t="n">
        <f aca="false">B7244/1</f>
        <v>84.828</v>
      </c>
      <c r="H7244" s="34" t="n">
        <f aca="false">IF(F7244=1,G7244,"")</f>
        <v>84.828</v>
      </c>
    </row>
    <row r="7245" customFormat="false" ht="15" hidden="false" customHeight="false" outlineLevel="0" collapsed="false">
      <c r="A7245" s="31" t="n">
        <v>43037.7916666667</v>
      </c>
      <c r="B7245" s="32" t="n">
        <v>78.01</v>
      </c>
      <c r="D7245" s="33" t="n">
        <f aca="false">WEEKDAY(A7245,2)</f>
        <v>7</v>
      </c>
      <c r="E7245" s="33" t="n">
        <f aca="false">HOUR(A7245)+MINUTE(A7245)/60</f>
        <v>19</v>
      </c>
      <c r="F7245" s="33" t="n">
        <f aca="false">IF(OR(D7245&gt;5,E7245&lt;8,E7245&gt;=18,COUNTIF($K$2:$K$10,INT(A7245))&gt;0),1,0)</f>
        <v>1</v>
      </c>
      <c r="G7245" s="34" t="n">
        <f aca="false">B7245/1</f>
        <v>78.01</v>
      </c>
      <c r="H7245" s="34" t="n">
        <f aca="false">IF(F7245=1,G7245,"")</f>
        <v>78.01</v>
      </c>
    </row>
    <row r="7246" customFormat="false" ht="15" hidden="false" customHeight="false" outlineLevel="0" collapsed="false">
      <c r="A7246" s="31" t="n">
        <v>43037.8333333333</v>
      </c>
      <c r="B7246" s="32" t="n">
        <v>73.976</v>
      </c>
      <c r="D7246" s="33" t="n">
        <f aca="false">WEEKDAY(A7246,2)</f>
        <v>7</v>
      </c>
      <c r="E7246" s="33" t="n">
        <f aca="false">HOUR(A7246)+MINUTE(A7246)/60</f>
        <v>20</v>
      </c>
      <c r="F7246" s="33" t="n">
        <f aca="false">IF(OR(D7246&gt;5,E7246&lt;8,E7246&gt;=18,COUNTIF($K$2:$K$10,INT(A7246))&gt;0),1,0)</f>
        <v>1</v>
      </c>
      <c r="G7246" s="34" t="n">
        <f aca="false">B7246/1</f>
        <v>73.976</v>
      </c>
      <c r="H7246" s="34" t="n">
        <f aca="false">IF(F7246=1,G7246,"")</f>
        <v>73.976</v>
      </c>
    </row>
    <row r="7247" customFormat="false" ht="15" hidden="false" customHeight="false" outlineLevel="0" collapsed="false">
      <c r="A7247" s="31" t="n">
        <v>43037.875</v>
      </c>
      <c r="B7247" s="32" t="n">
        <v>72.571</v>
      </c>
      <c r="D7247" s="33" t="n">
        <f aca="false">WEEKDAY(A7247,2)</f>
        <v>7</v>
      </c>
      <c r="E7247" s="33" t="n">
        <f aca="false">HOUR(A7247)+MINUTE(A7247)/60</f>
        <v>21</v>
      </c>
      <c r="F7247" s="33" t="n">
        <f aca="false">IF(OR(D7247&gt;5,E7247&lt;8,E7247&gt;=18,COUNTIF($K$2:$K$10,INT(A7247))&gt;0),1,0)</f>
        <v>1</v>
      </c>
      <c r="G7247" s="34" t="n">
        <f aca="false">B7247/1</f>
        <v>72.571</v>
      </c>
      <c r="H7247" s="34" t="n">
        <f aca="false">IF(F7247=1,G7247,"")</f>
        <v>72.571</v>
      </c>
    </row>
    <row r="7248" customFormat="false" ht="15" hidden="false" customHeight="false" outlineLevel="0" collapsed="false">
      <c r="A7248" s="31" t="n">
        <v>43037.9166666667</v>
      </c>
      <c r="B7248" s="32" t="n">
        <v>68.282</v>
      </c>
      <c r="D7248" s="33" t="n">
        <f aca="false">WEEKDAY(A7248,2)</f>
        <v>7</v>
      </c>
      <c r="E7248" s="33" t="n">
        <f aca="false">HOUR(A7248)+MINUTE(A7248)/60</f>
        <v>22</v>
      </c>
      <c r="F7248" s="33" t="n">
        <f aca="false">IF(OR(D7248&gt;5,E7248&lt;8,E7248&gt;=18,COUNTIF($K$2:$K$10,INT(A7248))&gt;0),1,0)</f>
        <v>1</v>
      </c>
      <c r="G7248" s="34" t="n">
        <f aca="false">B7248/1</f>
        <v>68.282</v>
      </c>
      <c r="H7248" s="34" t="n">
        <f aca="false">IF(F7248=1,G7248,"")</f>
        <v>68.282</v>
      </c>
    </row>
    <row r="7249" customFormat="false" ht="15" hidden="false" customHeight="false" outlineLevel="0" collapsed="false">
      <c r="A7249" s="31" t="n">
        <v>43037.9583333333</v>
      </c>
      <c r="B7249" s="32" t="n">
        <v>65.625</v>
      </c>
      <c r="D7249" s="33" t="n">
        <f aca="false">WEEKDAY(A7249,2)</f>
        <v>7</v>
      </c>
      <c r="E7249" s="33" t="n">
        <f aca="false">HOUR(A7249)+MINUTE(A7249)/60</f>
        <v>23</v>
      </c>
      <c r="F7249" s="33" t="n">
        <f aca="false">IF(OR(D7249&gt;5,E7249&lt;8,E7249&gt;=18,COUNTIF($K$2:$K$10,INT(A7249))&gt;0),1,0)</f>
        <v>1</v>
      </c>
      <c r="G7249" s="34" t="n">
        <f aca="false">B7249/1</f>
        <v>65.625</v>
      </c>
      <c r="H7249" s="34" t="n">
        <f aca="false">IF(F7249=1,G7249,"")</f>
        <v>65.625</v>
      </c>
    </row>
    <row r="7250" customFormat="false" ht="15" hidden="false" customHeight="false" outlineLevel="0" collapsed="false">
      <c r="A7250" s="31" t="n">
        <v>43038</v>
      </c>
      <c r="B7250" s="32" t="n">
        <v>66.429</v>
      </c>
      <c r="D7250" s="33" t="n">
        <f aca="false">WEEKDAY(A7250,2)</f>
        <v>1</v>
      </c>
      <c r="E7250" s="33" t="n">
        <f aca="false">HOUR(A7250)+MINUTE(A7250)/60</f>
        <v>0</v>
      </c>
      <c r="F7250" s="33" t="n">
        <f aca="false">IF(OR(D7250&gt;5,E7250&lt;8,E7250&gt;=18,COUNTIF($K$2:$K$10,INT(A7250))&gt;0),1,0)</f>
        <v>1</v>
      </c>
      <c r="G7250" s="34" t="n">
        <f aca="false">B7250/1</f>
        <v>66.429</v>
      </c>
      <c r="H7250" s="34" t="n">
        <f aca="false">IF(F7250=1,G7250,"")</f>
        <v>66.429</v>
      </c>
    </row>
    <row r="7251" customFormat="false" ht="15" hidden="false" customHeight="false" outlineLevel="0" collapsed="false">
      <c r="A7251" s="31" t="n">
        <v>43038.0416666667</v>
      </c>
      <c r="B7251" s="32" t="n">
        <v>63.162</v>
      </c>
      <c r="D7251" s="33" t="n">
        <f aca="false">WEEKDAY(A7251,2)</f>
        <v>1</v>
      </c>
      <c r="E7251" s="33" t="n">
        <f aca="false">HOUR(A7251)+MINUTE(A7251)/60</f>
        <v>1</v>
      </c>
      <c r="F7251" s="33" t="n">
        <f aca="false">IF(OR(D7251&gt;5,E7251&lt;8,E7251&gt;=18,COUNTIF($K$2:$K$10,INT(A7251))&gt;0),1,0)</f>
        <v>1</v>
      </c>
      <c r="G7251" s="34" t="n">
        <f aca="false">B7251/1</f>
        <v>63.162</v>
      </c>
      <c r="H7251" s="34" t="n">
        <f aca="false">IF(F7251=1,G7251,"")</f>
        <v>63.162</v>
      </c>
    </row>
    <row r="7252" customFormat="false" ht="15" hidden="false" customHeight="false" outlineLevel="0" collapsed="false">
      <c r="A7252" s="31" t="n">
        <v>43038.0833333333</v>
      </c>
      <c r="B7252" s="32" t="n">
        <v>63.201</v>
      </c>
      <c r="D7252" s="33" t="n">
        <f aca="false">WEEKDAY(A7252,2)</f>
        <v>1</v>
      </c>
      <c r="E7252" s="33" t="n">
        <f aca="false">HOUR(A7252)+MINUTE(A7252)/60</f>
        <v>2</v>
      </c>
      <c r="F7252" s="33" t="n">
        <f aca="false">IF(OR(D7252&gt;5,E7252&lt;8,E7252&gt;=18,COUNTIF($K$2:$K$10,INT(A7252))&gt;0),1,0)</f>
        <v>1</v>
      </c>
      <c r="G7252" s="34" t="n">
        <f aca="false">B7252/1</f>
        <v>63.201</v>
      </c>
      <c r="H7252" s="34" t="n">
        <f aca="false">IF(F7252=1,G7252,"")</f>
        <v>63.201</v>
      </c>
    </row>
    <row r="7253" customFormat="false" ht="15" hidden="false" customHeight="false" outlineLevel="0" collapsed="false">
      <c r="A7253" s="31" t="n">
        <v>43038.125</v>
      </c>
      <c r="B7253" s="32" t="n">
        <v>65.657</v>
      </c>
      <c r="D7253" s="33" t="n">
        <f aca="false">WEEKDAY(A7253,2)</f>
        <v>1</v>
      </c>
      <c r="E7253" s="33" t="n">
        <f aca="false">HOUR(A7253)+MINUTE(A7253)/60</f>
        <v>3</v>
      </c>
      <c r="F7253" s="33" t="n">
        <f aca="false">IF(OR(D7253&gt;5,E7253&lt;8,E7253&gt;=18,COUNTIF($K$2:$K$10,INT(A7253))&gt;0),1,0)</f>
        <v>1</v>
      </c>
      <c r="G7253" s="34" t="n">
        <f aca="false">B7253/1</f>
        <v>65.657</v>
      </c>
      <c r="H7253" s="34" t="n">
        <f aca="false">IF(F7253=1,G7253,"")</f>
        <v>65.657</v>
      </c>
    </row>
    <row r="7254" customFormat="false" ht="15" hidden="false" customHeight="false" outlineLevel="0" collapsed="false">
      <c r="A7254" s="31" t="n">
        <v>43038.1666666667</v>
      </c>
      <c r="B7254" s="32" t="n">
        <v>62.984</v>
      </c>
      <c r="D7254" s="33" t="n">
        <f aca="false">WEEKDAY(A7254,2)</f>
        <v>1</v>
      </c>
      <c r="E7254" s="33" t="n">
        <f aca="false">HOUR(A7254)+MINUTE(A7254)/60</f>
        <v>4</v>
      </c>
      <c r="F7254" s="33" t="n">
        <f aca="false">IF(OR(D7254&gt;5,E7254&lt;8,E7254&gt;=18,COUNTIF($K$2:$K$10,INT(A7254))&gt;0),1,0)</f>
        <v>1</v>
      </c>
      <c r="G7254" s="34" t="n">
        <f aca="false">B7254/1</f>
        <v>62.984</v>
      </c>
      <c r="H7254" s="34" t="n">
        <f aca="false">IF(F7254=1,G7254,"")</f>
        <v>62.984</v>
      </c>
    </row>
    <row r="7255" customFormat="false" ht="15" hidden="false" customHeight="false" outlineLevel="0" collapsed="false">
      <c r="A7255" s="31" t="n">
        <v>43038.2083333333</v>
      </c>
      <c r="B7255" s="32" t="n">
        <v>64.618</v>
      </c>
      <c r="D7255" s="33" t="n">
        <f aca="false">WEEKDAY(A7255,2)</f>
        <v>1</v>
      </c>
      <c r="E7255" s="33" t="n">
        <f aca="false">HOUR(A7255)+MINUTE(A7255)/60</f>
        <v>5</v>
      </c>
      <c r="F7255" s="33" t="n">
        <f aca="false">IF(OR(D7255&gt;5,E7255&lt;8,E7255&gt;=18,COUNTIF($K$2:$K$10,INT(A7255))&gt;0),1,0)</f>
        <v>1</v>
      </c>
      <c r="G7255" s="34" t="n">
        <f aca="false">B7255/1</f>
        <v>64.618</v>
      </c>
      <c r="H7255" s="34" t="n">
        <f aca="false">IF(F7255=1,G7255,"")</f>
        <v>64.618</v>
      </c>
    </row>
    <row r="7256" customFormat="false" ht="15" hidden="false" customHeight="false" outlineLevel="0" collapsed="false">
      <c r="A7256" s="31" t="n">
        <v>43038.25</v>
      </c>
      <c r="B7256" s="32" t="n">
        <v>64.829</v>
      </c>
      <c r="D7256" s="33" t="n">
        <f aca="false">WEEKDAY(A7256,2)</f>
        <v>1</v>
      </c>
      <c r="E7256" s="33" t="n">
        <f aca="false">HOUR(A7256)+MINUTE(A7256)/60</f>
        <v>6</v>
      </c>
      <c r="F7256" s="33" t="n">
        <f aca="false">IF(OR(D7256&gt;5,E7256&lt;8,E7256&gt;=18,COUNTIF($K$2:$K$10,INT(A7256))&gt;0),1,0)</f>
        <v>1</v>
      </c>
      <c r="G7256" s="34" t="n">
        <f aca="false">B7256/1</f>
        <v>64.829</v>
      </c>
      <c r="H7256" s="34" t="n">
        <f aca="false">IF(F7256=1,G7256,"")</f>
        <v>64.829</v>
      </c>
    </row>
    <row r="7257" customFormat="false" ht="15" hidden="false" customHeight="false" outlineLevel="0" collapsed="false">
      <c r="A7257" s="31" t="n">
        <v>43038.2916666667</v>
      </c>
      <c r="B7257" s="32" t="n">
        <v>83.966</v>
      </c>
      <c r="D7257" s="33" t="n">
        <f aca="false">WEEKDAY(A7257,2)</f>
        <v>1</v>
      </c>
      <c r="E7257" s="33" t="n">
        <f aca="false">HOUR(A7257)+MINUTE(A7257)/60</f>
        <v>7</v>
      </c>
      <c r="F7257" s="33" t="n">
        <f aca="false">IF(OR(D7257&gt;5,E7257&lt;8,E7257&gt;=18,COUNTIF($K$2:$K$10,INT(A7257))&gt;0),1,0)</f>
        <v>1</v>
      </c>
      <c r="G7257" s="34" t="n">
        <f aca="false">B7257/1</f>
        <v>83.966</v>
      </c>
      <c r="H7257" s="34" t="n">
        <f aca="false">IF(F7257=1,G7257,"")</f>
        <v>83.966</v>
      </c>
    </row>
    <row r="7258" customFormat="false" ht="15" hidden="false" customHeight="false" outlineLevel="0" collapsed="false">
      <c r="A7258" s="31" t="n">
        <v>43038.3333333333</v>
      </c>
      <c r="B7258" s="32" t="n">
        <v>173.641</v>
      </c>
      <c r="D7258" s="33" t="n">
        <f aca="false">WEEKDAY(A7258,2)</f>
        <v>1</v>
      </c>
      <c r="E7258" s="33" t="n">
        <f aca="false">HOUR(A7258)+MINUTE(A7258)/60</f>
        <v>8</v>
      </c>
      <c r="F7258" s="33" t="n">
        <f aca="false">IF(OR(D7258&gt;5,E7258&lt;8,E7258&gt;=18,COUNTIF($K$2:$K$10,INT(A7258))&gt;0),1,0)</f>
        <v>0</v>
      </c>
      <c r="G7258" s="34" t="n">
        <f aca="false">B7258/1</f>
        <v>173.641</v>
      </c>
      <c r="H7258" s="34" t="str">
        <f aca="false">IF(F7258=1,G7258,"")</f>
        <v/>
      </c>
    </row>
    <row r="7259" customFormat="false" ht="15" hidden="false" customHeight="false" outlineLevel="0" collapsed="false">
      <c r="A7259" s="31" t="n">
        <v>43038.375</v>
      </c>
      <c r="B7259" s="32" t="n">
        <v>218.048</v>
      </c>
      <c r="D7259" s="33" t="n">
        <f aca="false">WEEKDAY(A7259,2)</f>
        <v>1</v>
      </c>
      <c r="E7259" s="33" t="n">
        <f aca="false">HOUR(A7259)+MINUTE(A7259)/60</f>
        <v>9</v>
      </c>
      <c r="F7259" s="33" t="n">
        <f aca="false">IF(OR(D7259&gt;5,E7259&lt;8,E7259&gt;=18,COUNTIF($K$2:$K$10,INT(A7259))&gt;0),1,0)</f>
        <v>0</v>
      </c>
      <c r="G7259" s="34" t="n">
        <f aca="false">B7259/1</f>
        <v>218.048</v>
      </c>
      <c r="H7259" s="34" t="str">
        <f aca="false">IF(F7259=1,G7259,"")</f>
        <v/>
      </c>
    </row>
    <row r="7260" customFormat="false" ht="15" hidden="false" customHeight="false" outlineLevel="0" collapsed="false">
      <c r="A7260" s="31" t="n">
        <v>43038.4166666667</v>
      </c>
      <c r="B7260" s="32" t="n">
        <v>240.987</v>
      </c>
      <c r="D7260" s="33" t="n">
        <f aca="false">WEEKDAY(A7260,2)</f>
        <v>1</v>
      </c>
      <c r="E7260" s="33" t="n">
        <f aca="false">HOUR(A7260)+MINUTE(A7260)/60</f>
        <v>10</v>
      </c>
      <c r="F7260" s="33" t="n">
        <f aca="false">IF(OR(D7260&gt;5,E7260&lt;8,E7260&gt;=18,COUNTIF($K$2:$K$10,INT(A7260))&gt;0),1,0)</f>
        <v>0</v>
      </c>
      <c r="G7260" s="34" t="n">
        <f aca="false">B7260/1</f>
        <v>240.987</v>
      </c>
      <c r="H7260" s="34" t="str">
        <f aca="false">IF(F7260=1,G7260,"")</f>
        <v/>
      </c>
    </row>
    <row r="7261" customFormat="false" ht="15" hidden="false" customHeight="false" outlineLevel="0" collapsed="false">
      <c r="A7261" s="31" t="n">
        <v>43038.4583333333</v>
      </c>
      <c r="B7261" s="32" t="n">
        <v>250.547</v>
      </c>
      <c r="D7261" s="33" t="n">
        <f aca="false">WEEKDAY(A7261,2)</f>
        <v>1</v>
      </c>
      <c r="E7261" s="33" t="n">
        <f aca="false">HOUR(A7261)+MINUTE(A7261)/60</f>
        <v>11</v>
      </c>
      <c r="F7261" s="33" t="n">
        <f aca="false">IF(OR(D7261&gt;5,E7261&lt;8,E7261&gt;=18,COUNTIF($K$2:$K$10,INT(A7261))&gt;0),1,0)</f>
        <v>0</v>
      </c>
      <c r="G7261" s="34" t="n">
        <f aca="false">B7261/1</f>
        <v>250.547</v>
      </c>
      <c r="H7261" s="34" t="str">
        <f aca="false">IF(F7261=1,G7261,"")</f>
        <v/>
      </c>
    </row>
    <row r="7262" customFormat="false" ht="15" hidden="false" customHeight="false" outlineLevel="0" collapsed="false">
      <c r="A7262" s="31" t="n">
        <v>43038.5</v>
      </c>
      <c r="B7262" s="32" t="n">
        <v>252.725</v>
      </c>
      <c r="D7262" s="33" t="n">
        <f aca="false">WEEKDAY(A7262,2)</f>
        <v>1</v>
      </c>
      <c r="E7262" s="33" t="n">
        <f aca="false">HOUR(A7262)+MINUTE(A7262)/60</f>
        <v>12</v>
      </c>
      <c r="F7262" s="33" t="n">
        <f aca="false">IF(OR(D7262&gt;5,E7262&lt;8,E7262&gt;=18,COUNTIF($K$2:$K$10,INT(A7262))&gt;0),1,0)</f>
        <v>0</v>
      </c>
      <c r="G7262" s="34" t="n">
        <f aca="false">B7262/1</f>
        <v>252.725</v>
      </c>
      <c r="H7262" s="34" t="str">
        <f aca="false">IF(F7262=1,G7262,"")</f>
        <v/>
      </c>
    </row>
    <row r="7263" customFormat="false" ht="15" hidden="false" customHeight="false" outlineLevel="0" collapsed="false">
      <c r="A7263" s="31" t="n">
        <v>43038.5416666667</v>
      </c>
      <c r="B7263" s="32" t="n">
        <v>251.411</v>
      </c>
      <c r="D7263" s="33" t="n">
        <f aca="false">WEEKDAY(A7263,2)</f>
        <v>1</v>
      </c>
      <c r="E7263" s="33" t="n">
        <f aca="false">HOUR(A7263)+MINUTE(A7263)/60</f>
        <v>13</v>
      </c>
      <c r="F7263" s="33" t="n">
        <f aca="false">IF(OR(D7263&gt;5,E7263&lt;8,E7263&gt;=18,COUNTIF($K$2:$K$10,INT(A7263))&gt;0),1,0)</f>
        <v>0</v>
      </c>
      <c r="G7263" s="34" t="n">
        <f aca="false">B7263/1</f>
        <v>251.411</v>
      </c>
      <c r="H7263" s="34" t="str">
        <f aca="false">IF(F7263=1,G7263,"")</f>
        <v/>
      </c>
    </row>
    <row r="7264" customFormat="false" ht="15" hidden="false" customHeight="false" outlineLevel="0" collapsed="false">
      <c r="A7264" s="31" t="n">
        <v>43038.5833333333</v>
      </c>
      <c r="B7264" s="32" t="n">
        <v>256.953</v>
      </c>
      <c r="D7264" s="33" t="n">
        <f aca="false">WEEKDAY(A7264,2)</f>
        <v>1</v>
      </c>
      <c r="E7264" s="33" t="n">
        <f aca="false">HOUR(A7264)+MINUTE(A7264)/60</f>
        <v>14</v>
      </c>
      <c r="F7264" s="33" t="n">
        <f aca="false">IF(OR(D7264&gt;5,E7264&lt;8,E7264&gt;=18,COUNTIF($K$2:$K$10,INT(A7264))&gt;0),1,0)</f>
        <v>0</v>
      </c>
      <c r="G7264" s="34" t="n">
        <f aca="false">B7264/1</f>
        <v>256.953</v>
      </c>
      <c r="H7264" s="34" t="str">
        <f aca="false">IF(F7264=1,G7264,"")</f>
        <v/>
      </c>
    </row>
    <row r="7265" customFormat="false" ht="15" hidden="false" customHeight="false" outlineLevel="0" collapsed="false">
      <c r="A7265" s="31" t="n">
        <v>43038.625</v>
      </c>
      <c r="B7265" s="32" t="n">
        <v>259.219</v>
      </c>
      <c r="D7265" s="33" t="n">
        <f aca="false">WEEKDAY(A7265,2)</f>
        <v>1</v>
      </c>
      <c r="E7265" s="33" t="n">
        <f aca="false">HOUR(A7265)+MINUTE(A7265)/60</f>
        <v>15</v>
      </c>
      <c r="F7265" s="33" t="n">
        <f aca="false">IF(OR(D7265&gt;5,E7265&lt;8,E7265&gt;=18,COUNTIF($K$2:$K$10,INT(A7265))&gt;0),1,0)</f>
        <v>0</v>
      </c>
      <c r="G7265" s="34" t="n">
        <f aca="false">B7265/1</f>
        <v>259.219</v>
      </c>
      <c r="H7265" s="34" t="str">
        <f aca="false">IF(F7265=1,G7265,"")</f>
        <v/>
      </c>
    </row>
    <row r="7266" customFormat="false" ht="15" hidden="false" customHeight="false" outlineLevel="0" collapsed="false">
      <c r="A7266" s="31" t="n">
        <v>43038.6666666667</v>
      </c>
      <c r="B7266" s="32" t="n">
        <v>254.146</v>
      </c>
      <c r="D7266" s="33" t="n">
        <f aca="false">WEEKDAY(A7266,2)</f>
        <v>1</v>
      </c>
      <c r="E7266" s="33" t="n">
        <f aca="false">HOUR(A7266)+MINUTE(A7266)/60</f>
        <v>16</v>
      </c>
      <c r="F7266" s="33" t="n">
        <f aca="false">IF(OR(D7266&gt;5,E7266&lt;8,E7266&gt;=18,COUNTIF($K$2:$K$10,INT(A7266))&gt;0),1,0)</f>
        <v>0</v>
      </c>
      <c r="G7266" s="34" t="n">
        <f aca="false">B7266/1</f>
        <v>254.146</v>
      </c>
      <c r="H7266" s="34" t="str">
        <f aca="false">IF(F7266=1,G7266,"")</f>
        <v/>
      </c>
    </row>
    <row r="7267" customFormat="false" ht="15" hidden="false" customHeight="false" outlineLevel="0" collapsed="false">
      <c r="A7267" s="31" t="n">
        <v>43038.7083333333</v>
      </c>
      <c r="B7267" s="32" t="n">
        <v>246.601</v>
      </c>
      <c r="D7267" s="33" t="n">
        <f aca="false">WEEKDAY(A7267,2)</f>
        <v>1</v>
      </c>
      <c r="E7267" s="33" t="n">
        <f aca="false">HOUR(A7267)+MINUTE(A7267)/60</f>
        <v>17</v>
      </c>
      <c r="F7267" s="33" t="n">
        <f aca="false">IF(OR(D7267&gt;5,E7267&lt;8,E7267&gt;=18,COUNTIF($K$2:$K$10,INT(A7267))&gt;0),1,0)</f>
        <v>0</v>
      </c>
      <c r="G7267" s="34" t="n">
        <f aca="false">B7267/1</f>
        <v>246.601</v>
      </c>
      <c r="H7267" s="34" t="str">
        <f aca="false">IF(F7267=1,G7267,"")</f>
        <v/>
      </c>
    </row>
    <row r="7268" customFormat="false" ht="15" hidden="false" customHeight="false" outlineLevel="0" collapsed="false">
      <c r="A7268" s="31" t="n">
        <v>43038.75</v>
      </c>
      <c r="B7268" s="32" t="n">
        <v>224.106</v>
      </c>
      <c r="D7268" s="33" t="n">
        <f aca="false">WEEKDAY(A7268,2)</f>
        <v>1</v>
      </c>
      <c r="E7268" s="33" t="n">
        <f aca="false">HOUR(A7268)+MINUTE(A7268)/60</f>
        <v>18</v>
      </c>
      <c r="F7268" s="33" t="n">
        <f aca="false">IF(OR(D7268&gt;5,E7268&lt;8,E7268&gt;=18,COUNTIF($K$2:$K$10,INT(A7268))&gt;0),1,0)</f>
        <v>1</v>
      </c>
      <c r="G7268" s="34" t="n">
        <f aca="false">B7268/1</f>
        <v>224.106</v>
      </c>
      <c r="H7268" s="34" t="n">
        <f aca="false">IF(F7268=1,G7268,"")</f>
        <v>224.106</v>
      </c>
    </row>
    <row r="7269" customFormat="false" ht="15" hidden="false" customHeight="false" outlineLevel="0" collapsed="false">
      <c r="A7269" s="31" t="n">
        <v>43038.7916666667</v>
      </c>
      <c r="B7269" s="32" t="n">
        <v>209.266</v>
      </c>
      <c r="D7269" s="33" t="n">
        <f aca="false">WEEKDAY(A7269,2)</f>
        <v>1</v>
      </c>
      <c r="E7269" s="33" t="n">
        <f aca="false">HOUR(A7269)+MINUTE(A7269)/60</f>
        <v>19</v>
      </c>
      <c r="F7269" s="33" t="n">
        <f aca="false">IF(OR(D7269&gt;5,E7269&lt;8,E7269&gt;=18,COUNTIF($K$2:$K$10,INT(A7269))&gt;0),1,0)</f>
        <v>1</v>
      </c>
      <c r="G7269" s="34" t="n">
        <f aca="false">B7269/1</f>
        <v>209.266</v>
      </c>
      <c r="H7269" s="34" t="n">
        <f aca="false">IF(F7269=1,G7269,"")</f>
        <v>209.266</v>
      </c>
    </row>
    <row r="7270" customFormat="false" ht="15" hidden="false" customHeight="false" outlineLevel="0" collapsed="false">
      <c r="A7270" s="31" t="n">
        <v>43038.8333333333</v>
      </c>
      <c r="B7270" s="32" t="n">
        <v>200.867</v>
      </c>
      <c r="D7270" s="33" t="n">
        <f aca="false">WEEKDAY(A7270,2)</f>
        <v>1</v>
      </c>
      <c r="E7270" s="33" t="n">
        <f aca="false">HOUR(A7270)+MINUTE(A7270)/60</f>
        <v>20</v>
      </c>
      <c r="F7270" s="33" t="n">
        <f aca="false">IF(OR(D7270&gt;5,E7270&lt;8,E7270&gt;=18,COUNTIF($K$2:$K$10,INT(A7270))&gt;0),1,0)</f>
        <v>1</v>
      </c>
      <c r="G7270" s="34" t="n">
        <f aca="false">B7270/1</f>
        <v>200.867</v>
      </c>
      <c r="H7270" s="34" t="n">
        <f aca="false">IF(F7270=1,G7270,"")</f>
        <v>200.867</v>
      </c>
    </row>
    <row r="7271" customFormat="false" ht="15" hidden="false" customHeight="false" outlineLevel="0" collapsed="false">
      <c r="A7271" s="31" t="n">
        <v>43038.875</v>
      </c>
      <c r="B7271" s="32" t="n">
        <v>199.035</v>
      </c>
      <c r="D7271" s="33" t="n">
        <f aca="false">WEEKDAY(A7271,2)</f>
        <v>1</v>
      </c>
      <c r="E7271" s="33" t="n">
        <f aca="false">HOUR(A7271)+MINUTE(A7271)/60</f>
        <v>21</v>
      </c>
      <c r="F7271" s="33" t="n">
        <f aca="false">IF(OR(D7271&gt;5,E7271&lt;8,E7271&gt;=18,COUNTIF($K$2:$K$10,INT(A7271))&gt;0),1,0)</f>
        <v>1</v>
      </c>
      <c r="G7271" s="34" t="n">
        <f aca="false">B7271/1</f>
        <v>199.035</v>
      </c>
      <c r="H7271" s="34" t="n">
        <f aca="false">IF(F7271=1,G7271,"")</f>
        <v>199.035</v>
      </c>
    </row>
    <row r="7272" customFormat="false" ht="15" hidden="false" customHeight="false" outlineLevel="0" collapsed="false">
      <c r="A7272" s="31" t="n">
        <v>43038.9166666667</v>
      </c>
      <c r="B7272" s="32" t="n">
        <v>144.971</v>
      </c>
      <c r="D7272" s="33" t="n">
        <f aca="false">WEEKDAY(A7272,2)</f>
        <v>1</v>
      </c>
      <c r="E7272" s="33" t="n">
        <f aca="false">HOUR(A7272)+MINUTE(A7272)/60</f>
        <v>22</v>
      </c>
      <c r="F7272" s="33" t="n">
        <f aca="false">IF(OR(D7272&gt;5,E7272&lt;8,E7272&gt;=18,COUNTIF($K$2:$K$10,INT(A7272))&gt;0),1,0)</f>
        <v>1</v>
      </c>
      <c r="G7272" s="34" t="n">
        <f aca="false">B7272/1</f>
        <v>144.971</v>
      </c>
      <c r="H7272" s="34" t="n">
        <f aca="false">IF(F7272=1,G7272,"")</f>
        <v>144.971</v>
      </c>
    </row>
    <row r="7273" customFormat="false" ht="15" hidden="false" customHeight="false" outlineLevel="0" collapsed="false">
      <c r="A7273" s="31" t="n">
        <v>43038.9583333333</v>
      </c>
      <c r="B7273" s="32" t="n">
        <v>83.67</v>
      </c>
      <c r="D7273" s="33" t="n">
        <f aca="false">WEEKDAY(A7273,2)</f>
        <v>1</v>
      </c>
      <c r="E7273" s="33" t="n">
        <f aca="false">HOUR(A7273)+MINUTE(A7273)/60</f>
        <v>23</v>
      </c>
      <c r="F7273" s="33" t="n">
        <f aca="false">IF(OR(D7273&gt;5,E7273&lt;8,E7273&gt;=18,COUNTIF($K$2:$K$10,INT(A7273))&gt;0),1,0)</f>
        <v>1</v>
      </c>
      <c r="G7273" s="34" t="n">
        <f aca="false">B7273/1</f>
        <v>83.67</v>
      </c>
      <c r="H7273" s="34" t="n">
        <f aca="false">IF(F7273=1,G7273,"")</f>
        <v>83.67</v>
      </c>
    </row>
    <row r="7274" customFormat="false" ht="15" hidden="false" customHeight="false" outlineLevel="0" collapsed="false">
      <c r="A7274" s="31" t="n">
        <v>43039</v>
      </c>
      <c r="B7274" s="32" t="n">
        <v>74.33</v>
      </c>
      <c r="D7274" s="33" t="n">
        <f aca="false">WEEKDAY(A7274,2)</f>
        <v>2</v>
      </c>
      <c r="E7274" s="33" t="n">
        <f aca="false">HOUR(A7274)+MINUTE(A7274)/60</f>
        <v>0</v>
      </c>
      <c r="F7274" s="33" t="n">
        <f aca="false">IF(OR(D7274&gt;5,E7274&lt;8,E7274&gt;=18,COUNTIF($K$2:$K$10,INT(A7274))&gt;0),1,0)</f>
        <v>1</v>
      </c>
      <c r="G7274" s="34" t="n">
        <f aca="false">B7274/1</f>
        <v>74.33</v>
      </c>
      <c r="H7274" s="34" t="n">
        <f aca="false">IF(F7274=1,G7274,"")</f>
        <v>74.33</v>
      </c>
    </row>
    <row r="7275" customFormat="false" ht="15" hidden="false" customHeight="false" outlineLevel="0" collapsed="false">
      <c r="A7275" s="31" t="n">
        <v>43039.0416666667</v>
      </c>
      <c r="B7275" s="32" t="n">
        <v>68.567</v>
      </c>
      <c r="D7275" s="33" t="n">
        <f aca="false">WEEKDAY(A7275,2)</f>
        <v>2</v>
      </c>
      <c r="E7275" s="33" t="n">
        <f aca="false">HOUR(A7275)+MINUTE(A7275)/60</f>
        <v>1</v>
      </c>
      <c r="F7275" s="33" t="n">
        <f aca="false">IF(OR(D7275&gt;5,E7275&lt;8,E7275&gt;=18,COUNTIF($K$2:$K$10,INT(A7275))&gt;0),1,0)</f>
        <v>1</v>
      </c>
      <c r="G7275" s="34" t="n">
        <f aca="false">B7275/1</f>
        <v>68.567</v>
      </c>
      <c r="H7275" s="34" t="n">
        <f aca="false">IF(F7275=1,G7275,"")</f>
        <v>68.567</v>
      </c>
    </row>
    <row r="7276" customFormat="false" ht="15" hidden="false" customHeight="false" outlineLevel="0" collapsed="false">
      <c r="A7276" s="31" t="n">
        <v>43039.0833333333</v>
      </c>
      <c r="B7276" s="32" t="n">
        <v>65.871</v>
      </c>
      <c r="D7276" s="33" t="n">
        <f aca="false">WEEKDAY(A7276,2)</f>
        <v>2</v>
      </c>
      <c r="E7276" s="33" t="n">
        <f aca="false">HOUR(A7276)+MINUTE(A7276)/60</f>
        <v>2</v>
      </c>
      <c r="F7276" s="33" t="n">
        <f aca="false">IF(OR(D7276&gt;5,E7276&lt;8,E7276&gt;=18,COUNTIF($K$2:$K$10,INT(A7276))&gt;0),1,0)</f>
        <v>1</v>
      </c>
      <c r="G7276" s="34" t="n">
        <f aca="false">B7276/1</f>
        <v>65.871</v>
      </c>
      <c r="H7276" s="34" t="n">
        <f aca="false">IF(F7276=1,G7276,"")</f>
        <v>65.871</v>
      </c>
    </row>
    <row r="7277" customFormat="false" ht="15" hidden="false" customHeight="false" outlineLevel="0" collapsed="false">
      <c r="A7277" s="31" t="n">
        <v>43039.125</v>
      </c>
      <c r="B7277" s="32" t="n">
        <v>64.13</v>
      </c>
      <c r="D7277" s="33" t="n">
        <f aca="false">WEEKDAY(A7277,2)</f>
        <v>2</v>
      </c>
      <c r="E7277" s="33" t="n">
        <f aca="false">HOUR(A7277)+MINUTE(A7277)/60</f>
        <v>3</v>
      </c>
      <c r="F7277" s="33" t="n">
        <f aca="false">IF(OR(D7277&gt;5,E7277&lt;8,E7277&gt;=18,COUNTIF($K$2:$K$10,INT(A7277))&gt;0),1,0)</f>
        <v>1</v>
      </c>
      <c r="G7277" s="34" t="n">
        <f aca="false">B7277/1</f>
        <v>64.13</v>
      </c>
      <c r="H7277" s="34" t="n">
        <f aca="false">IF(F7277=1,G7277,"")</f>
        <v>64.13</v>
      </c>
    </row>
    <row r="7278" customFormat="false" ht="15" hidden="false" customHeight="false" outlineLevel="0" collapsed="false">
      <c r="A7278" s="31" t="n">
        <v>43039.1666666667</v>
      </c>
      <c r="B7278" s="32" t="n">
        <v>63.116</v>
      </c>
      <c r="D7278" s="33" t="n">
        <f aca="false">WEEKDAY(A7278,2)</f>
        <v>2</v>
      </c>
      <c r="E7278" s="33" t="n">
        <f aca="false">HOUR(A7278)+MINUTE(A7278)/60</f>
        <v>4</v>
      </c>
      <c r="F7278" s="33" t="n">
        <f aca="false">IF(OR(D7278&gt;5,E7278&lt;8,E7278&gt;=18,COUNTIF($K$2:$K$10,INT(A7278))&gt;0),1,0)</f>
        <v>1</v>
      </c>
      <c r="G7278" s="34" t="n">
        <f aca="false">B7278/1</f>
        <v>63.116</v>
      </c>
      <c r="H7278" s="34" t="n">
        <f aca="false">IF(F7278=1,G7278,"")</f>
        <v>63.116</v>
      </c>
    </row>
    <row r="7279" customFormat="false" ht="15" hidden="false" customHeight="false" outlineLevel="0" collapsed="false">
      <c r="A7279" s="31" t="n">
        <v>43039.2083333333</v>
      </c>
      <c r="B7279" s="32" t="n">
        <v>63.518</v>
      </c>
      <c r="D7279" s="33" t="n">
        <f aca="false">WEEKDAY(A7279,2)</f>
        <v>2</v>
      </c>
      <c r="E7279" s="33" t="n">
        <f aca="false">HOUR(A7279)+MINUTE(A7279)/60</f>
        <v>5</v>
      </c>
      <c r="F7279" s="33" t="n">
        <f aca="false">IF(OR(D7279&gt;5,E7279&lt;8,E7279&gt;=18,COUNTIF($K$2:$K$10,INT(A7279))&gt;0),1,0)</f>
        <v>1</v>
      </c>
      <c r="G7279" s="34" t="n">
        <f aca="false">B7279/1</f>
        <v>63.518</v>
      </c>
      <c r="H7279" s="34" t="n">
        <f aca="false">IF(F7279=1,G7279,"")</f>
        <v>63.518</v>
      </c>
    </row>
    <row r="7280" customFormat="false" ht="15" hidden="false" customHeight="false" outlineLevel="0" collapsed="false">
      <c r="A7280" s="31" t="n">
        <v>43039.25</v>
      </c>
      <c r="B7280" s="32" t="n">
        <v>65.613</v>
      </c>
      <c r="D7280" s="33" t="n">
        <f aca="false">WEEKDAY(A7280,2)</f>
        <v>2</v>
      </c>
      <c r="E7280" s="33" t="n">
        <f aca="false">HOUR(A7280)+MINUTE(A7280)/60</f>
        <v>6</v>
      </c>
      <c r="F7280" s="33" t="n">
        <f aca="false">IF(OR(D7280&gt;5,E7280&lt;8,E7280&gt;=18,COUNTIF($K$2:$K$10,INT(A7280))&gt;0),1,0)</f>
        <v>1</v>
      </c>
      <c r="G7280" s="34" t="n">
        <f aca="false">B7280/1</f>
        <v>65.613</v>
      </c>
      <c r="H7280" s="34" t="n">
        <f aca="false">IF(F7280=1,G7280,"")</f>
        <v>65.613</v>
      </c>
    </row>
    <row r="7281" customFormat="false" ht="15" hidden="false" customHeight="false" outlineLevel="0" collapsed="false">
      <c r="A7281" s="31" t="n">
        <v>43039.2916666667</v>
      </c>
      <c r="B7281" s="32" t="n">
        <v>70.977</v>
      </c>
      <c r="D7281" s="33" t="n">
        <f aca="false">WEEKDAY(A7281,2)</f>
        <v>2</v>
      </c>
      <c r="E7281" s="33" t="n">
        <f aca="false">HOUR(A7281)+MINUTE(A7281)/60</f>
        <v>7</v>
      </c>
      <c r="F7281" s="33" t="n">
        <f aca="false">IF(OR(D7281&gt;5,E7281&lt;8,E7281&gt;=18,COUNTIF($K$2:$K$10,INT(A7281))&gt;0),1,0)</f>
        <v>1</v>
      </c>
      <c r="G7281" s="34" t="n">
        <f aca="false">B7281/1</f>
        <v>70.977</v>
      </c>
      <c r="H7281" s="34" t="n">
        <f aca="false">IF(F7281=1,G7281,"")</f>
        <v>70.977</v>
      </c>
    </row>
    <row r="7282" customFormat="false" ht="15" hidden="false" customHeight="false" outlineLevel="0" collapsed="false">
      <c r="A7282" s="31" t="n">
        <v>43039.3333333333</v>
      </c>
      <c r="B7282" s="32" t="n">
        <v>167.767</v>
      </c>
      <c r="D7282" s="33" t="n">
        <f aca="false">WEEKDAY(A7282,2)</f>
        <v>2</v>
      </c>
      <c r="E7282" s="33" t="n">
        <f aca="false">HOUR(A7282)+MINUTE(A7282)/60</f>
        <v>8</v>
      </c>
      <c r="F7282" s="33" t="n">
        <f aca="false">IF(OR(D7282&gt;5,E7282&lt;8,E7282&gt;=18,COUNTIF($K$2:$K$10,INT(A7282))&gt;0),1,0)</f>
        <v>0</v>
      </c>
      <c r="G7282" s="34" t="n">
        <f aca="false">B7282/1</f>
        <v>167.767</v>
      </c>
      <c r="H7282" s="34" t="str">
        <f aca="false">IF(F7282=1,G7282,"")</f>
        <v/>
      </c>
    </row>
    <row r="7283" customFormat="false" ht="15" hidden="false" customHeight="false" outlineLevel="0" collapsed="false">
      <c r="A7283" s="31" t="n">
        <v>43039.375</v>
      </c>
      <c r="B7283" s="32" t="n">
        <v>213.932</v>
      </c>
      <c r="D7283" s="33" t="n">
        <f aca="false">WEEKDAY(A7283,2)</f>
        <v>2</v>
      </c>
      <c r="E7283" s="33" t="n">
        <f aca="false">HOUR(A7283)+MINUTE(A7283)/60</f>
        <v>9</v>
      </c>
      <c r="F7283" s="33" t="n">
        <f aca="false">IF(OR(D7283&gt;5,E7283&lt;8,E7283&gt;=18,COUNTIF($K$2:$K$10,INT(A7283))&gt;0),1,0)</f>
        <v>0</v>
      </c>
      <c r="G7283" s="34" t="n">
        <f aca="false">B7283/1</f>
        <v>213.932</v>
      </c>
      <c r="H7283" s="34" t="str">
        <f aca="false">IF(F7283=1,G7283,"")</f>
        <v/>
      </c>
    </row>
    <row r="7284" customFormat="false" ht="15" hidden="false" customHeight="false" outlineLevel="0" collapsed="false">
      <c r="A7284" s="31" t="n">
        <v>43039.4166666667</v>
      </c>
      <c r="B7284" s="32" t="n">
        <v>236.73</v>
      </c>
      <c r="D7284" s="33" t="n">
        <f aca="false">WEEKDAY(A7284,2)</f>
        <v>2</v>
      </c>
      <c r="E7284" s="33" t="n">
        <f aca="false">HOUR(A7284)+MINUTE(A7284)/60</f>
        <v>10</v>
      </c>
      <c r="F7284" s="33" t="n">
        <f aca="false">IF(OR(D7284&gt;5,E7284&lt;8,E7284&gt;=18,COUNTIF($K$2:$K$10,INT(A7284))&gt;0),1,0)</f>
        <v>0</v>
      </c>
      <c r="G7284" s="34" t="n">
        <f aca="false">B7284/1</f>
        <v>236.73</v>
      </c>
      <c r="H7284" s="34" t="str">
        <f aca="false">IF(F7284=1,G7284,"")</f>
        <v/>
      </c>
    </row>
    <row r="7285" customFormat="false" ht="15" hidden="false" customHeight="false" outlineLevel="0" collapsed="false">
      <c r="A7285" s="31" t="n">
        <v>43039.4583333333</v>
      </c>
      <c r="B7285" s="32" t="n">
        <v>257.785</v>
      </c>
      <c r="D7285" s="33" t="n">
        <f aca="false">WEEKDAY(A7285,2)</f>
        <v>2</v>
      </c>
      <c r="E7285" s="33" t="n">
        <f aca="false">HOUR(A7285)+MINUTE(A7285)/60</f>
        <v>11</v>
      </c>
      <c r="F7285" s="33" t="n">
        <f aca="false">IF(OR(D7285&gt;5,E7285&lt;8,E7285&gt;=18,COUNTIF($K$2:$K$10,INT(A7285))&gt;0),1,0)</f>
        <v>0</v>
      </c>
      <c r="G7285" s="34" t="n">
        <f aca="false">B7285/1</f>
        <v>257.785</v>
      </c>
      <c r="H7285" s="34" t="str">
        <f aca="false">IF(F7285=1,G7285,"")</f>
        <v/>
      </c>
    </row>
    <row r="7286" customFormat="false" ht="15" hidden="false" customHeight="false" outlineLevel="0" collapsed="false">
      <c r="A7286" s="31" t="n">
        <v>43039.5</v>
      </c>
      <c r="B7286" s="32" t="n">
        <v>276.039</v>
      </c>
      <c r="D7286" s="33" t="n">
        <f aca="false">WEEKDAY(A7286,2)</f>
        <v>2</v>
      </c>
      <c r="E7286" s="33" t="n">
        <f aca="false">HOUR(A7286)+MINUTE(A7286)/60</f>
        <v>12</v>
      </c>
      <c r="F7286" s="33" t="n">
        <f aca="false">IF(OR(D7286&gt;5,E7286&lt;8,E7286&gt;=18,COUNTIF($K$2:$K$10,INT(A7286))&gt;0),1,0)</f>
        <v>0</v>
      </c>
      <c r="G7286" s="34" t="n">
        <f aca="false">B7286/1</f>
        <v>276.039</v>
      </c>
      <c r="H7286" s="34" t="str">
        <f aca="false">IF(F7286=1,G7286,"")</f>
        <v/>
      </c>
    </row>
    <row r="7287" customFormat="false" ht="15" hidden="false" customHeight="false" outlineLevel="0" collapsed="false">
      <c r="A7287" s="31" t="n">
        <v>43039.5416666667</v>
      </c>
      <c r="B7287" s="32" t="n">
        <v>262.07</v>
      </c>
      <c r="D7287" s="33" t="n">
        <f aca="false">WEEKDAY(A7287,2)</f>
        <v>2</v>
      </c>
      <c r="E7287" s="33" t="n">
        <f aca="false">HOUR(A7287)+MINUTE(A7287)/60</f>
        <v>13</v>
      </c>
      <c r="F7287" s="33" t="n">
        <f aca="false">IF(OR(D7287&gt;5,E7287&lt;8,E7287&gt;=18,COUNTIF($K$2:$K$10,INT(A7287))&gt;0),1,0)</f>
        <v>0</v>
      </c>
      <c r="G7287" s="34" t="n">
        <f aca="false">B7287/1</f>
        <v>262.07</v>
      </c>
      <c r="H7287" s="34" t="str">
        <f aca="false">IF(F7287=1,G7287,"")</f>
        <v/>
      </c>
    </row>
    <row r="7288" customFormat="false" ht="15" hidden="false" customHeight="false" outlineLevel="0" collapsed="false">
      <c r="A7288" s="31" t="n">
        <v>43039.5833333333</v>
      </c>
      <c r="B7288" s="32" t="n">
        <v>289.633</v>
      </c>
      <c r="D7288" s="33" t="n">
        <f aca="false">WEEKDAY(A7288,2)</f>
        <v>2</v>
      </c>
      <c r="E7288" s="33" t="n">
        <f aca="false">HOUR(A7288)+MINUTE(A7288)/60</f>
        <v>14</v>
      </c>
      <c r="F7288" s="33" t="n">
        <f aca="false">IF(OR(D7288&gt;5,E7288&lt;8,E7288&gt;=18,COUNTIF($K$2:$K$10,INT(A7288))&gt;0),1,0)</f>
        <v>0</v>
      </c>
      <c r="G7288" s="34" t="n">
        <f aca="false">B7288/1</f>
        <v>289.633</v>
      </c>
      <c r="H7288" s="34" t="str">
        <f aca="false">IF(F7288=1,G7288,"")</f>
        <v/>
      </c>
    </row>
    <row r="7289" customFormat="false" ht="15" hidden="false" customHeight="false" outlineLevel="0" collapsed="false">
      <c r="A7289" s="31" t="n">
        <v>43039.625</v>
      </c>
      <c r="B7289" s="32" t="n">
        <v>268.73</v>
      </c>
      <c r="D7289" s="33" t="n">
        <f aca="false">WEEKDAY(A7289,2)</f>
        <v>2</v>
      </c>
      <c r="E7289" s="33" t="n">
        <f aca="false">HOUR(A7289)+MINUTE(A7289)/60</f>
        <v>15</v>
      </c>
      <c r="F7289" s="33" t="n">
        <f aca="false">IF(OR(D7289&gt;5,E7289&lt;8,E7289&gt;=18,COUNTIF($K$2:$K$10,INT(A7289))&gt;0),1,0)</f>
        <v>0</v>
      </c>
      <c r="G7289" s="34" t="n">
        <f aca="false">B7289/1</f>
        <v>268.73</v>
      </c>
      <c r="H7289" s="34" t="str">
        <f aca="false">IF(F7289=1,G7289,"")</f>
        <v/>
      </c>
    </row>
    <row r="7290" customFormat="false" ht="15" hidden="false" customHeight="false" outlineLevel="0" collapsed="false">
      <c r="A7290" s="31" t="n">
        <v>43039.6666666667</v>
      </c>
      <c r="B7290" s="32" t="n">
        <v>268.374</v>
      </c>
      <c r="D7290" s="33" t="n">
        <f aca="false">WEEKDAY(A7290,2)</f>
        <v>2</v>
      </c>
      <c r="E7290" s="33" t="n">
        <f aca="false">HOUR(A7290)+MINUTE(A7290)/60</f>
        <v>16</v>
      </c>
      <c r="F7290" s="33" t="n">
        <f aca="false">IF(OR(D7290&gt;5,E7290&lt;8,E7290&gt;=18,COUNTIF($K$2:$K$10,INT(A7290))&gt;0),1,0)</f>
        <v>0</v>
      </c>
      <c r="G7290" s="34" t="n">
        <f aca="false">B7290/1</f>
        <v>268.374</v>
      </c>
      <c r="H7290" s="34" t="str">
        <f aca="false">IF(F7290=1,G7290,"")</f>
        <v/>
      </c>
    </row>
    <row r="7291" customFormat="false" ht="15" hidden="false" customHeight="false" outlineLevel="0" collapsed="false">
      <c r="A7291" s="31" t="n">
        <v>43039.7083333333</v>
      </c>
      <c r="B7291" s="32" t="n">
        <v>270.124</v>
      </c>
      <c r="D7291" s="33" t="n">
        <f aca="false">WEEKDAY(A7291,2)</f>
        <v>2</v>
      </c>
      <c r="E7291" s="33" t="n">
        <f aca="false">HOUR(A7291)+MINUTE(A7291)/60</f>
        <v>17</v>
      </c>
      <c r="F7291" s="33" t="n">
        <f aca="false">IF(OR(D7291&gt;5,E7291&lt;8,E7291&gt;=18,COUNTIF($K$2:$K$10,INT(A7291))&gt;0),1,0)</f>
        <v>0</v>
      </c>
      <c r="G7291" s="34" t="n">
        <f aca="false">B7291/1</f>
        <v>270.124</v>
      </c>
      <c r="H7291" s="34" t="str">
        <f aca="false">IF(F7291=1,G7291,"")</f>
        <v/>
      </c>
    </row>
    <row r="7292" customFormat="false" ht="15" hidden="false" customHeight="false" outlineLevel="0" collapsed="false">
      <c r="A7292" s="31" t="n">
        <v>43039.75</v>
      </c>
      <c r="B7292" s="32" t="n">
        <v>226.5</v>
      </c>
      <c r="D7292" s="33" t="n">
        <f aca="false">WEEKDAY(A7292,2)</f>
        <v>2</v>
      </c>
      <c r="E7292" s="33" t="n">
        <f aca="false">HOUR(A7292)+MINUTE(A7292)/60</f>
        <v>18</v>
      </c>
      <c r="F7292" s="33" t="n">
        <f aca="false">IF(OR(D7292&gt;5,E7292&lt;8,E7292&gt;=18,COUNTIF($K$2:$K$10,INT(A7292))&gt;0),1,0)</f>
        <v>1</v>
      </c>
      <c r="G7292" s="34" t="n">
        <f aca="false">B7292/1</f>
        <v>226.5</v>
      </c>
      <c r="H7292" s="34" t="n">
        <f aca="false">IF(F7292=1,G7292,"")</f>
        <v>226.5</v>
      </c>
    </row>
    <row r="7293" customFormat="false" ht="15" hidden="false" customHeight="false" outlineLevel="0" collapsed="false">
      <c r="A7293" s="31" t="n">
        <v>43039.7916666667</v>
      </c>
      <c r="B7293" s="32" t="n">
        <v>213.183</v>
      </c>
      <c r="D7293" s="33" t="n">
        <f aca="false">WEEKDAY(A7293,2)</f>
        <v>2</v>
      </c>
      <c r="E7293" s="33" t="n">
        <f aca="false">HOUR(A7293)+MINUTE(A7293)/60</f>
        <v>19</v>
      </c>
      <c r="F7293" s="33" t="n">
        <f aca="false">IF(OR(D7293&gt;5,E7293&lt;8,E7293&gt;=18,COUNTIF($K$2:$K$10,INT(A7293))&gt;0),1,0)</f>
        <v>1</v>
      </c>
      <c r="G7293" s="34" t="n">
        <f aca="false">B7293/1</f>
        <v>213.183</v>
      </c>
      <c r="H7293" s="34" t="n">
        <f aca="false">IF(F7293=1,G7293,"")</f>
        <v>213.183</v>
      </c>
    </row>
    <row r="7294" customFormat="false" ht="15" hidden="false" customHeight="false" outlineLevel="0" collapsed="false">
      <c r="A7294" s="31" t="n">
        <v>43039.8333333333</v>
      </c>
      <c r="B7294" s="32" t="n">
        <v>206.437</v>
      </c>
      <c r="D7294" s="33" t="n">
        <f aca="false">WEEKDAY(A7294,2)</f>
        <v>2</v>
      </c>
      <c r="E7294" s="33" t="n">
        <f aca="false">HOUR(A7294)+MINUTE(A7294)/60</f>
        <v>20</v>
      </c>
      <c r="F7294" s="33" t="n">
        <f aca="false">IF(OR(D7294&gt;5,E7294&lt;8,E7294&gt;=18,COUNTIF($K$2:$K$10,INT(A7294))&gt;0),1,0)</f>
        <v>1</v>
      </c>
      <c r="G7294" s="34" t="n">
        <f aca="false">B7294/1</f>
        <v>206.437</v>
      </c>
      <c r="H7294" s="34" t="n">
        <f aca="false">IF(F7294=1,G7294,"")</f>
        <v>206.437</v>
      </c>
    </row>
    <row r="7295" customFormat="false" ht="15" hidden="false" customHeight="false" outlineLevel="0" collapsed="false">
      <c r="A7295" s="31" t="n">
        <v>43039.875</v>
      </c>
      <c r="B7295" s="32" t="n">
        <v>199.482</v>
      </c>
      <c r="D7295" s="33" t="n">
        <f aca="false">WEEKDAY(A7295,2)</f>
        <v>2</v>
      </c>
      <c r="E7295" s="33" t="n">
        <f aca="false">HOUR(A7295)+MINUTE(A7295)/60</f>
        <v>21</v>
      </c>
      <c r="F7295" s="33" t="n">
        <f aca="false">IF(OR(D7295&gt;5,E7295&lt;8,E7295&gt;=18,COUNTIF($K$2:$K$10,INT(A7295))&gt;0),1,0)</f>
        <v>1</v>
      </c>
      <c r="G7295" s="34" t="n">
        <f aca="false">B7295/1</f>
        <v>199.482</v>
      </c>
      <c r="H7295" s="34" t="n">
        <f aca="false">IF(F7295=1,G7295,"")</f>
        <v>199.482</v>
      </c>
    </row>
    <row r="7296" customFormat="false" ht="15" hidden="false" customHeight="false" outlineLevel="0" collapsed="false">
      <c r="A7296" s="31" t="n">
        <v>43039.9166666667</v>
      </c>
      <c r="B7296" s="32" t="n">
        <v>146.031</v>
      </c>
      <c r="D7296" s="33" t="n">
        <f aca="false">WEEKDAY(A7296,2)</f>
        <v>2</v>
      </c>
      <c r="E7296" s="33" t="n">
        <f aca="false">HOUR(A7296)+MINUTE(A7296)/60</f>
        <v>22</v>
      </c>
      <c r="F7296" s="33" t="n">
        <f aca="false">IF(OR(D7296&gt;5,E7296&lt;8,E7296&gt;=18,COUNTIF($K$2:$K$10,INT(A7296))&gt;0),1,0)</f>
        <v>1</v>
      </c>
      <c r="G7296" s="34" t="n">
        <f aca="false">B7296/1</f>
        <v>146.031</v>
      </c>
      <c r="H7296" s="34" t="n">
        <f aca="false">IF(F7296=1,G7296,"")</f>
        <v>146.031</v>
      </c>
    </row>
    <row r="7297" customFormat="false" ht="15" hidden="false" customHeight="false" outlineLevel="0" collapsed="false">
      <c r="A7297" s="31" t="n">
        <v>43039.9583333333</v>
      </c>
      <c r="B7297" s="32" t="n">
        <v>85.78</v>
      </c>
      <c r="D7297" s="33" t="n">
        <f aca="false">WEEKDAY(A7297,2)</f>
        <v>2</v>
      </c>
      <c r="E7297" s="33" t="n">
        <f aca="false">HOUR(A7297)+MINUTE(A7297)/60</f>
        <v>23</v>
      </c>
      <c r="F7297" s="33" t="n">
        <f aca="false">IF(OR(D7297&gt;5,E7297&lt;8,E7297&gt;=18,COUNTIF($K$2:$K$10,INT(A7297))&gt;0),1,0)</f>
        <v>1</v>
      </c>
      <c r="G7297" s="34" t="n">
        <f aca="false">B7297/1</f>
        <v>85.78</v>
      </c>
      <c r="H7297" s="34" t="n">
        <f aca="false">IF(F7297=1,G7297,"")</f>
        <v>85.78</v>
      </c>
    </row>
    <row r="7298" customFormat="false" ht="15" hidden="false" customHeight="false" outlineLevel="0" collapsed="false">
      <c r="A7298" s="31" t="n">
        <v>43040</v>
      </c>
      <c r="B7298" s="32" t="n">
        <v>79.407</v>
      </c>
      <c r="D7298" s="33" t="n">
        <f aca="false">WEEKDAY(A7298,2)</f>
        <v>3</v>
      </c>
      <c r="E7298" s="33" t="n">
        <f aca="false">HOUR(A7298)+MINUTE(A7298)/60</f>
        <v>0</v>
      </c>
      <c r="F7298" s="33" t="n">
        <f aca="false">IF(OR(D7298&gt;5,E7298&lt;8,E7298&gt;=18,COUNTIF($K$2:$K$10,INT(A7298))&gt;0),1,0)</f>
        <v>1</v>
      </c>
      <c r="G7298" s="34" t="n">
        <f aca="false">B7298/1</f>
        <v>79.407</v>
      </c>
      <c r="H7298" s="34" t="n">
        <f aca="false">IF(F7298=1,G7298,"")</f>
        <v>79.407</v>
      </c>
    </row>
    <row r="7299" customFormat="false" ht="15" hidden="false" customHeight="false" outlineLevel="0" collapsed="false">
      <c r="A7299" s="31" t="n">
        <v>43040.0416666667</v>
      </c>
      <c r="B7299" s="32" t="n">
        <v>70.198</v>
      </c>
      <c r="D7299" s="33" t="n">
        <f aca="false">WEEKDAY(A7299,2)</f>
        <v>3</v>
      </c>
      <c r="E7299" s="33" t="n">
        <f aca="false">HOUR(A7299)+MINUTE(A7299)/60</f>
        <v>1</v>
      </c>
      <c r="F7299" s="33" t="n">
        <f aca="false">IF(OR(D7299&gt;5,E7299&lt;8,E7299&gt;=18,COUNTIF($K$2:$K$10,INT(A7299))&gt;0),1,0)</f>
        <v>1</v>
      </c>
      <c r="G7299" s="34" t="n">
        <f aca="false">B7299/1</f>
        <v>70.198</v>
      </c>
      <c r="H7299" s="34" t="n">
        <f aca="false">IF(F7299=1,G7299,"")</f>
        <v>70.198</v>
      </c>
    </row>
    <row r="7300" customFormat="false" ht="15" hidden="false" customHeight="false" outlineLevel="0" collapsed="false">
      <c r="A7300" s="31" t="n">
        <v>43040.0833333333</v>
      </c>
      <c r="B7300" s="32" t="n">
        <v>69.062</v>
      </c>
      <c r="D7300" s="33" t="n">
        <f aca="false">WEEKDAY(A7300,2)</f>
        <v>3</v>
      </c>
      <c r="E7300" s="33" t="n">
        <f aca="false">HOUR(A7300)+MINUTE(A7300)/60</f>
        <v>2</v>
      </c>
      <c r="F7300" s="33" t="n">
        <f aca="false">IF(OR(D7300&gt;5,E7300&lt;8,E7300&gt;=18,COUNTIF($K$2:$K$10,INT(A7300))&gt;0),1,0)</f>
        <v>1</v>
      </c>
      <c r="G7300" s="34" t="n">
        <f aca="false">B7300/1</f>
        <v>69.062</v>
      </c>
      <c r="H7300" s="34" t="n">
        <f aca="false">IF(F7300=1,G7300,"")</f>
        <v>69.062</v>
      </c>
    </row>
    <row r="7301" customFormat="false" ht="15" hidden="false" customHeight="false" outlineLevel="0" collapsed="false">
      <c r="A7301" s="31" t="n">
        <v>43040.125</v>
      </c>
      <c r="B7301" s="32" t="n">
        <v>66.149</v>
      </c>
      <c r="D7301" s="33" t="n">
        <f aca="false">WEEKDAY(A7301,2)</f>
        <v>3</v>
      </c>
      <c r="E7301" s="33" t="n">
        <f aca="false">HOUR(A7301)+MINUTE(A7301)/60</f>
        <v>3</v>
      </c>
      <c r="F7301" s="33" t="n">
        <f aca="false">IF(OR(D7301&gt;5,E7301&lt;8,E7301&gt;=18,COUNTIF($K$2:$K$10,INT(A7301))&gt;0),1,0)</f>
        <v>1</v>
      </c>
      <c r="G7301" s="34" t="n">
        <f aca="false">B7301/1</f>
        <v>66.149</v>
      </c>
      <c r="H7301" s="34" t="n">
        <f aca="false">IF(F7301=1,G7301,"")</f>
        <v>66.149</v>
      </c>
    </row>
    <row r="7302" customFormat="false" ht="15" hidden="false" customHeight="false" outlineLevel="0" collapsed="false">
      <c r="A7302" s="31" t="n">
        <v>43040.1666666667</v>
      </c>
      <c r="B7302" s="32" t="n">
        <v>63.393</v>
      </c>
      <c r="D7302" s="33" t="n">
        <f aca="false">WEEKDAY(A7302,2)</f>
        <v>3</v>
      </c>
      <c r="E7302" s="33" t="n">
        <f aca="false">HOUR(A7302)+MINUTE(A7302)/60</f>
        <v>4</v>
      </c>
      <c r="F7302" s="33" t="n">
        <f aca="false">IF(OR(D7302&gt;5,E7302&lt;8,E7302&gt;=18,COUNTIF($K$2:$K$10,INT(A7302))&gt;0),1,0)</f>
        <v>1</v>
      </c>
      <c r="G7302" s="34" t="n">
        <f aca="false">B7302/1</f>
        <v>63.393</v>
      </c>
      <c r="H7302" s="34" t="n">
        <f aca="false">IF(F7302=1,G7302,"")</f>
        <v>63.393</v>
      </c>
    </row>
    <row r="7303" customFormat="false" ht="15" hidden="false" customHeight="false" outlineLevel="0" collapsed="false">
      <c r="A7303" s="31" t="n">
        <v>43040.2083333333</v>
      </c>
      <c r="B7303" s="32" t="n">
        <v>62.669</v>
      </c>
      <c r="D7303" s="33" t="n">
        <f aca="false">WEEKDAY(A7303,2)</f>
        <v>3</v>
      </c>
      <c r="E7303" s="33" t="n">
        <f aca="false">HOUR(A7303)+MINUTE(A7303)/60</f>
        <v>5</v>
      </c>
      <c r="F7303" s="33" t="n">
        <f aca="false">IF(OR(D7303&gt;5,E7303&lt;8,E7303&gt;=18,COUNTIF($K$2:$K$10,INT(A7303))&gt;0),1,0)</f>
        <v>1</v>
      </c>
      <c r="G7303" s="34" t="n">
        <f aca="false">B7303/1</f>
        <v>62.669</v>
      </c>
      <c r="H7303" s="34" t="n">
        <f aca="false">IF(F7303=1,G7303,"")</f>
        <v>62.669</v>
      </c>
    </row>
    <row r="7304" customFormat="false" ht="15" hidden="false" customHeight="false" outlineLevel="0" collapsed="false">
      <c r="A7304" s="31" t="n">
        <v>43040.25</v>
      </c>
      <c r="B7304" s="32" t="n">
        <v>64.983</v>
      </c>
      <c r="D7304" s="33" t="n">
        <f aca="false">WEEKDAY(A7304,2)</f>
        <v>3</v>
      </c>
      <c r="E7304" s="33" t="n">
        <f aca="false">HOUR(A7304)+MINUTE(A7304)/60</f>
        <v>6</v>
      </c>
      <c r="F7304" s="33" t="n">
        <f aca="false">IF(OR(D7304&gt;5,E7304&lt;8,E7304&gt;=18,COUNTIF($K$2:$K$10,INT(A7304))&gt;0),1,0)</f>
        <v>1</v>
      </c>
      <c r="G7304" s="34" t="n">
        <f aca="false">B7304/1</f>
        <v>64.983</v>
      </c>
      <c r="H7304" s="34" t="n">
        <f aca="false">IF(F7304=1,G7304,"")</f>
        <v>64.983</v>
      </c>
    </row>
    <row r="7305" customFormat="false" ht="15" hidden="false" customHeight="false" outlineLevel="0" collapsed="false">
      <c r="A7305" s="31" t="n">
        <v>43040.2916666667</v>
      </c>
      <c r="B7305" s="32" t="n">
        <v>71.328</v>
      </c>
      <c r="D7305" s="33" t="n">
        <f aca="false">WEEKDAY(A7305,2)</f>
        <v>3</v>
      </c>
      <c r="E7305" s="33" t="n">
        <f aca="false">HOUR(A7305)+MINUTE(A7305)/60</f>
        <v>7</v>
      </c>
      <c r="F7305" s="33" t="n">
        <f aca="false">IF(OR(D7305&gt;5,E7305&lt;8,E7305&gt;=18,COUNTIF($K$2:$K$10,INT(A7305))&gt;0),1,0)</f>
        <v>1</v>
      </c>
      <c r="G7305" s="34" t="n">
        <f aca="false">B7305/1</f>
        <v>71.328</v>
      </c>
      <c r="H7305" s="34" t="n">
        <f aca="false">IF(F7305=1,G7305,"")</f>
        <v>71.328</v>
      </c>
    </row>
    <row r="7306" customFormat="false" ht="15" hidden="false" customHeight="false" outlineLevel="0" collapsed="false">
      <c r="A7306" s="31" t="n">
        <v>43040.3333333333</v>
      </c>
      <c r="B7306" s="32" t="n">
        <v>173.692</v>
      </c>
      <c r="D7306" s="33" t="n">
        <f aca="false">WEEKDAY(A7306,2)</f>
        <v>3</v>
      </c>
      <c r="E7306" s="33" t="n">
        <f aca="false">HOUR(A7306)+MINUTE(A7306)/60</f>
        <v>8</v>
      </c>
      <c r="F7306" s="33" t="n">
        <f aca="false">IF(OR(D7306&gt;5,E7306&lt;8,E7306&gt;=18,COUNTIF($K$2:$K$10,INT(A7306))&gt;0),1,0)</f>
        <v>0</v>
      </c>
      <c r="G7306" s="34" t="n">
        <f aca="false">B7306/1</f>
        <v>173.692</v>
      </c>
      <c r="H7306" s="34" t="str">
        <f aca="false">IF(F7306=1,G7306,"")</f>
        <v/>
      </c>
    </row>
    <row r="7307" customFormat="false" ht="15" hidden="false" customHeight="false" outlineLevel="0" collapsed="false">
      <c r="A7307" s="31" t="n">
        <v>43040.375</v>
      </c>
      <c r="B7307" s="32" t="n">
        <v>222.25</v>
      </c>
      <c r="D7307" s="33" t="n">
        <f aca="false">WEEKDAY(A7307,2)</f>
        <v>3</v>
      </c>
      <c r="E7307" s="33" t="n">
        <f aca="false">HOUR(A7307)+MINUTE(A7307)/60</f>
        <v>9</v>
      </c>
      <c r="F7307" s="33" t="n">
        <f aca="false">IF(OR(D7307&gt;5,E7307&lt;8,E7307&gt;=18,COUNTIF($K$2:$K$10,INT(A7307))&gt;0),1,0)</f>
        <v>0</v>
      </c>
      <c r="G7307" s="34" t="n">
        <f aca="false">B7307/1</f>
        <v>222.25</v>
      </c>
      <c r="H7307" s="34" t="str">
        <f aca="false">IF(F7307=1,G7307,"")</f>
        <v/>
      </c>
    </row>
    <row r="7308" customFormat="false" ht="15" hidden="false" customHeight="false" outlineLevel="0" collapsed="false">
      <c r="A7308" s="31" t="n">
        <v>43040.4166666667</v>
      </c>
      <c r="B7308" s="32" t="n">
        <v>236.623</v>
      </c>
      <c r="D7308" s="33" t="n">
        <f aca="false">WEEKDAY(A7308,2)</f>
        <v>3</v>
      </c>
      <c r="E7308" s="33" t="n">
        <f aca="false">HOUR(A7308)+MINUTE(A7308)/60</f>
        <v>10</v>
      </c>
      <c r="F7308" s="33" t="n">
        <f aca="false">IF(OR(D7308&gt;5,E7308&lt;8,E7308&gt;=18,COUNTIF($K$2:$K$10,INT(A7308))&gt;0),1,0)</f>
        <v>0</v>
      </c>
      <c r="G7308" s="34" t="n">
        <f aca="false">B7308/1</f>
        <v>236.623</v>
      </c>
      <c r="H7308" s="34" t="str">
        <f aca="false">IF(F7308=1,G7308,"")</f>
        <v/>
      </c>
    </row>
    <row r="7309" customFormat="false" ht="15" hidden="false" customHeight="false" outlineLevel="0" collapsed="false">
      <c r="A7309" s="31" t="n">
        <v>43040.4583333333</v>
      </c>
      <c r="B7309" s="32" t="n">
        <v>255.347</v>
      </c>
      <c r="D7309" s="33" t="n">
        <f aca="false">WEEKDAY(A7309,2)</f>
        <v>3</v>
      </c>
      <c r="E7309" s="33" t="n">
        <f aca="false">HOUR(A7309)+MINUTE(A7309)/60</f>
        <v>11</v>
      </c>
      <c r="F7309" s="33" t="n">
        <f aca="false">IF(OR(D7309&gt;5,E7309&lt;8,E7309&gt;=18,COUNTIF($K$2:$K$10,INT(A7309))&gt;0),1,0)</f>
        <v>0</v>
      </c>
      <c r="G7309" s="34" t="n">
        <f aca="false">B7309/1</f>
        <v>255.347</v>
      </c>
      <c r="H7309" s="34" t="str">
        <f aca="false">IF(F7309=1,G7309,"")</f>
        <v/>
      </c>
    </row>
    <row r="7310" customFormat="false" ht="15" hidden="false" customHeight="false" outlineLevel="0" collapsed="false">
      <c r="A7310" s="31" t="n">
        <v>43040.5</v>
      </c>
      <c r="B7310" s="32" t="n">
        <v>256.136</v>
      </c>
      <c r="D7310" s="33" t="n">
        <f aca="false">WEEKDAY(A7310,2)</f>
        <v>3</v>
      </c>
      <c r="E7310" s="33" t="n">
        <f aca="false">HOUR(A7310)+MINUTE(A7310)/60</f>
        <v>12</v>
      </c>
      <c r="F7310" s="33" t="n">
        <f aca="false">IF(OR(D7310&gt;5,E7310&lt;8,E7310&gt;=18,COUNTIF($K$2:$K$10,INT(A7310))&gt;0),1,0)</f>
        <v>0</v>
      </c>
      <c r="G7310" s="34" t="n">
        <f aca="false">B7310/1</f>
        <v>256.136</v>
      </c>
      <c r="H7310" s="34" t="str">
        <f aca="false">IF(F7310=1,G7310,"")</f>
        <v/>
      </c>
    </row>
    <row r="7311" customFormat="false" ht="15" hidden="false" customHeight="false" outlineLevel="0" collapsed="false">
      <c r="A7311" s="31" t="n">
        <v>43040.5416666667</v>
      </c>
      <c r="B7311" s="32" t="n">
        <v>251.25</v>
      </c>
      <c r="D7311" s="33" t="n">
        <f aca="false">WEEKDAY(A7311,2)</f>
        <v>3</v>
      </c>
      <c r="E7311" s="33" t="n">
        <f aca="false">HOUR(A7311)+MINUTE(A7311)/60</f>
        <v>13</v>
      </c>
      <c r="F7311" s="33" t="n">
        <f aca="false">IF(OR(D7311&gt;5,E7311&lt;8,E7311&gt;=18,COUNTIF($K$2:$K$10,INT(A7311))&gt;0),1,0)</f>
        <v>0</v>
      </c>
      <c r="G7311" s="34" t="n">
        <f aca="false">B7311/1</f>
        <v>251.25</v>
      </c>
      <c r="H7311" s="34" t="str">
        <f aca="false">IF(F7311=1,G7311,"")</f>
        <v/>
      </c>
    </row>
    <row r="7312" customFormat="false" ht="15" hidden="false" customHeight="false" outlineLevel="0" collapsed="false">
      <c r="A7312" s="31" t="n">
        <v>43040.5833333333</v>
      </c>
      <c r="B7312" s="32" t="n">
        <v>253.166</v>
      </c>
      <c r="D7312" s="33" t="n">
        <f aca="false">WEEKDAY(A7312,2)</f>
        <v>3</v>
      </c>
      <c r="E7312" s="33" t="n">
        <f aca="false">HOUR(A7312)+MINUTE(A7312)/60</f>
        <v>14</v>
      </c>
      <c r="F7312" s="33" t="n">
        <f aca="false">IF(OR(D7312&gt;5,E7312&lt;8,E7312&gt;=18,COUNTIF($K$2:$K$10,INT(A7312))&gt;0),1,0)</f>
        <v>0</v>
      </c>
      <c r="G7312" s="34" t="n">
        <f aca="false">B7312/1</f>
        <v>253.166</v>
      </c>
      <c r="H7312" s="34" t="str">
        <f aca="false">IF(F7312=1,G7312,"")</f>
        <v/>
      </c>
    </row>
    <row r="7313" customFormat="false" ht="15" hidden="false" customHeight="false" outlineLevel="0" collapsed="false">
      <c r="A7313" s="31" t="n">
        <v>43040.625</v>
      </c>
      <c r="B7313" s="32" t="n">
        <v>260.621</v>
      </c>
      <c r="D7313" s="33" t="n">
        <f aca="false">WEEKDAY(A7313,2)</f>
        <v>3</v>
      </c>
      <c r="E7313" s="33" t="n">
        <f aca="false">HOUR(A7313)+MINUTE(A7313)/60</f>
        <v>15</v>
      </c>
      <c r="F7313" s="33" t="n">
        <f aca="false">IF(OR(D7313&gt;5,E7313&lt;8,E7313&gt;=18,COUNTIF($K$2:$K$10,INT(A7313))&gt;0),1,0)</f>
        <v>0</v>
      </c>
      <c r="G7313" s="34" t="n">
        <f aca="false">B7313/1</f>
        <v>260.621</v>
      </c>
      <c r="H7313" s="34" t="str">
        <f aca="false">IF(F7313=1,G7313,"")</f>
        <v/>
      </c>
    </row>
    <row r="7314" customFormat="false" ht="15" hidden="false" customHeight="false" outlineLevel="0" collapsed="false">
      <c r="A7314" s="31" t="n">
        <v>43040.6666666667</v>
      </c>
      <c r="B7314" s="32" t="n">
        <v>262.806</v>
      </c>
      <c r="D7314" s="33" t="n">
        <f aca="false">WEEKDAY(A7314,2)</f>
        <v>3</v>
      </c>
      <c r="E7314" s="33" t="n">
        <f aca="false">HOUR(A7314)+MINUTE(A7314)/60</f>
        <v>16</v>
      </c>
      <c r="F7314" s="33" t="n">
        <f aca="false">IF(OR(D7314&gt;5,E7314&lt;8,E7314&gt;=18,COUNTIF($K$2:$K$10,INT(A7314))&gt;0),1,0)</f>
        <v>0</v>
      </c>
      <c r="G7314" s="34" t="n">
        <f aca="false">B7314/1</f>
        <v>262.806</v>
      </c>
      <c r="H7314" s="34" t="str">
        <f aca="false">IF(F7314=1,G7314,"")</f>
        <v/>
      </c>
    </row>
    <row r="7315" customFormat="false" ht="15" hidden="false" customHeight="false" outlineLevel="0" collapsed="false">
      <c r="A7315" s="31" t="n">
        <v>43040.7083333333</v>
      </c>
      <c r="B7315" s="32" t="n">
        <v>251.003</v>
      </c>
      <c r="D7315" s="33" t="n">
        <f aca="false">WEEKDAY(A7315,2)</f>
        <v>3</v>
      </c>
      <c r="E7315" s="33" t="n">
        <f aca="false">HOUR(A7315)+MINUTE(A7315)/60</f>
        <v>17</v>
      </c>
      <c r="F7315" s="33" t="n">
        <f aca="false">IF(OR(D7315&gt;5,E7315&lt;8,E7315&gt;=18,COUNTIF($K$2:$K$10,INT(A7315))&gt;0),1,0)</f>
        <v>0</v>
      </c>
      <c r="G7315" s="34" t="n">
        <f aca="false">B7315/1</f>
        <v>251.003</v>
      </c>
      <c r="H7315" s="34" t="str">
        <f aca="false">IF(F7315=1,G7315,"")</f>
        <v/>
      </c>
    </row>
    <row r="7316" customFormat="false" ht="15" hidden="false" customHeight="false" outlineLevel="0" collapsed="false">
      <c r="A7316" s="31" t="n">
        <v>43040.75</v>
      </c>
      <c r="B7316" s="32" t="n">
        <v>221.427</v>
      </c>
      <c r="D7316" s="33" t="n">
        <f aca="false">WEEKDAY(A7316,2)</f>
        <v>3</v>
      </c>
      <c r="E7316" s="33" t="n">
        <f aca="false">HOUR(A7316)+MINUTE(A7316)/60</f>
        <v>18</v>
      </c>
      <c r="F7316" s="33" t="n">
        <f aca="false">IF(OR(D7316&gt;5,E7316&lt;8,E7316&gt;=18,COUNTIF($K$2:$K$10,INT(A7316))&gt;0),1,0)</f>
        <v>1</v>
      </c>
      <c r="G7316" s="34" t="n">
        <f aca="false">B7316/1</f>
        <v>221.427</v>
      </c>
      <c r="H7316" s="34" t="n">
        <f aca="false">IF(F7316=1,G7316,"")</f>
        <v>221.427</v>
      </c>
    </row>
    <row r="7317" customFormat="false" ht="15" hidden="false" customHeight="false" outlineLevel="0" collapsed="false">
      <c r="A7317" s="31" t="n">
        <v>43040.7916666667</v>
      </c>
      <c r="B7317" s="32" t="n">
        <v>222.655</v>
      </c>
      <c r="D7317" s="33" t="n">
        <f aca="false">WEEKDAY(A7317,2)</f>
        <v>3</v>
      </c>
      <c r="E7317" s="33" t="n">
        <f aca="false">HOUR(A7317)+MINUTE(A7317)/60</f>
        <v>19</v>
      </c>
      <c r="F7317" s="33" t="n">
        <f aca="false">IF(OR(D7317&gt;5,E7317&lt;8,E7317&gt;=18,COUNTIF($K$2:$K$10,INT(A7317))&gt;0),1,0)</f>
        <v>1</v>
      </c>
      <c r="G7317" s="34" t="n">
        <f aca="false">B7317/1</f>
        <v>222.655</v>
      </c>
      <c r="H7317" s="34" t="n">
        <f aca="false">IF(F7317=1,G7317,"")</f>
        <v>222.655</v>
      </c>
    </row>
    <row r="7318" customFormat="false" ht="15" hidden="false" customHeight="false" outlineLevel="0" collapsed="false">
      <c r="A7318" s="31" t="n">
        <v>43040.8333333333</v>
      </c>
      <c r="B7318" s="32" t="n">
        <v>217.281</v>
      </c>
      <c r="D7318" s="33" t="n">
        <f aca="false">WEEKDAY(A7318,2)</f>
        <v>3</v>
      </c>
      <c r="E7318" s="33" t="n">
        <f aca="false">HOUR(A7318)+MINUTE(A7318)/60</f>
        <v>20</v>
      </c>
      <c r="F7318" s="33" t="n">
        <f aca="false">IF(OR(D7318&gt;5,E7318&lt;8,E7318&gt;=18,COUNTIF($K$2:$K$10,INT(A7318))&gt;0),1,0)</f>
        <v>1</v>
      </c>
      <c r="G7318" s="34" t="n">
        <f aca="false">B7318/1</f>
        <v>217.281</v>
      </c>
      <c r="H7318" s="34" t="n">
        <f aca="false">IF(F7318=1,G7318,"")</f>
        <v>217.281</v>
      </c>
    </row>
    <row r="7319" customFormat="false" ht="15" hidden="false" customHeight="false" outlineLevel="0" collapsed="false">
      <c r="A7319" s="31" t="n">
        <v>43040.875</v>
      </c>
      <c r="B7319" s="32" t="n">
        <v>201.658</v>
      </c>
      <c r="D7319" s="33" t="n">
        <f aca="false">WEEKDAY(A7319,2)</f>
        <v>3</v>
      </c>
      <c r="E7319" s="33" t="n">
        <f aca="false">HOUR(A7319)+MINUTE(A7319)/60</f>
        <v>21</v>
      </c>
      <c r="F7319" s="33" t="n">
        <f aca="false">IF(OR(D7319&gt;5,E7319&lt;8,E7319&gt;=18,COUNTIF($K$2:$K$10,INT(A7319))&gt;0),1,0)</f>
        <v>1</v>
      </c>
      <c r="G7319" s="34" t="n">
        <f aca="false">B7319/1</f>
        <v>201.658</v>
      </c>
      <c r="H7319" s="34" t="n">
        <f aca="false">IF(F7319=1,G7319,"")</f>
        <v>201.658</v>
      </c>
    </row>
    <row r="7320" customFormat="false" ht="15" hidden="false" customHeight="false" outlineLevel="0" collapsed="false">
      <c r="A7320" s="31" t="n">
        <v>43040.9166666667</v>
      </c>
      <c r="B7320" s="32" t="n">
        <v>139.356</v>
      </c>
      <c r="D7320" s="33" t="n">
        <f aca="false">WEEKDAY(A7320,2)</f>
        <v>3</v>
      </c>
      <c r="E7320" s="33" t="n">
        <f aca="false">HOUR(A7320)+MINUTE(A7320)/60</f>
        <v>22</v>
      </c>
      <c r="F7320" s="33" t="n">
        <f aca="false">IF(OR(D7320&gt;5,E7320&lt;8,E7320&gt;=18,COUNTIF($K$2:$K$10,INT(A7320))&gt;0),1,0)</f>
        <v>1</v>
      </c>
      <c r="G7320" s="34" t="n">
        <f aca="false">B7320/1</f>
        <v>139.356</v>
      </c>
      <c r="H7320" s="34" t="n">
        <f aca="false">IF(F7320=1,G7320,"")</f>
        <v>139.356</v>
      </c>
    </row>
    <row r="7321" customFormat="false" ht="15" hidden="false" customHeight="false" outlineLevel="0" collapsed="false">
      <c r="A7321" s="31" t="n">
        <v>43040.9583333333</v>
      </c>
      <c r="B7321" s="32" t="n">
        <v>79.427</v>
      </c>
      <c r="D7321" s="33" t="n">
        <f aca="false">WEEKDAY(A7321,2)</f>
        <v>3</v>
      </c>
      <c r="E7321" s="33" t="n">
        <f aca="false">HOUR(A7321)+MINUTE(A7321)/60</f>
        <v>23</v>
      </c>
      <c r="F7321" s="33" t="n">
        <f aca="false">IF(OR(D7321&gt;5,E7321&lt;8,E7321&gt;=18,COUNTIF($K$2:$K$10,INT(A7321))&gt;0),1,0)</f>
        <v>1</v>
      </c>
      <c r="G7321" s="34" t="n">
        <f aca="false">B7321/1</f>
        <v>79.427</v>
      </c>
      <c r="H7321" s="34" t="n">
        <f aca="false">IF(F7321=1,G7321,"")</f>
        <v>79.427</v>
      </c>
    </row>
    <row r="7322" customFormat="false" ht="15" hidden="false" customHeight="false" outlineLevel="0" collapsed="false">
      <c r="A7322" s="31" t="n">
        <v>43041</v>
      </c>
      <c r="B7322" s="32" t="n">
        <v>73.117</v>
      </c>
      <c r="D7322" s="33" t="n">
        <f aca="false">WEEKDAY(A7322,2)</f>
        <v>4</v>
      </c>
      <c r="E7322" s="33" t="n">
        <f aca="false">HOUR(A7322)+MINUTE(A7322)/60</f>
        <v>0</v>
      </c>
      <c r="F7322" s="33" t="n">
        <f aca="false">IF(OR(D7322&gt;5,E7322&lt;8,E7322&gt;=18,COUNTIF($K$2:$K$10,INT(A7322))&gt;0),1,0)</f>
        <v>1</v>
      </c>
      <c r="G7322" s="34" t="n">
        <f aca="false">B7322/1</f>
        <v>73.117</v>
      </c>
      <c r="H7322" s="34" t="n">
        <f aca="false">IF(F7322=1,G7322,"")</f>
        <v>73.117</v>
      </c>
    </row>
    <row r="7323" customFormat="false" ht="15" hidden="false" customHeight="false" outlineLevel="0" collapsed="false">
      <c r="A7323" s="31" t="n">
        <v>43041.0416666667</v>
      </c>
      <c r="B7323" s="32" t="n">
        <v>62.065</v>
      </c>
      <c r="D7323" s="33" t="n">
        <f aca="false">WEEKDAY(A7323,2)</f>
        <v>4</v>
      </c>
      <c r="E7323" s="33" t="n">
        <f aca="false">HOUR(A7323)+MINUTE(A7323)/60</f>
        <v>1</v>
      </c>
      <c r="F7323" s="33" t="n">
        <f aca="false">IF(OR(D7323&gt;5,E7323&lt;8,E7323&gt;=18,COUNTIF($K$2:$K$10,INT(A7323))&gt;0),1,0)</f>
        <v>1</v>
      </c>
      <c r="G7323" s="34" t="n">
        <f aca="false">B7323/1</f>
        <v>62.065</v>
      </c>
      <c r="H7323" s="34" t="n">
        <f aca="false">IF(F7323=1,G7323,"")</f>
        <v>62.065</v>
      </c>
    </row>
    <row r="7324" customFormat="false" ht="15" hidden="false" customHeight="false" outlineLevel="0" collapsed="false">
      <c r="A7324" s="31" t="n">
        <v>43041.0833333333</v>
      </c>
      <c r="B7324" s="32" t="n">
        <v>61.483</v>
      </c>
      <c r="D7324" s="33" t="n">
        <f aca="false">WEEKDAY(A7324,2)</f>
        <v>4</v>
      </c>
      <c r="E7324" s="33" t="n">
        <f aca="false">HOUR(A7324)+MINUTE(A7324)/60</f>
        <v>2</v>
      </c>
      <c r="F7324" s="33" t="n">
        <f aca="false">IF(OR(D7324&gt;5,E7324&lt;8,E7324&gt;=18,COUNTIF($K$2:$K$10,INT(A7324))&gt;0),1,0)</f>
        <v>1</v>
      </c>
      <c r="G7324" s="34" t="n">
        <f aca="false">B7324/1</f>
        <v>61.483</v>
      </c>
      <c r="H7324" s="34" t="n">
        <f aca="false">IF(F7324=1,G7324,"")</f>
        <v>61.483</v>
      </c>
    </row>
    <row r="7325" customFormat="false" ht="15" hidden="false" customHeight="false" outlineLevel="0" collapsed="false">
      <c r="A7325" s="31" t="n">
        <v>43041.125</v>
      </c>
      <c r="B7325" s="32" t="n">
        <v>60.918</v>
      </c>
      <c r="D7325" s="33" t="n">
        <f aca="false">WEEKDAY(A7325,2)</f>
        <v>4</v>
      </c>
      <c r="E7325" s="33" t="n">
        <f aca="false">HOUR(A7325)+MINUTE(A7325)/60</f>
        <v>3</v>
      </c>
      <c r="F7325" s="33" t="n">
        <f aca="false">IF(OR(D7325&gt;5,E7325&lt;8,E7325&gt;=18,COUNTIF($K$2:$K$10,INT(A7325))&gt;0),1,0)</f>
        <v>1</v>
      </c>
      <c r="G7325" s="34" t="n">
        <f aca="false">B7325/1</f>
        <v>60.918</v>
      </c>
      <c r="H7325" s="34" t="n">
        <f aca="false">IF(F7325=1,G7325,"")</f>
        <v>60.918</v>
      </c>
    </row>
    <row r="7326" customFormat="false" ht="15" hidden="false" customHeight="false" outlineLevel="0" collapsed="false">
      <c r="A7326" s="31" t="n">
        <v>43041.1666666667</v>
      </c>
      <c r="B7326" s="32" t="n">
        <v>58.201</v>
      </c>
      <c r="D7326" s="33" t="n">
        <f aca="false">WEEKDAY(A7326,2)</f>
        <v>4</v>
      </c>
      <c r="E7326" s="33" t="n">
        <f aca="false">HOUR(A7326)+MINUTE(A7326)/60</f>
        <v>4</v>
      </c>
      <c r="F7326" s="33" t="n">
        <f aca="false">IF(OR(D7326&gt;5,E7326&lt;8,E7326&gt;=18,COUNTIF($K$2:$K$10,INT(A7326))&gt;0),1,0)</f>
        <v>1</v>
      </c>
      <c r="G7326" s="34" t="n">
        <f aca="false">B7326/1</f>
        <v>58.201</v>
      </c>
      <c r="H7326" s="34" t="n">
        <f aca="false">IF(F7326=1,G7326,"")</f>
        <v>58.201</v>
      </c>
    </row>
    <row r="7327" customFormat="false" ht="15" hidden="false" customHeight="false" outlineLevel="0" collapsed="false">
      <c r="A7327" s="31" t="n">
        <v>43041.2083333333</v>
      </c>
      <c r="B7327" s="32" t="n">
        <v>60.555</v>
      </c>
      <c r="D7327" s="33" t="n">
        <f aca="false">WEEKDAY(A7327,2)</f>
        <v>4</v>
      </c>
      <c r="E7327" s="33" t="n">
        <f aca="false">HOUR(A7327)+MINUTE(A7327)/60</f>
        <v>5</v>
      </c>
      <c r="F7327" s="33" t="n">
        <f aca="false">IF(OR(D7327&gt;5,E7327&lt;8,E7327&gt;=18,COUNTIF($K$2:$K$10,INT(A7327))&gt;0),1,0)</f>
        <v>1</v>
      </c>
      <c r="G7327" s="34" t="n">
        <f aca="false">B7327/1</f>
        <v>60.555</v>
      </c>
      <c r="H7327" s="34" t="n">
        <f aca="false">IF(F7327=1,G7327,"")</f>
        <v>60.555</v>
      </c>
    </row>
    <row r="7328" customFormat="false" ht="15" hidden="false" customHeight="false" outlineLevel="0" collapsed="false">
      <c r="A7328" s="31" t="n">
        <v>43041.25</v>
      </c>
      <c r="B7328" s="32" t="n">
        <v>61.632</v>
      </c>
      <c r="D7328" s="33" t="n">
        <f aca="false">WEEKDAY(A7328,2)</f>
        <v>4</v>
      </c>
      <c r="E7328" s="33" t="n">
        <f aca="false">HOUR(A7328)+MINUTE(A7328)/60</f>
        <v>6</v>
      </c>
      <c r="F7328" s="33" t="n">
        <f aca="false">IF(OR(D7328&gt;5,E7328&lt;8,E7328&gt;=18,COUNTIF($K$2:$K$10,INT(A7328))&gt;0),1,0)</f>
        <v>1</v>
      </c>
      <c r="G7328" s="34" t="n">
        <f aca="false">B7328/1</f>
        <v>61.632</v>
      </c>
      <c r="H7328" s="34" t="n">
        <f aca="false">IF(F7328=1,G7328,"")</f>
        <v>61.632</v>
      </c>
    </row>
    <row r="7329" customFormat="false" ht="15" hidden="false" customHeight="false" outlineLevel="0" collapsed="false">
      <c r="A7329" s="31" t="n">
        <v>43041.2916666667</v>
      </c>
      <c r="B7329" s="32" t="n">
        <v>65.788</v>
      </c>
      <c r="D7329" s="33" t="n">
        <f aca="false">WEEKDAY(A7329,2)</f>
        <v>4</v>
      </c>
      <c r="E7329" s="33" t="n">
        <f aca="false">HOUR(A7329)+MINUTE(A7329)/60</f>
        <v>7</v>
      </c>
      <c r="F7329" s="33" t="n">
        <f aca="false">IF(OR(D7329&gt;5,E7329&lt;8,E7329&gt;=18,COUNTIF($K$2:$K$10,INT(A7329))&gt;0),1,0)</f>
        <v>1</v>
      </c>
      <c r="G7329" s="34" t="n">
        <f aca="false">B7329/1</f>
        <v>65.788</v>
      </c>
      <c r="H7329" s="34" t="n">
        <f aca="false">IF(F7329=1,G7329,"")</f>
        <v>65.788</v>
      </c>
    </row>
    <row r="7330" customFormat="false" ht="15" hidden="false" customHeight="false" outlineLevel="0" collapsed="false">
      <c r="A7330" s="31" t="n">
        <v>43041.3333333333</v>
      </c>
      <c r="B7330" s="32" t="n">
        <v>175.073</v>
      </c>
      <c r="D7330" s="33" t="n">
        <f aca="false">WEEKDAY(A7330,2)</f>
        <v>4</v>
      </c>
      <c r="E7330" s="33" t="n">
        <f aca="false">HOUR(A7330)+MINUTE(A7330)/60</f>
        <v>8</v>
      </c>
      <c r="F7330" s="33" t="n">
        <f aca="false">IF(OR(D7330&gt;5,E7330&lt;8,E7330&gt;=18,COUNTIF($K$2:$K$10,INT(A7330))&gt;0),1,0)</f>
        <v>0</v>
      </c>
      <c r="G7330" s="34" t="n">
        <f aca="false">B7330/1</f>
        <v>175.073</v>
      </c>
      <c r="H7330" s="34" t="str">
        <f aca="false">IF(F7330=1,G7330,"")</f>
        <v/>
      </c>
    </row>
    <row r="7331" customFormat="false" ht="15" hidden="false" customHeight="false" outlineLevel="0" collapsed="false">
      <c r="A7331" s="31" t="n">
        <v>43041.375</v>
      </c>
      <c r="B7331" s="32" t="n">
        <v>216.615</v>
      </c>
      <c r="D7331" s="33" t="n">
        <f aca="false">WEEKDAY(A7331,2)</f>
        <v>4</v>
      </c>
      <c r="E7331" s="33" t="n">
        <f aca="false">HOUR(A7331)+MINUTE(A7331)/60</f>
        <v>9</v>
      </c>
      <c r="F7331" s="33" t="n">
        <f aca="false">IF(OR(D7331&gt;5,E7331&lt;8,E7331&gt;=18,COUNTIF($K$2:$K$10,INT(A7331))&gt;0),1,0)</f>
        <v>0</v>
      </c>
      <c r="G7331" s="34" t="n">
        <f aca="false">B7331/1</f>
        <v>216.615</v>
      </c>
      <c r="H7331" s="34" t="str">
        <f aca="false">IF(F7331=1,G7331,"")</f>
        <v/>
      </c>
    </row>
    <row r="7332" customFormat="false" ht="15" hidden="false" customHeight="false" outlineLevel="0" collapsed="false">
      <c r="A7332" s="31" t="n">
        <v>43041.4166666667</v>
      </c>
      <c r="B7332" s="32" t="n">
        <v>238.817</v>
      </c>
      <c r="D7332" s="33" t="n">
        <f aca="false">WEEKDAY(A7332,2)</f>
        <v>4</v>
      </c>
      <c r="E7332" s="33" t="n">
        <f aca="false">HOUR(A7332)+MINUTE(A7332)/60</f>
        <v>10</v>
      </c>
      <c r="F7332" s="33" t="n">
        <f aca="false">IF(OR(D7332&gt;5,E7332&lt;8,E7332&gt;=18,COUNTIF($K$2:$K$10,INT(A7332))&gt;0),1,0)</f>
        <v>0</v>
      </c>
      <c r="G7332" s="34" t="n">
        <f aca="false">B7332/1</f>
        <v>238.817</v>
      </c>
      <c r="H7332" s="34" t="str">
        <f aca="false">IF(F7332=1,G7332,"")</f>
        <v/>
      </c>
    </row>
    <row r="7333" customFormat="false" ht="15" hidden="false" customHeight="false" outlineLevel="0" collapsed="false">
      <c r="A7333" s="31" t="n">
        <v>43041.4583333333</v>
      </c>
      <c r="B7333" s="32" t="n">
        <v>261.972</v>
      </c>
      <c r="D7333" s="33" t="n">
        <f aca="false">WEEKDAY(A7333,2)</f>
        <v>4</v>
      </c>
      <c r="E7333" s="33" t="n">
        <f aca="false">HOUR(A7333)+MINUTE(A7333)/60</f>
        <v>11</v>
      </c>
      <c r="F7333" s="33" t="n">
        <f aca="false">IF(OR(D7333&gt;5,E7333&lt;8,E7333&gt;=18,COUNTIF($K$2:$K$10,INT(A7333))&gt;0),1,0)</f>
        <v>0</v>
      </c>
      <c r="G7333" s="34" t="n">
        <f aca="false">B7333/1</f>
        <v>261.972</v>
      </c>
      <c r="H7333" s="34" t="str">
        <f aca="false">IF(F7333=1,G7333,"")</f>
        <v/>
      </c>
    </row>
    <row r="7334" customFormat="false" ht="15" hidden="false" customHeight="false" outlineLevel="0" collapsed="false">
      <c r="A7334" s="31" t="n">
        <v>43041.5</v>
      </c>
      <c r="B7334" s="32" t="n">
        <v>290.242</v>
      </c>
      <c r="D7334" s="33" t="n">
        <f aca="false">WEEKDAY(A7334,2)</f>
        <v>4</v>
      </c>
      <c r="E7334" s="33" t="n">
        <f aca="false">HOUR(A7334)+MINUTE(A7334)/60</f>
        <v>12</v>
      </c>
      <c r="F7334" s="33" t="n">
        <f aca="false">IF(OR(D7334&gt;5,E7334&lt;8,E7334&gt;=18,COUNTIF($K$2:$K$10,INT(A7334))&gt;0),1,0)</f>
        <v>0</v>
      </c>
      <c r="G7334" s="34" t="n">
        <f aca="false">B7334/1</f>
        <v>290.242</v>
      </c>
      <c r="H7334" s="34" t="str">
        <f aca="false">IF(F7334=1,G7334,"")</f>
        <v/>
      </c>
    </row>
    <row r="7335" customFormat="false" ht="15" hidden="false" customHeight="false" outlineLevel="0" collapsed="false">
      <c r="A7335" s="31" t="n">
        <v>43041.5416666667</v>
      </c>
      <c r="B7335" s="32" t="n">
        <v>271.04</v>
      </c>
      <c r="D7335" s="33" t="n">
        <f aca="false">WEEKDAY(A7335,2)</f>
        <v>4</v>
      </c>
      <c r="E7335" s="33" t="n">
        <f aca="false">HOUR(A7335)+MINUTE(A7335)/60</f>
        <v>13</v>
      </c>
      <c r="F7335" s="33" t="n">
        <f aca="false">IF(OR(D7335&gt;5,E7335&lt;8,E7335&gt;=18,COUNTIF($K$2:$K$10,INT(A7335))&gt;0),1,0)</f>
        <v>0</v>
      </c>
      <c r="G7335" s="34" t="n">
        <f aca="false">B7335/1</f>
        <v>271.04</v>
      </c>
      <c r="H7335" s="34" t="str">
        <f aca="false">IF(F7335=1,G7335,"")</f>
        <v/>
      </c>
    </row>
    <row r="7336" customFormat="false" ht="15" hidden="false" customHeight="false" outlineLevel="0" collapsed="false">
      <c r="A7336" s="31" t="n">
        <v>43041.5833333333</v>
      </c>
      <c r="B7336" s="32" t="n">
        <v>289.505</v>
      </c>
      <c r="D7336" s="33" t="n">
        <f aca="false">WEEKDAY(A7336,2)</f>
        <v>4</v>
      </c>
      <c r="E7336" s="33" t="n">
        <f aca="false">HOUR(A7336)+MINUTE(A7336)/60</f>
        <v>14</v>
      </c>
      <c r="F7336" s="33" t="n">
        <f aca="false">IF(OR(D7336&gt;5,E7336&lt;8,E7336&gt;=18,COUNTIF($K$2:$K$10,INT(A7336))&gt;0),1,0)</f>
        <v>0</v>
      </c>
      <c r="G7336" s="34" t="n">
        <f aca="false">B7336/1</f>
        <v>289.505</v>
      </c>
      <c r="H7336" s="34" t="str">
        <f aca="false">IF(F7336=1,G7336,"")</f>
        <v/>
      </c>
    </row>
    <row r="7337" customFormat="false" ht="15" hidden="false" customHeight="false" outlineLevel="0" collapsed="false">
      <c r="A7337" s="31" t="n">
        <v>43041.625</v>
      </c>
      <c r="B7337" s="32" t="n">
        <v>263.197</v>
      </c>
      <c r="D7337" s="33" t="n">
        <f aca="false">WEEKDAY(A7337,2)</f>
        <v>4</v>
      </c>
      <c r="E7337" s="33" t="n">
        <f aca="false">HOUR(A7337)+MINUTE(A7337)/60</f>
        <v>15</v>
      </c>
      <c r="F7337" s="33" t="n">
        <f aca="false">IF(OR(D7337&gt;5,E7337&lt;8,E7337&gt;=18,COUNTIF($K$2:$K$10,INT(A7337))&gt;0),1,0)</f>
        <v>0</v>
      </c>
      <c r="G7337" s="34" t="n">
        <f aca="false">B7337/1</f>
        <v>263.197</v>
      </c>
      <c r="H7337" s="34" t="str">
        <f aca="false">IF(F7337=1,G7337,"")</f>
        <v/>
      </c>
    </row>
    <row r="7338" customFormat="false" ht="15" hidden="false" customHeight="false" outlineLevel="0" collapsed="false">
      <c r="A7338" s="31" t="n">
        <v>43041.6666666667</v>
      </c>
      <c r="B7338" s="32" t="n">
        <v>255.418</v>
      </c>
      <c r="D7338" s="33" t="n">
        <f aca="false">WEEKDAY(A7338,2)</f>
        <v>4</v>
      </c>
      <c r="E7338" s="33" t="n">
        <f aca="false">HOUR(A7338)+MINUTE(A7338)/60</f>
        <v>16</v>
      </c>
      <c r="F7338" s="33" t="n">
        <f aca="false">IF(OR(D7338&gt;5,E7338&lt;8,E7338&gt;=18,COUNTIF($K$2:$K$10,INT(A7338))&gt;0),1,0)</f>
        <v>0</v>
      </c>
      <c r="G7338" s="34" t="n">
        <f aca="false">B7338/1</f>
        <v>255.418</v>
      </c>
      <c r="H7338" s="34" t="str">
        <f aca="false">IF(F7338=1,G7338,"")</f>
        <v/>
      </c>
    </row>
    <row r="7339" customFormat="false" ht="15" hidden="false" customHeight="false" outlineLevel="0" collapsed="false">
      <c r="A7339" s="31" t="n">
        <v>43041.7083333333</v>
      </c>
      <c r="B7339" s="32" t="n">
        <v>265.73</v>
      </c>
      <c r="D7339" s="33" t="n">
        <f aca="false">WEEKDAY(A7339,2)</f>
        <v>4</v>
      </c>
      <c r="E7339" s="33" t="n">
        <f aca="false">HOUR(A7339)+MINUTE(A7339)/60</f>
        <v>17</v>
      </c>
      <c r="F7339" s="33" t="n">
        <f aca="false">IF(OR(D7339&gt;5,E7339&lt;8,E7339&gt;=18,COUNTIF($K$2:$K$10,INT(A7339))&gt;0),1,0)</f>
        <v>0</v>
      </c>
      <c r="G7339" s="34" t="n">
        <f aca="false">B7339/1</f>
        <v>265.73</v>
      </c>
      <c r="H7339" s="34" t="str">
        <f aca="false">IF(F7339=1,G7339,"")</f>
        <v/>
      </c>
    </row>
    <row r="7340" customFormat="false" ht="15" hidden="false" customHeight="false" outlineLevel="0" collapsed="false">
      <c r="A7340" s="31" t="n">
        <v>43041.75</v>
      </c>
      <c r="B7340" s="32" t="n">
        <v>229.537</v>
      </c>
      <c r="D7340" s="33" t="n">
        <f aca="false">WEEKDAY(A7340,2)</f>
        <v>4</v>
      </c>
      <c r="E7340" s="33" t="n">
        <f aca="false">HOUR(A7340)+MINUTE(A7340)/60</f>
        <v>18</v>
      </c>
      <c r="F7340" s="33" t="n">
        <f aca="false">IF(OR(D7340&gt;5,E7340&lt;8,E7340&gt;=18,COUNTIF($K$2:$K$10,INT(A7340))&gt;0),1,0)</f>
        <v>1</v>
      </c>
      <c r="G7340" s="34" t="n">
        <f aca="false">B7340/1</f>
        <v>229.537</v>
      </c>
      <c r="H7340" s="34" t="n">
        <f aca="false">IF(F7340=1,G7340,"")</f>
        <v>229.537</v>
      </c>
    </row>
    <row r="7341" customFormat="false" ht="15" hidden="false" customHeight="false" outlineLevel="0" collapsed="false">
      <c r="A7341" s="31" t="n">
        <v>43041.7916666667</v>
      </c>
      <c r="B7341" s="32" t="n">
        <v>211.119</v>
      </c>
      <c r="D7341" s="33" t="n">
        <f aca="false">WEEKDAY(A7341,2)</f>
        <v>4</v>
      </c>
      <c r="E7341" s="33" t="n">
        <f aca="false">HOUR(A7341)+MINUTE(A7341)/60</f>
        <v>19</v>
      </c>
      <c r="F7341" s="33" t="n">
        <f aca="false">IF(OR(D7341&gt;5,E7341&lt;8,E7341&gt;=18,COUNTIF($K$2:$K$10,INT(A7341))&gt;0),1,0)</f>
        <v>1</v>
      </c>
      <c r="G7341" s="34" t="n">
        <f aca="false">B7341/1</f>
        <v>211.119</v>
      </c>
      <c r="H7341" s="34" t="n">
        <f aca="false">IF(F7341=1,G7341,"")</f>
        <v>211.119</v>
      </c>
    </row>
    <row r="7342" customFormat="false" ht="15" hidden="false" customHeight="false" outlineLevel="0" collapsed="false">
      <c r="A7342" s="31" t="n">
        <v>43041.8333333333</v>
      </c>
      <c r="B7342" s="32" t="n">
        <v>202.98</v>
      </c>
      <c r="D7342" s="33" t="n">
        <f aca="false">WEEKDAY(A7342,2)</f>
        <v>4</v>
      </c>
      <c r="E7342" s="33" t="n">
        <f aca="false">HOUR(A7342)+MINUTE(A7342)/60</f>
        <v>20</v>
      </c>
      <c r="F7342" s="33" t="n">
        <f aca="false">IF(OR(D7342&gt;5,E7342&lt;8,E7342&gt;=18,COUNTIF($K$2:$K$10,INT(A7342))&gt;0),1,0)</f>
        <v>1</v>
      </c>
      <c r="G7342" s="34" t="n">
        <f aca="false">B7342/1</f>
        <v>202.98</v>
      </c>
      <c r="H7342" s="34" t="n">
        <f aca="false">IF(F7342=1,G7342,"")</f>
        <v>202.98</v>
      </c>
    </row>
    <row r="7343" customFormat="false" ht="15" hidden="false" customHeight="false" outlineLevel="0" collapsed="false">
      <c r="A7343" s="31" t="n">
        <v>43041.875</v>
      </c>
      <c r="B7343" s="32" t="n">
        <v>196.791</v>
      </c>
      <c r="D7343" s="33" t="n">
        <f aca="false">WEEKDAY(A7343,2)</f>
        <v>4</v>
      </c>
      <c r="E7343" s="33" t="n">
        <f aca="false">HOUR(A7343)+MINUTE(A7343)/60</f>
        <v>21</v>
      </c>
      <c r="F7343" s="33" t="n">
        <f aca="false">IF(OR(D7343&gt;5,E7343&lt;8,E7343&gt;=18,COUNTIF($K$2:$K$10,INT(A7343))&gt;0),1,0)</f>
        <v>1</v>
      </c>
      <c r="G7343" s="34" t="n">
        <f aca="false">B7343/1</f>
        <v>196.791</v>
      </c>
      <c r="H7343" s="34" t="n">
        <f aca="false">IF(F7343=1,G7343,"")</f>
        <v>196.791</v>
      </c>
    </row>
    <row r="7344" customFormat="false" ht="15" hidden="false" customHeight="false" outlineLevel="0" collapsed="false">
      <c r="A7344" s="31" t="n">
        <v>43041.9166666667</v>
      </c>
      <c r="B7344" s="32" t="n">
        <v>136.342</v>
      </c>
      <c r="D7344" s="33" t="n">
        <f aca="false">WEEKDAY(A7344,2)</f>
        <v>4</v>
      </c>
      <c r="E7344" s="33" t="n">
        <f aca="false">HOUR(A7344)+MINUTE(A7344)/60</f>
        <v>22</v>
      </c>
      <c r="F7344" s="33" t="n">
        <f aca="false">IF(OR(D7344&gt;5,E7344&lt;8,E7344&gt;=18,COUNTIF($K$2:$K$10,INT(A7344))&gt;0),1,0)</f>
        <v>1</v>
      </c>
      <c r="G7344" s="34" t="n">
        <f aca="false">B7344/1</f>
        <v>136.342</v>
      </c>
      <c r="H7344" s="34" t="n">
        <f aca="false">IF(F7344=1,G7344,"")</f>
        <v>136.342</v>
      </c>
    </row>
    <row r="7345" customFormat="false" ht="15" hidden="false" customHeight="false" outlineLevel="0" collapsed="false">
      <c r="A7345" s="31" t="n">
        <v>43041.9583333333</v>
      </c>
      <c r="B7345" s="32" t="n">
        <v>74.916</v>
      </c>
      <c r="D7345" s="33" t="n">
        <f aca="false">WEEKDAY(A7345,2)</f>
        <v>4</v>
      </c>
      <c r="E7345" s="33" t="n">
        <f aca="false">HOUR(A7345)+MINUTE(A7345)/60</f>
        <v>23</v>
      </c>
      <c r="F7345" s="33" t="n">
        <f aca="false">IF(OR(D7345&gt;5,E7345&lt;8,E7345&gt;=18,COUNTIF($K$2:$K$10,INT(A7345))&gt;0),1,0)</f>
        <v>1</v>
      </c>
      <c r="G7345" s="34" t="n">
        <f aca="false">B7345/1</f>
        <v>74.916</v>
      </c>
      <c r="H7345" s="34" t="n">
        <f aca="false">IF(F7345=1,G7345,"")</f>
        <v>74.916</v>
      </c>
    </row>
    <row r="7346" customFormat="false" ht="15" hidden="false" customHeight="false" outlineLevel="0" collapsed="false">
      <c r="A7346" s="31" t="n">
        <v>43042</v>
      </c>
      <c r="B7346" s="32" t="n">
        <v>70.525</v>
      </c>
      <c r="D7346" s="33" t="n">
        <f aca="false">WEEKDAY(A7346,2)</f>
        <v>5</v>
      </c>
      <c r="E7346" s="33" t="n">
        <f aca="false">HOUR(A7346)+MINUTE(A7346)/60</f>
        <v>0</v>
      </c>
      <c r="F7346" s="33" t="n">
        <f aca="false">IF(OR(D7346&gt;5,E7346&lt;8,E7346&gt;=18,COUNTIF($K$2:$K$10,INT(A7346))&gt;0),1,0)</f>
        <v>1</v>
      </c>
      <c r="G7346" s="34" t="n">
        <f aca="false">B7346/1</f>
        <v>70.525</v>
      </c>
      <c r="H7346" s="34" t="n">
        <f aca="false">IF(F7346=1,G7346,"")</f>
        <v>70.525</v>
      </c>
    </row>
    <row r="7347" customFormat="false" ht="15" hidden="false" customHeight="false" outlineLevel="0" collapsed="false">
      <c r="A7347" s="31" t="n">
        <v>43042.0416666667</v>
      </c>
      <c r="B7347" s="32" t="n">
        <v>63.169</v>
      </c>
      <c r="D7347" s="33" t="n">
        <f aca="false">WEEKDAY(A7347,2)</f>
        <v>5</v>
      </c>
      <c r="E7347" s="33" t="n">
        <f aca="false">HOUR(A7347)+MINUTE(A7347)/60</f>
        <v>1</v>
      </c>
      <c r="F7347" s="33" t="n">
        <f aca="false">IF(OR(D7347&gt;5,E7347&lt;8,E7347&gt;=18,COUNTIF($K$2:$K$10,INT(A7347))&gt;0),1,0)</f>
        <v>1</v>
      </c>
      <c r="G7347" s="34" t="n">
        <f aca="false">B7347/1</f>
        <v>63.169</v>
      </c>
      <c r="H7347" s="34" t="n">
        <f aca="false">IF(F7347=1,G7347,"")</f>
        <v>63.169</v>
      </c>
    </row>
    <row r="7348" customFormat="false" ht="15" hidden="false" customHeight="false" outlineLevel="0" collapsed="false">
      <c r="A7348" s="31" t="n">
        <v>43042.0833333333</v>
      </c>
      <c r="B7348" s="32" t="n">
        <v>61.883</v>
      </c>
      <c r="D7348" s="33" t="n">
        <f aca="false">WEEKDAY(A7348,2)</f>
        <v>5</v>
      </c>
      <c r="E7348" s="33" t="n">
        <f aca="false">HOUR(A7348)+MINUTE(A7348)/60</f>
        <v>2</v>
      </c>
      <c r="F7348" s="33" t="n">
        <f aca="false">IF(OR(D7348&gt;5,E7348&lt;8,E7348&gt;=18,COUNTIF($K$2:$K$10,INT(A7348))&gt;0),1,0)</f>
        <v>1</v>
      </c>
      <c r="G7348" s="34" t="n">
        <f aca="false">B7348/1</f>
        <v>61.883</v>
      </c>
      <c r="H7348" s="34" t="n">
        <f aca="false">IF(F7348=1,G7348,"")</f>
        <v>61.883</v>
      </c>
    </row>
    <row r="7349" customFormat="false" ht="15" hidden="false" customHeight="false" outlineLevel="0" collapsed="false">
      <c r="A7349" s="31" t="n">
        <v>43042.125</v>
      </c>
      <c r="B7349" s="32" t="n">
        <v>60.235</v>
      </c>
      <c r="D7349" s="33" t="n">
        <f aca="false">WEEKDAY(A7349,2)</f>
        <v>5</v>
      </c>
      <c r="E7349" s="33" t="n">
        <f aca="false">HOUR(A7349)+MINUTE(A7349)/60</f>
        <v>3</v>
      </c>
      <c r="F7349" s="33" t="n">
        <f aca="false">IF(OR(D7349&gt;5,E7349&lt;8,E7349&gt;=18,COUNTIF($K$2:$K$10,INT(A7349))&gt;0),1,0)</f>
        <v>1</v>
      </c>
      <c r="G7349" s="34" t="n">
        <f aca="false">B7349/1</f>
        <v>60.235</v>
      </c>
      <c r="H7349" s="34" t="n">
        <f aca="false">IF(F7349=1,G7349,"")</f>
        <v>60.235</v>
      </c>
    </row>
    <row r="7350" customFormat="false" ht="15" hidden="false" customHeight="false" outlineLevel="0" collapsed="false">
      <c r="A7350" s="31" t="n">
        <v>43042.1666666667</v>
      </c>
      <c r="B7350" s="32" t="n">
        <v>60.262</v>
      </c>
      <c r="D7350" s="33" t="n">
        <f aca="false">WEEKDAY(A7350,2)</f>
        <v>5</v>
      </c>
      <c r="E7350" s="33" t="n">
        <f aca="false">HOUR(A7350)+MINUTE(A7350)/60</f>
        <v>4</v>
      </c>
      <c r="F7350" s="33" t="n">
        <f aca="false">IF(OR(D7350&gt;5,E7350&lt;8,E7350&gt;=18,COUNTIF($K$2:$K$10,INT(A7350))&gt;0),1,0)</f>
        <v>1</v>
      </c>
      <c r="G7350" s="34" t="n">
        <f aca="false">B7350/1</f>
        <v>60.262</v>
      </c>
      <c r="H7350" s="34" t="n">
        <f aca="false">IF(F7350=1,G7350,"")</f>
        <v>60.262</v>
      </c>
    </row>
    <row r="7351" customFormat="false" ht="15" hidden="false" customHeight="false" outlineLevel="0" collapsed="false">
      <c r="A7351" s="31" t="n">
        <v>43042.2083333333</v>
      </c>
      <c r="B7351" s="32" t="n">
        <v>61.089</v>
      </c>
      <c r="D7351" s="33" t="n">
        <f aca="false">WEEKDAY(A7351,2)</f>
        <v>5</v>
      </c>
      <c r="E7351" s="33" t="n">
        <f aca="false">HOUR(A7351)+MINUTE(A7351)/60</f>
        <v>5</v>
      </c>
      <c r="F7351" s="33" t="n">
        <f aca="false">IF(OR(D7351&gt;5,E7351&lt;8,E7351&gt;=18,COUNTIF($K$2:$K$10,INT(A7351))&gt;0),1,0)</f>
        <v>1</v>
      </c>
      <c r="G7351" s="34" t="n">
        <f aca="false">B7351/1</f>
        <v>61.089</v>
      </c>
      <c r="H7351" s="34" t="n">
        <f aca="false">IF(F7351=1,G7351,"")</f>
        <v>61.089</v>
      </c>
    </row>
    <row r="7352" customFormat="false" ht="15" hidden="false" customHeight="false" outlineLevel="0" collapsed="false">
      <c r="A7352" s="31" t="n">
        <v>43042.25</v>
      </c>
      <c r="B7352" s="32" t="n">
        <v>64.2</v>
      </c>
      <c r="D7352" s="33" t="n">
        <f aca="false">WEEKDAY(A7352,2)</f>
        <v>5</v>
      </c>
      <c r="E7352" s="33" t="n">
        <f aca="false">HOUR(A7352)+MINUTE(A7352)/60</f>
        <v>6</v>
      </c>
      <c r="F7352" s="33" t="n">
        <f aca="false">IF(OR(D7352&gt;5,E7352&lt;8,E7352&gt;=18,COUNTIF($K$2:$K$10,INT(A7352))&gt;0),1,0)</f>
        <v>1</v>
      </c>
      <c r="G7352" s="34" t="n">
        <f aca="false">B7352/1</f>
        <v>64.2</v>
      </c>
      <c r="H7352" s="34" t="n">
        <f aca="false">IF(F7352=1,G7352,"")</f>
        <v>64.2</v>
      </c>
    </row>
    <row r="7353" customFormat="false" ht="15" hidden="false" customHeight="false" outlineLevel="0" collapsed="false">
      <c r="A7353" s="31" t="n">
        <v>43042.2916666667</v>
      </c>
      <c r="B7353" s="32" t="n">
        <v>67.501</v>
      </c>
      <c r="D7353" s="33" t="n">
        <f aca="false">WEEKDAY(A7353,2)</f>
        <v>5</v>
      </c>
      <c r="E7353" s="33" t="n">
        <f aca="false">HOUR(A7353)+MINUTE(A7353)/60</f>
        <v>7</v>
      </c>
      <c r="F7353" s="33" t="n">
        <f aca="false">IF(OR(D7353&gt;5,E7353&lt;8,E7353&gt;=18,COUNTIF($K$2:$K$10,INT(A7353))&gt;0),1,0)</f>
        <v>1</v>
      </c>
      <c r="G7353" s="34" t="n">
        <f aca="false">B7353/1</f>
        <v>67.501</v>
      </c>
      <c r="H7353" s="34" t="n">
        <f aca="false">IF(F7353=1,G7353,"")</f>
        <v>67.501</v>
      </c>
    </row>
    <row r="7354" customFormat="false" ht="15" hidden="false" customHeight="false" outlineLevel="0" collapsed="false">
      <c r="A7354" s="31" t="n">
        <v>43042.3333333333</v>
      </c>
      <c r="B7354" s="32" t="n">
        <v>169.983</v>
      </c>
      <c r="D7354" s="33" t="n">
        <f aca="false">WEEKDAY(A7354,2)</f>
        <v>5</v>
      </c>
      <c r="E7354" s="33" t="n">
        <f aca="false">HOUR(A7354)+MINUTE(A7354)/60</f>
        <v>8</v>
      </c>
      <c r="F7354" s="33" t="n">
        <f aca="false">IF(OR(D7354&gt;5,E7354&lt;8,E7354&gt;=18,COUNTIF($K$2:$K$10,INT(A7354))&gt;0),1,0)</f>
        <v>0</v>
      </c>
      <c r="G7354" s="34" t="n">
        <f aca="false">B7354/1</f>
        <v>169.983</v>
      </c>
      <c r="H7354" s="34" t="str">
        <f aca="false">IF(F7354=1,G7354,"")</f>
        <v/>
      </c>
    </row>
    <row r="7355" customFormat="false" ht="15" hidden="false" customHeight="false" outlineLevel="0" collapsed="false">
      <c r="A7355" s="31" t="n">
        <v>43042.375</v>
      </c>
      <c r="B7355" s="32" t="n">
        <v>216.543</v>
      </c>
      <c r="D7355" s="33" t="n">
        <f aca="false">WEEKDAY(A7355,2)</f>
        <v>5</v>
      </c>
      <c r="E7355" s="33" t="n">
        <f aca="false">HOUR(A7355)+MINUTE(A7355)/60</f>
        <v>9</v>
      </c>
      <c r="F7355" s="33" t="n">
        <f aca="false">IF(OR(D7355&gt;5,E7355&lt;8,E7355&gt;=18,COUNTIF($K$2:$K$10,INT(A7355))&gt;0),1,0)</f>
        <v>0</v>
      </c>
      <c r="G7355" s="34" t="n">
        <f aca="false">B7355/1</f>
        <v>216.543</v>
      </c>
      <c r="H7355" s="34" t="str">
        <f aca="false">IF(F7355=1,G7355,"")</f>
        <v/>
      </c>
    </row>
    <row r="7356" customFormat="false" ht="15" hidden="false" customHeight="false" outlineLevel="0" collapsed="false">
      <c r="A7356" s="31" t="n">
        <v>43042.4166666667</v>
      </c>
      <c r="B7356" s="32" t="n">
        <v>216.543</v>
      </c>
      <c r="D7356" s="33" t="n">
        <f aca="false">WEEKDAY(A7356,2)</f>
        <v>5</v>
      </c>
      <c r="E7356" s="33" t="n">
        <f aca="false">HOUR(A7356)+MINUTE(A7356)/60</f>
        <v>10</v>
      </c>
      <c r="F7356" s="33" t="n">
        <f aca="false">IF(OR(D7356&gt;5,E7356&lt;8,E7356&gt;=18,COUNTIF($K$2:$K$10,INT(A7356))&gt;0),1,0)</f>
        <v>0</v>
      </c>
      <c r="G7356" s="34" t="n">
        <f aca="false">B7356/1</f>
        <v>216.543</v>
      </c>
      <c r="H7356" s="34" t="str">
        <f aca="false">IF(F7356=1,G7356,"")</f>
        <v/>
      </c>
    </row>
    <row r="7357" customFormat="false" ht="15" hidden="false" customHeight="false" outlineLevel="0" collapsed="false">
      <c r="A7357" s="31" t="n">
        <v>43042.4583333333</v>
      </c>
      <c r="B7357" s="32" t="n">
        <v>216.543</v>
      </c>
      <c r="D7357" s="33" t="n">
        <f aca="false">WEEKDAY(A7357,2)</f>
        <v>5</v>
      </c>
      <c r="E7357" s="33" t="n">
        <f aca="false">HOUR(A7357)+MINUTE(A7357)/60</f>
        <v>11</v>
      </c>
      <c r="F7357" s="33" t="n">
        <f aca="false">IF(OR(D7357&gt;5,E7357&lt;8,E7357&gt;=18,COUNTIF($K$2:$K$10,INT(A7357))&gt;0),1,0)</f>
        <v>0</v>
      </c>
      <c r="G7357" s="34" t="n">
        <f aca="false">B7357/1</f>
        <v>216.543</v>
      </c>
      <c r="H7357" s="34" t="str">
        <f aca="false">IF(F7357=1,G7357,"")</f>
        <v/>
      </c>
    </row>
    <row r="7358" customFormat="false" ht="15" hidden="false" customHeight="false" outlineLevel="0" collapsed="false">
      <c r="A7358" s="31" t="n">
        <v>43042.5</v>
      </c>
      <c r="B7358" s="32" t="n">
        <v>227.494</v>
      </c>
      <c r="D7358" s="33" t="n">
        <f aca="false">WEEKDAY(A7358,2)</f>
        <v>5</v>
      </c>
      <c r="E7358" s="33" t="n">
        <f aca="false">HOUR(A7358)+MINUTE(A7358)/60</f>
        <v>12</v>
      </c>
      <c r="F7358" s="33" t="n">
        <f aca="false">IF(OR(D7358&gt;5,E7358&lt;8,E7358&gt;=18,COUNTIF($K$2:$K$10,INT(A7358))&gt;0),1,0)</f>
        <v>0</v>
      </c>
      <c r="G7358" s="34" t="n">
        <f aca="false">B7358/1</f>
        <v>227.494</v>
      </c>
      <c r="H7358" s="34" t="str">
        <f aca="false">IF(F7358=1,G7358,"")</f>
        <v/>
      </c>
    </row>
    <row r="7359" customFormat="false" ht="15" hidden="false" customHeight="false" outlineLevel="0" collapsed="false">
      <c r="A7359" s="31" t="n">
        <v>43042.5416666667</v>
      </c>
      <c r="B7359" s="32" t="n">
        <v>241.315</v>
      </c>
      <c r="D7359" s="33" t="n">
        <f aca="false">WEEKDAY(A7359,2)</f>
        <v>5</v>
      </c>
      <c r="E7359" s="33" t="n">
        <f aca="false">HOUR(A7359)+MINUTE(A7359)/60</f>
        <v>13</v>
      </c>
      <c r="F7359" s="33" t="n">
        <f aca="false">IF(OR(D7359&gt;5,E7359&lt;8,E7359&gt;=18,COUNTIF($K$2:$K$10,INT(A7359))&gt;0),1,0)</f>
        <v>0</v>
      </c>
      <c r="G7359" s="34" t="n">
        <f aca="false">B7359/1</f>
        <v>241.315</v>
      </c>
      <c r="H7359" s="34" t="str">
        <f aca="false">IF(F7359=1,G7359,"")</f>
        <v/>
      </c>
    </row>
    <row r="7360" customFormat="false" ht="15" hidden="false" customHeight="false" outlineLevel="0" collapsed="false">
      <c r="A7360" s="31" t="n">
        <v>43042.5833333333</v>
      </c>
      <c r="B7360" s="32" t="n">
        <v>259.253</v>
      </c>
      <c r="D7360" s="33" t="n">
        <f aca="false">WEEKDAY(A7360,2)</f>
        <v>5</v>
      </c>
      <c r="E7360" s="33" t="n">
        <f aca="false">HOUR(A7360)+MINUTE(A7360)/60</f>
        <v>14</v>
      </c>
      <c r="F7360" s="33" t="n">
        <f aca="false">IF(OR(D7360&gt;5,E7360&lt;8,E7360&gt;=18,COUNTIF($K$2:$K$10,INT(A7360))&gt;0),1,0)</f>
        <v>0</v>
      </c>
      <c r="G7360" s="34" t="n">
        <f aca="false">B7360/1</f>
        <v>259.253</v>
      </c>
      <c r="H7360" s="34" t="str">
        <f aca="false">IF(F7360=1,G7360,"")</f>
        <v/>
      </c>
    </row>
    <row r="7361" customFormat="false" ht="15" hidden="false" customHeight="false" outlineLevel="0" collapsed="false">
      <c r="A7361" s="31" t="n">
        <v>43042.625</v>
      </c>
      <c r="B7361" s="32" t="n">
        <v>241.13</v>
      </c>
      <c r="D7361" s="33" t="n">
        <f aca="false">WEEKDAY(A7361,2)</f>
        <v>5</v>
      </c>
      <c r="E7361" s="33" t="n">
        <f aca="false">HOUR(A7361)+MINUTE(A7361)/60</f>
        <v>15</v>
      </c>
      <c r="F7361" s="33" t="n">
        <f aca="false">IF(OR(D7361&gt;5,E7361&lt;8,E7361&gt;=18,COUNTIF($K$2:$K$10,INT(A7361))&gt;0),1,0)</f>
        <v>0</v>
      </c>
      <c r="G7361" s="34" t="n">
        <f aca="false">B7361/1</f>
        <v>241.13</v>
      </c>
      <c r="H7361" s="34" t="str">
        <f aca="false">IF(F7361=1,G7361,"")</f>
        <v/>
      </c>
    </row>
    <row r="7362" customFormat="false" ht="15" hidden="false" customHeight="false" outlineLevel="0" collapsed="false">
      <c r="A7362" s="31" t="n">
        <v>43042.6666666667</v>
      </c>
      <c r="B7362" s="32" t="n">
        <v>222.156</v>
      </c>
      <c r="D7362" s="33" t="n">
        <f aca="false">WEEKDAY(A7362,2)</f>
        <v>5</v>
      </c>
      <c r="E7362" s="33" t="n">
        <f aca="false">HOUR(A7362)+MINUTE(A7362)/60</f>
        <v>16</v>
      </c>
      <c r="F7362" s="33" t="n">
        <f aca="false">IF(OR(D7362&gt;5,E7362&lt;8,E7362&gt;=18,COUNTIF($K$2:$K$10,INT(A7362))&gt;0),1,0)</f>
        <v>0</v>
      </c>
      <c r="G7362" s="34" t="n">
        <f aca="false">B7362/1</f>
        <v>222.156</v>
      </c>
      <c r="H7362" s="34" t="str">
        <f aca="false">IF(F7362=1,G7362,"")</f>
        <v/>
      </c>
    </row>
    <row r="7363" customFormat="false" ht="15" hidden="false" customHeight="false" outlineLevel="0" collapsed="false">
      <c r="A7363" s="31" t="n">
        <v>43042.7083333333</v>
      </c>
      <c r="B7363" s="32" t="n">
        <v>204.868</v>
      </c>
      <c r="D7363" s="33" t="n">
        <f aca="false">WEEKDAY(A7363,2)</f>
        <v>5</v>
      </c>
      <c r="E7363" s="33" t="n">
        <f aca="false">HOUR(A7363)+MINUTE(A7363)/60</f>
        <v>17</v>
      </c>
      <c r="F7363" s="33" t="n">
        <f aca="false">IF(OR(D7363&gt;5,E7363&lt;8,E7363&gt;=18,COUNTIF($K$2:$K$10,INT(A7363))&gt;0),1,0)</f>
        <v>0</v>
      </c>
      <c r="G7363" s="34" t="n">
        <f aca="false">B7363/1</f>
        <v>204.868</v>
      </c>
      <c r="H7363" s="34" t="str">
        <f aca="false">IF(F7363=1,G7363,"")</f>
        <v/>
      </c>
    </row>
    <row r="7364" customFormat="false" ht="15" hidden="false" customHeight="false" outlineLevel="0" collapsed="false">
      <c r="A7364" s="31" t="n">
        <v>43042.75</v>
      </c>
      <c r="B7364" s="32" t="n">
        <v>193.093</v>
      </c>
      <c r="D7364" s="33" t="n">
        <f aca="false">WEEKDAY(A7364,2)</f>
        <v>5</v>
      </c>
      <c r="E7364" s="33" t="n">
        <f aca="false">HOUR(A7364)+MINUTE(A7364)/60</f>
        <v>18</v>
      </c>
      <c r="F7364" s="33" t="n">
        <f aca="false">IF(OR(D7364&gt;5,E7364&lt;8,E7364&gt;=18,COUNTIF($K$2:$K$10,INT(A7364))&gt;0),1,0)</f>
        <v>1</v>
      </c>
      <c r="G7364" s="34" t="n">
        <f aca="false">B7364/1</f>
        <v>193.093</v>
      </c>
      <c r="H7364" s="34" t="n">
        <f aca="false">IF(F7364=1,G7364,"")</f>
        <v>193.093</v>
      </c>
    </row>
    <row r="7365" customFormat="false" ht="15" hidden="false" customHeight="false" outlineLevel="0" collapsed="false">
      <c r="A7365" s="31" t="n">
        <v>43042.7916666667</v>
      </c>
      <c r="B7365" s="32" t="n">
        <v>189.745</v>
      </c>
      <c r="D7365" s="33" t="n">
        <f aca="false">WEEKDAY(A7365,2)</f>
        <v>5</v>
      </c>
      <c r="E7365" s="33" t="n">
        <f aca="false">HOUR(A7365)+MINUTE(A7365)/60</f>
        <v>19</v>
      </c>
      <c r="F7365" s="33" t="n">
        <f aca="false">IF(OR(D7365&gt;5,E7365&lt;8,E7365&gt;=18,COUNTIF($K$2:$K$10,INT(A7365))&gt;0),1,0)</f>
        <v>1</v>
      </c>
      <c r="G7365" s="34" t="n">
        <f aca="false">B7365/1</f>
        <v>189.745</v>
      </c>
      <c r="H7365" s="34" t="n">
        <f aca="false">IF(F7365=1,G7365,"")</f>
        <v>189.745</v>
      </c>
    </row>
    <row r="7366" customFormat="false" ht="15" hidden="false" customHeight="false" outlineLevel="0" collapsed="false">
      <c r="A7366" s="31" t="n">
        <v>43042.8333333333</v>
      </c>
      <c r="B7366" s="32" t="n">
        <v>187.003</v>
      </c>
      <c r="D7366" s="33" t="n">
        <f aca="false">WEEKDAY(A7366,2)</f>
        <v>5</v>
      </c>
      <c r="E7366" s="33" t="n">
        <f aca="false">HOUR(A7366)+MINUTE(A7366)/60</f>
        <v>20</v>
      </c>
      <c r="F7366" s="33" t="n">
        <f aca="false">IF(OR(D7366&gt;5,E7366&lt;8,E7366&gt;=18,COUNTIF($K$2:$K$10,INT(A7366))&gt;0),1,0)</f>
        <v>1</v>
      </c>
      <c r="G7366" s="34" t="n">
        <f aca="false">B7366/1</f>
        <v>187.003</v>
      </c>
      <c r="H7366" s="34" t="n">
        <f aca="false">IF(F7366=1,G7366,"")</f>
        <v>187.003</v>
      </c>
    </row>
    <row r="7367" customFormat="false" ht="15" hidden="false" customHeight="false" outlineLevel="0" collapsed="false">
      <c r="A7367" s="31" t="n">
        <v>43042.875</v>
      </c>
      <c r="B7367" s="32" t="n">
        <v>182.714</v>
      </c>
      <c r="D7367" s="33" t="n">
        <f aca="false">WEEKDAY(A7367,2)</f>
        <v>5</v>
      </c>
      <c r="E7367" s="33" t="n">
        <f aca="false">HOUR(A7367)+MINUTE(A7367)/60</f>
        <v>21</v>
      </c>
      <c r="F7367" s="33" t="n">
        <f aca="false">IF(OR(D7367&gt;5,E7367&lt;8,E7367&gt;=18,COUNTIF($K$2:$K$10,INT(A7367))&gt;0),1,0)</f>
        <v>1</v>
      </c>
      <c r="G7367" s="34" t="n">
        <f aca="false">B7367/1</f>
        <v>182.714</v>
      </c>
      <c r="H7367" s="34" t="n">
        <f aca="false">IF(F7367=1,G7367,"")</f>
        <v>182.714</v>
      </c>
    </row>
    <row r="7368" customFormat="false" ht="15" hidden="false" customHeight="false" outlineLevel="0" collapsed="false">
      <c r="A7368" s="31" t="n">
        <v>43042.9166666667</v>
      </c>
      <c r="B7368" s="32" t="n">
        <v>131.197</v>
      </c>
      <c r="D7368" s="33" t="n">
        <f aca="false">WEEKDAY(A7368,2)</f>
        <v>5</v>
      </c>
      <c r="E7368" s="33" t="n">
        <f aca="false">HOUR(A7368)+MINUTE(A7368)/60</f>
        <v>22</v>
      </c>
      <c r="F7368" s="33" t="n">
        <f aca="false">IF(OR(D7368&gt;5,E7368&lt;8,E7368&gt;=18,COUNTIF($K$2:$K$10,INT(A7368))&gt;0),1,0)</f>
        <v>1</v>
      </c>
      <c r="G7368" s="34" t="n">
        <f aca="false">B7368/1</f>
        <v>131.197</v>
      </c>
      <c r="H7368" s="34" t="n">
        <f aca="false">IF(F7368=1,G7368,"")</f>
        <v>131.197</v>
      </c>
    </row>
    <row r="7369" customFormat="false" ht="15" hidden="false" customHeight="false" outlineLevel="0" collapsed="false">
      <c r="A7369" s="31" t="n">
        <v>43042.9583333333</v>
      </c>
      <c r="B7369" s="32" t="n">
        <v>72.877</v>
      </c>
      <c r="D7369" s="33" t="n">
        <f aca="false">WEEKDAY(A7369,2)</f>
        <v>5</v>
      </c>
      <c r="E7369" s="33" t="n">
        <f aca="false">HOUR(A7369)+MINUTE(A7369)/60</f>
        <v>23</v>
      </c>
      <c r="F7369" s="33" t="n">
        <f aca="false">IF(OR(D7369&gt;5,E7369&lt;8,E7369&gt;=18,COUNTIF($K$2:$K$10,INT(A7369))&gt;0),1,0)</f>
        <v>1</v>
      </c>
      <c r="G7369" s="34" t="n">
        <f aca="false">B7369/1</f>
        <v>72.877</v>
      </c>
      <c r="H7369" s="34" t="n">
        <f aca="false">IF(F7369=1,G7369,"")</f>
        <v>72.877</v>
      </c>
    </row>
    <row r="7370" customFormat="false" ht="15" hidden="false" customHeight="false" outlineLevel="0" collapsed="false">
      <c r="A7370" s="31" t="n">
        <v>43043</v>
      </c>
      <c r="B7370" s="32" t="n">
        <v>67.123</v>
      </c>
      <c r="D7370" s="33" t="n">
        <f aca="false">WEEKDAY(A7370,2)</f>
        <v>6</v>
      </c>
      <c r="E7370" s="33" t="n">
        <f aca="false">HOUR(A7370)+MINUTE(A7370)/60</f>
        <v>0</v>
      </c>
      <c r="F7370" s="33" t="n">
        <f aca="false">IF(OR(D7370&gt;5,E7370&lt;8,E7370&gt;=18,COUNTIF($K$2:$K$10,INT(A7370))&gt;0),1,0)</f>
        <v>1</v>
      </c>
      <c r="G7370" s="34" t="n">
        <f aca="false">B7370/1</f>
        <v>67.123</v>
      </c>
      <c r="H7370" s="34" t="n">
        <f aca="false">IF(F7370=1,G7370,"")</f>
        <v>67.123</v>
      </c>
    </row>
    <row r="7371" customFormat="false" ht="15" hidden="false" customHeight="false" outlineLevel="0" collapsed="false">
      <c r="A7371" s="31" t="n">
        <v>43043.0416666667</v>
      </c>
      <c r="B7371" s="32" t="n">
        <v>63.261</v>
      </c>
      <c r="D7371" s="33" t="n">
        <f aca="false">WEEKDAY(A7371,2)</f>
        <v>6</v>
      </c>
      <c r="E7371" s="33" t="n">
        <f aca="false">HOUR(A7371)+MINUTE(A7371)/60</f>
        <v>1</v>
      </c>
      <c r="F7371" s="33" t="n">
        <f aca="false">IF(OR(D7371&gt;5,E7371&lt;8,E7371&gt;=18,COUNTIF($K$2:$K$10,INT(A7371))&gt;0),1,0)</f>
        <v>1</v>
      </c>
      <c r="G7371" s="34" t="n">
        <f aca="false">B7371/1</f>
        <v>63.261</v>
      </c>
      <c r="H7371" s="34" t="n">
        <f aca="false">IF(F7371=1,G7371,"")</f>
        <v>63.261</v>
      </c>
    </row>
    <row r="7372" customFormat="false" ht="15" hidden="false" customHeight="false" outlineLevel="0" collapsed="false">
      <c r="A7372" s="31" t="n">
        <v>43043.0833333333</v>
      </c>
      <c r="B7372" s="32" t="n">
        <v>58.828</v>
      </c>
      <c r="D7372" s="33" t="n">
        <f aca="false">WEEKDAY(A7372,2)</f>
        <v>6</v>
      </c>
      <c r="E7372" s="33" t="n">
        <f aca="false">HOUR(A7372)+MINUTE(A7372)/60</f>
        <v>2</v>
      </c>
      <c r="F7372" s="33" t="n">
        <f aca="false">IF(OR(D7372&gt;5,E7372&lt;8,E7372&gt;=18,COUNTIF($K$2:$K$10,INT(A7372))&gt;0),1,0)</f>
        <v>1</v>
      </c>
      <c r="G7372" s="34" t="n">
        <f aca="false">B7372/1</f>
        <v>58.828</v>
      </c>
      <c r="H7372" s="34" t="n">
        <f aca="false">IF(F7372=1,G7372,"")</f>
        <v>58.828</v>
      </c>
    </row>
    <row r="7373" customFormat="false" ht="15" hidden="false" customHeight="false" outlineLevel="0" collapsed="false">
      <c r="A7373" s="31" t="n">
        <v>43043.125</v>
      </c>
      <c r="B7373" s="32" t="n">
        <v>59.673</v>
      </c>
      <c r="D7373" s="33" t="n">
        <f aca="false">WEEKDAY(A7373,2)</f>
        <v>6</v>
      </c>
      <c r="E7373" s="33" t="n">
        <f aca="false">HOUR(A7373)+MINUTE(A7373)/60</f>
        <v>3</v>
      </c>
      <c r="F7373" s="33" t="n">
        <f aca="false">IF(OR(D7373&gt;5,E7373&lt;8,E7373&gt;=18,COUNTIF($K$2:$K$10,INT(A7373))&gt;0),1,0)</f>
        <v>1</v>
      </c>
      <c r="G7373" s="34" t="n">
        <f aca="false">B7373/1</f>
        <v>59.673</v>
      </c>
      <c r="H7373" s="34" t="n">
        <f aca="false">IF(F7373=1,G7373,"")</f>
        <v>59.673</v>
      </c>
    </row>
    <row r="7374" customFormat="false" ht="15" hidden="false" customHeight="false" outlineLevel="0" collapsed="false">
      <c r="A7374" s="31" t="n">
        <v>43043.1666666667</v>
      </c>
      <c r="B7374" s="32" t="n">
        <v>57.76</v>
      </c>
      <c r="D7374" s="33" t="n">
        <f aca="false">WEEKDAY(A7374,2)</f>
        <v>6</v>
      </c>
      <c r="E7374" s="33" t="n">
        <f aca="false">HOUR(A7374)+MINUTE(A7374)/60</f>
        <v>4</v>
      </c>
      <c r="F7374" s="33" t="n">
        <f aca="false">IF(OR(D7374&gt;5,E7374&lt;8,E7374&gt;=18,COUNTIF($K$2:$K$10,INT(A7374))&gt;0),1,0)</f>
        <v>1</v>
      </c>
      <c r="G7374" s="34" t="n">
        <f aca="false">B7374/1</f>
        <v>57.76</v>
      </c>
      <c r="H7374" s="34" t="n">
        <f aca="false">IF(F7374=1,G7374,"")</f>
        <v>57.76</v>
      </c>
    </row>
    <row r="7375" customFormat="false" ht="15" hidden="false" customHeight="false" outlineLevel="0" collapsed="false">
      <c r="A7375" s="31" t="n">
        <v>43043.2083333333</v>
      </c>
      <c r="B7375" s="32" t="n">
        <v>57.107</v>
      </c>
      <c r="D7375" s="33" t="n">
        <f aca="false">WEEKDAY(A7375,2)</f>
        <v>6</v>
      </c>
      <c r="E7375" s="33" t="n">
        <f aca="false">HOUR(A7375)+MINUTE(A7375)/60</f>
        <v>5</v>
      </c>
      <c r="F7375" s="33" t="n">
        <f aca="false">IF(OR(D7375&gt;5,E7375&lt;8,E7375&gt;=18,COUNTIF($K$2:$K$10,INT(A7375))&gt;0),1,0)</f>
        <v>1</v>
      </c>
      <c r="G7375" s="34" t="n">
        <f aca="false">B7375/1</f>
        <v>57.107</v>
      </c>
      <c r="H7375" s="34" t="n">
        <f aca="false">IF(F7375=1,G7375,"")</f>
        <v>57.107</v>
      </c>
    </row>
    <row r="7376" customFormat="false" ht="15" hidden="false" customHeight="false" outlineLevel="0" collapsed="false">
      <c r="A7376" s="31" t="n">
        <v>43043.25</v>
      </c>
      <c r="B7376" s="32" t="n">
        <v>55.451</v>
      </c>
      <c r="D7376" s="33" t="n">
        <f aca="false">WEEKDAY(A7376,2)</f>
        <v>6</v>
      </c>
      <c r="E7376" s="33" t="n">
        <f aca="false">HOUR(A7376)+MINUTE(A7376)/60</f>
        <v>6</v>
      </c>
      <c r="F7376" s="33" t="n">
        <f aca="false">IF(OR(D7376&gt;5,E7376&lt;8,E7376&gt;=18,COUNTIF($K$2:$K$10,INT(A7376))&gt;0),1,0)</f>
        <v>1</v>
      </c>
      <c r="G7376" s="34" t="n">
        <f aca="false">B7376/1</f>
        <v>55.451</v>
      </c>
      <c r="H7376" s="34" t="n">
        <f aca="false">IF(F7376=1,G7376,"")</f>
        <v>55.451</v>
      </c>
    </row>
    <row r="7377" customFormat="false" ht="15" hidden="false" customHeight="false" outlineLevel="0" collapsed="false">
      <c r="A7377" s="31" t="n">
        <v>43043.2916666667</v>
      </c>
      <c r="B7377" s="32" t="n">
        <v>56.872</v>
      </c>
      <c r="D7377" s="33" t="n">
        <f aca="false">WEEKDAY(A7377,2)</f>
        <v>6</v>
      </c>
      <c r="E7377" s="33" t="n">
        <f aca="false">HOUR(A7377)+MINUTE(A7377)/60</f>
        <v>7</v>
      </c>
      <c r="F7377" s="33" t="n">
        <f aca="false">IF(OR(D7377&gt;5,E7377&lt;8,E7377&gt;=18,COUNTIF($K$2:$K$10,INT(A7377))&gt;0),1,0)</f>
        <v>1</v>
      </c>
      <c r="G7377" s="34" t="n">
        <f aca="false">B7377/1</f>
        <v>56.872</v>
      </c>
      <c r="H7377" s="34" t="n">
        <f aca="false">IF(F7377=1,G7377,"")</f>
        <v>56.872</v>
      </c>
    </row>
    <row r="7378" customFormat="false" ht="15" hidden="false" customHeight="false" outlineLevel="0" collapsed="false">
      <c r="A7378" s="31" t="n">
        <v>43043.3333333333</v>
      </c>
      <c r="B7378" s="32" t="n">
        <v>115.654</v>
      </c>
      <c r="D7378" s="33" t="n">
        <f aca="false">WEEKDAY(A7378,2)</f>
        <v>6</v>
      </c>
      <c r="E7378" s="33" t="n">
        <f aca="false">HOUR(A7378)+MINUTE(A7378)/60</f>
        <v>8</v>
      </c>
      <c r="F7378" s="33" t="n">
        <f aca="false">IF(OR(D7378&gt;5,E7378&lt;8,E7378&gt;=18,COUNTIF($K$2:$K$10,INT(A7378))&gt;0),1,0)</f>
        <v>1</v>
      </c>
      <c r="G7378" s="34" t="n">
        <f aca="false">B7378/1</f>
        <v>115.654</v>
      </c>
      <c r="H7378" s="34" t="n">
        <f aca="false">IF(F7378=1,G7378,"")</f>
        <v>115.654</v>
      </c>
    </row>
    <row r="7379" customFormat="false" ht="15" hidden="false" customHeight="false" outlineLevel="0" collapsed="false">
      <c r="A7379" s="31" t="n">
        <v>43043.375</v>
      </c>
      <c r="B7379" s="32" t="n">
        <v>155.517</v>
      </c>
      <c r="D7379" s="33" t="n">
        <f aca="false">WEEKDAY(A7379,2)</f>
        <v>6</v>
      </c>
      <c r="E7379" s="33" t="n">
        <f aca="false">HOUR(A7379)+MINUTE(A7379)/60</f>
        <v>9</v>
      </c>
      <c r="F7379" s="33" t="n">
        <f aca="false">IF(OR(D7379&gt;5,E7379&lt;8,E7379&gt;=18,COUNTIF($K$2:$K$10,INT(A7379))&gt;0),1,0)</f>
        <v>1</v>
      </c>
      <c r="G7379" s="34" t="n">
        <f aca="false">B7379/1</f>
        <v>155.517</v>
      </c>
      <c r="H7379" s="34" t="n">
        <f aca="false">IF(F7379=1,G7379,"")</f>
        <v>155.517</v>
      </c>
    </row>
    <row r="7380" customFormat="false" ht="15" hidden="false" customHeight="false" outlineLevel="0" collapsed="false">
      <c r="A7380" s="31" t="n">
        <v>43043.4166666667</v>
      </c>
      <c r="B7380" s="32" t="n">
        <v>159.139</v>
      </c>
      <c r="D7380" s="33" t="n">
        <f aca="false">WEEKDAY(A7380,2)</f>
        <v>6</v>
      </c>
      <c r="E7380" s="33" t="n">
        <f aca="false">HOUR(A7380)+MINUTE(A7380)/60</f>
        <v>10</v>
      </c>
      <c r="F7380" s="33" t="n">
        <f aca="false">IF(OR(D7380&gt;5,E7380&lt;8,E7380&gt;=18,COUNTIF($K$2:$K$10,INT(A7380))&gt;0),1,0)</f>
        <v>1</v>
      </c>
      <c r="G7380" s="34" t="n">
        <f aca="false">B7380/1</f>
        <v>159.139</v>
      </c>
      <c r="H7380" s="34" t="n">
        <f aca="false">IF(F7380=1,G7380,"")</f>
        <v>159.139</v>
      </c>
    </row>
    <row r="7381" customFormat="false" ht="15" hidden="false" customHeight="false" outlineLevel="0" collapsed="false">
      <c r="A7381" s="31" t="n">
        <v>43043.4583333333</v>
      </c>
      <c r="B7381" s="32" t="n">
        <v>164.181</v>
      </c>
      <c r="D7381" s="33" t="n">
        <f aca="false">WEEKDAY(A7381,2)</f>
        <v>6</v>
      </c>
      <c r="E7381" s="33" t="n">
        <f aca="false">HOUR(A7381)+MINUTE(A7381)/60</f>
        <v>11</v>
      </c>
      <c r="F7381" s="33" t="n">
        <f aca="false">IF(OR(D7381&gt;5,E7381&lt;8,E7381&gt;=18,COUNTIF($K$2:$K$10,INT(A7381))&gt;0),1,0)</f>
        <v>1</v>
      </c>
      <c r="G7381" s="34" t="n">
        <f aca="false">B7381/1</f>
        <v>164.181</v>
      </c>
      <c r="H7381" s="34" t="n">
        <f aca="false">IF(F7381=1,G7381,"")</f>
        <v>164.181</v>
      </c>
    </row>
    <row r="7382" customFormat="false" ht="15" hidden="false" customHeight="false" outlineLevel="0" collapsed="false">
      <c r="A7382" s="31" t="n">
        <v>43043.5</v>
      </c>
      <c r="B7382" s="32" t="n">
        <v>165.233</v>
      </c>
      <c r="D7382" s="33" t="n">
        <f aca="false">WEEKDAY(A7382,2)</f>
        <v>6</v>
      </c>
      <c r="E7382" s="33" t="n">
        <f aca="false">HOUR(A7382)+MINUTE(A7382)/60</f>
        <v>12</v>
      </c>
      <c r="F7382" s="33" t="n">
        <f aca="false">IF(OR(D7382&gt;5,E7382&lt;8,E7382&gt;=18,COUNTIF($K$2:$K$10,INT(A7382))&gt;0),1,0)</f>
        <v>1</v>
      </c>
      <c r="G7382" s="34" t="n">
        <f aca="false">B7382/1</f>
        <v>165.233</v>
      </c>
      <c r="H7382" s="34" t="n">
        <f aca="false">IF(F7382=1,G7382,"")</f>
        <v>165.233</v>
      </c>
    </row>
    <row r="7383" customFormat="false" ht="15" hidden="false" customHeight="false" outlineLevel="0" collapsed="false">
      <c r="A7383" s="31" t="n">
        <v>43043.5416666667</v>
      </c>
      <c r="B7383" s="32" t="n">
        <v>168.532</v>
      </c>
      <c r="D7383" s="33" t="n">
        <f aca="false">WEEKDAY(A7383,2)</f>
        <v>6</v>
      </c>
      <c r="E7383" s="33" t="n">
        <f aca="false">HOUR(A7383)+MINUTE(A7383)/60</f>
        <v>13</v>
      </c>
      <c r="F7383" s="33" t="n">
        <f aca="false">IF(OR(D7383&gt;5,E7383&lt;8,E7383&gt;=18,COUNTIF($K$2:$K$10,INT(A7383))&gt;0),1,0)</f>
        <v>1</v>
      </c>
      <c r="G7383" s="34" t="n">
        <f aca="false">B7383/1</f>
        <v>168.532</v>
      </c>
      <c r="H7383" s="34" t="n">
        <f aca="false">IF(F7383=1,G7383,"")</f>
        <v>168.532</v>
      </c>
    </row>
    <row r="7384" customFormat="false" ht="15" hidden="false" customHeight="false" outlineLevel="0" collapsed="false">
      <c r="A7384" s="31" t="n">
        <v>43043.5833333333</v>
      </c>
      <c r="B7384" s="32" t="n">
        <v>170.17</v>
      </c>
      <c r="D7384" s="33" t="n">
        <f aca="false">WEEKDAY(A7384,2)</f>
        <v>6</v>
      </c>
      <c r="E7384" s="33" t="n">
        <f aca="false">HOUR(A7384)+MINUTE(A7384)/60</f>
        <v>14</v>
      </c>
      <c r="F7384" s="33" t="n">
        <f aca="false">IF(OR(D7384&gt;5,E7384&lt;8,E7384&gt;=18,COUNTIF($K$2:$K$10,INT(A7384))&gt;0),1,0)</f>
        <v>1</v>
      </c>
      <c r="G7384" s="34" t="n">
        <f aca="false">B7384/1</f>
        <v>170.17</v>
      </c>
      <c r="H7384" s="34" t="n">
        <f aca="false">IF(F7384=1,G7384,"")</f>
        <v>170.17</v>
      </c>
    </row>
    <row r="7385" customFormat="false" ht="15" hidden="false" customHeight="false" outlineLevel="0" collapsed="false">
      <c r="A7385" s="31" t="n">
        <v>43043.625</v>
      </c>
      <c r="B7385" s="32" t="n">
        <v>174.207</v>
      </c>
      <c r="D7385" s="33" t="n">
        <f aca="false">WEEKDAY(A7385,2)</f>
        <v>6</v>
      </c>
      <c r="E7385" s="33" t="n">
        <f aca="false">HOUR(A7385)+MINUTE(A7385)/60</f>
        <v>15</v>
      </c>
      <c r="F7385" s="33" t="n">
        <f aca="false">IF(OR(D7385&gt;5,E7385&lt;8,E7385&gt;=18,COUNTIF($K$2:$K$10,INT(A7385))&gt;0),1,0)</f>
        <v>1</v>
      </c>
      <c r="G7385" s="34" t="n">
        <f aca="false">B7385/1</f>
        <v>174.207</v>
      </c>
      <c r="H7385" s="34" t="n">
        <f aca="false">IF(F7385=1,G7385,"")</f>
        <v>174.207</v>
      </c>
    </row>
    <row r="7386" customFormat="false" ht="15" hidden="false" customHeight="false" outlineLevel="0" collapsed="false">
      <c r="A7386" s="31" t="n">
        <v>43043.6666666667</v>
      </c>
      <c r="B7386" s="32" t="n">
        <v>176.976</v>
      </c>
      <c r="D7386" s="33" t="n">
        <f aca="false">WEEKDAY(A7386,2)</f>
        <v>6</v>
      </c>
      <c r="E7386" s="33" t="n">
        <f aca="false">HOUR(A7386)+MINUTE(A7386)/60</f>
        <v>16</v>
      </c>
      <c r="F7386" s="33" t="n">
        <f aca="false">IF(OR(D7386&gt;5,E7386&lt;8,E7386&gt;=18,COUNTIF($K$2:$K$10,INT(A7386))&gt;0),1,0)</f>
        <v>1</v>
      </c>
      <c r="G7386" s="34" t="n">
        <f aca="false">B7386/1</f>
        <v>176.976</v>
      </c>
      <c r="H7386" s="34" t="n">
        <f aca="false">IF(F7386=1,G7386,"")</f>
        <v>176.976</v>
      </c>
    </row>
    <row r="7387" customFormat="false" ht="15" hidden="false" customHeight="false" outlineLevel="0" collapsed="false">
      <c r="A7387" s="31" t="n">
        <v>43043.7083333333</v>
      </c>
      <c r="B7387" s="32" t="n">
        <v>175.123</v>
      </c>
      <c r="D7387" s="33" t="n">
        <f aca="false">WEEKDAY(A7387,2)</f>
        <v>6</v>
      </c>
      <c r="E7387" s="33" t="n">
        <f aca="false">HOUR(A7387)+MINUTE(A7387)/60</f>
        <v>17</v>
      </c>
      <c r="F7387" s="33" t="n">
        <f aca="false">IF(OR(D7387&gt;5,E7387&lt;8,E7387&gt;=18,COUNTIF($K$2:$K$10,INT(A7387))&gt;0),1,0)</f>
        <v>1</v>
      </c>
      <c r="G7387" s="34" t="n">
        <f aca="false">B7387/1</f>
        <v>175.123</v>
      </c>
      <c r="H7387" s="34" t="n">
        <f aca="false">IF(F7387=1,G7387,"")</f>
        <v>175.123</v>
      </c>
    </row>
    <row r="7388" customFormat="false" ht="15" hidden="false" customHeight="false" outlineLevel="0" collapsed="false">
      <c r="A7388" s="31" t="n">
        <v>43043.75</v>
      </c>
      <c r="B7388" s="32" t="n">
        <v>92.587</v>
      </c>
      <c r="D7388" s="33" t="n">
        <f aca="false">WEEKDAY(A7388,2)</f>
        <v>6</v>
      </c>
      <c r="E7388" s="33" t="n">
        <f aca="false">HOUR(A7388)+MINUTE(A7388)/60</f>
        <v>18</v>
      </c>
      <c r="F7388" s="33" t="n">
        <f aca="false">IF(OR(D7388&gt;5,E7388&lt;8,E7388&gt;=18,COUNTIF($K$2:$K$10,INT(A7388))&gt;0),1,0)</f>
        <v>1</v>
      </c>
      <c r="G7388" s="34" t="n">
        <f aca="false">B7388/1</f>
        <v>92.587</v>
      </c>
      <c r="H7388" s="34" t="n">
        <f aca="false">IF(F7388=1,G7388,"")</f>
        <v>92.587</v>
      </c>
    </row>
    <row r="7389" customFormat="false" ht="15" hidden="false" customHeight="false" outlineLevel="0" collapsed="false">
      <c r="A7389" s="31" t="n">
        <v>43043.7916666667</v>
      </c>
      <c r="B7389" s="32" t="n">
        <v>70.533</v>
      </c>
      <c r="D7389" s="33" t="n">
        <f aca="false">WEEKDAY(A7389,2)</f>
        <v>6</v>
      </c>
      <c r="E7389" s="33" t="n">
        <f aca="false">HOUR(A7389)+MINUTE(A7389)/60</f>
        <v>19</v>
      </c>
      <c r="F7389" s="33" t="n">
        <f aca="false">IF(OR(D7389&gt;5,E7389&lt;8,E7389&gt;=18,COUNTIF($K$2:$K$10,INT(A7389))&gt;0),1,0)</f>
        <v>1</v>
      </c>
      <c r="G7389" s="34" t="n">
        <f aca="false">B7389/1</f>
        <v>70.533</v>
      </c>
      <c r="H7389" s="34" t="n">
        <f aca="false">IF(F7389=1,G7389,"")</f>
        <v>70.533</v>
      </c>
    </row>
    <row r="7390" customFormat="false" ht="15" hidden="false" customHeight="false" outlineLevel="0" collapsed="false">
      <c r="A7390" s="31" t="n">
        <v>43043.8333333333</v>
      </c>
      <c r="B7390" s="32" t="n">
        <v>65.468</v>
      </c>
      <c r="D7390" s="33" t="n">
        <f aca="false">WEEKDAY(A7390,2)</f>
        <v>6</v>
      </c>
      <c r="E7390" s="33" t="n">
        <f aca="false">HOUR(A7390)+MINUTE(A7390)/60</f>
        <v>20</v>
      </c>
      <c r="F7390" s="33" t="n">
        <f aca="false">IF(OR(D7390&gt;5,E7390&lt;8,E7390&gt;=18,COUNTIF($K$2:$K$10,INT(A7390))&gt;0),1,0)</f>
        <v>1</v>
      </c>
      <c r="G7390" s="34" t="n">
        <f aca="false">B7390/1</f>
        <v>65.468</v>
      </c>
      <c r="H7390" s="34" t="n">
        <f aca="false">IF(F7390=1,G7390,"")</f>
        <v>65.468</v>
      </c>
    </row>
    <row r="7391" customFormat="false" ht="15" hidden="false" customHeight="false" outlineLevel="0" collapsed="false">
      <c r="A7391" s="31" t="n">
        <v>43043.875</v>
      </c>
      <c r="B7391" s="32" t="n">
        <v>67.131</v>
      </c>
      <c r="D7391" s="33" t="n">
        <f aca="false">WEEKDAY(A7391,2)</f>
        <v>6</v>
      </c>
      <c r="E7391" s="33" t="n">
        <f aca="false">HOUR(A7391)+MINUTE(A7391)/60</f>
        <v>21</v>
      </c>
      <c r="F7391" s="33" t="n">
        <f aca="false">IF(OR(D7391&gt;5,E7391&lt;8,E7391&gt;=18,COUNTIF($K$2:$K$10,INT(A7391))&gt;0),1,0)</f>
        <v>1</v>
      </c>
      <c r="G7391" s="34" t="n">
        <f aca="false">B7391/1</f>
        <v>67.131</v>
      </c>
      <c r="H7391" s="34" t="n">
        <f aca="false">IF(F7391=1,G7391,"")</f>
        <v>67.131</v>
      </c>
    </row>
    <row r="7392" customFormat="false" ht="15" hidden="false" customHeight="false" outlineLevel="0" collapsed="false">
      <c r="A7392" s="31" t="n">
        <v>43043.9166666667</v>
      </c>
      <c r="B7392" s="32" t="n">
        <v>62.882</v>
      </c>
      <c r="D7392" s="33" t="n">
        <f aca="false">WEEKDAY(A7392,2)</f>
        <v>6</v>
      </c>
      <c r="E7392" s="33" t="n">
        <f aca="false">HOUR(A7392)+MINUTE(A7392)/60</f>
        <v>22</v>
      </c>
      <c r="F7392" s="33" t="n">
        <f aca="false">IF(OR(D7392&gt;5,E7392&lt;8,E7392&gt;=18,COUNTIF($K$2:$K$10,INT(A7392))&gt;0),1,0)</f>
        <v>1</v>
      </c>
      <c r="G7392" s="34" t="n">
        <f aca="false">B7392/1</f>
        <v>62.882</v>
      </c>
      <c r="H7392" s="34" t="n">
        <f aca="false">IF(F7392=1,G7392,"")</f>
        <v>62.882</v>
      </c>
    </row>
    <row r="7393" customFormat="false" ht="15" hidden="false" customHeight="false" outlineLevel="0" collapsed="false">
      <c r="A7393" s="31" t="n">
        <v>43043.9583333333</v>
      </c>
      <c r="B7393" s="32" t="n">
        <v>60.135</v>
      </c>
      <c r="D7393" s="33" t="n">
        <f aca="false">WEEKDAY(A7393,2)</f>
        <v>6</v>
      </c>
      <c r="E7393" s="33" t="n">
        <f aca="false">HOUR(A7393)+MINUTE(A7393)/60</f>
        <v>23</v>
      </c>
      <c r="F7393" s="33" t="n">
        <f aca="false">IF(OR(D7393&gt;5,E7393&lt;8,E7393&gt;=18,COUNTIF($K$2:$K$10,INT(A7393))&gt;0),1,0)</f>
        <v>1</v>
      </c>
      <c r="G7393" s="34" t="n">
        <f aca="false">B7393/1</f>
        <v>60.135</v>
      </c>
      <c r="H7393" s="34" t="n">
        <f aca="false">IF(F7393=1,G7393,"")</f>
        <v>60.135</v>
      </c>
    </row>
    <row r="7394" customFormat="false" ht="15" hidden="false" customHeight="false" outlineLevel="0" collapsed="false">
      <c r="A7394" s="31" t="n">
        <v>43044</v>
      </c>
      <c r="B7394" s="32" t="n">
        <v>61.097</v>
      </c>
      <c r="D7394" s="33" t="n">
        <f aca="false">WEEKDAY(A7394,2)</f>
        <v>7</v>
      </c>
      <c r="E7394" s="33" t="n">
        <f aca="false">HOUR(A7394)+MINUTE(A7394)/60</f>
        <v>0</v>
      </c>
      <c r="F7394" s="33" t="n">
        <f aca="false">IF(OR(D7394&gt;5,E7394&lt;8,E7394&gt;=18,COUNTIF($K$2:$K$10,INT(A7394))&gt;0),1,0)</f>
        <v>1</v>
      </c>
      <c r="G7394" s="34" t="n">
        <f aca="false">B7394/1</f>
        <v>61.097</v>
      </c>
      <c r="H7394" s="34" t="n">
        <f aca="false">IF(F7394=1,G7394,"")</f>
        <v>61.097</v>
      </c>
    </row>
    <row r="7395" customFormat="false" ht="15" hidden="false" customHeight="false" outlineLevel="0" collapsed="false">
      <c r="A7395" s="31" t="n">
        <v>43044.0416666667</v>
      </c>
      <c r="B7395" s="32" t="n">
        <v>58.597</v>
      </c>
      <c r="D7395" s="33" t="n">
        <f aca="false">WEEKDAY(A7395,2)</f>
        <v>7</v>
      </c>
      <c r="E7395" s="33" t="n">
        <f aca="false">HOUR(A7395)+MINUTE(A7395)/60</f>
        <v>1</v>
      </c>
      <c r="F7395" s="33" t="n">
        <f aca="false">IF(OR(D7395&gt;5,E7395&lt;8,E7395&gt;=18,COUNTIF($K$2:$K$10,INT(A7395))&gt;0),1,0)</f>
        <v>1</v>
      </c>
      <c r="G7395" s="34" t="n">
        <f aca="false">B7395/1</f>
        <v>58.597</v>
      </c>
      <c r="H7395" s="34" t="n">
        <f aca="false">IF(F7395=1,G7395,"")</f>
        <v>58.597</v>
      </c>
    </row>
    <row r="7396" customFormat="false" ht="15" hidden="false" customHeight="false" outlineLevel="0" collapsed="false">
      <c r="A7396" s="31" t="n">
        <v>43044.0833333333</v>
      </c>
      <c r="B7396" s="32" t="n">
        <v>115.331</v>
      </c>
      <c r="D7396" s="33" t="n">
        <f aca="false">WEEKDAY(A7396,2)</f>
        <v>7</v>
      </c>
      <c r="E7396" s="33" t="n">
        <f aca="false">HOUR(A7396)+MINUTE(A7396)/60</f>
        <v>2</v>
      </c>
      <c r="F7396" s="33" t="n">
        <f aca="false">IF(OR(D7396&gt;5,E7396&lt;8,E7396&gt;=18,COUNTIF($K$2:$K$10,INT(A7396))&gt;0),1,0)</f>
        <v>1</v>
      </c>
      <c r="G7396" s="34" t="n">
        <f aca="false">B7396/1</f>
        <v>115.331</v>
      </c>
      <c r="H7396" s="34" t="n">
        <f aca="false">IF(F7396=1,G7396,"")</f>
        <v>115.331</v>
      </c>
    </row>
    <row r="7397" customFormat="false" ht="15" hidden="false" customHeight="false" outlineLevel="0" collapsed="false">
      <c r="A7397" s="31" t="n">
        <v>43044.125</v>
      </c>
      <c r="B7397" s="32" t="n">
        <v>60.504</v>
      </c>
      <c r="D7397" s="33" t="n">
        <f aca="false">WEEKDAY(A7397,2)</f>
        <v>7</v>
      </c>
      <c r="E7397" s="33" t="n">
        <f aca="false">HOUR(A7397)+MINUTE(A7397)/60</f>
        <v>3</v>
      </c>
      <c r="F7397" s="33" t="n">
        <f aca="false">IF(OR(D7397&gt;5,E7397&lt;8,E7397&gt;=18,COUNTIF($K$2:$K$10,INT(A7397))&gt;0),1,0)</f>
        <v>1</v>
      </c>
      <c r="G7397" s="34" t="n">
        <f aca="false">B7397/1</f>
        <v>60.504</v>
      </c>
      <c r="H7397" s="34" t="n">
        <f aca="false">IF(F7397=1,G7397,"")</f>
        <v>60.504</v>
      </c>
    </row>
    <row r="7398" customFormat="false" ht="15" hidden="false" customHeight="false" outlineLevel="0" collapsed="false">
      <c r="A7398" s="31" t="n">
        <v>43044.1666666667</v>
      </c>
      <c r="B7398" s="32" t="n">
        <v>58.352</v>
      </c>
      <c r="D7398" s="33" t="n">
        <f aca="false">WEEKDAY(A7398,2)</f>
        <v>7</v>
      </c>
      <c r="E7398" s="33" t="n">
        <f aca="false">HOUR(A7398)+MINUTE(A7398)/60</f>
        <v>4</v>
      </c>
      <c r="F7398" s="33" t="n">
        <f aca="false">IF(OR(D7398&gt;5,E7398&lt;8,E7398&gt;=18,COUNTIF($K$2:$K$10,INT(A7398))&gt;0),1,0)</f>
        <v>1</v>
      </c>
      <c r="G7398" s="34" t="n">
        <f aca="false">B7398/1</f>
        <v>58.352</v>
      </c>
      <c r="H7398" s="34" t="n">
        <f aca="false">IF(F7398=1,G7398,"")</f>
        <v>58.352</v>
      </c>
    </row>
    <row r="7399" customFormat="false" ht="15" hidden="false" customHeight="false" outlineLevel="0" collapsed="false">
      <c r="A7399" s="31" t="n">
        <v>43044.2083333333</v>
      </c>
      <c r="B7399" s="32" t="n">
        <v>56.298</v>
      </c>
      <c r="D7399" s="33" t="n">
        <f aca="false">WEEKDAY(A7399,2)</f>
        <v>7</v>
      </c>
      <c r="E7399" s="33" t="n">
        <f aca="false">HOUR(A7399)+MINUTE(A7399)/60</f>
        <v>5</v>
      </c>
      <c r="F7399" s="33" t="n">
        <f aca="false">IF(OR(D7399&gt;5,E7399&lt;8,E7399&gt;=18,COUNTIF($K$2:$K$10,INT(A7399))&gt;0),1,0)</f>
        <v>1</v>
      </c>
      <c r="G7399" s="34" t="n">
        <f aca="false">B7399/1</f>
        <v>56.298</v>
      </c>
      <c r="H7399" s="34" t="n">
        <f aca="false">IF(F7399=1,G7399,"")</f>
        <v>56.298</v>
      </c>
    </row>
    <row r="7400" customFormat="false" ht="15" hidden="false" customHeight="false" outlineLevel="0" collapsed="false">
      <c r="A7400" s="31" t="n">
        <v>43044.25</v>
      </c>
      <c r="B7400" s="32" t="n">
        <v>57.516</v>
      </c>
      <c r="D7400" s="33" t="n">
        <f aca="false">WEEKDAY(A7400,2)</f>
        <v>7</v>
      </c>
      <c r="E7400" s="33" t="n">
        <f aca="false">HOUR(A7400)+MINUTE(A7400)/60</f>
        <v>6</v>
      </c>
      <c r="F7400" s="33" t="n">
        <f aca="false">IF(OR(D7400&gt;5,E7400&lt;8,E7400&gt;=18,COUNTIF($K$2:$K$10,INT(A7400))&gt;0),1,0)</f>
        <v>1</v>
      </c>
      <c r="G7400" s="34" t="n">
        <f aca="false">B7400/1</f>
        <v>57.516</v>
      </c>
      <c r="H7400" s="34" t="n">
        <f aca="false">IF(F7400=1,G7400,"")</f>
        <v>57.516</v>
      </c>
    </row>
    <row r="7401" customFormat="false" ht="15" hidden="false" customHeight="false" outlineLevel="0" collapsed="false">
      <c r="A7401" s="31" t="n">
        <v>43044.2916666667</v>
      </c>
      <c r="B7401" s="32" t="n">
        <v>57.657</v>
      </c>
      <c r="D7401" s="33" t="n">
        <f aca="false">WEEKDAY(A7401,2)</f>
        <v>7</v>
      </c>
      <c r="E7401" s="33" t="n">
        <f aca="false">HOUR(A7401)+MINUTE(A7401)/60</f>
        <v>7</v>
      </c>
      <c r="F7401" s="33" t="n">
        <f aca="false">IF(OR(D7401&gt;5,E7401&lt;8,E7401&gt;=18,COUNTIF($K$2:$K$10,INT(A7401))&gt;0),1,0)</f>
        <v>1</v>
      </c>
      <c r="G7401" s="34" t="n">
        <f aca="false">B7401/1</f>
        <v>57.657</v>
      </c>
      <c r="H7401" s="34" t="n">
        <f aca="false">IF(F7401=1,G7401,"")</f>
        <v>57.657</v>
      </c>
    </row>
    <row r="7402" customFormat="false" ht="15" hidden="false" customHeight="false" outlineLevel="0" collapsed="false">
      <c r="A7402" s="31" t="n">
        <v>43044.3333333333</v>
      </c>
      <c r="B7402" s="32" t="n">
        <v>55.887</v>
      </c>
      <c r="D7402" s="33" t="n">
        <f aca="false">WEEKDAY(A7402,2)</f>
        <v>7</v>
      </c>
      <c r="E7402" s="33" t="n">
        <f aca="false">HOUR(A7402)+MINUTE(A7402)/60</f>
        <v>8</v>
      </c>
      <c r="F7402" s="33" t="n">
        <f aca="false">IF(OR(D7402&gt;5,E7402&lt;8,E7402&gt;=18,COUNTIF($K$2:$K$10,INT(A7402))&gt;0),1,0)</f>
        <v>1</v>
      </c>
      <c r="G7402" s="34" t="n">
        <f aca="false">B7402/1</f>
        <v>55.887</v>
      </c>
      <c r="H7402" s="34" t="n">
        <f aca="false">IF(F7402=1,G7402,"")</f>
        <v>55.887</v>
      </c>
    </row>
    <row r="7403" customFormat="false" ht="15" hidden="false" customHeight="false" outlineLevel="0" collapsed="false">
      <c r="A7403" s="31" t="n">
        <v>43044.375</v>
      </c>
      <c r="B7403" s="32" t="n">
        <v>56.766</v>
      </c>
      <c r="D7403" s="33" t="n">
        <f aca="false">WEEKDAY(A7403,2)</f>
        <v>7</v>
      </c>
      <c r="E7403" s="33" t="n">
        <f aca="false">HOUR(A7403)+MINUTE(A7403)/60</f>
        <v>9</v>
      </c>
      <c r="F7403" s="33" t="n">
        <f aca="false">IF(OR(D7403&gt;5,E7403&lt;8,E7403&gt;=18,COUNTIF($K$2:$K$10,INT(A7403))&gt;0),1,0)</f>
        <v>1</v>
      </c>
      <c r="G7403" s="34" t="n">
        <f aca="false">B7403/1</f>
        <v>56.766</v>
      </c>
      <c r="H7403" s="34" t="n">
        <f aca="false">IF(F7403=1,G7403,"")</f>
        <v>56.766</v>
      </c>
    </row>
    <row r="7404" customFormat="false" ht="15" hidden="false" customHeight="false" outlineLevel="0" collapsed="false">
      <c r="A7404" s="31" t="n">
        <v>43044.4166666667</v>
      </c>
      <c r="B7404" s="32" t="n">
        <v>54.212</v>
      </c>
      <c r="D7404" s="33" t="n">
        <f aca="false">WEEKDAY(A7404,2)</f>
        <v>7</v>
      </c>
      <c r="E7404" s="33" t="n">
        <f aca="false">HOUR(A7404)+MINUTE(A7404)/60</f>
        <v>10</v>
      </c>
      <c r="F7404" s="33" t="n">
        <f aca="false">IF(OR(D7404&gt;5,E7404&lt;8,E7404&gt;=18,COUNTIF($K$2:$K$10,INT(A7404))&gt;0),1,0)</f>
        <v>1</v>
      </c>
      <c r="G7404" s="34" t="n">
        <f aca="false">B7404/1</f>
        <v>54.212</v>
      </c>
      <c r="H7404" s="34" t="n">
        <f aca="false">IF(F7404=1,G7404,"")</f>
        <v>54.212</v>
      </c>
    </row>
    <row r="7405" customFormat="false" ht="15" hidden="false" customHeight="false" outlineLevel="0" collapsed="false">
      <c r="A7405" s="31" t="n">
        <v>43044.4583333333</v>
      </c>
      <c r="B7405" s="32" t="n">
        <v>55.62</v>
      </c>
      <c r="D7405" s="33" t="n">
        <f aca="false">WEEKDAY(A7405,2)</f>
        <v>7</v>
      </c>
      <c r="E7405" s="33" t="n">
        <f aca="false">HOUR(A7405)+MINUTE(A7405)/60</f>
        <v>11</v>
      </c>
      <c r="F7405" s="33" t="n">
        <f aca="false">IF(OR(D7405&gt;5,E7405&lt;8,E7405&gt;=18,COUNTIF($K$2:$K$10,INT(A7405))&gt;0),1,0)</f>
        <v>1</v>
      </c>
      <c r="G7405" s="34" t="n">
        <f aca="false">B7405/1</f>
        <v>55.62</v>
      </c>
      <c r="H7405" s="34" t="n">
        <f aca="false">IF(F7405=1,G7405,"")</f>
        <v>55.62</v>
      </c>
    </row>
    <row r="7406" customFormat="false" ht="15" hidden="false" customHeight="false" outlineLevel="0" collapsed="false">
      <c r="A7406" s="31" t="n">
        <v>43044.5</v>
      </c>
      <c r="B7406" s="32" t="n">
        <v>58.272</v>
      </c>
      <c r="D7406" s="33" t="n">
        <f aca="false">WEEKDAY(A7406,2)</f>
        <v>7</v>
      </c>
      <c r="E7406" s="33" t="n">
        <f aca="false">HOUR(A7406)+MINUTE(A7406)/60</f>
        <v>12</v>
      </c>
      <c r="F7406" s="33" t="n">
        <f aca="false">IF(OR(D7406&gt;5,E7406&lt;8,E7406&gt;=18,COUNTIF($K$2:$K$10,INT(A7406))&gt;0),1,0)</f>
        <v>1</v>
      </c>
      <c r="G7406" s="34" t="n">
        <f aca="false">B7406/1</f>
        <v>58.272</v>
      </c>
      <c r="H7406" s="34" t="n">
        <f aca="false">IF(F7406=1,G7406,"")</f>
        <v>58.272</v>
      </c>
    </row>
    <row r="7407" customFormat="false" ht="15" hidden="false" customHeight="false" outlineLevel="0" collapsed="false">
      <c r="A7407" s="31" t="n">
        <v>43044.5416666667</v>
      </c>
      <c r="B7407" s="32" t="n">
        <v>106.627</v>
      </c>
      <c r="D7407" s="33" t="n">
        <f aca="false">WEEKDAY(A7407,2)</f>
        <v>7</v>
      </c>
      <c r="E7407" s="33" t="n">
        <f aca="false">HOUR(A7407)+MINUTE(A7407)/60</f>
        <v>13</v>
      </c>
      <c r="F7407" s="33" t="n">
        <f aca="false">IF(OR(D7407&gt;5,E7407&lt;8,E7407&gt;=18,COUNTIF($K$2:$K$10,INT(A7407))&gt;0),1,0)</f>
        <v>1</v>
      </c>
      <c r="G7407" s="34" t="n">
        <f aca="false">B7407/1</f>
        <v>106.627</v>
      </c>
      <c r="H7407" s="34" t="n">
        <f aca="false">IF(F7407=1,G7407,"")</f>
        <v>106.627</v>
      </c>
    </row>
    <row r="7408" customFormat="false" ht="15" hidden="false" customHeight="false" outlineLevel="0" collapsed="false">
      <c r="A7408" s="31" t="n">
        <v>43044.5833333333</v>
      </c>
      <c r="B7408" s="32" t="n">
        <v>135.892</v>
      </c>
      <c r="D7408" s="33" t="n">
        <f aca="false">WEEKDAY(A7408,2)</f>
        <v>7</v>
      </c>
      <c r="E7408" s="33" t="n">
        <f aca="false">HOUR(A7408)+MINUTE(A7408)/60</f>
        <v>14</v>
      </c>
      <c r="F7408" s="33" t="n">
        <f aca="false">IF(OR(D7408&gt;5,E7408&lt;8,E7408&gt;=18,COUNTIF($K$2:$K$10,INT(A7408))&gt;0),1,0)</f>
        <v>1</v>
      </c>
      <c r="G7408" s="34" t="n">
        <f aca="false">B7408/1</f>
        <v>135.892</v>
      </c>
      <c r="H7408" s="34" t="n">
        <f aca="false">IF(F7408=1,G7408,"")</f>
        <v>135.892</v>
      </c>
    </row>
    <row r="7409" customFormat="false" ht="15" hidden="false" customHeight="false" outlineLevel="0" collapsed="false">
      <c r="A7409" s="31" t="n">
        <v>43044.625</v>
      </c>
      <c r="B7409" s="32" t="n">
        <v>135.393</v>
      </c>
      <c r="D7409" s="33" t="n">
        <f aca="false">WEEKDAY(A7409,2)</f>
        <v>7</v>
      </c>
      <c r="E7409" s="33" t="n">
        <f aca="false">HOUR(A7409)+MINUTE(A7409)/60</f>
        <v>15</v>
      </c>
      <c r="F7409" s="33" t="n">
        <f aca="false">IF(OR(D7409&gt;5,E7409&lt;8,E7409&gt;=18,COUNTIF($K$2:$K$10,INT(A7409))&gt;0),1,0)</f>
        <v>1</v>
      </c>
      <c r="G7409" s="34" t="n">
        <f aca="false">B7409/1</f>
        <v>135.393</v>
      </c>
      <c r="H7409" s="34" t="n">
        <f aca="false">IF(F7409=1,G7409,"")</f>
        <v>135.393</v>
      </c>
    </row>
    <row r="7410" customFormat="false" ht="15" hidden="false" customHeight="false" outlineLevel="0" collapsed="false">
      <c r="A7410" s="31" t="n">
        <v>43044.6666666667</v>
      </c>
      <c r="B7410" s="32" t="n">
        <v>135.985</v>
      </c>
      <c r="D7410" s="33" t="n">
        <f aca="false">WEEKDAY(A7410,2)</f>
        <v>7</v>
      </c>
      <c r="E7410" s="33" t="n">
        <f aca="false">HOUR(A7410)+MINUTE(A7410)/60</f>
        <v>16</v>
      </c>
      <c r="F7410" s="33" t="n">
        <f aca="false">IF(OR(D7410&gt;5,E7410&lt;8,E7410&gt;=18,COUNTIF($K$2:$K$10,INT(A7410))&gt;0),1,0)</f>
        <v>1</v>
      </c>
      <c r="G7410" s="34" t="n">
        <f aca="false">B7410/1</f>
        <v>135.985</v>
      </c>
      <c r="H7410" s="34" t="n">
        <f aca="false">IF(F7410=1,G7410,"")</f>
        <v>135.985</v>
      </c>
    </row>
    <row r="7411" customFormat="false" ht="15" hidden="false" customHeight="false" outlineLevel="0" collapsed="false">
      <c r="A7411" s="31" t="n">
        <v>43044.7083333333</v>
      </c>
      <c r="B7411" s="32" t="n">
        <v>136.687</v>
      </c>
      <c r="D7411" s="33" t="n">
        <f aca="false">WEEKDAY(A7411,2)</f>
        <v>7</v>
      </c>
      <c r="E7411" s="33" t="n">
        <f aca="false">HOUR(A7411)+MINUTE(A7411)/60</f>
        <v>17</v>
      </c>
      <c r="F7411" s="33" t="n">
        <f aca="false">IF(OR(D7411&gt;5,E7411&lt;8,E7411&gt;=18,COUNTIF($K$2:$K$10,INT(A7411))&gt;0),1,0)</f>
        <v>1</v>
      </c>
      <c r="G7411" s="34" t="n">
        <f aca="false">B7411/1</f>
        <v>136.687</v>
      </c>
      <c r="H7411" s="34" t="n">
        <f aca="false">IF(F7411=1,G7411,"")</f>
        <v>136.687</v>
      </c>
    </row>
    <row r="7412" customFormat="false" ht="15" hidden="false" customHeight="false" outlineLevel="0" collapsed="false">
      <c r="A7412" s="31" t="n">
        <v>43044.75</v>
      </c>
      <c r="B7412" s="32" t="n">
        <v>80.248</v>
      </c>
      <c r="D7412" s="33" t="n">
        <f aca="false">WEEKDAY(A7412,2)</f>
        <v>7</v>
      </c>
      <c r="E7412" s="33" t="n">
        <f aca="false">HOUR(A7412)+MINUTE(A7412)/60</f>
        <v>18</v>
      </c>
      <c r="F7412" s="33" t="n">
        <f aca="false">IF(OR(D7412&gt;5,E7412&lt;8,E7412&gt;=18,COUNTIF($K$2:$K$10,INT(A7412))&gt;0),1,0)</f>
        <v>1</v>
      </c>
      <c r="G7412" s="34" t="n">
        <f aca="false">B7412/1</f>
        <v>80.248</v>
      </c>
      <c r="H7412" s="34" t="n">
        <f aca="false">IF(F7412=1,G7412,"")</f>
        <v>80.248</v>
      </c>
    </row>
    <row r="7413" customFormat="false" ht="15" hidden="false" customHeight="false" outlineLevel="0" collapsed="false">
      <c r="A7413" s="31" t="n">
        <v>43044.7916666667</v>
      </c>
      <c r="B7413" s="32" t="n">
        <v>75.8</v>
      </c>
      <c r="D7413" s="33" t="n">
        <f aca="false">WEEKDAY(A7413,2)</f>
        <v>7</v>
      </c>
      <c r="E7413" s="33" t="n">
        <f aca="false">HOUR(A7413)+MINUTE(A7413)/60</f>
        <v>19</v>
      </c>
      <c r="F7413" s="33" t="n">
        <f aca="false">IF(OR(D7413&gt;5,E7413&lt;8,E7413&gt;=18,COUNTIF($K$2:$K$10,INT(A7413))&gt;0),1,0)</f>
        <v>1</v>
      </c>
      <c r="G7413" s="34" t="n">
        <f aca="false">B7413/1</f>
        <v>75.8</v>
      </c>
      <c r="H7413" s="34" t="n">
        <f aca="false">IF(F7413=1,G7413,"")</f>
        <v>75.8</v>
      </c>
    </row>
    <row r="7414" customFormat="false" ht="15" hidden="false" customHeight="false" outlineLevel="0" collapsed="false">
      <c r="A7414" s="31" t="n">
        <v>43044.8333333333</v>
      </c>
      <c r="B7414" s="32" t="n">
        <v>73.385</v>
      </c>
      <c r="D7414" s="33" t="n">
        <f aca="false">WEEKDAY(A7414,2)</f>
        <v>7</v>
      </c>
      <c r="E7414" s="33" t="n">
        <f aca="false">HOUR(A7414)+MINUTE(A7414)/60</f>
        <v>20</v>
      </c>
      <c r="F7414" s="33" t="n">
        <f aca="false">IF(OR(D7414&gt;5,E7414&lt;8,E7414&gt;=18,COUNTIF($K$2:$K$10,INT(A7414))&gt;0),1,0)</f>
        <v>1</v>
      </c>
      <c r="G7414" s="34" t="n">
        <f aca="false">B7414/1</f>
        <v>73.385</v>
      </c>
      <c r="H7414" s="34" t="n">
        <f aca="false">IF(F7414=1,G7414,"")</f>
        <v>73.385</v>
      </c>
    </row>
    <row r="7415" customFormat="false" ht="15" hidden="false" customHeight="false" outlineLevel="0" collapsed="false">
      <c r="A7415" s="31" t="n">
        <v>43044.875</v>
      </c>
      <c r="B7415" s="32" t="n">
        <v>70.403</v>
      </c>
      <c r="D7415" s="33" t="n">
        <f aca="false">WEEKDAY(A7415,2)</f>
        <v>7</v>
      </c>
      <c r="E7415" s="33" t="n">
        <f aca="false">HOUR(A7415)+MINUTE(A7415)/60</f>
        <v>21</v>
      </c>
      <c r="F7415" s="33" t="n">
        <f aca="false">IF(OR(D7415&gt;5,E7415&lt;8,E7415&gt;=18,COUNTIF($K$2:$K$10,INT(A7415))&gt;0),1,0)</f>
        <v>1</v>
      </c>
      <c r="G7415" s="34" t="n">
        <f aca="false">B7415/1</f>
        <v>70.403</v>
      </c>
      <c r="H7415" s="34" t="n">
        <f aca="false">IF(F7415=1,G7415,"")</f>
        <v>70.403</v>
      </c>
    </row>
    <row r="7416" customFormat="false" ht="15" hidden="false" customHeight="false" outlineLevel="0" collapsed="false">
      <c r="A7416" s="31" t="n">
        <v>43044.9166666667</v>
      </c>
      <c r="B7416" s="32" t="n">
        <v>69.856</v>
      </c>
      <c r="D7416" s="33" t="n">
        <f aca="false">WEEKDAY(A7416,2)</f>
        <v>7</v>
      </c>
      <c r="E7416" s="33" t="n">
        <f aca="false">HOUR(A7416)+MINUTE(A7416)/60</f>
        <v>22</v>
      </c>
      <c r="F7416" s="33" t="n">
        <f aca="false">IF(OR(D7416&gt;5,E7416&lt;8,E7416&gt;=18,COUNTIF($K$2:$K$10,INT(A7416))&gt;0),1,0)</f>
        <v>1</v>
      </c>
      <c r="G7416" s="34" t="n">
        <f aca="false">B7416/1</f>
        <v>69.856</v>
      </c>
      <c r="H7416" s="34" t="n">
        <f aca="false">IF(F7416=1,G7416,"")</f>
        <v>69.856</v>
      </c>
    </row>
    <row r="7417" customFormat="false" ht="15" hidden="false" customHeight="false" outlineLevel="0" collapsed="false">
      <c r="A7417" s="31" t="n">
        <v>43044.9583333333</v>
      </c>
      <c r="B7417" s="32" t="n">
        <v>65.39</v>
      </c>
      <c r="D7417" s="33" t="n">
        <f aca="false">WEEKDAY(A7417,2)</f>
        <v>7</v>
      </c>
      <c r="E7417" s="33" t="n">
        <f aca="false">HOUR(A7417)+MINUTE(A7417)/60</f>
        <v>23</v>
      </c>
      <c r="F7417" s="33" t="n">
        <f aca="false">IF(OR(D7417&gt;5,E7417&lt;8,E7417&gt;=18,COUNTIF($K$2:$K$10,INT(A7417))&gt;0),1,0)</f>
        <v>1</v>
      </c>
      <c r="G7417" s="34" t="n">
        <f aca="false">B7417/1</f>
        <v>65.39</v>
      </c>
      <c r="H7417" s="34" t="n">
        <f aca="false">IF(F7417=1,G7417,"")</f>
        <v>65.39</v>
      </c>
    </row>
    <row r="7418" customFormat="false" ht="15" hidden="false" customHeight="false" outlineLevel="0" collapsed="false">
      <c r="A7418" s="31" t="n">
        <v>43045</v>
      </c>
      <c r="B7418" s="32" t="n">
        <v>65.582</v>
      </c>
      <c r="D7418" s="33" t="n">
        <f aca="false">WEEKDAY(A7418,2)</f>
        <v>1</v>
      </c>
      <c r="E7418" s="33" t="n">
        <f aca="false">HOUR(A7418)+MINUTE(A7418)/60</f>
        <v>0</v>
      </c>
      <c r="F7418" s="33" t="n">
        <f aca="false">IF(OR(D7418&gt;5,E7418&lt;8,E7418&gt;=18,COUNTIF($K$2:$K$10,INT(A7418))&gt;0),1,0)</f>
        <v>1</v>
      </c>
      <c r="G7418" s="34" t="n">
        <f aca="false">B7418/1</f>
        <v>65.582</v>
      </c>
      <c r="H7418" s="34" t="n">
        <f aca="false">IF(F7418=1,G7418,"")</f>
        <v>65.582</v>
      </c>
    </row>
    <row r="7419" customFormat="false" ht="15" hidden="false" customHeight="false" outlineLevel="0" collapsed="false">
      <c r="A7419" s="31" t="n">
        <v>43045.0416666667</v>
      </c>
      <c r="B7419" s="32" t="n">
        <v>66.266</v>
      </c>
      <c r="D7419" s="33" t="n">
        <f aca="false">WEEKDAY(A7419,2)</f>
        <v>1</v>
      </c>
      <c r="E7419" s="33" t="n">
        <f aca="false">HOUR(A7419)+MINUTE(A7419)/60</f>
        <v>1</v>
      </c>
      <c r="F7419" s="33" t="n">
        <f aca="false">IF(OR(D7419&gt;5,E7419&lt;8,E7419&gt;=18,COUNTIF($K$2:$K$10,INT(A7419))&gt;0),1,0)</f>
        <v>1</v>
      </c>
      <c r="G7419" s="34" t="n">
        <f aca="false">B7419/1</f>
        <v>66.266</v>
      </c>
      <c r="H7419" s="34" t="n">
        <f aca="false">IF(F7419=1,G7419,"")</f>
        <v>66.266</v>
      </c>
    </row>
    <row r="7420" customFormat="false" ht="15" hidden="false" customHeight="false" outlineLevel="0" collapsed="false">
      <c r="A7420" s="31" t="n">
        <v>43045.0833333333</v>
      </c>
      <c r="B7420" s="32" t="n">
        <v>64.984</v>
      </c>
      <c r="D7420" s="33" t="n">
        <f aca="false">WEEKDAY(A7420,2)</f>
        <v>1</v>
      </c>
      <c r="E7420" s="33" t="n">
        <f aca="false">HOUR(A7420)+MINUTE(A7420)/60</f>
        <v>2</v>
      </c>
      <c r="F7420" s="33" t="n">
        <f aca="false">IF(OR(D7420&gt;5,E7420&lt;8,E7420&gt;=18,COUNTIF($K$2:$K$10,INT(A7420))&gt;0),1,0)</f>
        <v>1</v>
      </c>
      <c r="G7420" s="34" t="n">
        <f aca="false">B7420/1</f>
        <v>64.984</v>
      </c>
      <c r="H7420" s="34" t="n">
        <f aca="false">IF(F7420=1,G7420,"")</f>
        <v>64.984</v>
      </c>
    </row>
    <row r="7421" customFormat="false" ht="15" hidden="false" customHeight="false" outlineLevel="0" collapsed="false">
      <c r="A7421" s="31" t="n">
        <v>43045.125</v>
      </c>
      <c r="B7421" s="32" t="n">
        <v>60.447</v>
      </c>
      <c r="D7421" s="33" t="n">
        <f aca="false">WEEKDAY(A7421,2)</f>
        <v>1</v>
      </c>
      <c r="E7421" s="33" t="n">
        <f aca="false">HOUR(A7421)+MINUTE(A7421)/60</f>
        <v>3</v>
      </c>
      <c r="F7421" s="33" t="n">
        <f aca="false">IF(OR(D7421&gt;5,E7421&lt;8,E7421&gt;=18,COUNTIF($K$2:$K$10,INT(A7421))&gt;0),1,0)</f>
        <v>1</v>
      </c>
      <c r="G7421" s="34" t="n">
        <f aca="false">B7421/1</f>
        <v>60.447</v>
      </c>
      <c r="H7421" s="34" t="n">
        <f aca="false">IF(F7421=1,G7421,"")</f>
        <v>60.447</v>
      </c>
    </row>
    <row r="7422" customFormat="false" ht="15" hidden="false" customHeight="false" outlineLevel="0" collapsed="false">
      <c r="A7422" s="31" t="n">
        <v>43045.1666666667</v>
      </c>
      <c r="B7422" s="32" t="n">
        <v>61.878</v>
      </c>
      <c r="D7422" s="33" t="n">
        <f aca="false">WEEKDAY(A7422,2)</f>
        <v>1</v>
      </c>
      <c r="E7422" s="33" t="n">
        <f aca="false">HOUR(A7422)+MINUTE(A7422)/60</f>
        <v>4</v>
      </c>
      <c r="F7422" s="33" t="n">
        <f aca="false">IF(OR(D7422&gt;5,E7422&lt;8,E7422&gt;=18,COUNTIF($K$2:$K$10,INT(A7422))&gt;0),1,0)</f>
        <v>1</v>
      </c>
      <c r="G7422" s="34" t="n">
        <f aca="false">B7422/1</f>
        <v>61.878</v>
      </c>
      <c r="H7422" s="34" t="n">
        <f aca="false">IF(F7422=1,G7422,"")</f>
        <v>61.878</v>
      </c>
    </row>
    <row r="7423" customFormat="false" ht="15" hidden="false" customHeight="false" outlineLevel="0" collapsed="false">
      <c r="A7423" s="31" t="n">
        <v>43045.2083333333</v>
      </c>
      <c r="B7423" s="32" t="n">
        <v>61.697</v>
      </c>
      <c r="D7423" s="33" t="n">
        <f aca="false">WEEKDAY(A7423,2)</f>
        <v>1</v>
      </c>
      <c r="E7423" s="33" t="n">
        <f aca="false">HOUR(A7423)+MINUTE(A7423)/60</f>
        <v>5</v>
      </c>
      <c r="F7423" s="33" t="n">
        <f aca="false">IF(OR(D7423&gt;5,E7423&lt;8,E7423&gt;=18,COUNTIF($K$2:$K$10,INT(A7423))&gt;0),1,0)</f>
        <v>1</v>
      </c>
      <c r="G7423" s="34" t="n">
        <f aca="false">B7423/1</f>
        <v>61.697</v>
      </c>
      <c r="H7423" s="34" t="n">
        <f aca="false">IF(F7423=1,G7423,"")</f>
        <v>61.697</v>
      </c>
    </row>
    <row r="7424" customFormat="false" ht="15" hidden="false" customHeight="false" outlineLevel="0" collapsed="false">
      <c r="A7424" s="31" t="n">
        <v>43045.25</v>
      </c>
      <c r="B7424" s="32" t="n">
        <v>63.534</v>
      </c>
      <c r="D7424" s="33" t="n">
        <f aca="false">WEEKDAY(A7424,2)</f>
        <v>1</v>
      </c>
      <c r="E7424" s="33" t="n">
        <f aca="false">HOUR(A7424)+MINUTE(A7424)/60</f>
        <v>6</v>
      </c>
      <c r="F7424" s="33" t="n">
        <f aca="false">IF(OR(D7424&gt;5,E7424&lt;8,E7424&gt;=18,COUNTIF($K$2:$K$10,INT(A7424))&gt;0),1,0)</f>
        <v>1</v>
      </c>
      <c r="G7424" s="34" t="n">
        <f aca="false">B7424/1</f>
        <v>63.534</v>
      </c>
      <c r="H7424" s="34" t="n">
        <f aca="false">IF(F7424=1,G7424,"")</f>
        <v>63.534</v>
      </c>
    </row>
    <row r="7425" customFormat="false" ht="15" hidden="false" customHeight="false" outlineLevel="0" collapsed="false">
      <c r="A7425" s="31" t="n">
        <v>43045.2916666667</v>
      </c>
      <c r="B7425" s="32" t="n">
        <v>79.487</v>
      </c>
      <c r="D7425" s="33" t="n">
        <f aca="false">WEEKDAY(A7425,2)</f>
        <v>1</v>
      </c>
      <c r="E7425" s="33" t="n">
        <f aca="false">HOUR(A7425)+MINUTE(A7425)/60</f>
        <v>7</v>
      </c>
      <c r="F7425" s="33" t="n">
        <f aca="false">IF(OR(D7425&gt;5,E7425&lt;8,E7425&gt;=18,COUNTIF($K$2:$K$10,INT(A7425))&gt;0),1,0)</f>
        <v>1</v>
      </c>
      <c r="G7425" s="34" t="n">
        <f aca="false">B7425/1</f>
        <v>79.487</v>
      </c>
      <c r="H7425" s="34" t="n">
        <f aca="false">IF(F7425=1,G7425,"")</f>
        <v>79.487</v>
      </c>
    </row>
    <row r="7426" customFormat="false" ht="15" hidden="false" customHeight="false" outlineLevel="0" collapsed="false">
      <c r="A7426" s="31" t="n">
        <v>43045.3333333333</v>
      </c>
      <c r="B7426" s="32" t="n">
        <v>169.847</v>
      </c>
      <c r="D7426" s="33" t="n">
        <f aca="false">WEEKDAY(A7426,2)</f>
        <v>1</v>
      </c>
      <c r="E7426" s="33" t="n">
        <f aca="false">HOUR(A7426)+MINUTE(A7426)/60</f>
        <v>8</v>
      </c>
      <c r="F7426" s="33" t="n">
        <f aca="false">IF(OR(D7426&gt;5,E7426&lt;8,E7426&gt;=18,COUNTIF($K$2:$K$10,INT(A7426))&gt;0),1,0)</f>
        <v>0</v>
      </c>
      <c r="G7426" s="34" t="n">
        <f aca="false">B7426/1</f>
        <v>169.847</v>
      </c>
      <c r="H7426" s="34" t="str">
        <f aca="false">IF(F7426=1,G7426,"")</f>
        <v/>
      </c>
    </row>
    <row r="7427" customFormat="false" ht="15" hidden="false" customHeight="false" outlineLevel="0" collapsed="false">
      <c r="A7427" s="31" t="n">
        <v>43045.375</v>
      </c>
      <c r="B7427" s="32" t="n">
        <v>217.883</v>
      </c>
      <c r="D7427" s="33" t="n">
        <f aca="false">WEEKDAY(A7427,2)</f>
        <v>1</v>
      </c>
      <c r="E7427" s="33" t="n">
        <f aca="false">HOUR(A7427)+MINUTE(A7427)/60</f>
        <v>9</v>
      </c>
      <c r="F7427" s="33" t="n">
        <f aca="false">IF(OR(D7427&gt;5,E7427&lt;8,E7427&gt;=18,COUNTIF($K$2:$K$10,INT(A7427))&gt;0),1,0)</f>
        <v>0</v>
      </c>
      <c r="G7427" s="34" t="n">
        <f aca="false">B7427/1</f>
        <v>217.883</v>
      </c>
      <c r="H7427" s="34" t="str">
        <f aca="false">IF(F7427=1,G7427,"")</f>
        <v/>
      </c>
    </row>
    <row r="7428" customFormat="false" ht="15" hidden="false" customHeight="false" outlineLevel="0" collapsed="false">
      <c r="A7428" s="31" t="n">
        <v>43045.4166666667</v>
      </c>
      <c r="B7428" s="32" t="n">
        <v>237.139</v>
      </c>
      <c r="D7428" s="33" t="n">
        <f aca="false">WEEKDAY(A7428,2)</f>
        <v>1</v>
      </c>
      <c r="E7428" s="33" t="n">
        <f aca="false">HOUR(A7428)+MINUTE(A7428)/60</f>
        <v>10</v>
      </c>
      <c r="F7428" s="33" t="n">
        <f aca="false">IF(OR(D7428&gt;5,E7428&lt;8,E7428&gt;=18,COUNTIF($K$2:$K$10,INT(A7428))&gt;0),1,0)</f>
        <v>0</v>
      </c>
      <c r="G7428" s="34" t="n">
        <f aca="false">B7428/1</f>
        <v>237.139</v>
      </c>
      <c r="H7428" s="34" t="str">
        <f aca="false">IF(F7428=1,G7428,"")</f>
        <v/>
      </c>
    </row>
    <row r="7429" customFormat="false" ht="15" hidden="false" customHeight="false" outlineLevel="0" collapsed="false">
      <c r="A7429" s="31" t="n">
        <v>43045.4583333333</v>
      </c>
      <c r="B7429" s="32" t="n">
        <v>242.44</v>
      </c>
      <c r="D7429" s="33" t="n">
        <f aca="false">WEEKDAY(A7429,2)</f>
        <v>1</v>
      </c>
      <c r="E7429" s="33" t="n">
        <f aca="false">HOUR(A7429)+MINUTE(A7429)/60</f>
        <v>11</v>
      </c>
      <c r="F7429" s="33" t="n">
        <f aca="false">IF(OR(D7429&gt;5,E7429&lt;8,E7429&gt;=18,COUNTIF($K$2:$K$10,INT(A7429))&gt;0),1,0)</f>
        <v>0</v>
      </c>
      <c r="G7429" s="34" t="n">
        <f aca="false">B7429/1</f>
        <v>242.44</v>
      </c>
      <c r="H7429" s="34" t="str">
        <f aca="false">IF(F7429=1,G7429,"")</f>
        <v/>
      </c>
    </row>
    <row r="7430" customFormat="false" ht="15" hidden="false" customHeight="false" outlineLevel="0" collapsed="false">
      <c r="A7430" s="31" t="n">
        <v>43045.5</v>
      </c>
      <c r="B7430" s="32" t="n">
        <v>244.015</v>
      </c>
      <c r="D7430" s="33" t="n">
        <f aca="false">WEEKDAY(A7430,2)</f>
        <v>1</v>
      </c>
      <c r="E7430" s="33" t="n">
        <f aca="false">HOUR(A7430)+MINUTE(A7430)/60</f>
        <v>12</v>
      </c>
      <c r="F7430" s="33" t="n">
        <f aca="false">IF(OR(D7430&gt;5,E7430&lt;8,E7430&gt;=18,COUNTIF($K$2:$K$10,INT(A7430))&gt;0),1,0)</f>
        <v>0</v>
      </c>
      <c r="G7430" s="34" t="n">
        <f aca="false">B7430/1</f>
        <v>244.015</v>
      </c>
      <c r="H7430" s="34" t="str">
        <f aca="false">IF(F7430=1,G7430,"")</f>
        <v/>
      </c>
    </row>
    <row r="7431" customFormat="false" ht="15" hidden="false" customHeight="false" outlineLevel="0" collapsed="false">
      <c r="A7431" s="31" t="n">
        <v>43045.5416666667</v>
      </c>
      <c r="B7431" s="32" t="n">
        <v>247.66</v>
      </c>
      <c r="D7431" s="33" t="n">
        <f aca="false">WEEKDAY(A7431,2)</f>
        <v>1</v>
      </c>
      <c r="E7431" s="33" t="n">
        <f aca="false">HOUR(A7431)+MINUTE(A7431)/60</f>
        <v>13</v>
      </c>
      <c r="F7431" s="33" t="n">
        <f aca="false">IF(OR(D7431&gt;5,E7431&lt;8,E7431&gt;=18,COUNTIF($K$2:$K$10,INT(A7431))&gt;0),1,0)</f>
        <v>0</v>
      </c>
      <c r="G7431" s="34" t="n">
        <f aca="false">B7431/1</f>
        <v>247.66</v>
      </c>
      <c r="H7431" s="34" t="str">
        <f aca="false">IF(F7431=1,G7431,"")</f>
        <v/>
      </c>
    </row>
    <row r="7432" customFormat="false" ht="15" hidden="false" customHeight="false" outlineLevel="0" collapsed="false">
      <c r="A7432" s="31" t="n">
        <v>43045.5833333333</v>
      </c>
      <c r="B7432" s="32" t="n">
        <v>256.769</v>
      </c>
      <c r="D7432" s="33" t="n">
        <f aca="false">WEEKDAY(A7432,2)</f>
        <v>1</v>
      </c>
      <c r="E7432" s="33" t="n">
        <f aca="false">HOUR(A7432)+MINUTE(A7432)/60</f>
        <v>14</v>
      </c>
      <c r="F7432" s="33" t="n">
        <f aca="false">IF(OR(D7432&gt;5,E7432&lt;8,E7432&gt;=18,COUNTIF($K$2:$K$10,INT(A7432))&gt;0),1,0)</f>
        <v>0</v>
      </c>
      <c r="G7432" s="34" t="n">
        <f aca="false">B7432/1</f>
        <v>256.769</v>
      </c>
      <c r="H7432" s="34" t="str">
        <f aca="false">IF(F7432=1,G7432,"")</f>
        <v/>
      </c>
    </row>
    <row r="7433" customFormat="false" ht="15" hidden="false" customHeight="false" outlineLevel="0" collapsed="false">
      <c r="A7433" s="31" t="n">
        <v>43045.625</v>
      </c>
      <c r="B7433" s="32" t="n">
        <v>254.455</v>
      </c>
      <c r="D7433" s="33" t="n">
        <f aca="false">WEEKDAY(A7433,2)</f>
        <v>1</v>
      </c>
      <c r="E7433" s="33" t="n">
        <f aca="false">HOUR(A7433)+MINUTE(A7433)/60</f>
        <v>15</v>
      </c>
      <c r="F7433" s="33" t="n">
        <f aca="false">IF(OR(D7433&gt;5,E7433&lt;8,E7433&gt;=18,COUNTIF($K$2:$K$10,INT(A7433))&gt;0),1,0)</f>
        <v>0</v>
      </c>
      <c r="G7433" s="34" t="n">
        <f aca="false">B7433/1</f>
        <v>254.455</v>
      </c>
      <c r="H7433" s="34" t="str">
        <f aca="false">IF(F7433=1,G7433,"")</f>
        <v/>
      </c>
    </row>
    <row r="7434" customFormat="false" ht="15" hidden="false" customHeight="false" outlineLevel="0" collapsed="false">
      <c r="A7434" s="31" t="n">
        <v>43045.6666666667</v>
      </c>
      <c r="B7434" s="32" t="n">
        <v>250.336</v>
      </c>
      <c r="D7434" s="33" t="n">
        <f aca="false">WEEKDAY(A7434,2)</f>
        <v>1</v>
      </c>
      <c r="E7434" s="33" t="n">
        <f aca="false">HOUR(A7434)+MINUTE(A7434)/60</f>
        <v>16</v>
      </c>
      <c r="F7434" s="33" t="n">
        <f aca="false">IF(OR(D7434&gt;5,E7434&lt;8,E7434&gt;=18,COUNTIF($K$2:$K$10,INT(A7434))&gt;0),1,0)</f>
        <v>0</v>
      </c>
      <c r="G7434" s="34" t="n">
        <f aca="false">B7434/1</f>
        <v>250.336</v>
      </c>
      <c r="H7434" s="34" t="str">
        <f aca="false">IF(F7434=1,G7434,"")</f>
        <v/>
      </c>
    </row>
    <row r="7435" customFormat="false" ht="15" hidden="false" customHeight="false" outlineLevel="0" collapsed="false">
      <c r="A7435" s="31" t="n">
        <v>43045.7083333333</v>
      </c>
      <c r="B7435" s="32" t="n">
        <v>241.057</v>
      </c>
      <c r="D7435" s="33" t="n">
        <f aca="false">WEEKDAY(A7435,2)</f>
        <v>1</v>
      </c>
      <c r="E7435" s="33" t="n">
        <f aca="false">HOUR(A7435)+MINUTE(A7435)/60</f>
        <v>17</v>
      </c>
      <c r="F7435" s="33" t="n">
        <f aca="false">IF(OR(D7435&gt;5,E7435&lt;8,E7435&gt;=18,COUNTIF($K$2:$K$10,INT(A7435))&gt;0),1,0)</f>
        <v>0</v>
      </c>
      <c r="G7435" s="34" t="n">
        <f aca="false">B7435/1</f>
        <v>241.057</v>
      </c>
      <c r="H7435" s="34" t="str">
        <f aca="false">IF(F7435=1,G7435,"")</f>
        <v/>
      </c>
    </row>
    <row r="7436" customFormat="false" ht="15" hidden="false" customHeight="false" outlineLevel="0" collapsed="false">
      <c r="A7436" s="31" t="n">
        <v>43045.75</v>
      </c>
      <c r="B7436" s="32" t="n">
        <v>217.379</v>
      </c>
      <c r="D7436" s="33" t="n">
        <f aca="false">WEEKDAY(A7436,2)</f>
        <v>1</v>
      </c>
      <c r="E7436" s="33" t="n">
        <f aca="false">HOUR(A7436)+MINUTE(A7436)/60</f>
        <v>18</v>
      </c>
      <c r="F7436" s="33" t="n">
        <f aca="false">IF(OR(D7436&gt;5,E7436&lt;8,E7436&gt;=18,COUNTIF($K$2:$K$10,INT(A7436))&gt;0),1,0)</f>
        <v>1</v>
      </c>
      <c r="G7436" s="34" t="n">
        <f aca="false">B7436/1</f>
        <v>217.379</v>
      </c>
      <c r="H7436" s="34" t="n">
        <f aca="false">IF(F7436=1,G7436,"")</f>
        <v>217.379</v>
      </c>
    </row>
    <row r="7437" customFormat="false" ht="15" hidden="false" customHeight="false" outlineLevel="0" collapsed="false">
      <c r="A7437" s="31" t="n">
        <v>43045.7916666667</v>
      </c>
      <c r="B7437" s="32" t="n">
        <v>206.204</v>
      </c>
      <c r="D7437" s="33" t="n">
        <f aca="false">WEEKDAY(A7437,2)</f>
        <v>1</v>
      </c>
      <c r="E7437" s="33" t="n">
        <f aca="false">HOUR(A7437)+MINUTE(A7437)/60</f>
        <v>19</v>
      </c>
      <c r="F7437" s="33" t="n">
        <f aca="false">IF(OR(D7437&gt;5,E7437&lt;8,E7437&gt;=18,COUNTIF($K$2:$K$10,INT(A7437))&gt;0),1,0)</f>
        <v>1</v>
      </c>
      <c r="G7437" s="34" t="n">
        <f aca="false">B7437/1</f>
        <v>206.204</v>
      </c>
      <c r="H7437" s="34" t="n">
        <f aca="false">IF(F7437=1,G7437,"")</f>
        <v>206.204</v>
      </c>
    </row>
    <row r="7438" customFormat="false" ht="15" hidden="false" customHeight="false" outlineLevel="0" collapsed="false">
      <c r="A7438" s="31" t="n">
        <v>43045.8333333333</v>
      </c>
      <c r="B7438" s="32" t="n">
        <v>203.782</v>
      </c>
      <c r="D7438" s="33" t="n">
        <f aca="false">WEEKDAY(A7438,2)</f>
        <v>1</v>
      </c>
      <c r="E7438" s="33" t="n">
        <f aca="false">HOUR(A7438)+MINUTE(A7438)/60</f>
        <v>20</v>
      </c>
      <c r="F7438" s="33" t="n">
        <f aca="false">IF(OR(D7438&gt;5,E7438&lt;8,E7438&gt;=18,COUNTIF($K$2:$K$10,INT(A7438))&gt;0),1,0)</f>
        <v>1</v>
      </c>
      <c r="G7438" s="34" t="n">
        <f aca="false">B7438/1</f>
        <v>203.782</v>
      </c>
      <c r="H7438" s="34" t="n">
        <f aca="false">IF(F7438=1,G7438,"")</f>
        <v>203.782</v>
      </c>
    </row>
    <row r="7439" customFormat="false" ht="15" hidden="false" customHeight="false" outlineLevel="0" collapsed="false">
      <c r="A7439" s="31" t="n">
        <v>43045.875</v>
      </c>
      <c r="B7439" s="32" t="n">
        <v>197.51</v>
      </c>
      <c r="D7439" s="33" t="n">
        <f aca="false">WEEKDAY(A7439,2)</f>
        <v>1</v>
      </c>
      <c r="E7439" s="33" t="n">
        <f aca="false">HOUR(A7439)+MINUTE(A7439)/60</f>
        <v>21</v>
      </c>
      <c r="F7439" s="33" t="n">
        <f aca="false">IF(OR(D7439&gt;5,E7439&lt;8,E7439&gt;=18,COUNTIF($K$2:$K$10,INT(A7439))&gt;0),1,0)</f>
        <v>1</v>
      </c>
      <c r="G7439" s="34" t="n">
        <f aca="false">B7439/1</f>
        <v>197.51</v>
      </c>
      <c r="H7439" s="34" t="n">
        <f aca="false">IF(F7439=1,G7439,"")</f>
        <v>197.51</v>
      </c>
    </row>
    <row r="7440" customFormat="false" ht="15" hidden="false" customHeight="false" outlineLevel="0" collapsed="false">
      <c r="A7440" s="31" t="n">
        <v>43045.9166666667</v>
      </c>
      <c r="B7440" s="32" t="n">
        <v>142.725</v>
      </c>
      <c r="D7440" s="33" t="n">
        <f aca="false">WEEKDAY(A7440,2)</f>
        <v>1</v>
      </c>
      <c r="E7440" s="33" t="n">
        <f aca="false">HOUR(A7440)+MINUTE(A7440)/60</f>
        <v>22</v>
      </c>
      <c r="F7440" s="33" t="n">
        <f aca="false">IF(OR(D7440&gt;5,E7440&lt;8,E7440&gt;=18,COUNTIF($K$2:$K$10,INT(A7440))&gt;0),1,0)</f>
        <v>1</v>
      </c>
      <c r="G7440" s="34" t="n">
        <f aca="false">B7440/1</f>
        <v>142.725</v>
      </c>
      <c r="H7440" s="34" t="n">
        <f aca="false">IF(F7440=1,G7440,"")</f>
        <v>142.725</v>
      </c>
    </row>
    <row r="7441" customFormat="false" ht="15" hidden="false" customHeight="false" outlineLevel="0" collapsed="false">
      <c r="A7441" s="31" t="n">
        <v>43045.9583333333</v>
      </c>
      <c r="B7441" s="32" t="n">
        <v>82.06</v>
      </c>
      <c r="D7441" s="33" t="n">
        <f aca="false">WEEKDAY(A7441,2)</f>
        <v>1</v>
      </c>
      <c r="E7441" s="33" t="n">
        <f aca="false">HOUR(A7441)+MINUTE(A7441)/60</f>
        <v>23</v>
      </c>
      <c r="F7441" s="33" t="n">
        <f aca="false">IF(OR(D7441&gt;5,E7441&lt;8,E7441&gt;=18,COUNTIF($K$2:$K$10,INT(A7441))&gt;0),1,0)</f>
        <v>1</v>
      </c>
      <c r="G7441" s="34" t="n">
        <f aca="false">B7441/1</f>
        <v>82.06</v>
      </c>
      <c r="H7441" s="34" t="n">
        <f aca="false">IF(F7441=1,G7441,"")</f>
        <v>82.06</v>
      </c>
    </row>
    <row r="7442" customFormat="false" ht="15" hidden="false" customHeight="false" outlineLevel="0" collapsed="false">
      <c r="A7442" s="31" t="n">
        <v>43046</v>
      </c>
      <c r="B7442" s="32" t="n">
        <v>76.4</v>
      </c>
      <c r="D7442" s="33" t="n">
        <f aca="false">WEEKDAY(A7442,2)</f>
        <v>2</v>
      </c>
      <c r="E7442" s="33" t="n">
        <f aca="false">HOUR(A7442)+MINUTE(A7442)/60</f>
        <v>0</v>
      </c>
      <c r="F7442" s="33" t="n">
        <f aca="false">IF(OR(D7442&gt;5,E7442&lt;8,E7442&gt;=18,COUNTIF($K$2:$K$10,INT(A7442))&gt;0),1,0)</f>
        <v>1</v>
      </c>
      <c r="G7442" s="34" t="n">
        <f aca="false">B7442/1</f>
        <v>76.4</v>
      </c>
      <c r="H7442" s="34" t="n">
        <f aca="false">IF(F7442=1,G7442,"")</f>
        <v>76.4</v>
      </c>
    </row>
    <row r="7443" customFormat="false" ht="15" hidden="false" customHeight="false" outlineLevel="0" collapsed="false">
      <c r="A7443" s="31" t="n">
        <v>43046.0416666667</v>
      </c>
      <c r="B7443" s="32" t="n">
        <v>72.34</v>
      </c>
      <c r="D7443" s="33" t="n">
        <f aca="false">WEEKDAY(A7443,2)</f>
        <v>2</v>
      </c>
      <c r="E7443" s="33" t="n">
        <f aca="false">HOUR(A7443)+MINUTE(A7443)/60</f>
        <v>1</v>
      </c>
      <c r="F7443" s="33" t="n">
        <f aca="false">IF(OR(D7443&gt;5,E7443&lt;8,E7443&gt;=18,COUNTIF($K$2:$K$10,INT(A7443))&gt;0),1,0)</f>
        <v>1</v>
      </c>
      <c r="G7443" s="34" t="n">
        <f aca="false">B7443/1</f>
        <v>72.34</v>
      </c>
      <c r="H7443" s="34" t="n">
        <f aca="false">IF(F7443=1,G7443,"")</f>
        <v>72.34</v>
      </c>
    </row>
    <row r="7444" customFormat="false" ht="15" hidden="false" customHeight="false" outlineLevel="0" collapsed="false">
      <c r="A7444" s="31" t="n">
        <v>43046.0833333333</v>
      </c>
      <c r="B7444" s="32" t="n">
        <v>68.07</v>
      </c>
      <c r="D7444" s="33" t="n">
        <f aca="false">WEEKDAY(A7444,2)</f>
        <v>2</v>
      </c>
      <c r="E7444" s="33" t="n">
        <f aca="false">HOUR(A7444)+MINUTE(A7444)/60</f>
        <v>2</v>
      </c>
      <c r="F7444" s="33" t="n">
        <f aca="false">IF(OR(D7444&gt;5,E7444&lt;8,E7444&gt;=18,COUNTIF($K$2:$K$10,INT(A7444))&gt;0),1,0)</f>
        <v>1</v>
      </c>
      <c r="G7444" s="34" t="n">
        <f aca="false">B7444/1</f>
        <v>68.07</v>
      </c>
      <c r="H7444" s="34" t="n">
        <f aca="false">IF(F7444=1,G7444,"")</f>
        <v>68.07</v>
      </c>
    </row>
    <row r="7445" customFormat="false" ht="15" hidden="false" customHeight="false" outlineLevel="0" collapsed="false">
      <c r="A7445" s="31" t="n">
        <v>43046.125</v>
      </c>
      <c r="B7445" s="32" t="n">
        <v>66.884</v>
      </c>
      <c r="D7445" s="33" t="n">
        <f aca="false">WEEKDAY(A7445,2)</f>
        <v>2</v>
      </c>
      <c r="E7445" s="33" t="n">
        <f aca="false">HOUR(A7445)+MINUTE(A7445)/60</f>
        <v>3</v>
      </c>
      <c r="F7445" s="33" t="n">
        <f aca="false">IF(OR(D7445&gt;5,E7445&lt;8,E7445&gt;=18,COUNTIF($K$2:$K$10,INT(A7445))&gt;0),1,0)</f>
        <v>1</v>
      </c>
      <c r="G7445" s="34" t="n">
        <f aca="false">B7445/1</f>
        <v>66.884</v>
      </c>
      <c r="H7445" s="34" t="n">
        <f aca="false">IF(F7445=1,G7445,"")</f>
        <v>66.884</v>
      </c>
    </row>
    <row r="7446" customFormat="false" ht="15" hidden="false" customHeight="false" outlineLevel="0" collapsed="false">
      <c r="A7446" s="31" t="n">
        <v>43046.1666666667</v>
      </c>
      <c r="B7446" s="32" t="n">
        <v>67.035</v>
      </c>
      <c r="D7446" s="33" t="n">
        <f aca="false">WEEKDAY(A7446,2)</f>
        <v>2</v>
      </c>
      <c r="E7446" s="33" t="n">
        <f aca="false">HOUR(A7446)+MINUTE(A7446)/60</f>
        <v>4</v>
      </c>
      <c r="F7446" s="33" t="n">
        <f aca="false">IF(OR(D7446&gt;5,E7446&lt;8,E7446&gt;=18,COUNTIF($K$2:$K$10,INT(A7446))&gt;0),1,0)</f>
        <v>1</v>
      </c>
      <c r="G7446" s="34" t="n">
        <f aca="false">B7446/1</f>
        <v>67.035</v>
      </c>
      <c r="H7446" s="34" t="n">
        <f aca="false">IF(F7446=1,G7446,"")</f>
        <v>67.035</v>
      </c>
    </row>
    <row r="7447" customFormat="false" ht="15" hidden="false" customHeight="false" outlineLevel="0" collapsed="false">
      <c r="A7447" s="31" t="n">
        <v>43046.2083333333</v>
      </c>
      <c r="B7447" s="32" t="n">
        <v>65.638</v>
      </c>
      <c r="D7447" s="33" t="n">
        <f aca="false">WEEKDAY(A7447,2)</f>
        <v>2</v>
      </c>
      <c r="E7447" s="33" t="n">
        <f aca="false">HOUR(A7447)+MINUTE(A7447)/60</f>
        <v>5</v>
      </c>
      <c r="F7447" s="33" t="n">
        <f aca="false">IF(OR(D7447&gt;5,E7447&lt;8,E7447&gt;=18,COUNTIF($K$2:$K$10,INT(A7447))&gt;0),1,0)</f>
        <v>1</v>
      </c>
      <c r="G7447" s="34" t="n">
        <f aca="false">B7447/1</f>
        <v>65.638</v>
      </c>
      <c r="H7447" s="34" t="n">
        <f aca="false">IF(F7447=1,G7447,"")</f>
        <v>65.638</v>
      </c>
    </row>
    <row r="7448" customFormat="false" ht="15" hidden="false" customHeight="false" outlineLevel="0" collapsed="false">
      <c r="A7448" s="31" t="n">
        <v>43046.25</v>
      </c>
      <c r="B7448" s="32" t="n">
        <v>66.048</v>
      </c>
      <c r="D7448" s="33" t="n">
        <f aca="false">WEEKDAY(A7448,2)</f>
        <v>2</v>
      </c>
      <c r="E7448" s="33" t="n">
        <f aca="false">HOUR(A7448)+MINUTE(A7448)/60</f>
        <v>6</v>
      </c>
      <c r="F7448" s="33" t="n">
        <f aca="false">IF(OR(D7448&gt;5,E7448&lt;8,E7448&gt;=18,COUNTIF($K$2:$K$10,INT(A7448))&gt;0),1,0)</f>
        <v>1</v>
      </c>
      <c r="G7448" s="34" t="n">
        <f aca="false">B7448/1</f>
        <v>66.048</v>
      </c>
      <c r="H7448" s="34" t="n">
        <f aca="false">IF(F7448=1,G7448,"")</f>
        <v>66.048</v>
      </c>
    </row>
    <row r="7449" customFormat="false" ht="15" hidden="false" customHeight="false" outlineLevel="0" collapsed="false">
      <c r="A7449" s="31" t="n">
        <v>43046.2916666667</v>
      </c>
      <c r="B7449" s="32" t="n">
        <v>72.885</v>
      </c>
      <c r="D7449" s="33" t="n">
        <f aca="false">WEEKDAY(A7449,2)</f>
        <v>2</v>
      </c>
      <c r="E7449" s="33" t="n">
        <f aca="false">HOUR(A7449)+MINUTE(A7449)/60</f>
        <v>7</v>
      </c>
      <c r="F7449" s="33" t="n">
        <f aca="false">IF(OR(D7449&gt;5,E7449&lt;8,E7449&gt;=18,COUNTIF($K$2:$K$10,INT(A7449))&gt;0),1,0)</f>
        <v>1</v>
      </c>
      <c r="G7449" s="34" t="n">
        <f aca="false">B7449/1</f>
        <v>72.885</v>
      </c>
      <c r="H7449" s="34" t="n">
        <f aca="false">IF(F7449=1,G7449,"")</f>
        <v>72.885</v>
      </c>
    </row>
    <row r="7450" customFormat="false" ht="15" hidden="false" customHeight="false" outlineLevel="0" collapsed="false">
      <c r="A7450" s="31" t="n">
        <v>43046.3333333333</v>
      </c>
      <c r="B7450" s="32" t="n">
        <v>169.595</v>
      </c>
      <c r="D7450" s="33" t="n">
        <f aca="false">WEEKDAY(A7450,2)</f>
        <v>2</v>
      </c>
      <c r="E7450" s="33" t="n">
        <f aca="false">HOUR(A7450)+MINUTE(A7450)/60</f>
        <v>8</v>
      </c>
      <c r="F7450" s="33" t="n">
        <f aca="false">IF(OR(D7450&gt;5,E7450&lt;8,E7450&gt;=18,COUNTIF($K$2:$K$10,INT(A7450))&gt;0),1,0)</f>
        <v>0</v>
      </c>
      <c r="G7450" s="34" t="n">
        <f aca="false">B7450/1</f>
        <v>169.595</v>
      </c>
      <c r="H7450" s="34" t="str">
        <f aca="false">IF(F7450=1,G7450,"")</f>
        <v/>
      </c>
    </row>
    <row r="7451" customFormat="false" ht="15" hidden="false" customHeight="false" outlineLevel="0" collapsed="false">
      <c r="A7451" s="31" t="n">
        <v>43046.375</v>
      </c>
      <c r="B7451" s="32" t="n">
        <v>215.387</v>
      </c>
      <c r="D7451" s="33" t="n">
        <f aca="false">WEEKDAY(A7451,2)</f>
        <v>2</v>
      </c>
      <c r="E7451" s="33" t="n">
        <f aca="false">HOUR(A7451)+MINUTE(A7451)/60</f>
        <v>9</v>
      </c>
      <c r="F7451" s="33" t="n">
        <f aca="false">IF(OR(D7451&gt;5,E7451&lt;8,E7451&gt;=18,COUNTIF($K$2:$K$10,INT(A7451))&gt;0),1,0)</f>
        <v>0</v>
      </c>
      <c r="G7451" s="34" t="n">
        <f aca="false">B7451/1</f>
        <v>215.387</v>
      </c>
      <c r="H7451" s="34" t="str">
        <f aca="false">IF(F7451=1,G7451,"")</f>
        <v/>
      </c>
    </row>
    <row r="7452" customFormat="false" ht="15" hidden="false" customHeight="false" outlineLevel="0" collapsed="false">
      <c r="A7452" s="31" t="n">
        <v>43046.4166666667</v>
      </c>
      <c r="B7452" s="32" t="n">
        <v>239.953</v>
      </c>
      <c r="D7452" s="33" t="n">
        <f aca="false">WEEKDAY(A7452,2)</f>
        <v>2</v>
      </c>
      <c r="E7452" s="33" t="n">
        <f aca="false">HOUR(A7452)+MINUTE(A7452)/60</f>
        <v>10</v>
      </c>
      <c r="F7452" s="33" t="n">
        <f aca="false">IF(OR(D7452&gt;5,E7452&lt;8,E7452&gt;=18,COUNTIF($K$2:$K$10,INT(A7452))&gt;0),1,0)</f>
        <v>0</v>
      </c>
      <c r="G7452" s="34" t="n">
        <f aca="false">B7452/1</f>
        <v>239.953</v>
      </c>
      <c r="H7452" s="34" t="str">
        <f aca="false">IF(F7452=1,G7452,"")</f>
        <v/>
      </c>
    </row>
    <row r="7453" customFormat="false" ht="15" hidden="false" customHeight="false" outlineLevel="0" collapsed="false">
      <c r="A7453" s="31" t="n">
        <v>43046.4583333333</v>
      </c>
      <c r="B7453" s="32" t="n">
        <v>253.558</v>
      </c>
      <c r="D7453" s="33" t="n">
        <f aca="false">WEEKDAY(A7453,2)</f>
        <v>2</v>
      </c>
      <c r="E7453" s="33" t="n">
        <f aca="false">HOUR(A7453)+MINUTE(A7453)/60</f>
        <v>11</v>
      </c>
      <c r="F7453" s="33" t="n">
        <f aca="false">IF(OR(D7453&gt;5,E7453&lt;8,E7453&gt;=18,COUNTIF($K$2:$K$10,INT(A7453))&gt;0),1,0)</f>
        <v>0</v>
      </c>
      <c r="G7453" s="34" t="n">
        <f aca="false">B7453/1</f>
        <v>253.558</v>
      </c>
      <c r="H7453" s="34" t="str">
        <f aca="false">IF(F7453=1,G7453,"")</f>
        <v/>
      </c>
    </row>
    <row r="7454" customFormat="false" ht="15" hidden="false" customHeight="false" outlineLevel="0" collapsed="false">
      <c r="A7454" s="31" t="n">
        <v>43046.5</v>
      </c>
      <c r="B7454" s="32" t="n">
        <v>259.097</v>
      </c>
      <c r="D7454" s="33" t="n">
        <f aca="false">WEEKDAY(A7454,2)</f>
        <v>2</v>
      </c>
      <c r="E7454" s="33" t="n">
        <f aca="false">HOUR(A7454)+MINUTE(A7454)/60</f>
        <v>12</v>
      </c>
      <c r="F7454" s="33" t="n">
        <f aca="false">IF(OR(D7454&gt;5,E7454&lt;8,E7454&gt;=18,COUNTIF($K$2:$K$10,INT(A7454))&gt;0),1,0)</f>
        <v>0</v>
      </c>
      <c r="G7454" s="34" t="n">
        <f aca="false">B7454/1</f>
        <v>259.097</v>
      </c>
      <c r="H7454" s="34" t="str">
        <f aca="false">IF(F7454=1,G7454,"")</f>
        <v/>
      </c>
    </row>
    <row r="7455" customFormat="false" ht="15" hidden="false" customHeight="false" outlineLevel="0" collapsed="false">
      <c r="A7455" s="31" t="n">
        <v>43046.5416666667</v>
      </c>
      <c r="B7455" s="32" t="n">
        <v>264.44</v>
      </c>
      <c r="D7455" s="33" t="n">
        <f aca="false">WEEKDAY(A7455,2)</f>
        <v>2</v>
      </c>
      <c r="E7455" s="33" t="n">
        <f aca="false">HOUR(A7455)+MINUTE(A7455)/60</f>
        <v>13</v>
      </c>
      <c r="F7455" s="33" t="n">
        <f aca="false">IF(OR(D7455&gt;5,E7455&lt;8,E7455&gt;=18,COUNTIF($K$2:$K$10,INT(A7455))&gt;0),1,0)</f>
        <v>0</v>
      </c>
      <c r="G7455" s="34" t="n">
        <f aca="false">B7455/1</f>
        <v>264.44</v>
      </c>
      <c r="H7455" s="34" t="str">
        <f aca="false">IF(F7455=1,G7455,"")</f>
        <v/>
      </c>
    </row>
    <row r="7456" customFormat="false" ht="15" hidden="false" customHeight="false" outlineLevel="0" collapsed="false">
      <c r="A7456" s="31" t="n">
        <v>43046.5833333333</v>
      </c>
      <c r="B7456" s="32" t="n">
        <v>264.272</v>
      </c>
      <c r="D7456" s="33" t="n">
        <f aca="false">WEEKDAY(A7456,2)</f>
        <v>2</v>
      </c>
      <c r="E7456" s="33" t="n">
        <f aca="false">HOUR(A7456)+MINUTE(A7456)/60</f>
        <v>14</v>
      </c>
      <c r="F7456" s="33" t="n">
        <f aca="false">IF(OR(D7456&gt;5,E7456&lt;8,E7456&gt;=18,COUNTIF($K$2:$K$10,INT(A7456))&gt;0),1,0)</f>
        <v>0</v>
      </c>
      <c r="G7456" s="34" t="n">
        <f aca="false">B7456/1</f>
        <v>264.272</v>
      </c>
      <c r="H7456" s="34" t="str">
        <f aca="false">IF(F7456=1,G7456,"")</f>
        <v/>
      </c>
    </row>
    <row r="7457" customFormat="false" ht="15" hidden="false" customHeight="false" outlineLevel="0" collapsed="false">
      <c r="A7457" s="31" t="n">
        <v>43046.625</v>
      </c>
      <c r="B7457" s="32" t="n">
        <v>259.899</v>
      </c>
      <c r="D7457" s="33" t="n">
        <f aca="false">WEEKDAY(A7457,2)</f>
        <v>2</v>
      </c>
      <c r="E7457" s="33" t="n">
        <f aca="false">HOUR(A7457)+MINUTE(A7457)/60</f>
        <v>15</v>
      </c>
      <c r="F7457" s="33" t="n">
        <f aca="false">IF(OR(D7457&gt;5,E7457&lt;8,E7457&gt;=18,COUNTIF($K$2:$K$10,INT(A7457))&gt;0),1,0)</f>
        <v>0</v>
      </c>
      <c r="G7457" s="34" t="n">
        <f aca="false">B7457/1</f>
        <v>259.899</v>
      </c>
      <c r="H7457" s="34" t="str">
        <f aca="false">IF(F7457=1,G7457,"")</f>
        <v/>
      </c>
    </row>
    <row r="7458" customFormat="false" ht="15" hidden="false" customHeight="false" outlineLevel="0" collapsed="false">
      <c r="A7458" s="31" t="n">
        <v>43046.6666666667</v>
      </c>
      <c r="B7458" s="32" t="n">
        <v>257.792</v>
      </c>
      <c r="D7458" s="33" t="n">
        <f aca="false">WEEKDAY(A7458,2)</f>
        <v>2</v>
      </c>
      <c r="E7458" s="33" t="n">
        <f aca="false">HOUR(A7458)+MINUTE(A7458)/60</f>
        <v>16</v>
      </c>
      <c r="F7458" s="33" t="n">
        <f aca="false">IF(OR(D7458&gt;5,E7458&lt;8,E7458&gt;=18,COUNTIF($K$2:$K$10,INT(A7458))&gt;0),1,0)</f>
        <v>0</v>
      </c>
      <c r="G7458" s="34" t="n">
        <f aca="false">B7458/1</f>
        <v>257.792</v>
      </c>
      <c r="H7458" s="34" t="str">
        <f aca="false">IF(F7458=1,G7458,"")</f>
        <v/>
      </c>
    </row>
    <row r="7459" customFormat="false" ht="15" hidden="false" customHeight="false" outlineLevel="0" collapsed="false">
      <c r="A7459" s="31" t="n">
        <v>43046.7083333333</v>
      </c>
      <c r="B7459" s="32" t="n">
        <v>264.042</v>
      </c>
      <c r="D7459" s="33" t="n">
        <f aca="false">WEEKDAY(A7459,2)</f>
        <v>2</v>
      </c>
      <c r="E7459" s="33" t="n">
        <f aca="false">HOUR(A7459)+MINUTE(A7459)/60</f>
        <v>17</v>
      </c>
      <c r="F7459" s="33" t="n">
        <f aca="false">IF(OR(D7459&gt;5,E7459&lt;8,E7459&gt;=18,COUNTIF($K$2:$K$10,INT(A7459))&gt;0),1,0)</f>
        <v>0</v>
      </c>
      <c r="G7459" s="34" t="n">
        <f aca="false">B7459/1</f>
        <v>264.042</v>
      </c>
      <c r="H7459" s="34" t="str">
        <f aca="false">IF(F7459=1,G7459,"")</f>
        <v/>
      </c>
    </row>
    <row r="7460" customFormat="false" ht="15" hidden="false" customHeight="false" outlineLevel="0" collapsed="false">
      <c r="A7460" s="31" t="n">
        <v>43046.75</v>
      </c>
      <c r="B7460" s="32" t="n">
        <v>225.416</v>
      </c>
      <c r="D7460" s="33" t="n">
        <f aca="false">WEEKDAY(A7460,2)</f>
        <v>2</v>
      </c>
      <c r="E7460" s="33" t="n">
        <f aca="false">HOUR(A7460)+MINUTE(A7460)/60</f>
        <v>18</v>
      </c>
      <c r="F7460" s="33" t="n">
        <f aca="false">IF(OR(D7460&gt;5,E7460&lt;8,E7460&gt;=18,COUNTIF($K$2:$K$10,INT(A7460))&gt;0),1,0)</f>
        <v>1</v>
      </c>
      <c r="G7460" s="34" t="n">
        <f aca="false">B7460/1</f>
        <v>225.416</v>
      </c>
      <c r="H7460" s="34" t="n">
        <f aca="false">IF(F7460=1,G7460,"")</f>
        <v>225.416</v>
      </c>
    </row>
    <row r="7461" customFormat="false" ht="15" hidden="false" customHeight="false" outlineLevel="0" collapsed="false">
      <c r="A7461" s="31" t="n">
        <v>43046.7916666667</v>
      </c>
      <c r="B7461" s="32" t="n">
        <v>210.143</v>
      </c>
      <c r="D7461" s="33" t="n">
        <f aca="false">WEEKDAY(A7461,2)</f>
        <v>2</v>
      </c>
      <c r="E7461" s="33" t="n">
        <f aca="false">HOUR(A7461)+MINUTE(A7461)/60</f>
        <v>19</v>
      </c>
      <c r="F7461" s="33" t="n">
        <f aca="false">IF(OR(D7461&gt;5,E7461&lt;8,E7461&gt;=18,COUNTIF($K$2:$K$10,INT(A7461))&gt;0),1,0)</f>
        <v>1</v>
      </c>
      <c r="G7461" s="34" t="n">
        <f aca="false">B7461/1</f>
        <v>210.143</v>
      </c>
      <c r="H7461" s="34" t="n">
        <f aca="false">IF(F7461=1,G7461,"")</f>
        <v>210.143</v>
      </c>
    </row>
    <row r="7462" customFormat="false" ht="15" hidden="false" customHeight="false" outlineLevel="0" collapsed="false">
      <c r="A7462" s="31" t="n">
        <v>43046.8333333333</v>
      </c>
      <c r="B7462" s="32" t="n">
        <v>198.286</v>
      </c>
      <c r="D7462" s="33" t="n">
        <f aca="false">WEEKDAY(A7462,2)</f>
        <v>2</v>
      </c>
      <c r="E7462" s="33" t="n">
        <f aca="false">HOUR(A7462)+MINUTE(A7462)/60</f>
        <v>20</v>
      </c>
      <c r="F7462" s="33" t="n">
        <f aca="false">IF(OR(D7462&gt;5,E7462&lt;8,E7462&gt;=18,COUNTIF($K$2:$K$10,INT(A7462))&gt;0),1,0)</f>
        <v>1</v>
      </c>
      <c r="G7462" s="34" t="n">
        <f aca="false">B7462/1</f>
        <v>198.286</v>
      </c>
      <c r="H7462" s="34" t="n">
        <f aca="false">IF(F7462=1,G7462,"")</f>
        <v>198.286</v>
      </c>
    </row>
    <row r="7463" customFormat="false" ht="15" hidden="false" customHeight="false" outlineLevel="0" collapsed="false">
      <c r="A7463" s="31" t="n">
        <v>43046.875</v>
      </c>
      <c r="B7463" s="32" t="n">
        <v>192.321</v>
      </c>
      <c r="D7463" s="33" t="n">
        <f aca="false">WEEKDAY(A7463,2)</f>
        <v>2</v>
      </c>
      <c r="E7463" s="33" t="n">
        <f aca="false">HOUR(A7463)+MINUTE(A7463)/60</f>
        <v>21</v>
      </c>
      <c r="F7463" s="33" t="n">
        <f aca="false">IF(OR(D7463&gt;5,E7463&lt;8,E7463&gt;=18,COUNTIF($K$2:$K$10,INT(A7463))&gt;0),1,0)</f>
        <v>1</v>
      </c>
      <c r="G7463" s="34" t="n">
        <f aca="false">B7463/1</f>
        <v>192.321</v>
      </c>
      <c r="H7463" s="34" t="n">
        <f aca="false">IF(F7463=1,G7463,"")</f>
        <v>192.321</v>
      </c>
    </row>
    <row r="7464" customFormat="false" ht="15" hidden="false" customHeight="false" outlineLevel="0" collapsed="false">
      <c r="A7464" s="31" t="n">
        <v>43046.9166666667</v>
      </c>
      <c r="B7464" s="32" t="n">
        <v>140.233</v>
      </c>
      <c r="D7464" s="33" t="n">
        <f aca="false">WEEKDAY(A7464,2)</f>
        <v>2</v>
      </c>
      <c r="E7464" s="33" t="n">
        <f aca="false">HOUR(A7464)+MINUTE(A7464)/60</f>
        <v>22</v>
      </c>
      <c r="F7464" s="33" t="n">
        <f aca="false">IF(OR(D7464&gt;5,E7464&lt;8,E7464&gt;=18,COUNTIF($K$2:$K$10,INT(A7464))&gt;0),1,0)</f>
        <v>1</v>
      </c>
      <c r="G7464" s="34" t="n">
        <f aca="false">B7464/1</f>
        <v>140.233</v>
      </c>
      <c r="H7464" s="34" t="n">
        <f aca="false">IF(F7464=1,G7464,"")</f>
        <v>140.233</v>
      </c>
    </row>
    <row r="7465" customFormat="false" ht="15" hidden="false" customHeight="false" outlineLevel="0" collapsed="false">
      <c r="A7465" s="31" t="n">
        <v>43046.9583333333</v>
      </c>
      <c r="B7465" s="32" t="n">
        <v>80.735</v>
      </c>
      <c r="D7465" s="33" t="n">
        <f aca="false">WEEKDAY(A7465,2)</f>
        <v>2</v>
      </c>
      <c r="E7465" s="33" t="n">
        <f aca="false">HOUR(A7465)+MINUTE(A7465)/60</f>
        <v>23</v>
      </c>
      <c r="F7465" s="33" t="n">
        <f aca="false">IF(OR(D7465&gt;5,E7465&lt;8,E7465&gt;=18,COUNTIF($K$2:$K$10,INT(A7465))&gt;0),1,0)</f>
        <v>1</v>
      </c>
      <c r="G7465" s="34" t="n">
        <f aca="false">B7465/1</f>
        <v>80.735</v>
      </c>
      <c r="H7465" s="34" t="n">
        <f aca="false">IF(F7465=1,G7465,"")</f>
        <v>80.735</v>
      </c>
    </row>
    <row r="7466" customFormat="false" ht="15" hidden="false" customHeight="false" outlineLevel="0" collapsed="false">
      <c r="A7466" s="31" t="n">
        <v>43047</v>
      </c>
      <c r="B7466" s="32" t="n">
        <v>76.337</v>
      </c>
      <c r="D7466" s="33" t="n">
        <f aca="false">WEEKDAY(A7466,2)</f>
        <v>3</v>
      </c>
      <c r="E7466" s="33" t="n">
        <f aca="false">HOUR(A7466)+MINUTE(A7466)/60</f>
        <v>0</v>
      </c>
      <c r="F7466" s="33" t="n">
        <f aca="false">IF(OR(D7466&gt;5,E7466&lt;8,E7466&gt;=18,COUNTIF($K$2:$K$10,INT(A7466))&gt;0),1,0)</f>
        <v>1</v>
      </c>
      <c r="G7466" s="34" t="n">
        <f aca="false">B7466/1</f>
        <v>76.337</v>
      </c>
      <c r="H7466" s="34" t="n">
        <f aca="false">IF(F7466=1,G7466,"")</f>
        <v>76.337</v>
      </c>
    </row>
    <row r="7467" customFormat="false" ht="15" hidden="false" customHeight="false" outlineLevel="0" collapsed="false">
      <c r="A7467" s="31" t="n">
        <v>43047.0416666667</v>
      </c>
      <c r="B7467" s="32" t="n">
        <v>71.82</v>
      </c>
      <c r="D7467" s="33" t="n">
        <f aca="false">WEEKDAY(A7467,2)</f>
        <v>3</v>
      </c>
      <c r="E7467" s="33" t="n">
        <f aca="false">HOUR(A7467)+MINUTE(A7467)/60</f>
        <v>1</v>
      </c>
      <c r="F7467" s="33" t="n">
        <f aca="false">IF(OR(D7467&gt;5,E7467&lt;8,E7467&gt;=18,COUNTIF($K$2:$K$10,INT(A7467))&gt;0),1,0)</f>
        <v>1</v>
      </c>
      <c r="G7467" s="34" t="n">
        <f aca="false">B7467/1</f>
        <v>71.82</v>
      </c>
      <c r="H7467" s="34" t="n">
        <f aca="false">IF(F7467=1,G7467,"")</f>
        <v>71.82</v>
      </c>
    </row>
    <row r="7468" customFormat="false" ht="15" hidden="false" customHeight="false" outlineLevel="0" collapsed="false">
      <c r="A7468" s="31" t="n">
        <v>43047.0833333333</v>
      </c>
      <c r="B7468" s="32" t="n">
        <v>70.19</v>
      </c>
      <c r="D7468" s="33" t="n">
        <f aca="false">WEEKDAY(A7468,2)</f>
        <v>3</v>
      </c>
      <c r="E7468" s="33" t="n">
        <f aca="false">HOUR(A7468)+MINUTE(A7468)/60</f>
        <v>2</v>
      </c>
      <c r="F7468" s="33" t="n">
        <f aca="false">IF(OR(D7468&gt;5,E7468&lt;8,E7468&gt;=18,COUNTIF($K$2:$K$10,INT(A7468))&gt;0),1,0)</f>
        <v>1</v>
      </c>
      <c r="G7468" s="34" t="n">
        <f aca="false">B7468/1</f>
        <v>70.19</v>
      </c>
      <c r="H7468" s="34" t="n">
        <f aca="false">IF(F7468=1,G7468,"")</f>
        <v>70.19</v>
      </c>
    </row>
    <row r="7469" customFormat="false" ht="15" hidden="false" customHeight="false" outlineLevel="0" collapsed="false">
      <c r="A7469" s="31" t="n">
        <v>43047.125</v>
      </c>
      <c r="B7469" s="32" t="n">
        <v>68.592</v>
      </c>
      <c r="D7469" s="33" t="n">
        <f aca="false">WEEKDAY(A7469,2)</f>
        <v>3</v>
      </c>
      <c r="E7469" s="33" t="n">
        <f aca="false">HOUR(A7469)+MINUTE(A7469)/60</f>
        <v>3</v>
      </c>
      <c r="F7469" s="33" t="n">
        <f aca="false">IF(OR(D7469&gt;5,E7469&lt;8,E7469&gt;=18,COUNTIF($K$2:$K$10,INT(A7469))&gt;0),1,0)</f>
        <v>1</v>
      </c>
      <c r="G7469" s="34" t="n">
        <f aca="false">B7469/1</f>
        <v>68.592</v>
      </c>
      <c r="H7469" s="34" t="n">
        <f aca="false">IF(F7469=1,G7469,"")</f>
        <v>68.592</v>
      </c>
    </row>
    <row r="7470" customFormat="false" ht="15" hidden="false" customHeight="false" outlineLevel="0" collapsed="false">
      <c r="A7470" s="31" t="n">
        <v>43047.1666666667</v>
      </c>
      <c r="B7470" s="32" t="n">
        <v>67.532</v>
      </c>
      <c r="D7470" s="33" t="n">
        <f aca="false">WEEKDAY(A7470,2)</f>
        <v>3</v>
      </c>
      <c r="E7470" s="33" t="n">
        <f aca="false">HOUR(A7470)+MINUTE(A7470)/60</f>
        <v>4</v>
      </c>
      <c r="F7470" s="33" t="n">
        <f aca="false">IF(OR(D7470&gt;5,E7470&lt;8,E7470&gt;=18,COUNTIF($K$2:$K$10,INT(A7470))&gt;0),1,0)</f>
        <v>1</v>
      </c>
      <c r="G7470" s="34" t="n">
        <f aca="false">B7470/1</f>
        <v>67.532</v>
      </c>
      <c r="H7470" s="34" t="n">
        <f aca="false">IF(F7470=1,G7470,"")</f>
        <v>67.532</v>
      </c>
    </row>
    <row r="7471" customFormat="false" ht="15" hidden="false" customHeight="false" outlineLevel="0" collapsed="false">
      <c r="A7471" s="31" t="n">
        <v>43047.2083333333</v>
      </c>
      <c r="B7471" s="32" t="n">
        <v>67.043</v>
      </c>
      <c r="D7471" s="33" t="n">
        <f aca="false">WEEKDAY(A7471,2)</f>
        <v>3</v>
      </c>
      <c r="E7471" s="33" t="n">
        <f aca="false">HOUR(A7471)+MINUTE(A7471)/60</f>
        <v>5</v>
      </c>
      <c r="F7471" s="33" t="n">
        <f aca="false">IF(OR(D7471&gt;5,E7471&lt;8,E7471&gt;=18,COUNTIF($K$2:$K$10,INT(A7471))&gt;0),1,0)</f>
        <v>1</v>
      </c>
      <c r="G7471" s="34" t="n">
        <f aca="false">B7471/1</f>
        <v>67.043</v>
      </c>
      <c r="H7471" s="34" t="n">
        <f aca="false">IF(F7471=1,G7471,"")</f>
        <v>67.043</v>
      </c>
    </row>
    <row r="7472" customFormat="false" ht="15" hidden="false" customHeight="false" outlineLevel="0" collapsed="false">
      <c r="A7472" s="31" t="n">
        <v>43047.25</v>
      </c>
      <c r="B7472" s="32" t="n">
        <v>66.966</v>
      </c>
      <c r="D7472" s="33" t="n">
        <f aca="false">WEEKDAY(A7472,2)</f>
        <v>3</v>
      </c>
      <c r="E7472" s="33" t="n">
        <f aca="false">HOUR(A7472)+MINUTE(A7472)/60</f>
        <v>6</v>
      </c>
      <c r="F7472" s="33" t="n">
        <f aca="false">IF(OR(D7472&gt;5,E7472&lt;8,E7472&gt;=18,COUNTIF($K$2:$K$10,INT(A7472))&gt;0),1,0)</f>
        <v>1</v>
      </c>
      <c r="G7472" s="34" t="n">
        <f aca="false">B7472/1</f>
        <v>66.966</v>
      </c>
      <c r="H7472" s="34" t="n">
        <f aca="false">IF(F7472=1,G7472,"")</f>
        <v>66.966</v>
      </c>
    </row>
    <row r="7473" customFormat="false" ht="15" hidden="false" customHeight="false" outlineLevel="0" collapsed="false">
      <c r="A7473" s="31" t="n">
        <v>43047.2916666667</v>
      </c>
      <c r="B7473" s="32" t="n">
        <v>70.508</v>
      </c>
      <c r="D7473" s="33" t="n">
        <f aca="false">WEEKDAY(A7473,2)</f>
        <v>3</v>
      </c>
      <c r="E7473" s="33" t="n">
        <f aca="false">HOUR(A7473)+MINUTE(A7473)/60</f>
        <v>7</v>
      </c>
      <c r="F7473" s="33" t="n">
        <f aca="false">IF(OR(D7473&gt;5,E7473&lt;8,E7473&gt;=18,COUNTIF($K$2:$K$10,INT(A7473))&gt;0),1,0)</f>
        <v>1</v>
      </c>
      <c r="G7473" s="34" t="n">
        <f aca="false">B7473/1</f>
        <v>70.508</v>
      </c>
      <c r="H7473" s="34" t="n">
        <f aca="false">IF(F7473=1,G7473,"")</f>
        <v>70.508</v>
      </c>
    </row>
    <row r="7474" customFormat="false" ht="15" hidden="false" customHeight="false" outlineLevel="0" collapsed="false">
      <c r="A7474" s="31" t="n">
        <v>43047.3333333333</v>
      </c>
      <c r="B7474" s="32" t="n">
        <v>165.38</v>
      </c>
      <c r="D7474" s="33" t="n">
        <f aca="false">WEEKDAY(A7474,2)</f>
        <v>3</v>
      </c>
      <c r="E7474" s="33" t="n">
        <f aca="false">HOUR(A7474)+MINUTE(A7474)/60</f>
        <v>8</v>
      </c>
      <c r="F7474" s="33" t="n">
        <f aca="false">IF(OR(D7474&gt;5,E7474&lt;8,E7474&gt;=18,COUNTIF($K$2:$K$10,INT(A7474))&gt;0),1,0)</f>
        <v>0</v>
      </c>
      <c r="G7474" s="34" t="n">
        <f aca="false">B7474/1</f>
        <v>165.38</v>
      </c>
      <c r="H7474" s="34" t="str">
        <f aca="false">IF(F7474=1,G7474,"")</f>
        <v/>
      </c>
    </row>
    <row r="7475" customFormat="false" ht="15" hidden="false" customHeight="false" outlineLevel="0" collapsed="false">
      <c r="A7475" s="31" t="n">
        <v>43047.375</v>
      </c>
      <c r="B7475" s="32" t="n">
        <v>200.559</v>
      </c>
      <c r="D7475" s="33" t="n">
        <f aca="false">WEEKDAY(A7475,2)</f>
        <v>3</v>
      </c>
      <c r="E7475" s="33" t="n">
        <f aca="false">HOUR(A7475)+MINUTE(A7475)/60</f>
        <v>9</v>
      </c>
      <c r="F7475" s="33" t="n">
        <f aca="false">IF(OR(D7475&gt;5,E7475&lt;8,E7475&gt;=18,COUNTIF($K$2:$K$10,INT(A7475))&gt;0),1,0)</f>
        <v>0</v>
      </c>
      <c r="G7475" s="34" t="n">
        <f aca="false">B7475/1</f>
        <v>200.559</v>
      </c>
      <c r="H7475" s="34" t="str">
        <f aca="false">IF(F7475=1,G7475,"")</f>
        <v/>
      </c>
    </row>
    <row r="7476" customFormat="false" ht="15" hidden="false" customHeight="false" outlineLevel="0" collapsed="false">
      <c r="A7476" s="31" t="n">
        <v>43047.4166666667</v>
      </c>
      <c r="B7476" s="32" t="n">
        <v>229.006</v>
      </c>
      <c r="D7476" s="33" t="n">
        <f aca="false">WEEKDAY(A7476,2)</f>
        <v>3</v>
      </c>
      <c r="E7476" s="33" t="n">
        <f aca="false">HOUR(A7476)+MINUTE(A7476)/60</f>
        <v>10</v>
      </c>
      <c r="F7476" s="33" t="n">
        <f aca="false">IF(OR(D7476&gt;5,E7476&lt;8,E7476&gt;=18,COUNTIF($K$2:$K$10,INT(A7476))&gt;0),1,0)</f>
        <v>0</v>
      </c>
      <c r="G7476" s="34" t="n">
        <f aca="false">B7476/1</f>
        <v>229.006</v>
      </c>
      <c r="H7476" s="34" t="str">
        <f aca="false">IF(F7476=1,G7476,"")</f>
        <v/>
      </c>
    </row>
    <row r="7477" customFormat="false" ht="15" hidden="false" customHeight="false" outlineLevel="0" collapsed="false">
      <c r="A7477" s="31" t="n">
        <v>43047.4583333333</v>
      </c>
      <c r="B7477" s="32" t="n">
        <v>246.497</v>
      </c>
      <c r="D7477" s="33" t="n">
        <f aca="false">WEEKDAY(A7477,2)</f>
        <v>3</v>
      </c>
      <c r="E7477" s="33" t="n">
        <f aca="false">HOUR(A7477)+MINUTE(A7477)/60</f>
        <v>11</v>
      </c>
      <c r="F7477" s="33" t="n">
        <f aca="false">IF(OR(D7477&gt;5,E7477&lt;8,E7477&gt;=18,COUNTIF($K$2:$K$10,INT(A7477))&gt;0),1,0)</f>
        <v>0</v>
      </c>
      <c r="G7477" s="34" t="n">
        <f aca="false">B7477/1</f>
        <v>246.497</v>
      </c>
      <c r="H7477" s="34" t="str">
        <f aca="false">IF(F7477=1,G7477,"")</f>
        <v/>
      </c>
    </row>
    <row r="7478" customFormat="false" ht="15" hidden="false" customHeight="false" outlineLevel="0" collapsed="false">
      <c r="A7478" s="31" t="n">
        <v>43047.5</v>
      </c>
      <c r="B7478" s="32" t="n">
        <v>252.438</v>
      </c>
      <c r="D7478" s="33" t="n">
        <f aca="false">WEEKDAY(A7478,2)</f>
        <v>3</v>
      </c>
      <c r="E7478" s="33" t="n">
        <f aca="false">HOUR(A7478)+MINUTE(A7478)/60</f>
        <v>12</v>
      </c>
      <c r="F7478" s="33" t="n">
        <f aca="false">IF(OR(D7478&gt;5,E7478&lt;8,E7478&gt;=18,COUNTIF($K$2:$K$10,INT(A7478))&gt;0),1,0)</f>
        <v>0</v>
      </c>
      <c r="G7478" s="34" t="n">
        <f aca="false">B7478/1</f>
        <v>252.438</v>
      </c>
      <c r="H7478" s="34" t="str">
        <f aca="false">IF(F7478=1,G7478,"")</f>
        <v/>
      </c>
    </row>
    <row r="7479" customFormat="false" ht="15" hidden="false" customHeight="false" outlineLevel="0" collapsed="false">
      <c r="A7479" s="31" t="n">
        <v>43047.5416666667</v>
      </c>
      <c r="B7479" s="32" t="n">
        <v>255.978</v>
      </c>
      <c r="D7479" s="33" t="n">
        <f aca="false">WEEKDAY(A7479,2)</f>
        <v>3</v>
      </c>
      <c r="E7479" s="33" t="n">
        <f aca="false">HOUR(A7479)+MINUTE(A7479)/60</f>
        <v>13</v>
      </c>
      <c r="F7479" s="33" t="n">
        <f aca="false">IF(OR(D7479&gt;5,E7479&lt;8,E7479&gt;=18,COUNTIF($K$2:$K$10,INT(A7479))&gt;0),1,0)</f>
        <v>0</v>
      </c>
      <c r="G7479" s="34" t="n">
        <f aca="false">B7479/1</f>
        <v>255.978</v>
      </c>
      <c r="H7479" s="34" t="str">
        <f aca="false">IF(F7479=1,G7479,"")</f>
        <v/>
      </c>
    </row>
    <row r="7480" customFormat="false" ht="15" hidden="false" customHeight="false" outlineLevel="0" collapsed="false">
      <c r="A7480" s="31" t="n">
        <v>43047.5833333333</v>
      </c>
      <c r="B7480" s="32" t="n">
        <v>260.69</v>
      </c>
      <c r="D7480" s="33" t="n">
        <f aca="false">WEEKDAY(A7480,2)</f>
        <v>3</v>
      </c>
      <c r="E7480" s="33" t="n">
        <f aca="false">HOUR(A7480)+MINUTE(A7480)/60</f>
        <v>14</v>
      </c>
      <c r="F7480" s="33" t="n">
        <f aca="false">IF(OR(D7480&gt;5,E7480&lt;8,E7480&gt;=18,COUNTIF($K$2:$K$10,INT(A7480))&gt;0),1,0)</f>
        <v>0</v>
      </c>
      <c r="G7480" s="34" t="n">
        <f aca="false">B7480/1</f>
        <v>260.69</v>
      </c>
      <c r="H7480" s="34" t="str">
        <f aca="false">IF(F7480=1,G7480,"")</f>
        <v/>
      </c>
    </row>
    <row r="7481" customFormat="false" ht="15" hidden="false" customHeight="false" outlineLevel="0" collapsed="false">
      <c r="A7481" s="31" t="n">
        <v>43047.625</v>
      </c>
      <c r="B7481" s="32" t="n">
        <v>254.744</v>
      </c>
      <c r="D7481" s="33" t="n">
        <f aca="false">WEEKDAY(A7481,2)</f>
        <v>3</v>
      </c>
      <c r="E7481" s="33" t="n">
        <f aca="false">HOUR(A7481)+MINUTE(A7481)/60</f>
        <v>15</v>
      </c>
      <c r="F7481" s="33" t="n">
        <f aca="false">IF(OR(D7481&gt;5,E7481&lt;8,E7481&gt;=18,COUNTIF($K$2:$K$10,INT(A7481))&gt;0),1,0)</f>
        <v>0</v>
      </c>
      <c r="G7481" s="34" t="n">
        <f aca="false">B7481/1</f>
        <v>254.744</v>
      </c>
      <c r="H7481" s="34" t="str">
        <f aca="false">IF(F7481=1,G7481,"")</f>
        <v/>
      </c>
    </row>
    <row r="7482" customFormat="false" ht="15" hidden="false" customHeight="false" outlineLevel="0" collapsed="false">
      <c r="A7482" s="31" t="n">
        <v>43047.6666666667</v>
      </c>
      <c r="B7482" s="32" t="n">
        <v>254.285</v>
      </c>
      <c r="D7482" s="33" t="n">
        <f aca="false">WEEKDAY(A7482,2)</f>
        <v>3</v>
      </c>
      <c r="E7482" s="33" t="n">
        <f aca="false">HOUR(A7482)+MINUTE(A7482)/60</f>
        <v>16</v>
      </c>
      <c r="F7482" s="33" t="n">
        <f aca="false">IF(OR(D7482&gt;5,E7482&lt;8,E7482&gt;=18,COUNTIF($K$2:$K$10,INT(A7482))&gt;0),1,0)</f>
        <v>0</v>
      </c>
      <c r="G7482" s="34" t="n">
        <f aca="false">B7482/1</f>
        <v>254.285</v>
      </c>
      <c r="H7482" s="34" t="str">
        <f aca="false">IF(F7482=1,G7482,"")</f>
        <v/>
      </c>
    </row>
    <row r="7483" customFormat="false" ht="15" hidden="false" customHeight="false" outlineLevel="0" collapsed="false">
      <c r="A7483" s="31" t="n">
        <v>43047.7083333333</v>
      </c>
      <c r="B7483" s="32" t="n">
        <v>246.111</v>
      </c>
      <c r="D7483" s="33" t="n">
        <f aca="false">WEEKDAY(A7483,2)</f>
        <v>3</v>
      </c>
      <c r="E7483" s="33" t="n">
        <f aca="false">HOUR(A7483)+MINUTE(A7483)/60</f>
        <v>17</v>
      </c>
      <c r="F7483" s="33" t="n">
        <f aca="false">IF(OR(D7483&gt;5,E7483&lt;8,E7483&gt;=18,COUNTIF($K$2:$K$10,INT(A7483))&gt;0),1,0)</f>
        <v>0</v>
      </c>
      <c r="G7483" s="34" t="n">
        <f aca="false">B7483/1</f>
        <v>246.111</v>
      </c>
      <c r="H7483" s="34" t="str">
        <f aca="false">IF(F7483=1,G7483,"")</f>
        <v/>
      </c>
    </row>
    <row r="7484" customFormat="false" ht="15" hidden="false" customHeight="false" outlineLevel="0" collapsed="false">
      <c r="A7484" s="31" t="n">
        <v>43047.75</v>
      </c>
      <c r="B7484" s="32" t="n">
        <v>228.453</v>
      </c>
      <c r="D7484" s="33" t="n">
        <f aca="false">WEEKDAY(A7484,2)</f>
        <v>3</v>
      </c>
      <c r="E7484" s="33" t="n">
        <f aca="false">HOUR(A7484)+MINUTE(A7484)/60</f>
        <v>18</v>
      </c>
      <c r="F7484" s="33" t="n">
        <f aca="false">IF(OR(D7484&gt;5,E7484&lt;8,E7484&gt;=18,COUNTIF($K$2:$K$10,INT(A7484))&gt;0),1,0)</f>
        <v>1</v>
      </c>
      <c r="G7484" s="34" t="n">
        <f aca="false">B7484/1</f>
        <v>228.453</v>
      </c>
      <c r="H7484" s="34" t="n">
        <f aca="false">IF(F7484=1,G7484,"")</f>
        <v>228.453</v>
      </c>
    </row>
    <row r="7485" customFormat="false" ht="15" hidden="false" customHeight="false" outlineLevel="0" collapsed="false">
      <c r="A7485" s="31" t="n">
        <v>43047.7916666667</v>
      </c>
      <c r="B7485" s="32" t="n">
        <v>224.002</v>
      </c>
      <c r="D7485" s="33" t="n">
        <f aca="false">WEEKDAY(A7485,2)</f>
        <v>3</v>
      </c>
      <c r="E7485" s="33" t="n">
        <f aca="false">HOUR(A7485)+MINUTE(A7485)/60</f>
        <v>19</v>
      </c>
      <c r="F7485" s="33" t="n">
        <f aca="false">IF(OR(D7485&gt;5,E7485&lt;8,E7485&gt;=18,COUNTIF($K$2:$K$10,INT(A7485))&gt;0),1,0)</f>
        <v>1</v>
      </c>
      <c r="G7485" s="34" t="n">
        <f aca="false">B7485/1</f>
        <v>224.002</v>
      </c>
      <c r="H7485" s="34" t="n">
        <f aca="false">IF(F7485=1,G7485,"")</f>
        <v>224.002</v>
      </c>
    </row>
    <row r="7486" customFormat="false" ht="15" hidden="false" customHeight="false" outlineLevel="0" collapsed="false">
      <c r="A7486" s="31" t="n">
        <v>43047.8333333333</v>
      </c>
      <c r="B7486" s="32" t="n">
        <v>221.21</v>
      </c>
      <c r="D7486" s="33" t="n">
        <f aca="false">WEEKDAY(A7486,2)</f>
        <v>3</v>
      </c>
      <c r="E7486" s="33" t="n">
        <f aca="false">HOUR(A7486)+MINUTE(A7486)/60</f>
        <v>20</v>
      </c>
      <c r="F7486" s="33" t="n">
        <f aca="false">IF(OR(D7486&gt;5,E7486&lt;8,E7486&gt;=18,COUNTIF($K$2:$K$10,INT(A7486))&gt;0),1,0)</f>
        <v>1</v>
      </c>
      <c r="G7486" s="34" t="n">
        <f aca="false">B7486/1</f>
        <v>221.21</v>
      </c>
      <c r="H7486" s="34" t="n">
        <f aca="false">IF(F7486=1,G7486,"")</f>
        <v>221.21</v>
      </c>
    </row>
    <row r="7487" customFormat="false" ht="15" hidden="false" customHeight="false" outlineLevel="0" collapsed="false">
      <c r="A7487" s="31" t="n">
        <v>43047.875</v>
      </c>
      <c r="B7487" s="32" t="n">
        <v>202.857</v>
      </c>
      <c r="D7487" s="33" t="n">
        <f aca="false">WEEKDAY(A7487,2)</f>
        <v>3</v>
      </c>
      <c r="E7487" s="33" t="n">
        <f aca="false">HOUR(A7487)+MINUTE(A7487)/60</f>
        <v>21</v>
      </c>
      <c r="F7487" s="33" t="n">
        <f aca="false">IF(OR(D7487&gt;5,E7487&lt;8,E7487&gt;=18,COUNTIF($K$2:$K$10,INT(A7487))&gt;0),1,0)</f>
        <v>1</v>
      </c>
      <c r="G7487" s="34" t="n">
        <f aca="false">B7487/1</f>
        <v>202.857</v>
      </c>
      <c r="H7487" s="34" t="n">
        <f aca="false">IF(F7487=1,G7487,"")</f>
        <v>202.857</v>
      </c>
    </row>
    <row r="7488" customFormat="false" ht="15" hidden="false" customHeight="false" outlineLevel="0" collapsed="false">
      <c r="A7488" s="31" t="n">
        <v>43047.9166666667</v>
      </c>
      <c r="B7488" s="32" t="n">
        <v>150.822</v>
      </c>
      <c r="D7488" s="33" t="n">
        <f aca="false">WEEKDAY(A7488,2)</f>
        <v>3</v>
      </c>
      <c r="E7488" s="33" t="n">
        <f aca="false">HOUR(A7488)+MINUTE(A7488)/60</f>
        <v>22</v>
      </c>
      <c r="F7488" s="33" t="n">
        <f aca="false">IF(OR(D7488&gt;5,E7488&lt;8,E7488&gt;=18,COUNTIF($K$2:$K$10,INT(A7488))&gt;0),1,0)</f>
        <v>1</v>
      </c>
      <c r="G7488" s="34" t="n">
        <f aca="false">B7488/1</f>
        <v>150.822</v>
      </c>
      <c r="H7488" s="34" t="n">
        <f aca="false">IF(F7488=1,G7488,"")</f>
        <v>150.822</v>
      </c>
    </row>
    <row r="7489" customFormat="false" ht="15" hidden="false" customHeight="false" outlineLevel="0" collapsed="false">
      <c r="A7489" s="31" t="n">
        <v>43047.9583333333</v>
      </c>
      <c r="B7489" s="32" t="n">
        <v>81.51</v>
      </c>
      <c r="D7489" s="33" t="n">
        <f aca="false">WEEKDAY(A7489,2)</f>
        <v>3</v>
      </c>
      <c r="E7489" s="33" t="n">
        <f aca="false">HOUR(A7489)+MINUTE(A7489)/60</f>
        <v>23</v>
      </c>
      <c r="F7489" s="33" t="n">
        <f aca="false">IF(OR(D7489&gt;5,E7489&lt;8,E7489&gt;=18,COUNTIF($K$2:$K$10,INT(A7489))&gt;0),1,0)</f>
        <v>1</v>
      </c>
      <c r="G7489" s="34" t="n">
        <f aca="false">B7489/1</f>
        <v>81.51</v>
      </c>
      <c r="H7489" s="34" t="n">
        <f aca="false">IF(F7489=1,G7489,"")</f>
        <v>81.51</v>
      </c>
    </row>
    <row r="7490" customFormat="false" ht="15" hidden="false" customHeight="false" outlineLevel="0" collapsed="false">
      <c r="A7490" s="31" t="n">
        <v>43048</v>
      </c>
      <c r="B7490" s="32" t="n">
        <v>75.878</v>
      </c>
      <c r="D7490" s="33" t="n">
        <f aca="false">WEEKDAY(A7490,2)</f>
        <v>4</v>
      </c>
      <c r="E7490" s="33" t="n">
        <f aca="false">HOUR(A7490)+MINUTE(A7490)/60</f>
        <v>0</v>
      </c>
      <c r="F7490" s="33" t="n">
        <f aca="false">IF(OR(D7490&gt;5,E7490&lt;8,E7490&gt;=18,COUNTIF($K$2:$K$10,INT(A7490))&gt;0),1,0)</f>
        <v>1</v>
      </c>
      <c r="G7490" s="34" t="n">
        <f aca="false">B7490/1</f>
        <v>75.878</v>
      </c>
      <c r="H7490" s="34" t="n">
        <f aca="false">IF(F7490=1,G7490,"")</f>
        <v>75.878</v>
      </c>
    </row>
    <row r="7491" customFormat="false" ht="15" hidden="false" customHeight="false" outlineLevel="0" collapsed="false">
      <c r="A7491" s="31" t="n">
        <v>43048.0416666667</v>
      </c>
      <c r="B7491" s="32" t="n">
        <v>70.741</v>
      </c>
      <c r="D7491" s="33" t="n">
        <f aca="false">WEEKDAY(A7491,2)</f>
        <v>4</v>
      </c>
      <c r="E7491" s="33" t="n">
        <f aca="false">HOUR(A7491)+MINUTE(A7491)/60</f>
        <v>1</v>
      </c>
      <c r="F7491" s="33" t="n">
        <f aca="false">IF(OR(D7491&gt;5,E7491&lt;8,E7491&gt;=18,COUNTIF($K$2:$K$10,INT(A7491))&gt;0),1,0)</f>
        <v>1</v>
      </c>
      <c r="G7491" s="34" t="n">
        <f aca="false">B7491/1</f>
        <v>70.741</v>
      </c>
      <c r="H7491" s="34" t="n">
        <f aca="false">IF(F7491=1,G7491,"")</f>
        <v>70.741</v>
      </c>
    </row>
    <row r="7492" customFormat="false" ht="15" hidden="false" customHeight="false" outlineLevel="0" collapsed="false">
      <c r="A7492" s="31" t="n">
        <v>43048.0833333333</v>
      </c>
      <c r="B7492" s="32" t="n">
        <v>71.418</v>
      </c>
      <c r="D7492" s="33" t="n">
        <f aca="false">WEEKDAY(A7492,2)</f>
        <v>4</v>
      </c>
      <c r="E7492" s="33" t="n">
        <f aca="false">HOUR(A7492)+MINUTE(A7492)/60</f>
        <v>2</v>
      </c>
      <c r="F7492" s="33" t="n">
        <f aca="false">IF(OR(D7492&gt;5,E7492&lt;8,E7492&gt;=18,COUNTIF($K$2:$K$10,INT(A7492))&gt;0),1,0)</f>
        <v>1</v>
      </c>
      <c r="G7492" s="34" t="n">
        <f aca="false">B7492/1</f>
        <v>71.418</v>
      </c>
      <c r="H7492" s="34" t="n">
        <f aca="false">IF(F7492=1,G7492,"")</f>
        <v>71.418</v>
      </c>
    </row>
    <row r="7493" customFormat="false" ht="15" hidden="false" customHeight="false" outlineLevel="0" collapsed="false">
      <c r="A7493" s="31" t="n">
        <v>43048.125</v>
      </c>
      <c r="B7493" s="32" t="n">
        <v>68.72</v>
      </c>
      <c r="D7493" s="33" t="n">
        <f aca="false">WEEKDAY(A7493,2)</f>
        <v>4</v>
      </c>
      <c r="E7493" s="33" t="n">
        <f aca="false">HOUR(A7493)+MINUTE(A7493)/60</f>
        <v>3</v>
      </c>
      <c r="F7493" s="33" t="n">
        <f aca="false">IF(OR(D7493&gt;5,E7493&lt;8,E7493&gt;=18,COUNTIF($K$2:$K$10,INT(A7493))&gt;0),1,0)</f>
        <v>1</v>
      </c>
      <c r="G7493" s="34" t="n">
        <f aca="false">B7493/1</f>
        <v>68.72</v>
      </c>
      <c r="H7493" s="34" t="n">
        <f aca="false">IF(F7493=1,G7493,"")</f>
        <v>68.72</v>
      </c>
    </row>
    <row r="7494" customFormat="false" ht="15" hidden="false" customHeight="false" outlineLevel="0" collapsed="false">
      <c r="A7494" s="31" t="n">
        <v>43048.1666666667</v>
      </c>
      <c r="B7494" s="32" t="n">
        <v>67.107</v>
      </c>
      <c r="D7494" s="33" t="n">
        <f aca="false">WEEKDAY(A7494,2)</f>
        <v>4</v>
      </c>
      <c r="E7494" s="33" t="n">
        <f aca="false">HOUR(A7494)+MINUTE(A7494)/60</f>
        <v>4</v>
      </c>
      <c r="F7494" s="33" t="n">
        <f aca="false">IF(OR(D7494&gt;5,E7494&lt;8,E7494&gt;=18,COUNTIF($K$2:$K$10,INT(A7494))&gt;0),1,0)</f>
        <v>1</v>
      </c>
      <c r="G7494" s="34" t="n">
        <f aca="false">B7494/1</f>
        <v>67.107</v>
      </c>
      <c r="H7494" s="34" t="n">
        <f aca="false">IF(F7494=1,G7494,"")</f>
        <v>67.107</v>
      </c>
    </row>
    <row r="7495" customFormat="false" ht="15" hidden="false" customHeight="false" outlineLevel="0" collapsed="false">
      <c r="A7495" s="31" t="n">
        <v>43048.2083333333</v>
      </c>
      <c r="B7495" s="32" t="n">
        <v>65.576</v>
      </c>
      <c r="D7495" s="33" t="n">
        <f aca="false">WEEKDAY(A7495,2)</f>
        <v>4</v>
      </c>
      <c r="E7495" s="33" t="n">
        <f aca="false">HOUR(A7495)+MINUTE(A7495)/60</f>
        <v>5</v>
      </c>
      <c r="F7495" s="33" t="n">
        <f aca="false">IF(OR(D7495&gt;5,E7495&lt;8,E7495&gt;=18,COUNTIF($K$2:$K$10,INT(A7495))&gt;0),1,0)</f>
        <v>1</v>
      </c>
      <c r="G7495" s="34" t="n">
        <f aca="false">B7495/1</f>
        <v>65.576</v>
      </c>
      <c r="H7495" s="34" t="n">
        <f aca="false">IF(F7495=1,G7495,"")</f>
        <v>65.576</v>
      </c>
    </row>
    <row r="7496" customFormat="false" ht="15" hidden="false" customHeight="false" outlineLevel="0" collapsed="false">
      <c r="A7496" s="31" t="n">
        <v>43048.25</v>
      </c>
      <c r="B7496" s="32" t="n">
        <v>67.456</v>
      </c>
      <c r="D7496" s="33" t="n">
        <f aca="false">WEEKDAY(A7496,2)</f>
        <v>4</v>
      </c>
      <c r="E7496" s="33" t="n">
        <f aca="false">HOUR(A7496)+MINUTE(A7496)/60</f>
        <v>6</v>
      </c>
      <c r="F7496" s="33" t="n">
        <f aca="false">IF(OR(D7496&gt;5,E7496&lt;8,E7496&gt;=18,COUNTIF($K$2:$K$10,INT(A7496))&gt;0),1,0)</f>
        <v>1</v>
      </c>
      <c r="G7496" s="34" t="n">
        <f aca="false">B7496/1</f>
        <v>67.456</v>
      </c>
      <c r="H7496" s="34" t="n">
        <f aca="false">IF(F7496=1,G7496,"")</f>
        <v>67.456</v>
      </c>
    </row>
    <row r="7497" customFormat="false" ht="15" hidden="false" customHeight="false" outlineLevel="0" collapsed="false">
      <c r="A7497" s="31" t="n">
        <v>43048.2916666667</v>
      </c>
      <c r="B7497" s="32" t="n">
        <v>71.027</v>
      </c>
      <c r="D7497" s="33" t="n">
        <f aca="false">WEEKDAY(A7497,2)</f>
        <v>4</v>
      </c>
      <c r="E7497" s="33" t="n">
        <f aca="false">HOUR(A7497)+MINUTE(A7497)/60</f>
        <v>7</v>
      </c>
      <c r="F7497" s="33" t="n">
        <f aca="false">IF(OR(D7497&gt;5,E7497&lt;8,E7497&gt;=18,COUNTIF($K$2:$K$10,INT(A7497))&gt;0),1,0)</f>
        <v>1</v>
      </c>
      <c r="G7497" s="34" t="n">
        <f aca="false">B7497/1</f>
        <v>71.027</v>
      </c>
      <c r="H7497" s="34" t="n">
        <f aca="false">IF(F7497=1,G7497,"")</f>
        <v>71.027</v>
      </c>
    </row>
    <row r="7498" customFormat="false" ht="15" hidden="false" customHeight="false" outlineLevel="0" collapsed="false">
      <c r="A7498" s="31" t="n">
        <v>43048.3333333333</v>
      </c>
      <c r="B7498" s="32" t="n">
        <v>171.637</v>
      </c>
      <c r="D7498" s="33" t="n">
        <f aca="false">WEEKDAY(A7498,2)</f>
        <v>4</v>
      </c>
      <c r="E7498" s="33" t="n">
        <f aca="false">HOUR(A7498)+MINUTE(A7498)/60</f>
        <v>8</v>
      </c>
      <c r="F7498" s="33" t="n">
        <f aca="false">IF(OR(D7498&gt;5,E7498&lt;8,E7498&gt;=18,COUNTIF($K$2:$K$10,INT(A7498))&gt;0),1,0)</f>
        <v>0</v>
      </c>
      <c r="G7498" s="34" t="n">
        <f aca="false">B7498/1</f>
        <v>171.637</v>
      </c>
      <c r="H7498" s="34" t="str">
        <f aca="false">IF(F7498=1,G7498,"")</f>
        <v/>
      </c>
    </row>
    <row r="7499" customFormat="false" ht="15" hidden="false" customHeight="false" outlineLevel="0" collapsed="false">
      <c r="A7499" s="31" t="n">
        <v>43048.375</v>
      </c>
      <c r="B7499" s="32" t="n">
        <v>214.398</v>
      </c>
      <c r="D7499" s="33" t="n">
        <f aca="false">WEEKDAY(A7499,2)</f>
        <v>4</v>
      </c>
      <c r="E7499" s="33" t="n">
        <f aca="false">HOUR(A7499)+MINUTE(A7499)/60</f>
        <v>9</v>
      </c>
      <c r="F7499" s="33" t="n">
        <f aca="false">IF(OR(D7499&gt;5,E7499&lt;8,E7499&gt;=18,COUNTIF($K$2:$K$10,INT(A7499))&gt;0),1,0)</f>
        <v>0</v>
      </c>
      <c r="G7499" s="34" t="n">
        <f aca="false">B7499/1</f>
        <v>214.398</v>
      </c>
      <c r="H7499" s="34" t="str">
        <f aca="false">IF(F7499=1,G7499,"")</f>
        <v/>
      </c>
    </row>
    <row r="7500" customFormat="false" ht="15" hidden="false" customHeight="false" outlineLevel="0" collapsed="false">
      <c r="A7500" s="31" t="n">
        <v>43048.4166666667</v>
      </c>
      <c r="B7500" s="32" t="n">
        <v>237.456</v>
      </c>
      <c r="D7500" s="33" t="n">
        <f aca="false">WEEKDAY(A7500,2)</f>
        <v>4</v>
      </c>
      <c r="E7500" s="33" t="n">
        <f aca="false">HOUR(A7500)+MINUTE(A7500)/60</f>
        <v>10</v>
      </c>
      <c r="F7500" s="33" t="n">
        <f aca="false">IF(OR(D7500&gt;5,E7500&lt;8,E7500&gt;=18,COUNTIF($K$2:$K$10,INT(A7500))&gt;0),1,0)</f>
        <v>0</v>
      </c>
      <c r="G7500" s="34" t="n">
        <f aca="false">B7500/1</f>
        <v>237.456</v>
      </c>
      <c r="H7500" s="34" t="str">
        <f aca="false">IF(F7500=1,G7500,"")</f>
        <v/>
      </c>
    </row>
    <row r="7501" customFormat="false" ht="15" hidden="false" customHeight="false" outlineLevel="0" collapsed="false">
      <c r="A7501" s="31" t="n">
        <v>43048.4583333333</v>
      </c>
      <c r="B7501" s="32" t="n">
        <v>255.457</v>
      </c>
      <c r="D7501" s="33" t="n">
        <f aca="false">WEEKDAY(A7501,2)</f>
        <v>4</v>
      </c>
      <c r="E7501" s="33" t="n">
        <f aca="false">HOUR(A7501)+MINUTE(A7501)/60</f>
        <v>11</v>
      </c>
      <c r="F7501" s="33" t="n">
        <f aca="false">IF(OR(D7501&gt;5,E7501&lt;8,E7501&gt;=18,COUNTIF($K$2:$K$10,INT(A7501))&gt;0),1,0)</f>
        <v>0</v>
      </c>
      <c r="G7501" s="34" t="n">
        <f aca="false">B7501/1</f>
        <v>255.457</v>
      </c>
      <c r="H7501" s="34" t="str">
        <f aca="false">IF(F7501=1,G7501,"")</f>
        <v/>
      </c>
    </row>
    <row r="7502" customFormat="false" ht="15" hidden="false" customHeight="false" outlineLevel="0" collapsed="false">
      <c r="A7502" s="31" t="n">
        <v>43048.5</v>
      </c>
      <c r="B7502" s="32" t="n">
        <v>262.075</v>
      </c>
      <c r="D7502" s="33" t="n">
        <f aca="false">WEEKDAY(A7502,2)</f>
        <v>4</v>
      </c>
      <c r="E7502" s="33" t="n">
        <f aca="false">HOUR(A7502)+MINUTE(A7502)/60</f>
        <v>12</v>
      </c>
      <c r="F7502" s="33" t="n">
        <f aca="false">IF(OR(D7502&gt;5,E7502&lt;8,E7502&gt;=18,COUNTIF($K$2:$K$10,INT(A7502))&gt;0),1,0)</f>
        <v>0</v>
      </c>
      <c r="G7502" s="34" t="n">
        <f aca="false">B7502/1</f>
        <v>262.075</v>
      </c>
      <c r="H7502" s="34" t="str">
        <f aca="false">IF(F7502=1,G7502,"")</f>
        <v/>
      </c>
    </row>
    <row r="7503" customFormat="false" ht="15" hidden="false" customHeight="false" outlineLevel="0" collapsed="false">
      <c r="A7503" s="31" t="n">
        <v>43048.5416666667</v>
      </c>
      <c r="B7503" s="32" t="n">
        <v>266.272</v>
      </c>
      <c r="D7503" s="33" t="n">
        <f aca="false">WEEKDAY(A7503,2)</f>
        <v>4</v>
      </c>
      <c r="E7503" s="33" t="n">
        <f aca="false">HOUR(A7503)+MINUTE(A7503)/60</f>
        <v>13</v>
      </c>
      <c r="F7503" s="33" t="n">
        <f aca="false">IF(OR(D7503&gt;5,E7503&lt;8,E7503&gt;=18,COUNTIF($K$2:$K$10,INT(A7503))&gt;0),1,0)</f>
        <v>0</v>
      </c>
      <c r="G7503" s="34" t="n">
        <f aca="false">B7503/1</f>
        <v>266.272</v>
      </c>
      <c r="H7503" s="34" t="str">
        <f aca="false">IF(F7503=1,G7503,"")</f>
        <v/>
      </c>
    </row>
    <row r="7504" customFormat="false" ht="15" hidden="false" customHeight="false" outlineLevel="0" collapsed="false">
      <c r="A7504" s="31" t="n">
        <v>43048.5833333333</v>
      </c>
      <c r="B7504" s="32" t="n">
        <v>262.772</v>
      </c>
      <c r="D7504" s="33" t="n">
        <f aca="false">WEEKDAY(A7504,2)</f>
        <v>4</v>
      </c>
      <c r="E7504" s="33" t="n">
        <f aca="false">HOUR(A7504)+MINUTE(A7504)/60</f>
        <v>14</v>
      </c>
      <c r="F7504" s="33" t="n">
        <f aca="false">IF(OR(D7504&gt;5,E7504&lt;8,E7504&gt;=18,COUNTIF($K$2:$K$10,INT(A7504))&gt;0),1,0)</f>
        <v>0</v>
      </c>
      <c r="G7504" s="34" t="n">
        <f aca="false">B7504/1</f>
        <v>262.772</v>
      </c>
      <c r="H7504" s="34" t="str">
        <f aca="false">IF(F7504=1,G7504,"")</f>
        <v/>
      </c>
    </row>
    <row r="7505" customFormat="false" ht="15" hidden="false" customHeight="false" outlineLevel="0" collapsed="false">
      <c r="A7505" s="31" t="n">
        <v>43048.625</v>
      </c>
      <c r="B7505" s="32" t="n">
        <v>254.578</v>
      </c>
      <c r="D7505" s="33" t="n">
        <f aca="false">WEEKDAY(A7505,2)</f>
        <v>4</v>
      </c>
      <c r="E7505" s="33" t="n">
        <f aca="false">HOUR(A7505)+MINUTE(A7505)/60</f>
        <v>15</v>
      </c>
      <c r="F7505" s="33" t="n">
        <f aca="false">IF(OR(D7505&gt;5,E7505&lt;8,E7505&gt;=18,COUNTIF($K$2:$K$10,INT(A7505))&gt;0),1,0)</f>
        <v>0</v>
      </c>
      <c r="G7505" s="34" t="n">
        <f aca="false">B7505/1</f>
        <v>254.578</v>
      </c>
      <c r="H7505" s="34" t="str">
        <f aca="false">IF(F7505=1,G7505,"")</f>
        <v/>
      </c>
    </row>
    <row r="7506" customFormat="false" ht="15" hidden="false" customHeight="false" outlineLevel="0" collapsed="false">
      <c r="A7506" s="31" t="n">
        <v>43048.6666666667</v>
      </c>
      <c r="B7506" s="32" t="n">
        <v>257.668</v>
      </c>
      <c r="D7506" s="33" t="n">
        <f aca="false">WEEKDAY(A7506,2)</f>
        <v>4</v>
      </c>
      <c r="E7506" s="33" t="n">
        <f aca="false">HOUR(A7506)+MINUTE(A7506)/60</f>
        <v>16</v>
      </c>
      <c r="F7506" s="33" t="n">
        <f aca="false">IF(OR(D7506&gt;5,E7506&lt;8,E7506&gt;=18,COUNTIF($K$2:$K$10,INT(A7506))&gt;0),1,0)</f>
        <v>0</v>
      </c>
      <c r="G7506" s="34" t="n">
        <f aca="false">B7506/1</f>
        <v>257.668</v>
      </c>
      <c r="H7506" s="34" t="str">
        <f aca="false">IF(F7506=1,G7506,"")</f>
        <v/>
      </c>
    </row>
    <row r="7507" customFormat="false" ht="15" hidden="false" customHeight="false" outlineLevel="0" collapsed="false">
      <c r="A7507" s="31" t="n">
        <v>43048.7083333333</v>
      </c>
      <c r="B7507" s="32" t="n">
        <v>260.539</v>
      </c>
      <c r="D7507" s="33" t="n">
        <f aca="false">WEEKDAY(A7507,2)</f>
        <v>4</v>
      </c>
      <c r="E7507" s="33" t="n">
        <f aca="false">HOUR(A7507)+MINUTE(A7507)/60</f>
        <v>17</v>
      </c>
      <c r="F7507" s="33" t="n">
        <f aca="false">IF(OR(D7507&gt;5,E7507&lt;8,E7507&gt;=18,COUNTIF($K$2:$K$10,INT(A7507))&gt;0),1,0)</f>
        <v>0</v>
      </c>
      <c r="G7507" s="34" t="n">
        <f aca="false">B7507/1</f>
        <v>260.539</v>
      </c>
      <c r="H7507" s="34" t="str">
        <f aca="false">IF(F7507=1,G7507,"")</f>
        <v/>
      </c>
    </row>
    <row r="7508" customFormat="false" ht="15" hidden="false" customHeight="false" outlineLevel="0" collapsed="false">
      <c r="A7508" s="31" t="n">
        <v>43048.75</v>
      </c>
      <c r="B7508" s="32" t="n">
        <v>223.144</v>
      </c>
      <c r="D7508" s="33" t="n">
        <f aca="false">WEEKDAY(A7508,2)</f>
        <v>4</v>
      </c>
      <c r="E7508" s="33" t="n">
        <f aca="false">HOUR(A7508)+MINUTE(A7508)/60</f>
        <v>18</v>
      </c>
      <c r="F7508" s="33" t="n">
        <f aca="false">IF(OR(D7508&gt;5,E7508&lt;8,E7508&gt;=18,COUNTIF($K$2:$K$10,INT(A7508))&gt;0),1,0)</f>
        <v>1</v>
      </c>
      <c r="G7508" s="34" t="n">
        <f aca="false">B7508/1</f>
        <v>223.144</v>
      </c>
      <c r="H7508" s="34" t="n">
        <f aca="false">IF(F7508=1,G7508,"")</f>
        <v>223.144</v>
      </c>
    </row>
    <row r="7509" customFormat="false" ht="15" hidden="false" customHeight="false" outlineLevel="0" collapsed="false">
      <c r="A7509" s="31" t="n">
        <v>43048.7916666667</v>
      </c>
      <c r="B7509" s="32" t="n">
        <v>204.436</v>
      </c>
      <c r="D7509" s="33" t="n">
        <f aca="false">WEEKDAY(A7509,2)</f>
        <v>4</v>
      </c>
      <c r="E7509" s="33" t="n">
        <f aca="false">HOUR(A7509)+MINUTE(A7509)/60</f>
        <v>19</v>
      </c>
      <c r="F7509" s="33" t="n">
        <f aca="false">IF(OR(D7509&gt;5,E7509&lt;8,E7509&gt;=18,COUNTIF($K$2:$K$10,INT(A7509))&gt;0),1,0)</f>
        <v>1</v>
      </c>
      <c r="G7509" s="34" t="n">
        <f aca="false">B7509/1</f>
        <v>204.436</v>
      </c>
      <c r="H7509" s="34" t="n">
        <f aca="false">IF(F7509=1,G7509,"")</f>
        <v>204.436</v>
      </c>
    </row>
    <row r="7510" customFormat="false" ht="15" hidden="false" customHeight="false" outlineLevel="0" collapsed="false">
      <c r="A7510" s="31" t="n">
        <v>43048.8333333333</v>
      </c>
      <c r="B7510" s="32" t="n">
        <v>199.349</v>
      </c>
      <c r="D7510" s="33" t="n">
        <f aca="false">WEEKDAY(A7510,2)</f>
        <v>4</v>
      </c>
      <c r="E7510" s="33" t="n">
        <f aca="false">HOUR(A7510)+MINUTE(A7510)/60</f>
        <v>20</v>
      </c>
      <c r="F7510" s="33" t="n">
        <f aca="false">IF(OR(D7510&gt;5,E7510&lt;8,E7510&gt;=18,COUNTIF($K$2:$K$10,INT(A7510))&gt;0),1,0)</f>
        <v>1</v>
      </c>
      <c r="G7510" s="34" t="n">
        <f aca="false">B7510/1</f>
        <v>199.349</v>
      </c>
      <c r="H7510" s="34" t="n">
        <f aca="false">IF(F7510=1,G7510,"")</f>
        <v>199.349</v>
      </c>
    </row>
    <row r="7511" customFormat="false" ht="15" hidden="false" customHeight="false" outlineLevel="0" collapsed="false">
      <c r="A7511" s="31" t="n">
        <v>43048.875</v>
      </c>
      <c r="B7511" s="32" t="n">
        <v>189.078</v>
      </c>
      <c r="D7511" s="33" t="n">
        <f aca="false">WEEKDAY(A7511,2)</f>
        <v>4</v>
      </c>
      <c r="E7511" s="33" t="n">
        <f aca="false">HOUR(A7511)+MINUTE(A7511)/60</f>
        <v>21</v>
      </c>
      <c r="F7511" s="33" t="n">
        <f aca="false">IF(OR(D7511&gt;5,E7511&lt;8,E7511&gt;=18,COUNTIF($K$2:$K$10,INT(A7511))&gt;0),1,0)</f>
        <v>1</v>
      </c>
      <c r="G7511" s="34" t="n">
        <f aca="false">B7511/1</f>
        <v>189.078</v>
      </c>
      <c r="H7511" s="34" t="n">
        <f aca="false">IF(F7511=1,G7511,"")</f>
        <v>189.078</v>
      </c>
    </row>
    <row r="7512" customFormat="false" ht="15" hidden="false" customHeight="false" outlineLevel="0" collapsed="false">
      <c r="A7512" s="31" t="n">
        <v>43048.9166666667</v>
      </c>
      <c r="B7512" s="32" t="n">
        <v>141.705</v>
      </c>
      <c r="D7512" s="33" t="n">
        <f aca="false">WEEKDAY(A7512,2)</f>
        <v>4</v>
      </c>
      <c r="E7512" s="33" t="n">
        <f aca="false">HOUR(A7512)+MINUTE(A7512)/60</f>
        <v>22</v>
      </c>
      <c r="F7512" s="33" t="n">
        <f aca="false">IF(OR(D7512&gt;5,E7512&lt;8,E7512&gt;=18,COUNTIF($K$2:$K$10,INT(A7512))&gt;0),1,0)</f>
        <v>1</v>
      </c>
      <c r="G7512" s="34" t="n">
        <f aca="false">B7512/1</f>
        <v>141.705</v>
      </c>
      <c r="H7512" s="34" t="n">
        <f aca="false">IF(F7512=1,G7512,"")</f>
        <v>141.705</v>
      </c>
    </row>
    <row r="7513" customFormat="false" ht="15" hidden="false" customHeight="false" outlineLevel="0" collapsed="false">
      <c r="A7513" s="31" t="n">
        <v>43048.9583333333</v>
      </c>
      <c r="B7513" s="32" t="n">
        <v>83.801</v>
      </c>
      <c r="D7513" s="33" t="n">
        <f aca="false">WEEKDAY(A7513,2)</f>
        <v>4</v>
      </c>
      <c r="E7513" s="33" t="n">
        <f aca="false">HOUR(A7513)+MINUTE(A7513)/60</f>
        <v>23</v>
      </c>
      <c r="F7513" s="33" t="n">
        <f aca="false">IF(OR(D7513&gt;5,E7513&lt;8,E7513&gt;=18,COUNTIF($K$2:$K$10,INT(A7513))&gt;0),1,0)</f>
        <v>1</v>
      </c>
      <c r="G7513" s="34" t="n">
        <f aca="false">B7513/1</f>
        <v>83.801</v>
      </c>
      <c r="H7513" s="34" t="n">
        <f aca="false">IF(F7513=1,G7513,"")</f>
        <v>83.801</v>
      </c>
    </row>
    <row r="7514" customFormat="false" ht="15" hidden="false" customHeight="false" outlineLevel="0" collapsed="false">
      <c r="A7514" s="31" t="n">
        <v>43049</v>
      </c>
      <c r="B7514" s="32" t="n">
        <v>80.269</v>
      </c>
      <c r="D7514" s="33" t="n">
        <f aca="false">WEEKDAY(A7514,2)</f>
        <v>5</v>
      </c>
      <c r="E7514" s="33" t="n">
        <f aca="false">HOUR(A7514)+MINUTE(A7514)/60</f>
        <v>0</v>
      </c>
      <c r="F7514" s="33" t="n">
        <f aca="false">IF(OR(D7514&gt;5,E7514&lt;8,E7514&gt;=18,COUNTIF($K$2:$K$10,INT(A7514))&gt;0),1,0)</f>
        <v>1</v>
      </c>
      <c r="G7514" s="34" t="n">
        <f aca="false">B7514/1</f>
        <v>80.269</v>
      </c>
      <c r="H7514" s="34" t="n">
        <f aca="false">IF(F7514=1,G7514,"")</f>
        <v>80.269</v>
      </c>
    </row>
    <row r="7515" customFormat="false" ht="15" hidden="false" customHeight="false" outlineLevel="0" collapsed="false">
      <c r="A7515" s="31" t="n">
        <v>43049.0416666667</v>
      </c>
      <c r="B7515" s="32" t="n">
        <v>76.019</v>
      </c>
      <c r="D7515" s="33" t="n">
        <f aca="false">WEEKDAY(A7515,2)</f>
        <v>5</v>
      </c>
      <c r="E7515" s="33" t="n">
        <f aca="false">HOUR(A7515)+MINUTE(A7515)/60</f>
        <v>1</v>
      </c>
      <c r="F7515" s="33" t="n">
        <f aca="false">IF(OR(D7515&gt;5,E7515&lt;8,E7515&gt;=18,COUNTIF($K$2:$K$10,INT(A7515))&gt;0),1,0)</f>
        <v>1</v>
      </c>
      <c r="G7515" s="34" t="n">
        <f aca="false">B7515/1</f>
        <v>76.019</v>
      </c>
      <c r="H7515" s="34" t="n">
        <f aca="false">IF(F7515=1,G7515,"")</f>
        <v>76.019</v>
      </c>
    </row>
    <row r="7516" customFormat="false" ht="15" hidden="false" customHeight="false" outlineLevel="0" collapsed="false">
      <c r="A7516" s="31" t="n">
        <v>43049.0833333333</v>
      </c>
      <c r="B7516" s="32" t="n">
        <v>72.478</v>
      </c>
      <c r="D7516" s="33" t="n">
        <f aca="false">WEEKDAY(A7516,2)</f>
        <v>5</v>
      </c>
      <c r="E7516" s="33" t="n">
        <f aca="false">HOUR(A7516)+MINUTE(A7516)/60</f>
        <v>2</v>
      </c>
      <c r="F7516" s="33" t="n">
        <f aca="false">IF(OR(D7516&gt;5,E7516&lt;8,E7516&gt;=18,COUNTIF($K$2:$K$10,INT(A7516))&gt;0),1,0)</f>
        <v>1</v>
      </c>
      <c r="G7516" s="34" t="n">
        <f aca="false">B7516/1</f>
        <v>72.478</v>
      </c>
      <c r="H7516" s="34" t="n">
        <f aca="false">IF(F7516=1,G7516,"")</f>
        <v>72.478</v>
      </c>
    </row>
    <row r="7517" customFormat="false" ht="15" hidden="false" customHeight="false" outlineLevel="0" collapsed="false">
      <c r="A7517" s="31" t="n">
        <v>43049.125</v>
      </c>
      <c r="B7517" s="32" t="n">
        <v>71.992</v>
      </c>
      <c r="D7517" s="33" t="n">
        <f aca="false">WEEKDAY(A7517,2)</f>
        <v>5</v>
      </c>
      <c r="E7517" s="33" t="n">
        <f aca="false">HOUR(A7517)+MINUTE(A7517)/60</f>
        <v>3</v>
      </c>
      <c r="F7517" s="33" t="n">
        <f aca="false">IF(OR(D7517&gt;5,E7517&lt;8,E7517&gt;=18,COUNTIF($K$2:$K$10,INT(A7517))&gt;0),1,0)</f>
        <v>1</v>
      </c>
      <c r="G7517" s="34" t="n">
        <f aca="false">B7517/1</f>
        <v>71.992</v>
      </c>
      <c r="H7517" s="34" t="n">
        <f aca="false">IF(F7517=1,G7517,"")</f>
        <v>71.992</v>
      </c>
    </row>
    <row r="7518" customFormat="false" ht="15" hidden="false" customHeight="false" outlineLevel="0" collapsed="false">
      <c r="A7518" s="31" t="n">
        <v>43049.1666666667</v>
      </c>
      <c r="B7518" s="32" t="n">
        <v>72.068</v>
      </c>
      <c r="D7518" s="33" t="n">
        <f aca="false">WEEKDAY(A7518,2)</f>
        <v>5</v>
      </c>
      <c r="E7518" s="33" t="n">
        <f aca="false">HOUR(A7518)+MINUTE(A7518)/60</f>
        <v>4</v>
      </c>
      <c r="F7518" s="33" t="n">
        <f aca="false">IF(OR(D7518&gt;5,E7518&lt;8,E7518&gt;=18,COUNTIF($K$2:$K$10,INT(A7518))&gt;0),1,0)</f>
        <v>1</v>
      </c>
      <c r="G7518" s="34" t="n">
        <f aca="false">B7518/1</f>
        <v>72.068</v>
      </c>
      <c r="H7518" s="34" t="n">
        <f aca="false">IF(F7518=1,G7518,"")</f>
        <v>72.068</v>
      </c>
    </row>
    <row r="7519" customFormat="false" ht="15" hidden="false" customHeight="false" outlineLevel="0" collapsed="false">
      <c r="A7519" s="31" t="n">
        <v>43049.2083333333</v>
      </c>
      <c r="B7519" s="32" t="n">
        <v>71.8</v>
      </c>
      <c r="D7519" s="33" t="n">
        <f aca="false">WEEKDAY(A7519,2)</f>
        <v>5</v>
      </c>
      <c r="E7519" s="33" t="n">
        <f aca="false">HOUR(A7519)+MINUTE(A7519)/60</f>
        <v>5</v>
      </c>
      <c r="F7519" s="33" t="n">
        <f aca="false">IF(OR(D7519&gt;5,E7519&lt;8,E7519&gt;=18,COUNTIF($K$2:$K$10,INT(A7519))&gt;0),1,0)</f>
        <v>1</v>
      </c>
      <c r="G7519" s="34" t="n">
        <f aca="false">B7519/1</f>
        <v>71.8</v>
      </c>
      <c r="H7519" s="34" t="n">
        <f aca="false">IF(F7519=1,G7519,"")</f>
        <v>71.8</v>
      </c>
    </row>
    <row r="7520" customFormat="false" ht="15" hidden="false" customHeight="false" outlineLevel="0" collapsed="false">
      <c r="A7520" s="31" t="n">
        <v>43049.25</v>
      </c>
      <c r="B7520" s="32" t="n">
        <v>69.594</v>
      </c>
      <c r="D7520" s="33" t="n">
        <f aca="false">WEEKDAY(A7520,2)</f>
        <v>5</v>
      </c>
      <c r="E7520" s="33" t="n">
        <f aca="false">HOUR(A7520)+MINUTE(A7520)/60</f>
        <v>6</v>
      </c>
      <c r="F7520" s="33" t="n">
        <f aca="false">IF(OR(D7520&gt;5,E7520&lt;8,E7520&gt;=18,COUNTIF($K$2:$K$10,INT(A7520))&gt;0),1,0)</f>
        <v>1</v>
      </c>
      <c r="G7520" s="34" t="n">
        <f aca="false">B7520/1</f>
        <v>69.594</v>
      </c>
      <c r="H7520" s="34" t="n">
        <f aca="false">IF(F7520=1,G7520,"")</f>
        <v>69.594</v>
      </c>
    </row>
    <row r="7521" customFormat="false" ht="15" hidden="false" customHeight="false" outlineLevel="0" collapsed="false">
      <c r="A7521" s="31" t="n">
        <v>43049.2916666667</v>
      </c>
      <c r="B7521" s="32" t="n">
        <v>74.689</v>
      </c>
      <c r="D7521" s="33" t="n">
        <f aca="false">WEEKDAY(A7521,2)</f>
        <v>5</v>
      </c>
      <c r="E7521" s="33" t="n">
        <f aca="false">HOUR(A7521)+MINUTE(A7521)/60</f>
        <v>7</v>
      </c>
      <c r="F7521" s="33" t="n">
        <f aca="false">IF(OR(D7521&gt;5,E7521&lt;8,E7521&gt;=18,COUNTIF($K$2:$K$10,INT(A7521))&gt;0),1,0)</f>
        <v>1</v>
      </c>
      <c r="G7521" s="34" t="n">
        <f aca="false">B7521/1</f>
        <v>74.689</v>
      </c>
      <c r="H7521" s="34" t="n">
        <f aca="false">IF(F7521=1,G7521,"")</f>
        <v>74.689</v>
      </c>
    </row>
    <row r="7522" customFormat="false" ht="15" hidden="false" customHeight="false" outlineLevel="0" collapsed="false">
      <c r="A7522" s="31" t="n">
        <v>43049.3333333333</v>
      </c>
      <c r="B7522" s="32" t="n">
        <v>172.145</v>
      </c>
      <c r="D7522" s="33" t="n">
        <f aca="false">WEEKDAY(A7522,2)</f>
        <v>5</v>
      </c>
      <c r="E7522" s="33" t="n">
        <f aca="false">HOUR(A7522)+MINUTE(A7522)/60</f>
        <v>8</v>
      </c>
      <c r="F7522" s="33" t="n">
        <f aca="false">IF(OR(D7522&gt;5,E7522&lt;8,E7522&gt;=18,COUNTIF($K$2:$K$10,INT(A7522))&gt;0),1,0)</f>
        <v>0</v>
      </c>
      <c r="G7522" s="34" t="n">
        <f aca="false">B7522/1</f>
        <v>172.145</v>
      </c>
      <c r="H7522" s="34" t="str">
        <f aca="false">IF(F7522=1,G7522,"")</f>
        <v/>
      </c>
    </row>
    <row r="7523" customFormat="false" ht="15" hidden="false" customHeight="false" outlineLevel="0" collapsed="false">
      <c r="A7523" s="31" t="n">
        <v>43049.375</v>
      </c>
      <c r="B7523" s="32" t="n">
        <v>189.614</v>
      </c>
      <c r="D7523" s="33" t="n">
        <f aca="false">WEEKDAY(A7523,2)</f>
        <v>5</v>
      </c>
      <c r="E7523" s="33" t="n">
        <f aca="false">HOUR(A7523)+MINUTE(A7523)/60</f>
        <v>9</v>
      </c>
      <c r="F7523" s="33" t="n">
        <f aca="false">IF(OR(D7523&gt;5,E7523&lt;8,E7523&gt;=18,COUNTIF($K$2:$K$10,INT(A7523))&gt;0),1,0)</f>
        <v>0</v>
      </c>
      <c r="G7523" s="34" t="n">
        <f aca="false">B7523/1</f>
        <v>189.614</v>
      </c>
      <c r="H7523" s="34" t="str">
        <f aca="false">IF(F7523=1,G7523,"")</f>
        <v/>
      </c>
    </row>
    <row r="7524" customFormat="false" ht="15" hidden="false" customHeight="false" outlineLevel="0" collapsed="false">
      <c r="A7524" s="31" t="n">
        <v>43049.4166666667</v>
      </c>
      <c r="B7524" s="32" t="n">
        <v>216.119</v>
      </c>
      <c r="D7524" s="33" t="n">
        <f aca="false">WEEKDAY(A7524,2)</f>
        <v>5</v>
      </c>
      <c r="E7524" s="33" t="n">
        <f aca="false">HOUR(A7524)+MINUTE(A7524)/60</f>
        <v>10</v>
      </c>
      <c r="F7524" s="33" t="n">
        <f aca="false">IF(OR(D7524&gt;5,E7524&lt;8,E7524&gt;=18,COUNTIF($K$2:$K$10,INT(A7524))&gt;0),1,0)</f>
        <v>0</v>
      </c>
      <c r="G7524" s="34" t="n">
        <f aca="false">B7524/1</f>
        <v>216.119</v>
      </c>
      <c r="H7524" s="34" t="str">
        <f aca="false">IF(F7524=1,G7524,"")</f>
        <v/>
      </c>
    </row>
    <row r="7525" customFormat="false" ht="15" hidden="false" customHeight="false" outlineLevel="0" collapsed="false">
      <c r="A7525" s="31" t="n">
        <v>43049.4583333333</v>
      </c>
      <c r="B7525" s="32" t="n">
        <v>204.115</v>
      </c>
      <c r="D7525" s="33" t="n">
        <f aca="false">WEEKDAY(A7525,2)</f>
        <v>5</v>
      </c>
      <c r="E7525" s="33" t="n">
        <f aca="false">HOUR(A7525)+MINUTE(A7525)/60</f>
        <v>11</v>
      </c>
      <c r="F7525" s="33" t="n">
        <f aca="false">IF(OR(D7525&gt;5,E7525&lt;8,E7525&gt;=18,COUNTIF($K$2:$K$10,INT(A7525))&gt;0),1,0)</f>
        <v>0</v>
      </c>
      <c r="G7525" s="34" t="n">
        <f aca="false">B7525/1</f>
        <v>204.115</v>
      </c>
      <c r="H7525" s="34" t="str">
        <f aca="false">IF(F7525=1,G7525,"")</f>
        <v/>
      </c>
    </row>
    <row r="7526" customFormat="false" ht="15" hidden="false" customHeight="false" outlineLevel="0" collapsed="false">
      <c r="A7526" s="31" t="n">
        <v>43049.5</v>
      </c>
      <c r="B7526" s="32" t="n">
        <v>204.664</v>
      </c>
      <c r="D7526" s="33" t="n">
        <f aca="false">WEEKDAY(A7526,2)</f>
        <v>5</v>
      </c>
      <c r="E7526" s="33" t="n">
        <f aca="false">HOUR(A7526)+MINUTE(A7526)/60</f>
        <v>12</v>
      </c>
      <c r="F7526" s="33" t="n">
        <f aca="false">IF(OR(D7526&gt;5,E7526&lt;8,E7526&gt;=18,COUNTIF($K$2:$K$10,INT(A7526))&gt;0),1,0)</f>
        <v>0</v>
      </c>
      <c r="G7526" s="34" t="n">
        <f aca="false">B7526/1</f>
        <v>204.664</v>
      </c>
      <c r="H7526" s="34" t="str">
        <f aca="false">IF(F7526=1,G7526,"")</f>
        <v/>
      </c>
    </row>
    <row r="7527" customFormat="false" ht="15" hidden="false" customHeight="false" outlineLevel="0" collapsed="false">
      <c r="A7527" s="31" t="n">
        <v>43049.5416666667</v>
      </c>
      <c r="B7527" s="32" t="n">
        <v>219.554</v>
      </c>
      <c r="D7527" s="33" t="n">
        <f aca="false">WEEKDAY(A7527,2)</f>
        <v>5</v>
      </c>
      <c r="E7527" s="33" t="n">
        <f aca="false">HOUR(A7527)+MINUTE(A7527)/60</f>
        <v>13</v>
      </c>
      <c r="F7527" s="33" t="n">
        <f aca="false">IF(OR(D7527&gt;5,E7527&lt;8,E7527&gt;=18,COUNTIF($K$2:$K$10,INT(A7527))&gt;0),1,0)</f>
        <v>0</v>
      </c>
      <c r="G7527" s="34" t="n">
        <f aca="false">B7527/1</f>
        <v>219.554</v>
      </c>
      <c r="H7527" s="34" t="str">
        <f aca="false">IF(F7527=1,G7527,"")</f>
        <v/>
      </c>
    </row>
    <row r="7528" customFormat="false" ht="15" hidden="false" customHeight="false" outlineLevel="0" collapsed="false">
      <c r="A7528" s="31" t="n">
        <v>43049.5833333333</v>
      </c>
      <c r="B7528" s="32" t="n">
        <v>211.21</v>
      </c>
      <c r="D7528" s="33" t="n">
        <f aca="false">WEEKDAY(A7528,2)</f>
        <v>5</v>
      </c>
      <c r="E7528" s="33" t="n">
        <f aca="false">HOUR(A7528)+MINUTE(A7528)/60</f>
        <v>14</v>
      </c>
      <c r="F7528" s="33" t="n">
        <f aca="false">IF(OR(D7528&gt;5,E7528&lt;8,E7528&gt;=18,COUNTIF($K$2:$K$10,INT(A7528))&gt;0),1,0)</f>
        <v>0</v>
      </c>
      <c r="G7528" s="34" t="n">
        <f aca="false">B7528/1</f>
        <v>211.21</v>
      </c>
      <c r="H7528" s="34" t="str">
        <f aca="false">IF(F7528=1,G7528,"")</f>
        <v/>
      </c>
    </row>
    <row r="7529" customFormat="false" ht="15" hidden="false" customHeight="false" outlineLevel="0" collapsed="false">
      <c r="A7529" s="31" t="n">
        <v>43049.625</v>
      </c>
      <c r="B7529" s="32" t="n">
        <v>206.252</v>
      </c>
      <c r="D7529" s="33" t="n">
        <f aca="false">WEEKDAY(A7529,2)</f>
        <v>5</v>
      </c>
      <c r="E7529" s="33" t="n">
        <f aca="false">HOUR(A7529)+MINUTE(A7529)/60</f>
        <v>15</v>
      </c>
      <c r="F7529" s="33" t="n">
        <f aca="false">IF(OR(D7529&gt;5,E7529&lt;8,E7529&gt;=18,COUNTIF($K$2:$K$10,INT(A7529))&gt;0),1,0)</f>
        <v>0</v>
      </c>
      <c r="G7529" s="34" t="n">
        <f aca="false">B7529/1</f>
        <v>206.252</v>
      </c>
      <c r="H7529" s="34" t="str">
        <f aca="false">IF(F7529=1,G7529,"")</f>
        <v/>
      </c>
    </row>
    <row r="7530" customFormat="false" ht="15" hidden="false" customHeight="false" outlineLevel="0" collapsed="false">
      <c r="A7530" s="31" t="n">
        <v>43049.6666666667</v>
      </c>
      <c r="B7530" s="32" t="n">
        <v>221.635</v>
      </c>
      <c r="D7530" s="33" t="n">
        <f aca="false">WEEKDAY(A7530,2)</f>
        <v>5</v>
      </c>
      <c r="E7530" s="33" t="n">
        <f aca="false">HOUR(A7530)+MINUTE(A7530)/60</f>
        <v>16</v>
      </c>
      <c r="F7530" s="33" t="n">
        <f aca="false">IF(OR(D7530&gt;5,E7530&lt;8,E7530&gt;=18,COUNTIF($K$2:$K$10,INT(A7530))&gt;0),1,0)</f>
        <v>0</v>
      </c>
      <c r="G7530" s="34" t="n">
        <f aca="false">B7530/1</f>
        <v>221.635</v>
      </c>
      <c r="H7530" s="34" t="str">
        <f aca="false">IF(F7530=1,G7530,"")</f>
        <v/>
      </c>
    </row>
    <row r="7531" customFormat="false" ht="15" hidden="false" customHeight="false" outlineLevel="0" collapsed="false">
      <c r="A7531" s="31" t="n">
        <v>43049.7083333333</v>
      </c>
      <c r="B7531" s="32" t="n">
        <v>215.221</v>
      </c>
      <c r="D7531" s="33" t="n">
        <f aca="false">WEEKDAY(A7531,2)</f>
        <v>5</v>
      </c>
      <c r="E7531" s="33" t="n">
        <f aca="false">HOUR(A7531)+MINUTE(A7531)/60</f>
        <v>17</v>
      </c>
      <c r="F7531" s="33" t="n">
        <f aca="false">IF(OR(D7531&gt;5,E7531&lt;8,E7531&gt;=18,COUNTIF($K$2:$K$10,INT(A7531))&gt;0),1,0)</f>
        <v>0</v>
      </c>
      <c r="G7531" s="34" t="n">
        <f aca="false">B7531/1</f>
        <v>215.221</v>
      </c>
      <c r="H7531" s="34" t="str">
        <f aca="false">IF(F7531=1,G7531,"")</f>
        <v/>
      </c>
    </row>
    <row r="7532" customFormat="false" ht="15" hidden="false" customHeight="false" outlineLevel="0" collapsed="false">
      <c r="A7532" s="31" t="n">
        <v>43049.75</v>
      </c>
      <c r="B7532" s="32" t="n">
        <v>188.651</v>
      </c>
      <c r="D7532" s="33" t="n">
        <f aca="false">WEEKDAY(A7532,2)</f>
        <v>5</v>
      </c>
      <c r="E7532" s="33" t="n">
        <f aca="false">HOUR(A7532)+MINUTE(A7532)/60</f>
        <v>18</v>
      </c>
      <c r="F7532" s="33" t="n">
        <f aca="false">IF(OR(D7532&gt;5,E7532&lt;8,E7532&gt;=18,COUNTIF($K$2:$K$10,INT(A7532))&gt;0),1,0)</f>
        <v>1</v>
      </c>
      <c r="G7532" s="34" t="n">
        <f aca="false">B7532/1</f>
        <v>188.651</v>
      </c>
      <c r="H7532" s="34" t="n">
        <f aca="false">IF(F7532=1,G7532,"")</f>
        <v>188.651</v>
      </c>
    </row>
    <row r="7533" customFormat="false" ht="15" hidden="false" customHeight="false" outlineLevel="0" collapsed="false">
      <c r="A7533" s="31" t="n">
        <v>43049.7916666667</v>
      </c>
      <c r="B7533" s="32" t="n">
        <v>184.575</v>
      </c>
      <c r="D7533" s="33" t="n">
        <f aca="false">WEEKDAY(A7533,2)</f>
        <v>5</v>
      </c>
      <c r="E7533" s="33" t="n">
        <f aca="false">HOUR(A7533)+MINUTE(A7533)/60</f>
        <v>19</v>
      </c>
      <c r="F7533" s="33" t="n">
        <f aca="false">IF(OR(D7533&gt;5,E7533&lt;8,E7533&gt;=18,COUNTIF($K$2:$K$10,INT(A7533))&gt;0),1,0)</f>
        <v>1</v>
      </c>
      <c r="G7533" s="34" t="n">
        <f aca="false">B7533/1</f>
        <v>184.575</v>
      </c>
      <c r="H7533" s="34" t="n">
        <f aca="false">IF(F7533=1,G7533,"")</f>
        <v>184.575</v>
      </c>
    </row>
    <row r="7534" customFormat="false" ht="15" hidden="false" customHeight="false" outlineLevel="0" collapsed="false">
      <c r="A7534" s="31" t="n">
        <v>43049.8333333333</v>
      </c>
      <c r="B7534" s="32" t="n">
        <v>178.582</v>
      </c>
      <c r="D7534" s="33" t="n">
        <f aca="false">WEEKDAY(A7534,2)</f>
        <v>5</v>
      </c>
      <c r="E7534" s="33" t="n">
        <f aca="false">HOUR(A7534)+MINUTE(A7534)/60</f>
        <v>20</v>
      </c>
      <c r="F7534" s="33" t="n">
        <f aca="false">IF(OR(D7534&gt;5,E7534&lt;8,E7534&gt;=18,COUNTIF($K$2:$K$10,INT(A7534))&gt;0),1,0)</f>
        <v>1</v>
      </c>
      <c r="G7534" s="34" t="n">
        <f aca="false">B7534/1</f>
        <v>178.582</v>
      </c>
      <c r="H7534" s="34" t="n">
        <f aca="false">IF(F7534=1,G7534,"")</f>
        <v>178.582</v>
      </c>
    </row>
    <row r="7535" customFormat="false" ht="15" hidden="false" customHeight="false" outlineLevel="0" collapsed="false">
      <c r="A7535" s="31" t="n">
        <v>43049.875</v>
      </c>
      <c r="B7535" s="32" t="n">
        <v>175.53</v>
      </c>
      <c r="D7535" s="33" t="n">
        <f aca="false">WEEKDAY(A7535,2)</f>
        <v>5</v>
      </c>
      <c r="E7535" s="33" t="n">
        <f aca="false">HOUR(A7535)+MINUTE(A7535)/60</f>
        <v>21</v>
      </c>
      <c r="F7535" s="33" t="n">
        <f aca="false">IF(OR(D7535&gt;5,E7535&lt;8,E7535&gt;=18,COUNTIF($K$2:$K$10,INT(A7535))&gt;0),1,0)</f>
        <v>1</v>
      </c>
      <c r="G7535" s="34" t="n">
        <f aca="false">B7535/1</f>
        <v>175.53</v>
      </c>
      <c r="H7535" s="34" t="n">
        <f aca="false">IF(F7535=1,G7535,"")</f>
        <v>175.53</v>
      </c>
    </row>
    <row r="7536" customFormat="false" ht="15" hidden="false" customHeight="false" outlineLevel="0" collapsed="false">
      <c r="A7536" s="31" t="n">
        <v>43049.9166666667</v>
      </c>
      <c r="B7536" s="32" t="n">
        <v>130.3</v>
      </c>
      <c r="D7536" s="33" t="n">
        <f aca="false">WEEKDAY(A7536,2)</f>
        <v>5</v>
      </c>
      <c r="E7536" s="33" t="n">
        <f aca="false">HOUR(A7536)+MINUTE(A7536)/60</f>
        <v>22</v>
      </c>
      <c r="F7536" s="33" t="n">
        <f aca="false">IF(OR(D7536&gt;5,E7536&lt;8,E7536&gt;=18,COUNTIF($K$2:$K$10,INT(A7536))&gt;0),1,0)</f>
        <v>1</v>
      </c>
      <c r="G7536" s="34" t="n">
        <f aca="false">B7536/1</f>
        <v>130.3</v>
      </c>
      <c r="H7536" s="34" t="n">
        <f aca="false">IF(F7536=1,G7536,"")</f>
        <v>130.3</v>
      </c>
    </row>
    <row r="7537" customFormat="false" ht="15" hidden="false" customHeight="false" outlineLevel="0" collapsed="false">
      <c r="A7537" s="31" t="n">
        <v>43049.9583333333</v>
      </c>
      <c r="B7537" s="32" t="n">
        <v>71.863</v>
      </c>
      <c r="D7537" s="33" t="n">
        <f aca="false">WEEKDAY(A7537,2)</f>
        <v>5</v>
      </c>
      <c r="E7537" s="33" t="n">
        <f aca="false">HOUR(A7537)+MINUTE(A7537)/60</f>
        <v>23</v>
      </c>
      <c r="F7537" s="33" t="n">
        <f aca="false">IF(OR(D7537&gt;5,E7537&lt;8,E7537&gt;=18,COUNTIF($K$2:$K$10,INT(A7537))&gt;0),1,0)</f>
        <v>1</v>
      </c>
      <c r="G7537" s="34" t="n">
        <f aca="false">B7537/1</f>
        <v>71.863</v>
      </c>
      <c r="H7537" s="34" t="n">
        <f aca="false">IF(F7537=1,G7537,"")</f>
        <v>71.863</v>
      </c>
    </row>
    <row r="7538" customFormat="false" ht="15" hidden="false" customHeight="false" outlineLevel="0" collapsed="false">
      <c r="A7538" s="31" t="n">
        <v>43050</v>
      </c>
      <c r="B7538" s="32" t="n">
        <v>69.203</v>
      </c>
      <c r="D7538" s="33" t="n">
        <f aca="false">WEEKDAY(A7538,2)</f>
        <v>6</v>
      </c>
      <c r="E7538" s="33" t="n">
        <f aca="false">HOUR(A7538)+MINUTE(A7538)/60</f>
        <v>0</v>
      </c>
      <c r="F7538" s="33" t="n">
        <f aca="false">IF(OR(D7538&gt;5,E7538&lt;8,E7538&gt;=18,COUNTIF($K$2:$K$10,INT(A7538))&gt;0),1,0)</f>
        <v>1</v>
      </c>
      <c r="G7538" s="34" t="n">
        <f aca="false">B7538/1</f>
        <v>69.203</v>
      </c>
      <c r="H7538" s="34" t="n">
        <f aca="false">IF(F7538=1,G7538,"")</f>
        <v>69.203</v>
      </c>
    </row>
    <row r="7539" customFormat="false" ht="15" hidden="false" customHeight="false" outlineLevel="0" collapsed="false">
      <c r="A7539" s="31" t="n">
        <v>43050.0416666667</v>
      </c>
      <c r="B7539" s="32" t="n">
        <v>67.074</v>
      </c>
      <c r="D7539" s="33" t="n">
        <f aca="false">WEEKDAY(A7539,2)</f>
        <v>6</v>
      </c>
      <c r="E7539" s="33" t="n">
        <f aca="false">HOUR(A7539)+MINUTE(A7539)/60</f>
        <v>1</v>
      </c>
      <c r="F7539" s="33" t="n">
        <f aca="false">IF(OR(D7539&gt;5,E7539&lt;8,E7539&gt;=18,COUNTIF($K$2:$K$10,INT(A7539))&gt;0),1,0)</f>
        <v>1</v>
      </c>
      <c r="G7539" s="34" t="n">
        <f aca="false">B7539/1</f>
        <v>67.074</v>
      </c>
      <c r="H7539" s="34" t="n">
        <f aca="false">IF(F7539=1,G7539,"")</f>
        <v>67.074</v>
      </c>
    </row>
    <row r="7540" customFormat="false" ht="15" hidden="false" customHeight="false" outlineLevel="0" collapsed="false">
      <c r="A7540" s="31" t="n">
        <v>43050.0833333333</v>
      </c>
      <c r="B7540" s="32" t="n">
        <v>67.205</v>
      </c>
      <c r="D7540" s="33" t="n">
        <f aca="false">WEEKDAY(A7540,2)</f>
        <v>6</v>
      </c>
      <c r="E7540" s="33" t="n">
        <f aca="false">HOUR(A7540)+MINUTE(A7540)/60</f>
        <v>2</v>
      </c>
      <c r="F7540" s="33" t="n">
        <f aca="false">IF(OR(D7540&gt;5,E7540&lt;8,E7540&gt;=18,COUNTIF($K$2:$K$10,INT(A7540))&gt;0),1,0)</f>
        <v>1</v>
      </c>
      <c r="G7540" s="34" t="n">
        <f aca="false">B7540/1</f>
        <v>67.205</v>
      </c>
      <c r="H7540" s="34" t="n">
        <f aca="false">IF(F7540=1,G7540,"")</f>
        <v>67.205</v>
      </c>
    </row>
    <row r="7541" customFormat="false" ht="15" hidden="false" customHeight="false" outlineLevel="0" collapsed="false">
      <c r="A7541" s="31" t="n">
        <v>43050.125</v>
      </c>
      <c r="B7541" s="32" t="n">
        <v>69.236</v>
      </c>
      <c r="D7541" s="33" t="n">
        <f aca="false">WEEKDAY(A7541,2)</f>
        <v>6</v>
      </c>
      <c r="E7541" s="33" t="n">
        <f aca="false">HOUR(A7541)+MINUTE(A7541)/60</f>
        <v>3</v>
      </c>
      <c r="F7541" s="33" t="n">
        <f aca="false">IF(OR(D7541&gt;5,E7541&lt;8,E7541&gt;=18,COUNTIF($K$2:$K$10,INT(A7541))&gt;0),1,0)</f>
        <v>1</v>
      </c>
      <c r="G7541" s="34" t="n">
        <f aca="false">B7541/1</f>
        <v>69.236</v>
      </c>
      <c r="H7541" s="34" t="n">
        <f aca="false">IF(F7541=1,G7541,"")</f>
        <v>69.236</v>
      </c>
    </row>
    <row r="7542" customFormat="false" ht="15" hidden="false" customHeight="false" outlineLevel="0" collapsed="false">
      <c r="A7542" s="31" t="n">
        <v>43050.1666666667</v>
      </c>
      <c r="B7542" s="32" t="n">
        <v>67.129</v>
      </c>
      <c r="D7542" s="33" t="n">
        <f aca="false">WEEKDAY(A7542,2)</f>
        <v>6</v>
      </c>
      <c r="E7542" s="33" t="n">
        <f aca="false">HOUR(A7542)+MINUTE(A7542)/60</f>
        <v>4</v>
      </c>
      <c r="F7542" s="33" t="n">
        <f aca="false">IF(OR(D7542&gt;5,E7542&lt;8,E7542&gt;=18,COUNTIF($K$2:$K$10,INT(A7542))&gt;0),1,0)</f>
        <v>1</v>
      </c>
      <c r="G7542" s="34" t="n">
        <f aca="false">B7542/1</f>
        <v>67.129</v>
      </c>
      <c r="H7542" s="34" t="n">
        <f aca="false">IF(F7542=1,G7542,"")</f>
        <v>67.129</v>
      </c>
    </row>
    <row r="7543" customFormat="false" ht="15" hidden="false" customHeight="false" outlineLevel="0" collapsed="false">
      <c r="A7543" s="31" t="n">
        <v>43050.2083333333</v>
      </c>
      <c r="B7543" s="32" t="n">
        <v>68.094</v>
      </c>
      <c r="D7543" s="33" t="n">
        <f aca="false">WEEKDAY(A7543,2)</f>
        <v>6</v>
      </c>
      <c r="E7543" s="33" t="n">
        <f aca="false">HOUR(A7543)+MINUTE(A7543)/60</f>
        <v>5</v>
      </c>
      <c r="F7543" s="33" t="n">
        <f aca="false">IF(OR(D7543&gt;5,E7543&lt;8,E7543&gt;=18,COUNTIF($K$2:$K$10,INT(A7543))&gt;0),1,0)</f>
        <v>1</v>
      </c>
      <c r="G7543" s="34" t="n">
        <f aca="false">B7543/1</f>
        <v>68.094</v>
      </c>
      <c r="H7543" s="34" t="n">
        <f aca="false">IF(F7543=1,G7543,"")</f>
        <v>68.094</v>
      </c>
    </row>
    <row r="7544" customFormat="false" ht="15" hidden="false" customHeight="false" outlineLevel="0" collapsed="false">
      <c r="A7544" s="31" t="n">
        <v>43050.25</v>
      </c>
      <c r="B7544" s="32" t="n">
        <v>66.985</v>
      </c>
      <c r="D7544" s="33" t="n">
        <f aca="false">WEEKDAY(A7544,2)</f>
        <v>6</v>
      </c>
      <c r="E7544" s="33" t="n">
        <f aca="false">HOUR(A7544)+MINUTE(A7544)/60</f>
        <v>6</v>
      </c>
      <c r="F7544" s="33" t="n">
        <f aca="false">IF(OR(D7544&gt;5,E7544&lt;8,E7544&gt;=18,COUNTIF($K$2:$K$10,INT(A7544))&gt;0),1,0)</f>
        <v>1</v>
      </c>
      <c r="G7544" s="34" t="n">
        <f aca="false">B7544/1</f>
        <v>66.985</v>
      </c>
      <c r="H7544" s="34" t="n">
        <f aca="false">IF(F7544=1,G7544,"")</f>
        <v>66.985</v>
      </c>
    </row>
    <row r="7545" customFormat="false" ht="15" hidden="false" customHeight="false" outlineLevel="0" collapsed="false">
      <c r="A7545" s="31" t="n">
        <v>43050.2916666667</v>
      </c>
      <c r="B7545" s="32" t="n">
        <v>66.612</v>
      </c>
      <c r="D7545" s="33" t="n">
        <f aca="false">WEEKDAY(A7545,2)</f>
        <v>6</v>
      </c>
      <c r="E7545" s="33" t="n">
        <f aca="false">HOUR(A7545)+MINUTE(A7545)/60</f>
        <v>7</v>
      </c>
      <c r="F7545" s="33" t="n">
        <f aca="false">IF(OR(D7545&gt;5,E7545&lt;8,E7545&gt;=18,COUNTIF($K$2:$K$10,INT(A7545))&gt;0),1,0)</f>
        <v>1</v>
      </c>
      <c r="G7545" s="34" t="n">
        <f aca="false">B7545/1</f>
        <v>66.612</v>
      </c>
      <c r="H7545" s="34" t="n">
        <f aca="false">IF(F7545=1,G7545,"")</f>
        <v>66.612</v>
      </c>
    </row>
    <row r="7546" customFormat="false" ht="15" hidden="false" customHeight="false" outlineLevel="0" collapsed="false">
      <c r="A7546" s="31" t="n">
        <v>43050.3333333333</v>
      </c>
      <c r="B7546" s="32" t="n">
        <v>122.471</v>
      </c>
      <c r="D7546" s="33" t="n">
        <f aca="false">WEEKDAY(A7546,2)</f>
        <v>6</v>
      </c>
      <c r="E7546" s="33" t="n">
        <f aca="false">HOUR(A7546)+MINUTE(A7546)/60</f>
        <v>8</v>
      </c>
      <c r="F7546" s="33" t="n">
        <f aca="false">IF(OR(D7546&gt;5,E7546&lt;8,E7546&gt;=18,COUNTIF($K$2:$K$10,INT(A7546))&gt;0),1,0)</f>
        <v>1</v>
      </c>
      <c r="G7546" s="34" t="n">
        <f aca="false">B7546/1</f>
        <v>122.471</v>
      </c>
      <c r="H7546" s="34" t="n">
        <f aca="false">IF(F7546=1,G7546,"")</f>
        <v>122.471</v>
      </c>
    </row>
    <row r="7547" customFormat="false" ht="15" hidden="false" customHeight="false" outlineLevel="0" collapsed="false">
      <c r="A7547" s="31" t="n">
        <v>43050.375</v>
      </c>
      <c r="B7547" s="32" t="n">
        <v>159.704</v>
      </c>
      <c r="D7547" s="33" t="n">
        <f aca="false">WEEKDAY(A7547,2)</f>
        <v>6</v>
      </c>
      <c r="E7547" s="33" t="n">
        <f aca="false">HOUR(A7547)+MINUTE(A7547)/60</f>
        <v>9</v>
      </c>
      <c r="F7547" s="33" t="n">
        <f aca="false">IF(OR(D7547&gt;5,E7547&lt;8,E7547&gt;=18,COUNTIF($K$2:$K$10,INT(A7547))&gt;0),1,0)</f>
        <v>1</v>
      </c>
      <c r="G7547" s="34" t="n">
        <f aca="false">B7547/1</f>
        <v>159.704</v>
      </c>
      <c r="H7547" s="34" t="n">
        <f aca="false">IF(F7547=1,G7547,"")</f>
        <v>159.704</v>
      </c>
    </row>
    <row r="7548" customFormat="false" ht="15" hidden="false" customHeight="false" outlineLevel="0" collapsed="false">
      <c r="A7548" s="31" t="n">
        <v>43050.4166666667</v>
      </c>
      <c r="B7548" s="32" t="n">
        <v>163.414</v>
      </c>
      <c r="D7548" s="33" t="n">
        <f aca="false">WEEKDAY(A7548,2)</f>
        <v>6</v>
      </c>
      <c r="E7548" s="33" t="n">
        <f aca="false">HOUR(A7548)+MINUTE(A7548)/60</f>
        <v>10</v>
      </c>
      <c r="F7548" s="33" t="n">
        <f aca="false">IF(OR(D7548&gt;5,E7548&lt;8,E7548&gt;=18,COUNTIF($K$2:$K$10,INT(A7548))&gt;0),1,0)</f>
        <v>1</v>
      </c>
      <c r="G7548" s="34" t="n">
        <f aca="false">B7548/1</f>
        <v>163.414</v>
      </c>
      <c r="H7548" s="34" t="n">
        <f aca="false">IF(F7548=1,G7548,"")</f>
        <v>163.414</v>
      </c>
    </row>
    <row r="7549" customFormat="false" ht="15" hidden="false" customHeight="false" outlineLevel="0" collapsed="false">
      <c r="A7549" s="31" t="n">
        <v>43050.4583333333</v>
      </c>
      <c r="B7549" s="32" t="n">
        <v>169.337</v>
      </c>
      <c r="D7549" s="33" t="n">
        <f aca="false">WEEKDAY(A7549,2)</f>
        <v>6</v>
      </c>
      <c r="E7549" s="33" t="n">
        <f aca="false">HOUR(A7549)+MINUTE(A7549)/60</f>
        <v>11</v>
      </c>
      <c r="F7549" s="33" t="n">
        <f aca="false">IF(OR(D7549&gt;5,E7549&lt;8,E7549&gt;=18,COUNTIF($K$2:$K$10,INT(A7549))&gt;0),1,0)</f>
        <v>1</v>
      </c>
      <c r="G7549" s="34" t="n">
        <f aca="false">B7549/1</f>
        <v>169.337</v>
      </c>
      <c r="H7549" s="34" t="n">
        <f aca="false">IF(F7549=1,G7549,"")</f>
        <v>169.337</v>
      </c>
    </row>
    <row r="7550" customFormat="false" ht="15" hidden="false" customHeight="false" outlineLevel="0" collapsed="false">
      <c r="A7550" s="31" t="n">
        <v>43050.5</v>
      </c>
      <c r="B7550" s="32" t="n">
        <v>172.293</v>
      </c>
      <c r="D7550" s="33" t="n">
        <f aca="false">WEEKDAY(A7550,2)</f>
        <v>6</v>
      </c>
      <c r="E7550" s="33" t="n">
        <f aca="false">HOUR(A7550)+MINUTE(A7550)/60</f>
        <v>12</v>
      </c>
      <c r="F7550" s="33" t="n">
        <f aca="false">IF(OR(D7550&gt;5,E7550&lt;8,E7550&gt;=18,COUNTIF($K$2:$K$10,INT(A7550))&gt;0),1,0)</f>
        <v>1</v>
      </c>
      <c r="G7550" s="34" t="n">
        <f aca="false">B7550/1</f>
        <v>172.293</v>
      </c>
      <c r="H7550" s="34" t="n">
        <f aca="false">IF(F7550=1,G7550,"")</f>
        <v>172.293</v>
      </c>
    </row>
    <row r="7551" customFormat="false" ht="15" hidden="false" customHeight="false" outlineLevel="0" collapsed="false">
      <c r="A7551" s="31" t="n">
        <v>43050.5416666667</v>
      </c>
      <c r="B7551" s="32" t="n">
        <v>173.895</v>
      </c>
      <c r="D7551" s="33" t="n">
        <f aca="false">WEEKDAY(A7551,2)</f>
        <v>6</v>
      </c>
      <c r="E7551" s="33" t="n">
        <f aca="false">HOUR(A7551)+MINUTE(A7551)/60</f>
        <v>13</v>
      </c>
      <c r="F7551" s="33" t="n">
        <f aca="false">IF(OR(D7551&gt;5,E7551&lt;8,E7551&gt;=18,COUNTIF($K$2:$K$10,INT(A7551))&gt;0),1,0)</f>
        <v>1</v>
      </c>
      <c r="G7551" s="34" t="n">
        <f aca="false">B7551/1</f>
        <v>173.895</v>
      </c>
      <c r="H7551" s="34" t="n">
        <f aca="false">IF(F7551=1,G7551,"")</f>
        <v>173.895</v>
      </c>
    </row>
    <row r="7552" customFormat="false" ht="15" hidden="false" customHeight="false" outlineLevel="0" collapsed="false">
      <c r="A7552" s="31" t="n">
        <v>43050.5833333333</v>
      </c>
      <c r="B7552" s="32" t="n">
        <v>175.747</v>
      </c>
      <c r="D7552" s="33" t="n">
        <f aca="false">WEEKDAY(A7552,2)</f>
        <v>6</v>
      </c>
      <c r="E7552" s="33" t="n">
        <f aca="false">HOUR(A7552)+MINUTE(A7552)/60</f>
        <v>14</v>
      </c>
      <c r="F7552" s="33" t="n">
        <f aca="false">IF(OR(D7552&gt;5,E7552&lt;8,E7552&gt;=18,COUNTIF($K$2:$K$10,INT(A7552))&gt;0),1,0)</f>
        <v>1</v>
      </c>
      <c r="G7552" s="34" t="n">
        <f aca="false">B7552/1</f>
        <v>175.747</v>
      </c>
      <c r="H7552" s="34" t="n">
        <f aca="false">IF(F7552=1,G7552,"")</f>
        <v>175.747</v>
      </c>
    </row>
    <row r="7553" customFormat="false" ht="15" hidden="false" customHeight="false" outlineLevel="0" collapsed="false">
      <c r="A7553" s="31" t="n">
        <v>43050.625</v>
      </c>
      <c r="B7553" s="32" t="n">
        <v>178.386</v>
      </c>
      <c r="D7553" s="33" t="n">
        <f aca="false">WEEKDAY(A7553,2)</f>
        <v>6</v>
      </c>
      <c r="E7553" s="33" t="n">
        <f aca="false">HOUR(A7553)+MINUTE(A7553)/60</f>
        <v>15</v>
      </c>
      <c r="F7553" s="33" t="n">
        <f aca="false">IF(OR(D7553&gt;5,E7553&lt;8,E7553&gt;=18,COUNTIF($K$2:$K$10,INT(A7553))&gt;0),1,0)</f>
        <v>1</v>
      </c>
      <c r="G7553" s="34" t="n">
        <f aca="false">B7553/1</f>
        <v>178.386</v>
      </c>
      <c r="H7553" s="34" t="n">
        <f aca="false">IF(F7553=1,G7553,"")</f>
        <v>178.386</v>
      </c>
    </row>
    <row r="7554" customFormat="false" ht="15" hidden="false" customHeight="false" outlineLevel="0" collapsed="false">
      <c r="A7554" s="31" t="n">
        <v>43050.6666666667</v>
      </c>
      <c r="B7554" s="32" t="n">
        <v>178.979</v>
      </c>
      <c r="D7554" s="33" t="n">
        <f aca="false">WEEKDAY(A7554,2)</f>
        <v>6</v>
      </c>
      <c r="E7554" s="33" t="n">
        <f aca="false">HOUR(A7554)+MINUTE(A7554)/60</f>
        <v>16</v>
      </c>
      <c r="F7554" s="33" t="n">
        <f aca="false">IF(OR(D7554&gt;5,E7554&lt;8,E7554&gt;=18,COUNTIF($K$2:$K$10,INT(A7554))&gt;0),1,0)</f>
        <v>1</v>
      </c>
      <c r="G7554" s="34" t="n">
        <f aca="false">B7554/1</f>
        <v>178.979</v>
      </c>
      <c r="H7554" s="34" t="n">
        <f aca="false">IF(F7554=1,G7554,"")</f>
        <v>178.979</v>
      </c>
    </row>
    <row r="7555" customFormat="false" ht="15" hidden="false" customHeight="false" outlineLevel="0" collapsed="false">
      <c r="A7555" s="31" t="n">
        <v>43050.7083333333</v>
      </c>
      <c r="B7555" s="32" t="n">
        <v>174.664</v>
      </c>
      <c r="D7555" s="33" t="n">
        <f aca="false">WEEKDAY(A7555,2)</f>
        <v>6</v>
      </c>
      <c r="E7555" s="33" t="n">
        <f aca="false">HOUR(A7555)+MINUTE(A7555)/60</f>
        <v>17</v>
      </c>
      <c r="F7555" s="33" t="n">
        <f aca="false">IF(OR(D7555&gt;5,E7555&lt;8,E7555&gt;=18,COUNTIF($K$2:$K$10,INT(A7555))&gt;0),1,0)</f>
        <v>1</v>
      </c>
      <c r="G7555" s="34" t="n">
        <f aca="false">B7555/1</f>
        <v>174.664</v>
      </c>
      <c r="H7555" s="34" t="n">
        <f aca="false">IF(F7555=1,G7555,"")</f>
        <v>174.664</v>
      </c>
    </row>
    <row r="7556" customFormat="false" ht="15" hidden="false" customHeight="false" outlineLevel="0" collapsed="false">
      <c r="A7556" s="31" t="n">
        <v>43050.75</v>
      </c>
      <c r="B7556" s="32" t="n">
        <v>96.019</v>
      </c>
      <c r="D7556" s="33" t="n">
        <f aca="false">WEEKDAY(A7556,2)</f>
        <v>6</v>
      </c>
      <c r="E7556" s="33" t="n">
        <f aca="false">HOUR(A7556)+MINUTE(A7556)/60</f>
        <v>18</v>
      </c>
      <c r="F7556" s="33" t="n">
        <f aca="false">IF(OR(D7556&gt;5,E7556&lt;8,E7556&gt;=18,COUNTIF($K$2:$K$10,INT(A7556))&gt;0),1,0)</f>
        <v>1</v>
      </c>
      <c r="G7556" s="34" t="n">
        <f aca="false">B7556/1</f>
        <v>96.019</v>
      </c>
      <c r="H7556" s="34" t="n">
        <f aca="false">IF(F7556=1,G7556,"")</f>
        <v>96.019</v>
      </c>
    </row>
    <row r="7557" customFormat="false" ht="15" hidden="false" customHeight="false" outlineLevel="0" collapsed="false">
      <c r="A7557" s="31" t="n">
        <v>43050.7916666667</v>
      </c>
      <c r="B7557" s="32" t="n">
        <v>76.729</v>
      </c>
      <c r="D7557" s="33" t="n">
        <f aca="false">WEEKDAY(A7557,2)</f>
        <v>6</v>
      </c>
      <c r="E7557" s="33" t="n">
        <f aca="false">HOUR(A7557)+MINUTE(A7557)/60</f>
        <v>19</v>
      </c>
      <c r="F7557" s="33" t="n">
        <f aca="false">IF(OR(D7557&gt;5,E7557&lt;8,E7557&gt;=18,COUNTIF($K$2:$K$10,INT(A7557))&gt;0),1,0)</f>
        <v>1</v>
      </c>
      <c r="G7557" s="34" t="n">
        <f aca="false">B7557/1</f>
        <v>76.729</v>
      </c>
      <c r="H7557" s="34" t="n">
        <f aca="false">IF(F7557=1,G7557,"")</f>
        <v>76.729</v>
      </c>
    </row>
    <row r="7558" customFormat="false" ht="15" hidden="false" customHeight="false" outlineLevel="0" collapsed="false">
      <c r="A7558" s="31" t="n">
        <v>43050.8333333333</v>
      </c>
      <c r="B7558" s="32" t="n">
        <v>72.818</v>
      </c>
      <c r="D7558" s="33" t="n">
        <f aca="false">WEEKDAY(A7558,2)</f>
        <v>6</v>
      </c>
      <c r="E7558" s="33" t="n">
        <f aca="false">HOUR(A7558)+MINUTE(A7558)/60</f>
        <v>20</v>
      </c>
      <c r="F7558" s="33" t="n">
        <f aca="false">IF(OR(D7558&gt;5,E7558&lt;8,E7558&gt;=18,COUNTIF($K$2:$K$10,INT(A7558))&gt;0),1,0)</f>
        <v>1</v>
      </c>
      <c r="G7558" s="34" t="n">
        <f aca="false">B7558/1</f>
        <v>72.818</v>
      </c>
      <c r="H7558" s="34" t="n">
        <f aca="false">IF(F7558=1,G7558,"")</f>
        <v>72.818</v>
      </c>
    </row>
    <row r="7559" customFormat="false" ht="15" hidden="false" customHeight="false" outlineLevel="0" collapsed="false">
      <c r="A7559" s="31" t="n">
        <v>43050.875</v>
      </c>
      <c r="B7559" s="32" t="n">
        <v>71.691</v>
      </c>
      <c r="D7559" s="33" t="n">
        <f aca="false">WEEKDAY(A7559,2)</f>
        <v>6</v>
      </c>
      <c r="E7559" s="33" t="n">
        <f aca="false">HOUR(A7559)+MINUTE(A7559)/60</f>
        <v>21</v>
      </c>
      <c r="F7559" s="33" t="n">
        <f aca="false">IF(OR(D7559&gt;5,E7559&lt;8,E7559&gt;=18,COUNTIF($K$2:$K$10,INT(A7559))&gt;0),1,0)</f>
        <v>1</v>
      </c>
      <c r="G7559" s="34" t="n">
        <f aca="false">B7559/1</f>
        <v>71.691</v>
      </c>
      <c r="H7559" s="34" t="n">
        <f aca="false">IF(F7559=1,G7559,"")</f>
        <v>71.691</v>
      </c>
    </row>
    <row r="7560" customFormat="false" ht="15" hidden="false" customHeight="false" outlineLevel="0" collapsed="false">
      <c r="A7560" s="31" t="n">
        <v>43050.9166666667</v>
      </c>
      <c r="B7560" s="32" t="n">
        <v>69.743</v>
      </c>
      <c r="D7560" s="33" t="n">
        <f aca="false">WEEKDAY(A7560,2)</f>
        <v>6</v>
      </c>
      <c r="E7560" s="33" t="n">
        <f aca="false">HOUR(A7560)+MINUTE(A7560)/60</f>
        <v>22</v>
      </c>
      <c r="F7560" s="33" t="n">
        <f aca="false">IF(OR(D7560&gt;5,E7560&lt;8,E7560&gt;=18,COUNTIF($K$2:$K$10,INT(A7560))&gt;0),1,0)</f>
        <v>1</v>
      </c>
      <c r="G7560" s="34" t="n">
        <f aca="false">B7560/1</f>
        <v>69.743</v>
      </c>
      <c r="H7560" s="34" t="n">
        <f aca="false">IF(F7560=1,G7560,"")</f>
        <v>69.743</v>
      </c>
    </row>
    <row r="7561" customFormat="false" ht="15" hidden="false" customHeight="false" outlineLevel="0" collapsed="false">
      <c r="A7561" s="31" t="n">
        <v>43050.9583333333</v>
      </c>
      <c r="B7561" s="32" t="n">
        <v>68.532</v>
      </c>
      <c r="D7561" s="33" t="n">
        <f aca="false">WEEKDAY(A7561,2)</f>
        <v>6</v>
      </c>
      <c r="E7561" s="33" t="n">
        <f aca="false">HOUR(A7561)+MINUTE(A7561)/60</f>
        <v>23</v>
      </c>
      <c r="F7561" s="33" t="n">
        <f aca="false">IF(OR(D7561&gt;5,E7561&lt;8,E7561&gt;=18,COUNTIF($K$2:$K$10,INT(A7561))&gt;0),1,0)</f>
        <v>1</v>
      </c>
      <c r="G7561" s="34" t="n">
        <f aca="false">B7561/1</f>
        <v>68.532</v>
      </c>
      <c r="H7561" s="34" t="n">
        <f aca="false">IF(F7561=1,G7561,"")</f>
        <v>68.532</v>
      </c>
    </row>
    <row r="7562" customFormat="false" ht="15" hidden="false" customHeight="false" outlineLevel="0" collapsed="false">
      <c r="A7562" s="31" t="n">
        <v>43051</v>
      </c>
      <c r="B7562" s="32" t="n">
        <v>66.797</v>
      </c>
      <c r="D7562" s="33" t="n">
        <f aca="false">WEEKDAY(A7562,2)</f>
        <v>7</v>
      </c>
      <c r="E7562" s="33" t="n">
        <f aca="false">HOUR(A7562)+MINUTE(A7562)/60</f>
        <v>0</v>
      </c>
      <c r="F7562" s="33" t="n">
        <f aca="false">IF(OR(D7562&gt;5,E7562&lt;8,E7562&gt;=18,COUNTIF($K$2:$K$10,INT(A7562))&gt;0),1,0)</f>
        <v>1</v>
      </c>
      <c r="G7562" s="34" t="n">
        <f aca="false">B7562/1</f>
        <v>66.797</v>
      </c>
      <c r="H7562" s="34" t="n">
        <f aca="false">IF(F7562=1,G7562,"")</f>
        <v>66.797</v>
      </c>
    </row>
    <row r="7563" customFormat="false" ht="15" hidden="false" customHeight="false" outlineLevel="0" collapsed="false">
      <c r="A7563" s="31" t="n">
        <v>43051.0416666667</v>
      </c>
      <c r="B7563" s="32" t="n">
        <v>64.243</v>
      </c>
      <c r="D7563" s="33" t="n">
        <f aca="false">WEEKDAY(A7563,2)</f>
        <v>7</v>
      </c>
      <c r="E7563" s="33" t="n">
        <f aca="false">HOUR(A7563)+MINUTE(A7563)/60</f>
        <v>1</v>
      </c>
      <c r="F7563" s="33" t="n">
        <f aca="false">IF(OR(D7563&gt;5,E7563&lt;8,E7563&gt;=18,COUNTIF($K$2:$K$10,INT(A7563))&gt;0),1,0)</f>
        <v>1</v>
      </c>
      <c r="G7563" s="34" t="n">
        <f aca="false">B7563/1</f>
        <v>64.243</v>
      </c>
      <c r="H7563" s="34" t="n">
        <f aca="false">IF(F7563=1,G7563,"")</f>
        <v>64.243</v>
      </c>
    </row>
    <row r="7564" customFormat="false" ht="15" hidden="false" customHeight="false" outlineLevel="0" collapsed="false">
      <c r="A7564" s="31" t="n">
        <v>43051.0833333333</v>
      </c>
      <c r="B7564" s="32" t="n">
        <v>66.255</v>
      </c>
      <c r="D7564" s="33" t="n">
        <f aca="false">WEEKDAY(A7564,2)</f>
        <v>7</v>
      </c>
      <c r="E7564" s="33" t="n">
        <f aca="false">HOUR(A7564)+MINUTE(A7564)/60</f>
        <v>2</v>
      </c>
      <c r="F7564" s="33" t="n">
        <f aca="false">IF(OR(D7564&gt;5,E7564&lt;8,E7564&gt;=18,COUNTIF($K$2:$K$10,INT(A7564))&gt;0),1,0)</f>
        <v>1</v>
      </c>
      <c r="G7564" s="34" t="n">
        <f aca="false">B7564/1</f>
        <v>66.255</v>
      </c>
      <c r="H7564" s="34" t="n">
        <f aca="false">IF(F7564=1,G7564,"")</f>
        <v>66.255</v>
      </c>
    </row>
    <row r="7565" customFormat="false" ht="15" hidden="false" customHeight="false" outlineLevel="0" collapsed="false">
      <c r="A7565" s="31" t="n">
        <v>43051.125</v>
      </c>
      <c r="B7565" s="32" t="n">
        <v>65.412</v>
      </c>
      <c r="D7565" s="33" t="n">
        <f aca="false">WEEKDAY(A7565,2)</f>
        <v>7</v>
      </c>
      <c r="E7565" s="33" t="n">
        <f aca="false">HOUR(A7565)+MINUTE(A7565)/60</f>
        <v>3</v>
      </c>
      <c r="F7565" s="33" t="n">
        <f aca="false">IF(OR(D7565&gt;5,E7565&lt;8,E7565&gt;=18,COUNTIF($K$2:$K$10,INT(A7565))&gt;0),1,0)</f>
        <v>1</v>
      </c>
      <c r="G7565" s="34" t="n">
        <f aca="false">B7565/1</f>
        <v>65.412</v>
      </c>
      <c r="H7565" s="34" t="n">
        <f aca="false">IF(F7565=1,G7565,"")</f>
        <v>65.412</v>
      </c>
    </row>
    <row r="7566" customFormat="false" ht="15" hidden="false" customHeight="false" outlineLevel="0" collapsed="false">
      <c r="A7566" s="31" t="n">
        <v>43051.1666666667</v>
      </c>
      <c r="B7566" s="32" t="n">
        <v>65.994</v>
      </c>
      <c r="D7566" s="33" t="n">
        <f aca="false">WEEKDAY(A7566,2)</f>
        <v>7</v>
      </c>
      <c r="E7566" s="33" t="n">
        <f aca="false">HOUR(A7566)+MINUTE(A7566)/60</f>
        <v>4</v>
      </c>
      <c r="F7566" s="33" t="n">
        <f aca="false">IF(OR(D7566&gt;5,E7566&lt;8,E7566&gt;=18,COUNTIF($K$2:$K$10,INT(A7566))&gt;0),1,0)</f>
        <v>1</v>
      </c>
      <c r="G7566" s="34" t="n">
        <f aca="false">B7566/1</f>
        <v>65.994</v>
      </c>
      <c r="H7566" s="34" t="n">
        <f aca="false">IF(F7566=1,G7566,"")</f>
        <v>65.994</v>
      </c>
    </row>
    <row r="7567" customFormat="false" ht="15" hidden="false" customHeight="false" outlineLevel="0" collapsed="false">
      <c r="A7567" s="31" t="n">
        <v>43051.2083333333</v>
      </c>
      <c r="B7567" s="32" t="n">
        <v>65.994</v>
      </c>
      <c r="D7567" s="33" t="n">
        <f aca="false">WEEKDAY(A7567,2)</f>
        <v>7</v>
      </c>
      <c r="E7567" s="33" t="n">
        <f aca="false">HOUR(A7567)+MINUTE(A7567)/60</f>
        <v>5</v>
      </c>
      <c r="F7567" s="33" t="n">
        <f aca="false">IF(OR(D7567&gt;5,E7567&lt;8,E7567&gt;=18,COUNTIF($K$2:$K$10,INT(A7567))&gt;0),1,0)</f>
        <v>1</v>
      </c>
      <c r="G7567" s="34" t="n">
        <f aca="false">B7567/1</f>
        <v>65.994</v>
      </c>
      <c r="H7567" s="34" t="n">
        <f aca="false">IF(F7567=1,G7567,"")</f>
        <v>65.994</v>
      </c>
    </row>
    <row r="7568" customFormat="false" ht="15" hidden="false" customHeight="false" outlineLevel="0" collapsed="false">
      <c r="A7568" s="31" t="n">
        <v>43051.25</v>
      </c>
      <c r="B7568" s="32" t="n">
        <v>64.805</v>
      </c>
      <c r="D7568" s="33" t="n">
        <f aca="false">WEEKDAY(A7568,2)</f>
        <v>7</v>
      </c>
      <c r="E7568" s="33" t="n">
        <f aca="false">HOUR(A7568)+MINUTE(A7568)/60</f>
        <v>6</v>
      </c>
      <c r="F7568" s="33" t="n">
        <f aca="false">IF(OR(D7568&gt;5,E7568&lt;8,E7568&gt;=18,COUNTIF($K$2:$K$10,INT(A7568))&gt;0),1,0)</f>
        <v>1</v>
      </c>
      <c r="G7568" s="34" t="n">
        <f aca="false">B7568/1</f>
        <v>64.805</v>
      </c>
      <c r="H7568" s="34" t="n">
        <f aca="false">IF(F7568=1,G7568,"")</f>
        <v>64.805</v>
      </c>
    </row>
    <row r="7569" customFormat="false" ht="15" hidden="false" customHeight="false" outlineLevel="0" collapsed="false">
      <c r="A7569" s="31" t="n">
        <v>43051.2916666667</v>
      </c>
      <c r="B7569" s="32" t="n">
        <v>65.087</v>
      </c>
      <c r="D7569" s="33" t="n">
        <f aca="false">WEEKDAY(A7569,2)</f>
        <v>7</v>
      </c>
      <c r="E7569" s="33" t="n">
        <f aca="false">HOUR(A7569)+MINUTE(A7569)/60</f>
        <v>7</v>
      </c>
      <c r="F7569" s="33" t="n">
        <f aca="false">IF(OR(D7569&gt;5,E7569&lt;8,E7569&gt;=18,COUNTIF($K$2:$K$10,INT(A7569))&gt;0),1,0)</f>
        <v>1</v>
      </c>
      <c r="G7569" s="34" t="n">
        <f aca="false">B7569/1</f>
        <v>65.087</v>
      </c>
      <c r="H7569" s="34" t="n">
        <f aca="false">IF(F7569=1,G7569,"")</f>
        <v>65.087</v>
      </c>
    </row>
    <row r="7570" customFormat="false" ht="15" hidden="false" customHeight="false" outlineLevel="0" collapsed="false">
      <c r="A7570" s="31" t="n">
        <v>43051.3333333333</v>
      </c>
      <c r="B7570" s="32" t="n">
        <v>65.318</v>
      </c>
      <c r="D7570" s="33" t="n">
        <f aca="false">WEEKDAY(A7570,2)</f>
        <v>7</v>
      </c>
      <c r="E7570" s="33" t="n">
        <f aca="false">HOUR(A7570)+MINUTE(A7570)/60</f>
        <v>8</v>
      </c>
      <c r="F7570" s="33" t="n">
        <f aca="false">IF(OR(D7570&gt;5,E7570&lt;8,E7570&gt;=18,COUNTIF($K$2:$K$10,INT(A7570))&gt;0),1,0)</f>
        <v>1</v>
      </c>
      <c r="G7570" s="34" t="n">
        <f aca="false">B7570/1</f>
        <v>65.318</v>
      </c>
      <c r="H7570" s="34" t="n">
        <f aca="false">IF(F7570=1,G7570,"")</f>
        <v>65.318</v>
      </c>
    </row>
    <row r="7571" customFormat="false" ht="15" hidden="false" customHeight="false" outlineLevel="0" collapsed="false">
      <c r="A7571" s="31" t="n">
        <v>43051.375</v>
      </c>
      <c r="B7571" s="32" t="n">
        <v>60.315</v>
      </c>
      <c r="D7571" s="33" t="n">
        <f aca="false">WEEKDAY(A7571,2)</f>
        <v>7</v>
      </c>
      <c r="E7571" s="33" t="n">
        <f aca="false">HOUR(A7571)+MINUTE(A7571)/60</f>
        <v>9</v>
      </c>
      <c r="F7571" s="33" t="n">
        <f aca="false">IF(OR(D7571&gt;5,E7571&lt;8,E7571&gt;=18,COUNTIF($K$2:$K$10,INT(A7571))&gt;0),1,0)</f>
        <v>1</v>
      </c>
      <c r="G7571" s="34" t="n">
        <f aca="false">B7571/1</f>
        <v>60.315</v>
      </c>
      <c r="H7571" s="34" t="n">
        <f aca="false">IF(F7571=1,G7571,"")</f>
        <v>60.315</v>
      </c>
    </row>
    <row r="7572" customFormat="false" ht="15" hidden="false" customHeight="false" outlineLevel="0" collapsed="false">
      <c r="A7572" s="31" t="n">
        <v>43051.4166666667</v>
      </c>
      <c r="B7572" s="32" t="n">
        <v>58.126</v>
      </c>
      <c r="D7572" s="33" t="n">
        <f aca="false">WEEKDAY(A7572,2)</f>
        <v>7</v>
      </c>
      <c r="E7572" s="33" t="n">
        <f aca="false">HOUR(A7572)+MINUTE(A7572)/60</f>
        <v>10</v>
      </c>
      <c r="F7572" s="33" t="n">
        <f aca="false">IF(OR(D7572&gt;5,E7572&lt;8,E7572&gt;=18,COUNTIF($K$2:$K$10,INT(A7572))&gt;0),1,0)</f>
        <v>1</v>
      </c>
      <c r="G7572" s="34" t="n">
        <f aca="false">B7572/1</f>
        <v>58.126</v>
      </c>
      <c r="H7572" s="34" t="n">
        <f aca="false">IF(F7572=1,G7572,"")</f>
        <v>58.126</v>
      </c>
    </row>
    <row r="7573" customFormat="false" ht="15" hidden="false" customHeight="false" outlineLevel="0" collapsed="false">
      <c r="A7573" s="31" t="n">
        <v>43051.4583333333</v>
      </c>
      <c r="B7573" s="32" t="n">
        <v>61.83</v>
      </c>
      <c r="D7573" s="33" t="n">
        <f aca="false">WEEKDAY(A7573,2)</f>
        <v>7</v>
      </c>
      <c r="E7573" s="33" t="n">
        <f aca="false">HOUR(A7573)+MINUTE(A7573)/60</f>
        <v>11</v>
      </c>
      <c r="F7573" s="33" t="n">
        <f aca="false">IF(OR(D7573&gt;5,E7573&lt;8,E7573&gt;=18,COUNTIF($K$2:$K$10,INT(A7573))&gt;0),1,0)</f>
        <v>1</v>
      </c>
      <c r="G7573" s="34" t="n">
        <f aca="false">B7573/1</f>
        <v>61.83</v>
      </c>
      <c r="H7573" s="34" t="n">
        <f aca="false">IF(F7573=1,G7573,"")</f>
        <v>61.83</v>
      </c>
    </row>
    <row r="7574" customFormat="false" ht="15" hidden="false" customHeight="false" outlineLevel="0" collapsed="false">
      <c r="A7574" s="31" t="n">
        <v>43051.5</v>
      </c>
      <c r="B7574" s="32" t="n">
        <v>69.595</v>
      </c>
      <c r="D7574" s="33" t="n">
        <f aca="false">WEEKDAY(A7574,2)</f>
        <v>7</v>
      </c>
      <c r="E7574" s="33" t="n">
        <f aca="false">HOUR(A7574)+MINUTE(A7574)/60</f>
        <v>12</v>
      </c>
      <c r="F7574" s="33" t="n">
        <f aca="false">IF(OR(D7574&gt;5,E7574&lt;8,E7574&gt;=18,COUNTIF($K$2:$K$10,INT(A7574))&gt;0),1,0)</f>
        <v>1</v>
      </c>
      <c r="G7574" s="34" t="n">
        <f aca="false">B7574/1</f>
        <v>69.595</v>
      </c>
      <c r="H7574" s="34" t="n">
        <f aca="false">IF(F7574=1,G7574,"")</f>
        <v>69.595</v>
      </c>
    </row>
    <row r="7575" customFormat="false" ht="15" hidden="false" customHeight="false" outlineLevel="0" collapsed="false">
      <c r="A7575" s="31" t="n">
        <v>43051.5416666667</v>
      </c>
      <c r="B7575" s="32" t="n">
        <v>115.359</v>
      </c>
      <c r="D7575" s="33" t="n">
        <f aca="false">WEEKDAY(A7575,2)</f>
        <v>7</v>
      </c>
      <c r="E7575" s="33" t="n">
        <f aca="false">HOUR(A7575)+MINUTE(A7575)/60</f>
        <v>13</v>
      </c>
      <c r="F7575" s="33" t="n">
        <f aca="false">IF(OR(D7575&gt;5,E7575&lt;8,E7575&gt;=18,COUNTIF($K$2:$K$10,INT(A7575))&gt;0),1,0)</f>
        <v>1</v>
      </c>
      <c r="G7575" s="34" t="n">
        <f aca="false">B7575/1</f>
        <v>115.359</v>
      </c>
      <c r="H7575" s="34" t="n">
        <f aca="false">IF(F7575=1,G7575,"")</f>
        <v>115.359</v>
      </c>
    </row>
    <row r="7576" customFormat="false" ht="15" hidden="false" customHeight="false" outlineLevel="0" collapsed="false">
      <c r="A7576" s="31" t="n">
        <v>43051.5833333333</v>
      </c>
      <c r="B7576" s="32" t="n">
        <v>141.919</v>
      </c>
      <c r="D7576" s="33" t="n">
        <f aca="false">WEEKDAY(A7576,2)</f>
        <v>7</v>
      </c>
      <c r="E7576" s="33" t="n">
        <f aca="false">HOUR(A7576)+MINUTE(A7576)/60</f>
        <v>14</v>
      </c>
      <c r="F7576" s="33" t="n">
        <f aca="false">IF(OR(D7576&gt;5,E7576&lt;8,E7576&gt;=18,COUNTIF($K$2:$K$10,INT(A7576))&gt;0),1,0)</f>
        <v>1</v>
      </c>
      <c r="G7576" s="34" t="n">
        <f aca="false">B7576/1</f>
        <v>141.919</v>
      </c>
      <c r="H7576" s="34" t="n">
        <f aca="false">IF(F7576=1,G7576,"")</f>
        <v>141.919</v>
      </c>
    </row>
    <row r="7577" customFormat="false" ht="15" hidden="false" customHeight="false" outlineLevel="0" collapsed="false">
      <c r="A7577" s="31" t="n">
        <v>43051.625</v>
      </c>
      <c r="B7577" s="32" t="n">
        <v>142.348</v>
      </c>
      <c r="D7577" s="33" t="n">
        <f aca="false">WEEKDAY(A7577,2)</f>
        <v>7</v>
      </c>
      <c r="E7577" s="33" t="n">
        <f aca="false">HOUR(A7577)+MINUTE(A7577)/60</f>
        <v>15</v>
      </c>
      <c r="F7577" s="33" t="n">
        <f aca="false">IF(OR(D7577&gt;5,E7577&lt;8,E7577&gt;=18,COUNTIF($K$2:$K$10,INT(A7577))&gt;0),1,0)</f>
        <v>1</v>
      </c>
      <c r="G7577" s="34" t="n">
        <f aca="false">B7577/1</f>
        <v>142.348</v>
      </c>
      <c r="H7577" s="34" t="n">
        <f aca="false">IF(F7577=1,G7577,"")</f>
        <v>142.348</v>
      </c>
    </row>
    <row r="7578" customFormat="false" ht="15" hidden="false" customHeight="false" outlineLevel="0" collapsed="false">
      <c r="A7578" s="31" t="n">
        <v>43051.6666666667</v>
      </c>
      <c r="B7578" s="32" t="n">
        <v>144.976</v>
      </c>
      <c r="D7578" s="33" t="n">
        <f aca="false">WEEKDAY(A7578,2)</f>
        <v>7</v>
      </c>
      <c r="E7578" s="33" t="n">
        <f aca="false">HOUR(A7578)+MINUTE(A7578)/60</f>
        <v>16</v>
      </c>
      <c r="F7578" s="33" t="n">
        <f aca="false">IF(OR(D7578&gt;5,E7578&lt;8,E7578&gt;=18,COUNTIF($K$2:$K$10,INT(A7578))&gt;0),1,0)</f>
        <v>1</v>
      </c>
      <c r="G7578" s="34" t="n">
        <f aca="false">B7578/1</f>
        <v>144.976</v>
      </c>
      <c r="H7578" s="34" t="n">
        <f aca="false">IF(F7578=1,G7578,"")</f>
        <v>144.976</v>
      </c>
    </row>
    <row r="7579" customFormat="false" ht="15" hidden="false" customHeight="false" outlineLevel="0" collapsed="false">
      <c r="A7579" s="31" t="n">
        <v>43051.7083333333</v>
      </c>
      <c r="B7579" s="32" t="n">
        <v>142.862</v>
      </c>
      <c r="D7579" s="33" t="n">
        <f aca="false">WEEKDAY(A7579,2)</f>
        <v>7</v>
      </c>
      <c r="E7579" s="33" t="n">
        <f aca="false">HOUR(A7579)+MINUTE(A7579)/60</f>
        <v>17</v>
      </c>
      <c r="F7579" s="33" t="n">
        <f aca="false">IF(OR(D7579&gt;5,E7579&lt;8,E7579&gt;=18,COUNTIF($K$2:$K$10,INT(A7579))&gt;0),1,0)</f>
        <v>1</v>
      </c>
      <c r="G7579" s="34" t="n">
        <f aca="false">B7579/1</f>
        <v>142.862</v>
      </c>
      <c r="H7579" s="34" t="n">
        <f aca="false">IF(F7579=1,G7579,"")</f>
        <v>142.862</v>
      </c>
    </row>
    <row r="7580" customFormat="false" ht="15" hidden="false" customHeight="false" outlineLevel="0" collapsed="false">
      <c r="A7580" s="31" t="n">
        <v>43051.75</v>
      </c>
      <c r="B7580" s="32" t="n">
        <v>86.409</v>
      </c>
      <c r="D7580" s="33" t="n">
        <f aca="false">WEEKDAY(A7580,2)</f>
        <v>7</v>
      </c>
      <c r="E7580" s="33" t="n">
        <f aca="false">HOUR(A7580)+MINUTE(A7580)/60</f>
        <v>18</v>
      </c>
      <c r="F7580" s="33" t="n">
        <f aca="false">IF(OR(D7580&gt;5,E7580&lt;8,E7580&gt;=18,COUNTIF($K$2:$K$10,INT(A7580))&gt;0),1,0)</f>
        <v>1</v>
      </c>
      <c r="G7580" s="34" t="n">
        <f aca="false">B7580/1</f>
        <v>86.409</v>
      </c>
      <c r="H7580" s="34" t="n">
        <f aca="false">IF(F7580=1,G7580,"")</f>
        <v>86.409</v>
      </c>
    </row>
    <row r="7581" customFormat="false" ht="15" hidden="false" customHeight="false" outlineLevel="0" collapsed="false">
      <c r="A7581" s="31" t="n">
        <v>43051.7916666667</v>
      </c>
      <c r="B7581" s="32" t="n">
        <v>80.542</v>
      </c>
      <c r="D7581" s="33" t="n">
        <f aca="false">WEEKDAY(A7581,2)</f>
        <v>7</v>
      </c>
      <c r="E7581" s="33" t="n">
        <f aca="false">HOUR(A7581)+MINUTE(A7581)/60</f>
        <v>19</v>
      </c>
      <c r="F7581" s="33" t="n">
        <f aca="false">IF(OR(D7581&gt;5,E7581&lt;8,E7581&gt;=18,COUNTIF($K$2:$K$10,INT(A7581))&gt;0),1,0)</f>
        <v>1</v>
      </c>
      <c r="G7581" s="34" t="n">
        <f aca="false">B7581/1</f>
        <v>80.542</v>
      </c>
      <c r="H7581" s="34" t="n">
        <f aca="false">IF(F7581=1,G7581,"")</f>
        <v>80.542</v>
      </c>
    </row>
    <row r="7582" customFormat="false" ht="15" hidden="false" customHeight="false" outlineLevel="0" collapsed="false">
      <c r="A7582" s="31" t="n">
        <v>43051.8333333333</v>
      </c>
      <c r="B7582" s="32" t="n">
        <v>79.31</v>
      </c>
      <c r="D7582" s="33" t="n">
        <f aca="false">WEEKDAY(A7582,2)</f>
        <v>7</v>
      </c>
      <c r="E7582" s="33" t="n">
        <f aca="false">HOUR(A7582)+MINUTE(A7582)/60</f>
        <v>20</v>
      </c>
      <c r="F7582" s="33" t="n">
        <f aca="false">IF(OR(D7582&gt;5,E7582&lt;8,E7582&gt;=18,COUNTIF($K$2:$K$10,INT(A7582))&gt;0),1,0)</f>
        <v>1</v>
      </c>
      <c r="G7582" s="34" t="n">
        <f aca="false">B7582/1</f>
        <v>79.31</v>
      </c>
      <c r="H7582" s="34" t="n">
        <f aca="false">IF(F7582=1,G7582,"")</f>
        <v>79.31</v>
      </c>
    </row>
    <row r="7583" customFormat="false" ht="15" hidden="false" customHeight="false" outlineLevel="0" collapsed="false">
      <c r="A7583" s="31" t="n">
        <v>43051.875</v>
      </c>
      <c r="B7583" s="32" t="n">
        <v>79.203</v>
      </c>
      <c r="D7583" s="33" t="n">
        <f aca="false">WEEKDAY(A7583,2)</f>
        <v>7</v>
      </c>
      <c r="E7583" s="33" t="n">
        <f aca="false">HOUR(A7583)+MINUTE(A7583)/60</f>
        <v>21</v>
      </c>
      <c r="F7583" s="33" t="n">
        <f aca="false">IF(OR(D7583&gt;5,E7583&lt;8,E7583&gt;=18,COUNTIF($K$2:$K$10,INT(A7583))&gt;0),1,0)</f>
        <v>1</v>
      </c>
      <c r="G7583" s="34" t="n">
        <f aca="false">B7583/1</f>
        <v>79.203</v>
      </c>
      <c r="H7583" s="34" t="n">
        <f aca="false">IF(F7583=1,G7583,"")</f>
        <v>79.203</v>
      </c>
    </row>
    <row r="7584" customFormat="false" ht="15" hidden="false" customHeight="false" outlineLevel="0" collapsed="false">
      <c r="A7584" s="31" t="n">
        <v>43051.9166666667</v>
      </c>
      <c r="B7584" s="32" t="n">
        <v>80.715</v>
      </c>
      <c r="D7584" s="33" t="n">
        <f aca="false">WEEKDAY(A7584,2)</f>
        <v>7</v>
      </c>
      <c r="E7584" s="33" t="n">
        <f aca="false">HOUR(A7584)+MINUTE(A7584)/60</f>
        <v>22</v>
      </c>
      <c r="F7584" s="33" t="n">
        <f aca="false">IF(OR(D7584&gt;5,E7584&lt;8,E7584&gt;=18,COUNTIF($K$2:$K$10,INT(A7584))&gt;0),1,0)</f>
        <v>1</v>
      </c>
      <c r="G7584" s="34" t="n">
        <f aca="false">B7584/1</f>
        <v>80.715</v>
      </c>
      <c r="H7584" s="34" t="n">
        <f aca="false">IF(F7584=1,G7584,"")</f>
        <v>80.715</v>
      </c>
    </row>
    <row r="7585" customFormat="false" ht="15" hidden="false" customHeight="false" outlineLevel="0" collapsed="false">
      <c r="A7585" s="31" t="n">
        <v>43051.9583333333</v>
      </c>
      <c r="B7585" s="32" t="n">
        <v>76.025</v>
      </c>
      <c r="D7585" s="33" t="n">
        <f aca="false">WEEKDAY(A7585,2)</f>
        <v>7</v>
      </c>
      <c r="E7585" s="33" t="n">
        <f aca="false">HOUR(A7585)+MINUTE(A7585)/60</f>
        <v>23</v>
      </c>
      <c r="F7585" s="33" t="n">
        <f aca="false">IF(OR(D7585&gt;5,E7585&lt;8,E7585&gt;=18,COUNTIF($K$2:$K$10,INT(A7585))&gt;0),1,0)</f>
        <v>1</v>
      </c>
      <c r="G7585" s="34" t="n">
        <f aca="false">B7585/1</f>
        <v>76.025</v>
      </c>
      <c r="H7585" s="34" t="n">
        <f aca="false">IF(F7585=1,G7585,"")</f>
        <v>76.025</v>
      </c>
    </row>
    <row r="7586" customFormat="false" ht="15" hidden="false" customHeight="false" outlineLevel="0" collapsed="false">
      <c r="A7586" s="31" t="n">
        <v>43052</v>
      </c>
      <c r="B7586" s="32" t="n">
        <v>74.228</v>
      </c>
      <c r="D7586" s="33" t="n">
        <f aca="false">WEEKDAY(A7586,2)</f>
        <v>1</v>
      </c>
      <c r="E7586" s="33" t="n">
        <f aca="false">HOUR(A7586)+MINUTE(A7586)/60</f>
        <v>0</v>
      </c>
      <c r="F7586" s="33" t="n">
        <f aca="false">IF(OR(D7586&gt;5,E7586&lt;8,E7586&gt;=18,COUNTIF($K$2:$K$10,INT(A7586))&gt;0),1,0)</f>
        <v>1</v>
      </c>
      <c r="G7586" s="34" t="n">
        <f aca="false">B7586/1</f>
        <v>74.228</v>
      </c>
      <c r="H7586" s="34" t="n">
        <f aca="false">IF(F7586=1,G7586,"")</f>
        <v>74.228</v>
      </c>
    </row>
    <row r="7587" customFormat="false" ht="15" hidden="false" customHeight="false" outlineLevel="0" collapsed="false">
      <c r="A7587" s="31" t="n">
        <v>43052.0416666667</v>
      </c>
      <c r="B7587" s="32" t="n">
        <v>70.784</v>
      </c>
      <c r="D7587" s="33" t="n">
        <f aca="false">WEEKDAY(A7587,2)</f>
        <v>1</v>
      </c>
      <c r="E7587" s="33" t="n">
        <f aca="false">HOUR(A7587)+MINUTE(A7587)/60</f>
        <v>1</v>
      </c>
      <c r="F7587" s="33" t="n">
        <f aca="false">IF(OR(D7587&gt;5,E7587&lt;8,E7587&gt;=18,COUNTIF($K$2:$K$10,INT(A7587))&gt;0),1,0)</f>
        <v>1</v>
      </c>
      <c r="G7587" s="34" t="n">
        <f aca="false">B7587/1</f>
        <v>70.784</v>
      </c>
      <c r="H7587" s="34" t="n">
        <f aca="false">IF(F7587=1,G7587,"")</f>
        <v>70.784</v>
      </c>
    </row>
    <row r="7588" customFormat="false" ht="15" hidden="false" customHeight="false" outlineLevel="0" collapsed="false">
      <c r="A7588" s="31" t="n">
        <v>43052.0833333333</v>
      </c>
      <c r="B7588" s="32" t="n">
        <v>72.263</v>
      </c>
      <c r="D7588" s="33" t="n">
        <f aca="false">WEEKDAY(A7588,2)</f>
        <v>1</v>
      </c>
      <c r="E7588" s="33" t="n">
        <f aca="false">HOUR(A7588)+MINUTE(A7588)/60</f>
        <v>2</v>
      </c>
      <c r="F7588" s="33" t="n">
        <f aca="false">IF(OR(D7588&gt;5,E7588&lt;8,E7588&gt;=18,COUNTIF($K$2:$K$10,INT(A7588))&gt;0),1,0)</f>
        <v>1</v>
      </c>
      <c r="G7588" s="34" t="n">
        <f aca="false">B7588/1</f>
        <v>72.263</v>
      </c>
      <c r="H7588" s="34" t="n">
        <f aca="false">IF(F7588=1,G7588,"")</f>
        <v>72.263</v>
      </c>
    </row>
    <row r="7589" customFormat="false" ht="15" hidden="false" customHeight="false" outlineLevel="0" collapsed="false">
      <c r="A7589" s="31" t="n">
        <v>43052.125</v>
      </c>
      <c r="B7589" s="32" t="n">
        <v>71.86</v>
      </c>
      <c r="D7589" s="33" t="n">
        <f aca="false">WEEKDAY(A7589,2)</f>
        <v>1</v>
      </c>
      <c r="E7589" s="33" t="n">
        <f aca="false">HOUR(A7589)+MINUTE(A7589)/60</f>
        <v>3</v>
      </c>
      <c r="F7589" s="33" t="n">
        <f aca="false">IF(OR(D7589&gt;5,E7589&lt;8,E7589&gt;=18,COUNTIF($K$2:$K$10,INT(A7589))&gt;0),1,0)</f>
        <v>1</v>
      </c>
      <c r="G7589" s="34" t="n">
        <f aca="false">B7589/1</f>
        <v>71.86</v>
      </c>
      <c r="H7589" s="34" t="n">
        <f aca="false">IF(F7589=1,G7589,"")</f>
        <v>71.86</v>
      </c>
    </row>
    <row r="7590" customFormat="false" ht="15" hidden="false" customHeight="false" outlineLevel="0" collapsed="false">
      <c r="A7590" s="31" t="n">
        <v>43052.1666666667</v>
      </c>
      <c r="B7590" s="32" t="n">
        <v>63.838</v>
      </c>
      <c r="D7590" s="33" t="n">
        <f aca="false">WEEKDAY(A7590,2)</f>
        <v>1</v>
      </c>
      <c r="E7590" s="33" t="n">
        <f aca="false">HOUR(A7590)+MINUTE(A7590)/60</f>
        <v>4</v>
      </c>
      <c r="F7590" s="33" t="n">
        <f aca="false">IF(OR(D7590&gt;5,E7590&lt;8,E7590&gt;=18,COUNTIF($K$2:$K$10,INT(A7590))&gt;0),1,0)</f>
        <v>1</v>
      </c>
      <c r="G7590" s="34" t="n">
        <f aca="false">B7590/1</f>
        <v>63.838</v>
      </c>
      <c r="H7590" s="34" t="n">
        <f aca="false">IF(F7590=1,G7590,"")</f>
        <v>63.838</v>
      </c>
    </row>
    <row r="7591" customFormat="false" ht="15" hidden="false" customHeight="false" outlineLevel="0" collapsed="false">
      <c r="A7591" s="31" t="n">
        <v>43052.2083333333</v>
      </c>
      <c r="B7591" s="32" t="n">
        <v>66.401</v>
      </c>
      <c r="D7591" s="33" t="n">
        <f aca="false">WEEKDAY(A7591,2)</f>
        <v>1</v>
      </c>
      <c r="E7591" s="33" t="n">
        <f aca="false">HOUR(A7591)+MINUTE(A7591)/60</f>
        <v>5</v>
      </c>
      <c r="F7591" s="33" t="n">
        <f aca="false">IF(OR(D7591&gt;5,E7591&lt;8,E7591&gt;=18,COUNTIF($K$2:$K$10,INT(A7591))&gt;0),1,0)</f>
        <v>1</v>
      </c>
      <c r="G7591" s="34" t="n">
        <f aca="false">B7591/1</f>
        <v>66.401</v>
      </c>
      <c r="H7591" s="34" t="n">
        <f aca="false">IF(F7591=1,G7591,"")</f>
        <v>66.401</v>
      </c>
    </row>
    <row r="7592" customFormat="false" ht="15" hidden="false" customHeight="false" outlineLevel="0" collapsed="false">
      <c r="A7592" s="31" t="n">
        <v>43052.25</v>
      </c>
      <c r="B7592" s="32" t="n">
        <v>67.487</v>
      </c>
      <c r="D7592" s="33" t="n">
        <f aca="false">WEEKDAY(A7592,2)</f>
        <v>1</v>
      </c>
      <c r="E7592" s="33" t="n">
        <f aca="false">HOUR(A7592)+MINUTE(A7592)/60</f>
        <v>6</v>
      </c>
      <c r="F7592" s="33" t="n">
        <f aca="false">IF(OR(D7592&gt;5,E7592&lt;8,E7592&gt;=18,COUNTIF($K$2:$K$10,INT(A7592))&gt;0),1,0)</f>
        <v>1</v>
      </c>
      <c r="G7592" s="34" t="n">
        <f aca="false">B7592/1</f>
        <v>67.487</v>
      </c>
      <c r="H7592" s="34" t="n">
        <f aca="false">IF(F7592=1,G7592,"")</f>
        <v>67.487</v>
      </c>
    </row>
    <row r="7593" customFormat="false" ht="15" hidden="false" customHeight="false" outlineLevel="0" collapsed="false">
      <c r="A7593" s="31" t="n">
        <v>43052.2916666667</v>
      </c>
      <c r="B7593" s="32" t="n">
        <v>86.467</v>
      </c>
      <c r="D7593" s="33" t="n">
        <f aca="false">WEEKDAY(A7593,2)</f>
        <v>1</v>
      </c>
      <c r="E7593" s="33" t="n">
        <f aca="false">HOUR(A7593)+MINUTE(A7593)/60</f>
        <v>7</v>
      </c>
      <c r="F7593" s="33" t="n">
        <f aca="false">IF(OR(D7593&gt;5,E7593&lt;8,E7593&gt;=18,COUNTIF($K$2:$K$10,INT(A7593))&gt;0),1,0)</f>
        <v>1</v>
      </c>
      <c r="G7593" s="34" t="n">
        <f aca="false">B7593/1</f>
        <v>86.467</v>
      </c>
      <c r="H7593" s="34" t="n">
        <f aca="false">IF(F7593=1,G7593,"")</f>
        <v>86.467</v>
      </c>
    </row>
    <row r="7594" customFormat="false" ht="15" hidden="false" customHeight="false" outlineLevel="0" collapsed="false">
      <c r="A7594" s="31" t="n">
        <v>43052.3333333333</v>
      </c>
      <c r="B7594" s="32" t="n">
        <v>173.86</v>
      </c>
      <c r="D7594" s="33" t="n">
        <f aca="false">WEEKDAY(A7594,2)</f>
        <v>1</v>
      </c>
      <c r="E7594" s="33" t="n">
        <f aca="false">HOUR(A7594)+MINUTE(A7594)/60</f>
        <v>8</v>
      </c>
      <c r="F7594" s="33" t="n">
        <f aca="false">IF(OR(D7594&gt;5,E7594&lt;8,E7594&gt;=18,COUNTIF($K$2:$K$10,INT(A7594))&gt;0),1,0)</f>
        <v>0</v>
      </c>
      <c r="G7594" s="34" t="n">
        <f aca="false">B7594/1</f>
        <v>173.86</v>
      </c>
      <c r="H7594" s="34" t="str">
        <f aca="false">IF(F7594=1,G7594,"")</f>
        <v/>
      </c>
    </row>
    <row r="7595" customFormat="false" ht="15" hidden="false" customHeight="false" outlineLevel="0" collapsed="false">
      <c r="A7595" s="31" t="n">
        <v>43052.375</v>
      </c>
      <c r="B7595" s="32" t="n">
        <v>213.789</v>
      </c>
      <c r="D7595" s="33" t="n">
        <f aca="false">WEEKDAY(A7595,2)</f>
        <v>1</v>
      </c>
      <c r="E7595" s="33" t="n">
        <f aca="false">HOUR(A7595)+MINUTE(A7595)/60</f>
        <v>9</v>
      </c>
      <c r="F7595" s="33" t="n">
        <f aca="false">IF(OR(D7595&gt;5,E7595&lt;8,E7595&gt;=18,COUNTIF($K$2:$K$10,INT(A7595))&gt;0),1,0)</f>
        <v>0</v>
      </c>
      <c r="G7595" s="34" t="n">
        <f aca="false">B7595/1</f>
        <v>213.789</v>
      </c>
      <c r="H7595" s="34" t="str">
        <f aca="false">IF(F7595=1,G7595,"")</f>
        <v/>
      </c>
    </row>
    <row r="7596" customFormat="false" ht="15" hidden="false" customHeight="false" outlineLevel="0" collapsed="false">
      <c r="A7596" s="31" t="n">
        <v>43052.4166666667</v>
      </c>
      <c r="B7596" s="32" t="n">
        <v>239.052</v>
      </c>
      <c r="D7596" s="33" t="n">
        <f aca="false">WEEKDAY(A7596,2)</f>
        <v>1</v>
      </c>
      <c r="E7596" s="33" t="n">
        <f aca="false">HOUR(A7596)+MINUTE(A7596)/60</f>
        <v>10</v>
      </c>
      <c r="F7596" s="33" t="n">
        <f aca="false">IF(OR(D7596&gt;5,E7596&lt;8,E7596&gt;=18,COUNTIF($K$2:$K$10,INT(A7596))&gt;0),1,0)</f>
        <v>0</v>
      </c>
      <c r="G7596" s="34" t="n">
        <f aca="false">B7596/1</f>
        <v>239.052</v>
      </c>
      <c r="H7596" s="34" t="str">
        <f aca="false">IF(F7596=1,G7596,"")</f>
        <v/>
      </c>
    </row>
    <row r="7597" customFormat="false" ht="15" hidden="false" customHeight="false" outlineLevel="0" collapsed="false">
      <c r="A7597" s="31" t="n">
        <v>43052.4583333333</v>
      </c>
      <c r="B7597" s="32" t="n">
        <v>245.279</v>
      </c>
      <c r="D7597" s="33" t="n">
        <f aca="false">WEEKDAY(A7597,2)</f>
        <v>1</v>
      </c>
      <c r="E7597" s="33" t="n">
        <f aca="false">HOUR(A7597)+MINUTE(A7597)/60</f>
        <v>11</v>
      </c>
      <c r="F7597" s="33" t="n">
        <f aca="false">IF(OR(D7597&gt;5,E7597&lt;8,E7597&gt;=18,COUNTIF($K$2:$K$10,INT(A7597))&gt;0),1,0)</f>
        <v>0</v>
      </c>
      <c r="G7597" s="34" t="n">
        <f aca="false">B7597/1</f>
        <v>245.279</v>
      </c>
      <c r="H7597" s="34" t="str">
        <f aca="false">IF(F7597=1,G7597,"")</f>
        <v/>
      </c>
    </row>
    <row r="7598" customFormat="false" ht="15" hidden="false" customHeight="false" outlineLevel="0" collapsed="false">
      <c r="A7598" s="31" t="n">
        <v>43052.5</v>
      </c>
      <c r="B7598" s="32" t="n">
        <v>249.384</v>
      </c>
      <c r="D7598" s="33" t="n">
        <f aca="false">WEEKDAY(A7598,2)</f>
        <v>1</v>
      </c>
      <c r="E7598" s="33" t="n">
        <f aca="false">HOUR(A7598)+MINUTE(A7598)/60</f>
        <v>12</v>
      </c>
      <c r="F7598" s="33" t="n">
        <f aca="false">IF(OR(D7598&gt;5,E7598&lt;8,E7598&gt;=18,COUNTIF($K$2:$K$10,INT(A7598))&gt;0),1,0)</f>
        <v>0</v>
      </c>
      <c r="G7598" s="34" t="n">
        <f aca="false">B7598/1</f>
        <v>249.384</v>
      </c>
      <c r="H7598" s="34" t="str">
        <f aca="false">IF(F7598=1,G7598,"")</f>
        <v/>
      </c>
    </row>
    <row r="7599" customFormat="false" ht="15" hidden="false" customHeight="false" outlineLevel="0" collapsed="false">
      <c r="A7599" s="31" t="n">
        <v>43052.5416666667</v>
      </c>
      <c r="B7599" s="32" t="n">
        <v>247.04</v>
      </c>
      <c r="D7599" s="33" t="n">
        <f aca="false">WEEKDAY(A7599,2)</f>
        <v>1</v>
      </c>
      <c r="E7599" s="33" t="n">
        <f aca="false">HOUR(A7599)+MINUTE(A7599)/60</f>
        <v>13</v>
      </c>
      <c r="F7599" s="33" t="n">
        <f aca="false">IF(OR(D7599&gt;5,E7599&lt;8,E7599&gt;=18,COUNTIF($K$2:$K$10,INT(A7599))&gt;0),1,0)</f>
        <v>0</v>
      </c>
      <c r="G7599" s="34" t="n">
        <f aca="false">B7599/1</f>
        <v>247.04</v>
      </c>
      <c r="H7599" s="34" t="str">
        <f aca="false">IF(F7599=1,G7599,"")</f>
        <v/>
      </c>
    </row>
    <row r="7600" customFormat="false" ht="15" hidden="false" customHeight="false" outlineLevel="0" collapsed="false">
      <c r="A7600" s="31" t="n">
        <v>43052.5833333333</v>
      </c>
      <c r="B7600" s="32" t="n">
        <v>252.674</v>
      </c>
      <c r="D7600" s="33" t="n">
        <f aca="false">WEEKDAY(A7600,2)</f>
        <v>1</v>
      </c>
      <c r="E7600" s="33" t="n">
        <f aca="false">HOUR(A7600)+MINUTE(A7600)/60</f>
        <v>14</v>
      </c>
      <c r="F7600" s="33" t="n">
        <f aca="false">IF(OR(D7600&gt;5,E7600&lt;8,E7600&gt;=18,COUNTIF($K$2:$K$10,INT(A7600))&gt;0),1,0)</f>
        <v>0</v>
      </c>
      <c r="G7600" s="34" t="n">
        <f aca="false">B7600/1</f>
        <v>252.674</v>
      </c>
      <c r="H7600" s="34" t="str">
        <f aca="false">IF(F7600=1,G7600,"")</f>
        <v/>
      </c>
    </row>
    <row r="7601" customFormat="false" ht="15" hidden="false" customHeight="false" outlineLevel="0" collapsed="false">
      <c r="A7601" s="31" t="n">
        <v>43052.625</v>
      </c>
      <c r="B7601" s="32" t="n">
        <v>259.173</v>
      </c>
      <c r="D7601" s="33" t="n">
        <f aca="false">WEEKDAY(A7601,2)</f>
        <v>1</v>
      </c>
      <c r="E7601" s="33" t="n">
        <f aca="false">HOUR(A7601)+MINUTE(A7601)/60</f>
        <v>15</v>
      </c>
      <c r="F7601" s="33" t="n">
        <f aca="false">IF(OR(D7601&gt;5,E7601&lt;8,E7601&gt;=18,COUNTIF($K$2:$K$10,INT(A7601))&gt;0),1,0)</f>
        <v>0</v>
      </c>
      <c r="G7601" s="34" t="n">
        <f aca="false">B7601/1</f>
        <v>259.173</v>
      </c>
      <c r="H7601" s="34" t="str">
        <f aca="false">IF(F7601=1,G7601,"")</f>
        <v/>
      </c>
    </row>
    <row r="7602" customFormat="false" ht="15" hidden="false" customHeight="false" outlineLevel="0" collapsed="false">
      <c r="A7602" s="31" t="n">
        <v>43052.6666666667</v>
      </c>
      <c r="B7602" s="32" t="n">
        <v>260.882</v>
      </c>
      <c r="D7602" s="33" t="n">
        <f aca="false">WEEKDAY(A7602,2)</f>
        <v>1</v>
      </c>
      <c r="E7602" s="33" t="n">
        <f aca="false">HOUR(A7602)+MINUTE(A7602)/60</f>
        <v>16</v>
      </c>
      <c r="F7602" s="33" t="n">
        <f aca="false">IF(OR(D7602&gt;5,E7602&lt;8,E7602&gt;=18,COUNTIF($K$2:$K$10,INT(A7602))&gt;0),1,0)</f>
        <v>0</v>
      </c>
      <c r="G7602" s="34" t="n">
        <f aca="false">B7602/1</f>
        <v>260.882</v>
      </c>
      <c r="H7602" s="34" t="str">
        <f aca="false">IF(F7602=1,G7602,"")</f>
        <v/>
      </c>
    </row>
    <row r="7603" customFormat="false" ht="15" hidden="false" customHeight="false" outlineLevel="0" collapsed="false">
      <c r="A7603" s="31" t="n">
        <v>43052.7083333333</v>
      </c>
      <c r="B7603" s="32" t="n">
        <v>255.654</v>
      </c>
      <c r="D7603" s="33" t="n">
        <f aca="false">WEEKDAY(A7603,2)</f>
        <v>1</v>
      </c>
      <c r="E7603" s="33" t="n">
        <f aca="false">HOUR(A7603)+MINUTE(A7603)/60</f>
        <v>17</v>
      </c>
      <c r="F7603" s="33" t="n">
        <f aca="false">IF(OR(D7603&gt;5,E7603&lt;8,E7603&gt;=18,COUNTIF($K$2:$K$10,INT(A7603))&gt;0),1,0)</f>
        <v>0</v>
      </c>
      <c r="G7603" s="34" t="n">
        <f aca="false">B7603/1</f>
        <v>255.654</v>
      </c>
      <c r="H7603" s="34" t="str">
        <f aca="false">IF(F7603=1,G7603,"")</f>
        <v/>
      </c>
    </row>
    <row r="7604" customFormat="false" ht="15" hidden="false" customHeight="false" outlineLevel="0" collapsed="false">
      <c r="A7604" s="31" t="n">
        <v>43052.75</v>
      </c>
      <c r="B7604" s="32" t="n">
        <v>224.175</v>
      </c>
      <c r="D7604" s="33" t="n">
        <f aca="false">WEEKDAY(A7604,2)</f>
        <v>1</v>
      </c>
      <c r="E7604" s="33" t="n">
        <f aca="false">HOUR(A7604)+MINUTE(A7604)/60</f>
        <v>18</v>
      </c>
      <c r="F7604" s="33" t="n">
        <f aca="false">IF(OR(D7604&gt;5,E7604&lt;8,E7604&gt;=18,COUNTIF($K$2:$K$10,INT(A7604))&gt;0),1,0)</f>
        <v>1</v>
      </c>
      <c r="G7604" s="34" t="n">
        <f aca="false">B7604/1</f>
        <v>224.175</v>
      </c>
      <c r="H7604" s="34" t="n">
        <f aca="false">IF(F7604=1,G7604,"")</f>
        <v>224.175</v>
      </c>
    </row>
    <row r="7605" customFormat="false" ht="15" hidden="false" customHeight="false" outlineLevel="0" collapsed="false">
      <c r="A7605" s="31" t="n">
        <v>43052.7916666667</v>
      </c>
      <c r="B7605" s="32" t="n">
        <v>208.183</v>
      </c>
      <c r="D7605" s="33" t="n">
        <f aca="false">WEEKDAY(A7605,2)</f>
        <v>1</v>
      </c>
      <c r="E7605" s="33" t="n">
        <f aca="false">HOUR(A7605)+MINUTE(A7605)/60</f>
        <v>19</v>
      </c>
      <c r="F7605" s="33" t="n">
        <f aca="false">IF(OR(D7605&gt;5,E7605&lt;8,E7605&gt;=18,COUNTIF($K$2:$K$10,INT(A7605))&gt;0),1,0)</f>
        <v>1</v>
      </c>
      <c r="G7605" s="34" t="n">
        <f aca="false">B7605/1</f>
        <v>208.183</v>
      </c>
      <c r="H7605" s="34" t="n">
        <f aca="false">IF(F7605=1,G7605,"")</f>
        <v>208.183</v>
      </c>
    </row>
    <row r="7606" customFormat="false" ht="15" hidden="false" customHeight="false" outlineLevel="0" collapsed="false">
      <c r="A7606" s="31" t="n">
        <v>43052.8333333333</v>
      </c>
      <c r="B7606" s="32" t="n">
        <v>199.264</v>
      </c>
      <c r="D7606" s="33" t="n">
        <f aca="false">WEEKDAY(A7606,2)</f>
        <v>1</v>
      </c>
      <c r="E7606" s="33" t="n">
        <f aca="false">HOUR(A7606)+MINUTE(A7606)/60</f>
        <v>20</v>
      </c>
      <c r="F7606" s="33" t="n">
        <f aca="false">IF(OR(D7606&gt;5,E7606&lt;8,E7606&gt;=18,COUNTIF($K$2:$K$10,INT(A7606))&gt;0),1,0)</f>
        <v>1</v>
      </c>
      <c r="G7606" s="34" t="n">
        <f aca="false">B7606/1</f>
        <v>199.264</v>
      </c>
      <c r="H7606" s="34" t="n">
        <f aca="false">IF(F7606=1,G7606,"")</f>
        <v>199.264</v>
      </c>
    </row>
    <row r="7607" customFormat="false" ht="15" hidden="false" customHeight="false" outlineLevel="0" collapsed="false">
      <c r="A7607" s="31" t="n">
        <v>43052.875</v>
      </c>
      <c r="B7607" s="32" t="n">
        <v>197.826</v>
      </c>
      <c r="D7607" s="33" t="n">
        <f aca="false">WEEKDAY(A7607,2)</f>
        <v>1</v>
      </c>
      <c r="E7607" s="33" t="n">
        <f aca="false">HOUR(A7607)+MINUTE(A7607)/60</f>
        <v>21</v>
      </c>
      <c r="F7607" s="33" t="n">
        <f aca="false">IF(OR(D7607&gt;5,E7607&lt;8,E7607&gt;=18,COUNTIF($K$2:$K$10,INT(A7607))&gt;0),1,0)</f>
        <v>1</v>
      </c>
      <c r="G7607" s="34" t="n">
        <f aca="false">B7607/1</f>
        <v>197.826</v>
      </c>
      <c r="H7607" s="34" t="n">
        <f aca="false">IF(F7607=1,G7607,"")</f>
        <v>197.826</v>
      </c>
    </row>
    <row r="7608" customFormat="false" ht="15" hidden="false" customHeight="false" outlineLevel="0" collapsed="false">
      <c r="A7608" s="31" t="n">
        <v>43052.9166666667</v>
      </c>
      <c r="B7608" s="32" t="n">
        <v>149.985</v>
      </c>
      <c r="D7608" s="33" t="n">
        <f aca="false">WEEKDAY(A7608,2)</f>
        <v>1</v>
      </c>
      <c r="E7608" s="33" t="n">
        <f aca="false">HOUR(A7608)+MINUTE(A7608)/60</f>
        <v>22</v>
      </c>
      <c r="F7608" s="33" t="n">
        <f aca="false">IF(OR(D7608&gt;5,E7608&lt;8,E7608&gt;=18,COUNTIF($K$2:$K$10,INT(A7608))&gt;0),1,0)</f>
        <v>1</v>
      </c>
      <c r="G7608" s="34" t="n">
        <f aca="false">B7608/1</f>
        <v>149.985</v>
      </c>
      <c r="H7608" s="34" t="n">
        <f aca="false">IF(F7608=1,G7608,"")</f>
        <v>149.985</v>
      </c>
    </row>
    <row r="7609" customFormat="false" ht="15" hidden="false" customHeight="false" outlineLevel="0" collapsed="false">
      <c r="A7609" s="31" t="n">
        <v>43052.9583333333</v>
      </c>
      <c r="B7609" s="32" t="n">
        <v>87.497</v>
      </c>
      <c r="D7609" s="33" t="n">
        <f aca="false">WEEKDAY(A7609,2)</f>
        <v>1</v>
      </c>
      <c r="E7609" s="33" t="n">
        <f aca="false">HOUR(A7609)+MINUTE(A7609)/60</f>
        <v>23</v>
      </c>
      <c r="F7609" s="33" t="n">
        <f aca="false">IF(OR(D7609&gt;5,E7609&lt;8,E7609&gt;=18,COUNTIF($K$2:$K$10,INT(A7609))&gt;0),1,0)</f>
        <v>1</v>
      </c>
      <c r="G7609" s="34" t="n">
        <f aca="false">B7609/1</f>
        <v>87.497</v>
      </c>
      <c r="H7609" s="34" t="n">
        <f aca="false">IF(F7609=1,G7609,"")</f>
        <v>87.497</v>
      </c>
    </row>
    <row r="7610" customFormat="false" ht="15" hidden="false" customHeight="false" outlineLevel="0" collapsed="false">
      <c r="A7610" s="31" t="n">
        <v>43053</v>
      </c>
      <c r="B7610" s="32" t="n">
        <v>76.946</v>
      </c>
      <c r="D7610" s="33" t="n">
        <f aca="false">WEEKDAY(A7610,2)</f>
        <v>2</v>
      </c>
      <c r="E7610" s="33" t="n">
        <f aca="false">HOUR(A7610)+MINUTE(A7610)/60</f>
        <v>0</v>
      </c>
      <c r="F7610" s="33" t="n">
        <f aca="false">IF(OR(D7610&gt;5,E7610&lt;8,E7610&gt;=18,COUNTIF($K$2:$K$10,INT(A7610))&gt;0),1,0)</f>
        <v>1</v>
      </c>
      <c r="G7610" s="34" t="n">
        <f aca="false">B7610/1</f>
        <v>76.946</v>
      </c>
      <c r="H7610" s="34" t="n">
        <f aca="false">IF(F7610=1,G7610,"")</f>
        <v>76.946</v>
      </c>
    </row>
    <row r="7611" customFormat="false" ht="15" hidden="false" customHeight="false" outlineLevel="0" collapsed="false">
      <c r="A7611" s="31" t="n">
        <v>43053.0416666667</v>
      </c>
      <c r="B7611" s="32" t="n">
        <v>72.509</v>
      </c>
      <c r="D7611" s="33" t="n">
        <f aca="false">WEEKDAY(A7611,2)</f>
        <v>2</v>
      </c>
      <c r="E7611" s="33" t="n">
        <f aca="false">HOUR(A7611)+MINUTE(A7611)/60</f>
        <v>1</v>
      </c>
      <c r="F7611" s="33" t="n">
        <f aca="false">IF(OR(D7611&gt;5,E7611&lt;8,E7611&gt;=18,COUNTIF($K$2:$K$10,INT(A7611))&gt;0),1,0)</f>
        <v>1</v>
      </c>
      <c r="G7611" s="34" t="n">
        <f aca="false">B7611/1</f>
        <v>72.509</v>
      </c>
      <c r="H7611" s="34" t="n">
        <f aca="false">IF(F7611=1,G7611,"")</f>
        <v>72.509</v>
      </c>
    </row>
    <row r="7612" customFormat="false" ht="15" hidden="false" customHeight="false" outlineLevel="0" collapsed="false">
      <c r="A7612" s="31" t="n">
        <v>43053.0833333333</v>
      </c>
      <c r="B7612" s="32" t="n">
        <v>69.705</v>
      </c>
      <c r="D7612" s="33" t="n">
        <f aca="false">WEEKDAY(A7612,2)</f>
        <v>2</v>
      </c>
      <c r="E7612" s="33" t="n">
        <f aca="false">HOUR(A7612)+MINUTE(A7612)/60</f>
        <v>2</v>
      </c>
      <c r="F7612" s="33" t="n">
        <f aca="false">IF(OR(D7612&gt;5,E7612&lt;8,E7612&gt;=18,COUNTIF($K$2:$K$10,INT(A7612))&gt;0),1,0)</f>
        <v>1</v>
      </c>
      <c r="G7612" s="34" t="n">
        <f aca="false">B7612/1</f>
        <v>69.705</v>
      </c>
      <c r="H7612" s="34" t="n">
        <f aca="false">IF(F7612=1,G7612,"")</f>
        <v>69.705</v>
      </c>
    </row>
    <row r="7613" customFormat="false" ht="15" hidden="false" customHeight="false" outlineLevel="0" collapsed="false">
      <c r="A7613" s="31" t="n">
        <v>43053.125</v>
      </c>
      <c r="B7613" s="32" t="n">
        <v>64.904</v>
      </c>
      <c r="D7613" s="33" t="n">
        <f aca="false">WEEKDAY(A7613,2)</f>
        <v>2</v>
      </c>
      <c r="E7613" s="33" t="n">
        <f aca="false">HOUR(A7613)+MINUTE(A7613)/60</f>
        <v>3</v>
      </c>
      <c r="F7613" s="33" t="n">
        <f aca="false">IF(OR(D7613&gt;5,E7613&lt;8,E7613&gt;=18,COUNTIF($K$2:$K$10,INT(A7613))&gt;0),1,0)</f>
        <v>1</v>
      </c>
      <c r="G7613" s="34" t="n">
        <f aca="false">B7613/1</f>
        <v>64.904</v>
      </c>
      <c r="H7613" s="34" t="n">
        <f aca="false">IF(F7613=1,G7613,"")</f>
        <v>64.904</v>
      </c>
    </row>
    <row r="7614" customFormat="false" ht="15" hidden="false" customHeight="false" outlineLevel="0" collapsed="false">
      <c r="A7614" s="31" t="n">
        <v>43053.1666666667</v>
      </c>
      <c r="B7614" s="32" t="n">
        <v>66.207</v>
      </c>
      <c r="D7614" s="33" t="n">
        <f aca="false">WEEKDAY(A7614,2)</f>
        <v>2</v>
      </c>
      <c r="E7614" s="33" t="n">
        <f aca="false">HOUR(A7614)+MINUTE(A7614)/60</f>
        <v>4</v>
      </c>
      <c r="F7614" s="33" t="n">
        <f aca="false">IF(OR(D7614&gt;5,E7614&lt;8,E7614&gt;=18,COUNTIF($K$2:$K$10,INT(A7614))&gt;0),1,0)</f>
        <v>1</v>
      </c>
      <c r="G7614" s="34" t="n">
        <f aca="false">B7614/1</f>
        <v>66.207</v>
      </c>
      <c r="H7614" s="34" t="n">
        <f aca="false">IF(F7614=1,G7614,"")</f>
        <v>66.207</v>
      </c>
    </row>
    <row r="7615" customFormat="false" ht="15" hidden="false" customHeight="false" outlineLevel="0" collapsed="false">
      <c r="A7615" s="31" t="n">
        <v>43053.2083333333</v>
      </c>
      <c r="B7615" s="32" t="n">
        <v>66.439</v>
      </c>
      <c r="D7615" s="33" t="n">
        <f aca="false">WEEKDAY(A7615,2)</f>
        <v>2</v>
      </c>
      <c r="E7615" s="33" t="n">
        <f aca="false">HOUR(A7615)+MINUTE(A7615)/60</f>
        <v>5</v>
      </c>
      <c r="F7615" s="33" t="n">
        <f aca="false">IF(OR(D7615&gt;5,E7615&lt;8,E7615&gt;=18,COUNTIF($K$2:$K$10,INT(A7615))&gt;0),1,0)</f>
        <v>1</v>
      </c>
      <c r="G7615" s="34" t="n">
        <f aca="false">B7615/1</f>
        <v>66.439</v>
      </c>
      <c r="H7615" s="34" t="n">
        <f aca="false">IF(F7615=1,G7615,"")</f>
        <v>66.439</v>
      </c>
    </row>
    <row r="7616" customFormat="false" ht="15" hidden="false" customHeight="false" outlineLevel="0" collapsed="false">
      <c r="A7616" s="31" t="n">
        <v>43053.25</v>
      </c>
      <c r="B7616" s="32" t="n">
        <v>65.147</v>
      </c>
      <c r="D7616" s="33" t="n">
        <f aca="false">WEEKDAY(A7616,2)</f>
        <v>2</v>
      </c>
      <c r="E7616" s="33" t="n">
        <f aca="false">HOUR(A7616)+MINUTE(A7616)/60</f>
        <v>6</v>
      </c>
      <c r="F7616" s="33" t="n">
        <f aca="false">IF(OR(D7616&gt;5,E7616&lt;8,E7616&gt;=18,COUNTIF($K$2:$K$10,INT(A7616))&gt;0),1,0)</f>
        <v>1</v>
      </c>
      <c r="G7616" s="34" t="n">
        <f aca="false">B7616/1</f>
        <v>65.147</v>
      </c>
      <c r="H7616" s="34" t="n">
        <f aca="false">IF(F7616=1,G7616,"")</f>
        <v>65.147</v>
      </c>
    </row>
    <row r="7617" customFormat="false" ht="15" hidden="false" customHeight="false" outlineLevel="0" collapsed="false">
      <c r="A7617" s="31" t="n">
        <v>43053.2916666667</v>
      </c>
      <c r="B7617" s="32" t="n">
        <v>72.202</v>
      </c>
      <c r="D7617" s="33" t="n">
        <f aca="false">WEEKDAY(A7617,2)</f>
        <v>2</v>
      </c>
      <c r="E7617" s="33" t="n">
        <f aca="false">HOUR(A7617)+MINUTE(A7617)/60</f>
        <v>7</v>
      </c>
      <c r="F7617" s="33" t="n">
        <f aca="false">IF(OR(D7617&gt;5,E7617&lt;8,E7617&gt;=18,COUNTIF($K$2:$K$10,INT(A7617))&gt;0),1,0)</f>
        <v>1</v>
      </c>
      <c r="G7617" s="34" t="n">
        <f aca="false">B7617/1</f>
        <v>72.202</v>
      </c>
      <c r="H7617" s="34" t="n">
        <f aca="false">IF(F7617=1,G7617,"")</f>
        <v>72.202</v>
      </c>
    </row>
    <row r="7618" customFormat="false" ht="15" hidden="false" customHeight="false" outlineLevel="0" collapsed="false">
      <c r="A7618" s="31" t="n">
        <v>43053.3333333333</v>
      </c>
      <c r="B7618" s="32" t="n">
        <v>170.78</v>
      </c>
      <c r="D7618" s="33" t="n">
        <f aca="false">WEEKDAY(A7618,2)</f>
        <v>2</v>
      </c>
      <c r="E7618" s="33" t="n">
        <f aca="false">HOUR(A7618)+MINUTE(A7618)/60</f>
        <v>8</v>
      </c>
      <c r="F7618" s="33" t="n">
        <f aca="false">IF(OR(D7618&gt;5,E7618&lt;8,E7618&gt;=18,COUNTIF($K$2:$K$10,INT(A7618))&gt;0),1,0)</f>
        <v>0</v>
      </c>
      <c r="G7618" s="34" t="n">
        <f aca="false">B7618/1</f>
        <v>170.78</v>
      </c>
      <c r="H7618" s="34" t="str">
        <f aca="false">IF(F7618=1,G7618,"")</f>
        <v/>
      </c>
    </row>
    <row r="7619" customFormat="false" ht="15" hidden="false" customHeight="false" outlineLevel="0" collapsed="false">
      <c r="A7619" s="31" t="n">
        <v>43053.375</v>
      </c>
      <c r="B7619" s="32" t="n">
        <v>216.74</v>
      </c>
      <c r="D7619" s="33" t="n">
        <f aca="false">WEEKDAY(A7619,2)</f>
        <v>2</v>
      </c>
      <c r="E7619" s="33" t="n">
        <f aca="false">HOUR(A7619)+MINUTE(A7619)/60</f>
        <v>9</v>
      </c>
      <c r="F7619" s="33" t="n">
        <f aca="false">IF(OR(D7619&gt;5,E7619&lt;8,E7619&gt;=18,COUNTIF($K$2:$K$10,INT(A7619))&gt;0),1,0)</f>
        <v>0</v>
      </c>
      <c r="G7619" s="34" t="n">
        <f aca="false">B7619/1</f>
        <v>216.74</v>
      </c>
      <c r="H7619" s="34" t="str">
        <f aca="false">IF(F7619=1,G7619,"")</f>
        <v/>
      </c>
    </row>
    <row r="7620" customFormat="false" ht="15" hidden="false" customHeight="false" outlineLevel="0" collapsed="false">
      <c r="A7620" s="31" t="n">
        <v>43053.4166666667</v>
      </c>
      <c r="B7620" s="32" t="n">
        <v>235.832</v>
      </c>
      <c r="D7620" s="33" t="n">
        <f aca="false">WEEKDAY(A7620,2)</f>
        <v>2</v>
      </c>
      <c r="E7620" s="33" t="n">
        <f aca="false">HOUR(A7620)+MINUTE(A7620)/60</f>
        <v>10</v>
      </c>
      <c r="F7620" s="33" t="n">
        <f aca="false">IF(OR(D7620&gt;5,E7620&lt;8,E7620&gt;=18,COUNTIF($K$2:$K$10,INT(A7620))&gt;0),1,0)</f>
        <v>0</v>
      </c>
      <c r="G7620" s="34" t="n">
        <f aca="false">B7620/1</f>
        <v>235.832</v>
      </c>
      <c r="H7620" s="34" t="str">
        <f aca="false">IF(F7620=1,G7620,"")</f>
        <v/>
      </c>
    </row>
    <row r="7621" customFormat="false" ht="15" hidden="false" customHeight="false" outlineLevel="0" collapsed="false">
      <c r="A7621" s="31" t="n">
        <v>43053.4583333333</v>
      </c>
      <c r="B7621" s="32" t="n">
        <v>264.727</v>
      </c>
      <c r="D7621" s="33" t="n">
        <f aca="false">WEEKDAY(A7621,2)</f>
        <v>2</v>
      </c>
      <c r="E7621" s="33" t="n">
        <f aca="false">HOUR(A7621)+MINUTE(A7621)/60</f>
        <v>11</v>
      </c>
      <c r="F7621" s="33" t="n">
        <f aca="false">IF(OR(D7621&gt;5,E7621&lt;8,E7621&gt;=18,COUNTIF($K$2:$K$10,INT(A7621))&gt;0),1,0)</f>
        <v>0</v>
      </c>
      <c r="G7621" s="34" t="n">
        <f aca="false">B7621/1</f>
        <v>264.727</v>
      </c>
      <c r="H7621" s="34" t="str">
        <f aca="false">IF(F7621=1,G7621,"")</f>
        <v/>
      </c>
    </row>
    <row r="7622" customFormat="false" ht="15" hidden="false" customHeight="false" outlineLevel="0" collapsed="false">
      <c r="A7622" s="31" t="n">
        <v>43053.5</v>
      </c>
      <c r="B7622" s="32" t="n">
        <v>285.596</v>
      </c>
      <c r="D7622" s="33" t="n">
        <f aca="false">WEEKDAY(A7622,2)</f>
        <v>2</v>
      </c>
      <c r="E7622" s="33" t="n">
        <f aca="false">HOUR(A7622)+MINUTE(A7622)/60</f>
        <v>12</v>
      </c>
      <c r="F7622" s="33" t="n">
        <f aca="false">IF(OR(D7622&gt;5,E7622&lt;8,E7622&gt;=18,COUNTIF($K$2:$K$10,INT(A7622))&gt;0),1,0)</f>
        <v>0</v>
      </c>
      <c r="G7622" s="34" t="n">
        <f aca="false">B7622/1</f>
        <v>285.596</v>
      </c>
      <c r="H7622" s="34" t="str">
        <f aca="false">IF(F7622=1,G7622,"")</f>
        <v/>
      </c>
    </row>
    <row r="7623" customFormat="false" ht="15" hidden="false" customHeight="false" outlineLevel="0" collapsed="false">
      <c r="A7623" s="31" t="n">
        <v>43053.5416666667</v>
      </c>
      <c r="B7623" s="32" t="n">
        <v>271.584</v>
      </c>
      <c r="D7623" s="33" t="n">
        <f aca="false">WEEKDAY(A7623,2)</f>
        <v>2</v>
      </c>
      <c r="E7623" s="33" t="n">
        <f aca="false">HOUR(A7623)+MINUTE(A7623)/60</f>
        <v>13</v>
      </c>
      <c r="F7623" s="33" t="n">
        <f aca="false">IF(OR(D7623&gt;5,E7623&lt;8,E7623&gt;=18,COUNTIF($K$2:$K$10,INT(A7623))&gt;0),1,0)</f>
        <v>0</v>
      </c>
      <c r="G7623" s="34" t="n">
        <f aca="false">B7623/1</f>
        <v>271.584</v>
      </c>
      <c r="H7623" s="34" t="str">
        <f aca="false">IF(F7623=1,G7623,"")</f>
        <v/>
      </c>
    </row>
    <row r="7624" customFormat="false" ht="15" hidden="false" customHeight="false" outlineLevel="0" collapsed="false">
      <c r="A7624" s="31" t="n">
        <v>43053.5833333333</v>
      </c>
      <c r="B7624" s="32" t="n">
        <v>298.073</v>
      </c>
      <c r="D7624" s="33" t="n">
        <f aca="false">WEEKDAY(A7624,2)</f>
        <v>2</v>
      </c>
      <c r="E7624" s="33" t="n">
        <f aca="false">HOUR(A7624)+MINUTE(A7624)/60</f>
        <v>14</v>
      </c>
      <c r="F7624" s="33" t="n">
        <f aca="false">IF(OR(D7624&gt;5,E7624&lt;8,E7624&gt;=18,COUNTIF($K$2:$K$10,INT(A7624))&gt;0),1,0)</f>
        <v>0</v>
      </c>
      <c r="G7624" s="34" t="n">
        <f aca="false">B7624/1</f>
        <v>298.073</v>
      </c>
      <c r="H7624" s="34" t="str">
        <f aca="false">IF(F7624=1,G7624,"")</f>
        <v/>
      </c>
    </row>
    <row r="7625" customFormat="false" ht="15" hidden="false" customHeight="false" outlineLevel="0" collapsed="false">
      <c r="A7625" s="31" t="n">
        <v>43053.625</v>
      </c>
      <c r="B7625" s="32" t="n">
        <v>272.985</v>
      </c>
      <c r="D7625" s="33" t="n">
        <f aca="false">WEEKDAY(A7625,2)</f>
        <v>2</v>
      </c>
      <c r="E7625" s="33" t="n">
        <f aca="false">HOUR(A7625)+MINUTE(A7625)/60</f>
        <v>15</v>
      </c>
      <c r="F7625" s="33" t="n">
        <f aca="false">IF(OR(D7625&gt;5,E7625&lt;8,E7625&gt;=18,COUNTIF($K$2:$K$10,INT(A7625))&gt;0),1,0)</f>
        <v>0</v>
      </c>
      <c r="G7625" s="34" t="n">
        <f aca="false">B7625/1</f>
        <v>272.985</v>
      </c>
      <c r="H7625" s="34" t="str">
        <f aca="false">IF(F7625=1,G7625,"")</f>
        <v/>
      </c>
    </row>
    <row r="7626" customFormat="false" ht="15" hidden="false" customHeight="false" outlineLevel="0" collapsed="false">
      <c r="A7626" s="31" t="n">
        <v>43053.6666666667</v>
      </c>
      <c r="B7626" s="32" t="n">
        <v>271.606</v>
      </c>
      <c r="D7626" s="33" t="n">
        <f aca="false">WEEKDAY(A7626,2)</f>
        <v>2</v>
      </c>
      <c r="E7626" s="33" t="n">
        <f aca="false">HOUR(A7626)+MINUTE(A7626)/60</f>
        <v>16</v>
      </c>
      <c r="F7626" s="33" t="n">
        <f aca="false">IF(OR(D7626&gt;5,E7626&lt;8,E7626&gt;=18,COUNTIF($K$2:$K$10,INT(A7626))&gt;0),1,0)</f>
        <v>0</v>
      </c>
      <c r="G7626" s="34" t="n">
        <f aca="false">B7626/1</f>
        <v>271.606</v>
      </c>
      <c r="H7626" s="34" t="str">
        <f aca="false">IF(F7626=1,G7626,"")</f>
        <v/>
      </c>
    </row>
    <row r="7627" customFormat="false" ht="15" hidden="false" customHeight="false" outlineLevel="0" collapsed="false">
      <c r="A7627" s="31" t="n">
        <v>43053.7083333333</v>
      </c>
      <c r="B7627" s="32" t="n">
        <v>268.844</v>
      </c>
      <c r="D7627" s="33" t="n">
        <f aca="false">WEEKDAY(A7627,2)</f>
        <v>2</v>
      </c>
      <c r="E7627" s="33" t="n">
        <f aca="false">HOUR(A7627)+MINUTE(A7627)/60</f>
        <v>17</v>
      </c>
      <c r="F7627" s="33" t="n">
        <f aca="false">IF(OR(D7627&gt;5,E7627&lt;8,E7627&gt;=18,COUNTIF($K$2:$K$10,INT(A7627))&gt;0),1,0)</f>
        <v>0</v>
      </c>
      <c r="G7627" s="34" t="n">
        <f aca="false">B7627/1</f>
        <v>268.844</v>
      </c>
      <c r="H7627" s="34" t="str">
        <f aca="false">IF(F7627=1,G7627,"")</f>
        <v/>
      </c>
    </row>
    <row r="7628" customFormat="false" ht="15" hidden="false" customHeight="false" outlineLevel="0" collapsed="false">
      <c r="A7628" s="31" t="n">
        <v>43053.75</v>
      </c>
      <c r="B7628" s="32" t="n">
        <v>233.831</v>
      </c>
      <c r="D7628" s="33" t="n">
        <f aca="false">WEEKDAY(A7628,2)</f>
        <v>2</v>
      </c>
      <c r="E7628" s="33" t="n">
        <f aca="false">HOUR(A7628)+MINUTE(A7628)/60</f>
        <v>18</v>
      </c>
      <c r="F7628" s="33" t="n">
        <f aca="false">IF(OR(D7628&gt;5,E7628&lt;8,E7628&gt;=18,COUNTIF($K$2:$K$10,INT(A7628))&gt;0),1,0)</f>
        <v>1</v>
      </c>
      <c r="G7628" s="34" t="n">
        <f aca="false">B7628/1</f>
        <v>233.831</v>
      </c>
      <c r="H7628" s="34" t="n">
        <f aca="false">IF(F7628=1,G7628,"")</f>
        <v>233.831</v>
      </c>
    </row>
    <row r="7629" customFormat="false" ht="15" hidden="false" customHeight="false" outlineLevel="0" collapsed="false">
      <c r="A7629" s="31" t="n">
        <v>43053.7916666667</v>
      </c>
      <c r="B7629" s="32" t="n">
        <v>215.927</v>
      </c>
      <c r="D7629" s="33" t="n">
        <f aca="false">WEEKDAY(A7629,2)</f>
        <v>2</v>
      </c>
      <c r="E7629" s="33" t="n">
        <f aca="false">HOUR(A7629)+MINUTE(A7629)/60</f>
        <v>19</v>
      </c>
      <c r="F7629" s="33" t="n">
        <f aca="false">IF(OR(D7629&gt;5,E7629&lt;8,E7629&gt;=18,COUNTIF($K$2:$K$10,INT(A7629))&gt;0),1,0)</f>
        <v>1</v>
      </c>
      <c r="G7629" s="34" t="n">
        <f aca="false">B7629/1</f>
        <v>215.927</v>
      </c>
      <c r="H7629" s="34" t="n">
        <f aca="false">IF(F7629=1,G7629,"")</f>
        <v>215.927</v>
      </c>
    </row>
    <row r="7630" customFormat="false" ht="15" hidden="false" customHeight="false" outlineLevel="0" collapsed="false">
      <c r="A7630" s="31" t="n">
        <v>43053.8333333333</v>
      </c>
      <c r="B7630" s="32" t="n">
        <v>205.881</v>
      </c>
      <c r="D7630" s="33" t="n">
        <f aca="false">WEEKDAY(A7630,2)</f>
        <v>2</v>
      </c>
      <c r="E7630" s="33" t="n">
        <f aca="false">HOUR(A7630)+MINUTE(A7630)/60</f>
        <v>20</v>
      </c>
      <c r="F7630" s="33" t="n">
        <f aca="false">IF(OR(D7630&gt;5,E7630&lt;8,E7630&gt;=18,COUNTIF($K$2:$K$10,INT(A7630))&gt;0),1,0)</f>
        <v>1</v>
      </c>
      <c r="G7630" s="34" t="n">
        <f aca="false">B7630/1</f>
        <v>205.881</v>
      </c>
      <c r="H7630" s="34" t="n">
        <f aca="false">IF(F7630=1,G7630,"")</f>
        <v>205.881</v>
      </c>
    </row>
    <row r="7631" customFormat="false" ht="15" hidden="false" customHeight="false" outlineLevel="0" collapsed="false">
      <c r="A7631" s="31" t="n">
        <v>43053.875</v>
      </c>
      <c r="B7631" s="32" t="n">
        <v>198.508</v>
      </c>
      <c r="D7631" s="33" t="n">
        <f aca="false">WEEKDAY(A7631,2)</f>
        <v>2</v>
      </c>
      <c r="E7631" s="33" t="n">
        <f aca="false">HOUR(A7631)+MINUTE(A7631)/60</f>
        <v>21</v>
      </c>
      <c r="F7631" s="33" t="n">
        <f aca="false">IF(OR(D7631&gt;5,E7631&lt;8,E7631&gt;=18,COUNTIF($K$2:$K$10,INT(A7631))&gt;0),1,0)</f>
        <v>1</v>
      </c>
      <c r="G7631" s="34" t="n">
        <f aca="false">B7631/1</f>
        <v>198.508</v>
      </c>
      <c r="H7631" s="34" t="n">
        <f aca="false">IF(F7631=1,G7631,"")</f>
        <v>198.508</v>
      </c>
    </row>
    <row r="7632" customFormat="false" ht="15" hidden="false" customHeight="false" outlineLevel="0" collapsed="false">
      <c r="A7632" s="31" t="n">
        <v>43053.9166666667</v>
      </c>
      <c r="B7632" s="32" t="n">
        <v>137.838</v>
      </c>
      <c r="D7632" s="33" t="n">
        <f aca="false">WEEKDAY(A7632,2)</f>
        <v>2</v>
      </c>
      <c r="E7632" s="33" t="n">
        <f aca="false">HOUR(A7632)+MINUTE(A7632)/60</f>
        <v>22</v>
      </c>
      <c r="F7632" s="33" t="n">
        <f aca="false">IF(OR(D7632&gt;5,E7632&lt;8,E7632&gt;=18,COUNTIF($K$2:$K$10,INT(A7632))&gt;0),1,0)</f>
        <v>1</v>
      </c>
      <c r="G7632" s="34" t="n">
        <f aca="false">B7632/1</f>
        <v>137.838</v>
      </c>
      <c r="H7632" s="34" t="n">
        <f aca="false">IF(F7632=1,G7632,"")</f>
        <v>137.838</v>
      </c>
    </row>
    <row r="7633" customFormat="false" ht="15" hidden="false" customHeight="false" outlineLevel="0" collapsed="false">
      <c r="A7633" s="31" t="n">
        <v>43053.9583333333</v>
      </c>
      <c r="B7633" s="32" t="n">
        <v>79.156</v>
      </c>
      <c r="D7633" s="33" t="n">
        <f aca="false">WEEKDAY(A7633,2)</f>
        <v>2</v>
      </c>
      <c r="E7633" s="33" t="n">
        <f aca="false">HOUR(A7633)+MINUTE(A7633)/60</f>
        <v>23</v>
      </c>
      <c r="F7633" s="33" t="n">
        <f aca="false">IF(OR(D7633&gt;5,E7633&lt;8,E7633&gt;=18,COUNTIF($K$2:$K$10,INT(A7633))&gt;0),1,0)</f>
        <v>1</v>
      </c>
      <c r="G7633" s="34" t="n">
        <f aca="false">B7633/1</f>
        <v>79.156</v>
      </c>
      <c r="H7633" s="34" t="n">
        <f aca="false">IF(F7633=1,G7633,"")</f>
        <v>79.156</v>
      </c>
    </row>
    <row r="7634" customFormat="false" ht="15" hidden="false" customHeight="false" outlineLevel="0" collapsed="false">
      <c r="A7634" s="31" t="n">
        <v>43054</v>
      </c>
      <c r="B7634" s="32" t="n">
        <v>72.584</v>
      </c>
      <c r="D7634" s="33" t="n">
        <f aca="false">WEEKDAY(A7634,2)</f>
        <v>3</v>
      </c>
      <c r="E7634" s="33" t="n">
        <f aca="false">HOUR(A7634)+MINUTE(A7634)/60</f>
        <v>0</v>
      </c>
      <c r="F7634" s="33" t="n">
        <f aca="false">IF(OR(D7634&gt;5,E7634&lt;8,E7634&gt;=18,COUNTIF($K$2:$K$10,INT(A7634))&gt;0),1,0)</f>
        <v>1</v>
      </c>
      <c r="G7634" s="34" t="n">
        <f aca="false">B7634/1</f>
        <v>72.584</v>
      </c>
      <c r="H7634" s="34" t="n">
        <f aca="false">IF(F7634=1,G7634,"")</f>
        <v>72.584</v>
      </c>
    </row>
    <row r="7635" customFormat="false" ht="15" hidden="false" customHeight="false" outlineLevel="0" collapsed="false">
      <c r="A7635" s="31" t="n">
        <v>43054.0416666667</v>
      </c>
      <c r="B7635" s="32" t="n">
        <v>67.251</v>
      </c>
      <c r="D7635" s="33" t="n">
        <f aca="false">WEEKDAY(A7635,2)</f>
        <v>3</v>
      </c>
      <c r="E7635" s="33" t="n">
        <f aca="false">HOUR(A7635)+MINUTE(A7635)/60</f>
        <v>1</v>
      </c>
      <c r="F7635" s="33" t="n">
        <f aca="false">IF(OR(D7635&gt;5,E7635&lt;8,E7635&gt;=18,COUNTIF($K$2:$K$10,INT(A7635))&gt;0),1,0)</f>
        <v>1</v>
      </c>
      <c r="G7635" s="34" t="n">
        <f aca="false">B7635/1</f>
        <v>67.251</v>
      </c>
      <c r="H7635" s="34" t="n">
        <f aca="false">IF(F7635=1,G7635,"")</f>
        <v>67.251</v>
      </c>
    </row>
    <row r="7636" customFormat="false" ht="15" hidden="false" customHeight="false" outlineLevel="0" collapsed="false">
      <c r="A7636" s="31" t="n">
        <v>43054.0833333333</v>
      </c>
      <c r="B7636" s="32" t="n">
        <v>65.563</v>
      </c>
      <c r="D7636" s="33" t="n">
        <f aca="false">WEEKDAY(A7636,2)</f>
        <v>3</v>
      </c>
      <c r="E7636" s="33" t="n">
        <f aca="false">HOUR(A7636)+MINUTE(A7636)/60</f>
        <v>2</v>
      </c>
      <c r="F7636" s="33" t="n">
        <f aca="false">IF(OR(D7636&gt;5,E7636&lt;8,E7636&gt;=18,COUNTIF($K$2:$K$10,INT(A7636))&gt;0),1,0)</f>
        <v>1</v>
      </c>
      <c r="G7636" s="34" t="n">
        <f aca="false">B7636/1</f>
        <v>65.563</v>
      </c>
      <c r="H7636" s="34" t="n">
        <f aca="false">IF(F7636=1,G7636,"")</f>
        <v>65.563</v>
      </c>
    </row>
    <row r="7637" customFormat="false" ht="15" hidden="false" customHeight="false" outlineLevel="0" collapsed="false">
      <c r="A7637" s="31" t="n">
        <v>43054.125</v>
      </c>
      <c r="B7637" s="32" t="n">
        <v>66.911</v>
      </c>
      <c r="D7637" s="33" t="n">
        <f aca="false">WEEKDAY(A7637,2)</f>
        <v>3</v>
      </c>
      <c r="E7637" s="33" t="n">
        <f aca="false">HOUR(A7637)+MINUTE(A7637)/60</f>
        <v>3</v>
      </c>
      <c r="F7637" s="33" t="n">
        <f aca="false">IF(OR(D7637&gt;5,E7637&lt;8,E7637&gt;=18,COUNTIF($K$2:$K$10,INT(A7637))&gt;0),1,0)</f>
        <v>1</v>
      </c>
      <c r="G7637" s="34" t="n">
        <f aca="false">B7637/1</f>
        <v>66.911</v>
      </c>
      <c r="H7637" s="34" t="n">
        <f aca="false">IF(F7637=1,G7637,"")</f>
        <v>66.911</v>
      </c>
    </row>
    <row r="7638" customFormat="false" ht="15" hidden="false" customHeight="false" outlineLevel="0" collapsed="false">
      <c r="A7638" s="31" t="n">
        <v>43054.1666666667</v>
      </c>
      <c r="B7638" s="32" t="n">
        <v>65.444</v>
      </c>
      <c r="D7638" s="33" t="n">
        <f aca="false">WEEKDAY(A7638,2)</f>
        <v>3</v>
      </c>
      <c r="E7638" s="33" t="n">
        <f aca="false">HOUR(A7638)+MINUTE(A7638)/60</f>
        <v>4</v>
      </c>
      <c r="F7638" s="33" t="n">
        <f aca="false">IF(OR(D7638&gt;5,E7638&lt;8,E7638&gt;=18,COUNTIF($K$2:$K$10,INT(A7638))&gt;0),1,0)</f>
        <v>1</v>
      </c>
      <c r="G7638" s="34" t="n">
        <f aca="false">B7638/1</f>
        <v>65.444</v>
      </c>
      <c r="H7638" s="34" t="n">
        <f aca="false">IF(F7638=1,G7638,"")</f>
        <v>65.444</v>
      </c>
    </row>
    <row r="7639" customFormat="false" ht="15" hidden="false" customHeight="false" outlineLevel="0" collapsed="false">
      <c r="A7639" s="31" t="n">
        <v>43054.2083333333</v>
      </c>
      <c r="B7639" s="32" t="n">
        <v>63.525</v>
      </c>
      <c r="D7639" s="33" t="n">
        <f aca="false">WEEKDAY(A7639,2)</f>
        <v>3</v>
      </c>
      <c r="E7639" s="33" t="n">
        <f aca="false">HOUR(A7639)+MINUTE(A7639)/60</f>
        <v>5</v>
      </c>
      <c r="F7639" s="33" t="n">
        <f aca="false">IF(OR(D7639&gt;5,E7639&lt;8,E7639&gt;=18,COUNTIF($K$2:$K$10,INT(A7639))&gt;0),1,0)</f>
        <v>1</v>
      </c>
      <c r="G7639" s="34" t="n">
        <f aca="false">B7639/1</f>
        <v>63.525</v>
      </c>
      <c r="H7639" s="34" t="n">
        <f aca="false">IF(F7639=1,G7639,"")</f>
        <v>63.525</v>
      </c>
    </row>
    <row r="7640" customFormat="false" ht="15" hidden="false" customHeight="false" outlineLevel="0" collapsed="false">
      <c r="A7640" s="31" t="n">
        <v>43054.25</v>
      </c>
      <c r="B7640" s="32" t="n">
        <v>64.092</v>
      </c>
      <c r="D7640" s="33" t="n">
        <f aca="false">WEEKDAY(A7640,2)</f>
        <v>3</v>
      </c>
      <c r="E7640" s="33" t="n">
        <f aca="false">HOUR(A7640)+MINUTE(A7640)/60</f>
        <v>6</v>
      </c>
      <c r="F7640" s="33" t="n">
        <f aca="false">IF(OR(D7640&gt;5,E7640&lt;8,E7640&gt;=18,COUNTIF($K$2:$K$10,INT(A7640))&gt;0),1,0)</f>
        <v>1</v>
      </c>
      <c r="G7640" s="34" t="n">
        <f aca="false">B7640/1</f>
        <v>64.092</v>
      </c>
      <c r="H7640" s="34" t="n">
        <f aca="false">IF(F7640=1,G7640,"")</f>
        <v>64.092</v>
      </c>
    </row>
    <row r="7641" customFormat="false" ht="15" hidden="false" customHeight="false" outlineLevel="0" collapsed="false">
      <c r="A7641" s="31" t="n">
        <v>43054.2916666667</v>
      </c>
      <c r="B7641" s="32" t="n">
        <v>68.932</v>
      </c>
      <c r="D7641" s="33" t="n">
        <f aca="false">WEEKDAY(A7641,2)</f>
        <v>3</v>
      </c>
      <c r="E7641" s="33" t="n">
        <f aca="false">HOUR(A7641)+MINUTE(A7641)/60</f>
        <v>7</v>
      </c>
      <c r="F7641" s="33" t="n">
        <f aca="false">IF(OR(D7641&gt;5,E7641&lt;8,E7641&gt;=18,COUNTIF($K$2:$K$10,INT(A7641))&gt;0),1,0)</f>
        <v>1</v>
      </c>
      <c r="G7641" s="34" t="n">
        <f aca="false">B7641/1</f>
        <v>68.932</v>
      </c>
      <c r="H7641" s="34" t="n">
        <f aca="false">IF(F7641=1,G7641,"")</f>
        <v>68.932</v>
      </c>
    </row>
    <row r="7642" customFormat="false" ht="15" hidden="false" customHeight="false" outlineLevel="0" collapsed="false">
      <c r="A7642" s="31" t="n">
        <v>43054.3333333333</v>
      </c>
      <c r="B7642" s="32" t="n">
        <v>170.636</v>
      </c>
      <c r="D7642" s="33" t="n">
        <f aca="false">WEEKDAY(A7642,2)</f>
        <v>3</v>
      </c>
      <c r="E7642" s="33" t="n">
        <f aca="false">HOUR(A7642)+MINUTE(A7642)/60</f>
        <v>8</v>
      </c>
      <c r="F7642" s="33" t="n">
        <f aca="false">IF(OR(D7642&gt;5,E7642&lt;8,E7642&gt;=18,COUNTIF($K$2:$K$10,INT(A7642))&gt;0),1,0)</f>
        <v>0</v>
      </c>
      <c r="G7642" s="34" t="n">
        <f aca="false">B7642/1</f>
        <v>170.636</v>
      </c>
      <c r="H7642" s="34" t="str">
        <f aca="false">IF(F7642=1,G7642,"")</f>
        <v/>
      </c>
    </row>
    <row r="7643" customFormat="false" ht="15" hidden="false" customHeight="false" outlineLevel="0" collapsed="false">
      <c r="A7643" s="31" t="n">
        <v>43054.375</v>
      </c>
      <c r="B7643" s="32" t="n">
        <v>213.575</v>
      </c>
      <c r="D7643" s="33" t="n">
        <f aca="false">WEEKDAY(A7643,2)</f>
        <v>3</v>
      </c>
      <c r="E7643" s="33" t="n">
        <f aca="false">HOUR(A7643)+MINUTE(A7643)/60</f>
        <v>9</v>
      </c>
      <c r="F7643" s="33" t="n">
        <f aca="false">IF(OR(D7643&gt;5,E7643&lt;8,E7643&gt;=18,COUNTIF($K$2:$K$10,INT(A7643))&gt;0),1,0)</f>
        <v>0</v>
      </c>
      <c r="G7643" s="34" t="n">
        <f aca="false">B7643/1</f>
        <v>213.575</v>
      </c>
      <c r="H7643" s="34" t="str">
        <f aca="false">IF(F7643=1,G7643,"")</f>
        <v/>
      </c>
    </row>
    <row r="7644" customFormat="false" ht="15" hidden="false" customHeight="false" outlineLevel="0" collapsed="false">
      <c r="A7644" s="31" t="n">
        <v>43054.4166666667</v>
      </c>
      <c r="B7644" s="32" t="n">
        <v>243.372</v>
      </c>
      <c r="D7644" s="33" t="n">
        <f aca="false">WEEKDAY(A7644,2)</f>
        <v>3</v>
      </c>
      <c r="E7644" s="33" t="n">
        <f aca="false">HOUR(A7644)+MINUTE(A7644)/60</f>
        <v>10</v>
      </c>
      <c r="F7644" s="33" t="n">
        <f aca="false">IF(OR(D7644&gt;5,E7644&lt;8,E7644&gt;=18,COUNTIF($K$2:$K$10,INT(A7644))&gt;0),1,0)</f>
        <v>0</v>
      </c>
      <c r="G7644" s="34" t="n">
        <f aca="false">B7644/1</f>
        <v>243.372</v>
      </c>
      <c r="H7644" s="34" t="str">
        <f aca="false">IF(F7644=1,G7644,"")</f>
        <v/>
      </c>
    </row>
    <row r="7645" customFormat="false" ht="15" hidden="false" customHeight="false" outlineLevel="0" collapsed="false">
      <c r="A7645" s="31" t="n">
        <v>43054.4583333333</v>
      </c>
      <c r="B7645" s="32" t="n">
        <v>250.549</v>
      </c>
      <c r="D7645" s="33" t="n">
        <f aca="false">WEEKDAY(A7645,2)</f>
        <v>3</v>
      </c>
      <c r="E7645" s="33" t="n">
        <f aca="false">HOUR(A7645)+MINUTE(A7645)/60</f>
        <v>11</v>
      </c>
      <c r="F7645" s="33" t="n">
        <f aca="false">IF(OR(D7645&gt;5,E7645&lt;8,E7645&gt;=18,COUNTIF($K$2:$K$10,INT(A7645))&gt;0),1,0)</f>
        <v>0</v>
      </c>
      <c r="G7645" s="34" t="n">
        <f aca="false">B7645/1</f>
        <v>250.549</v>
      </c>
      <c r="H7645" s="34" t="str">
        <f aca="false">IF(F7645=1,G7645,"")</f>
        <v/>
      </c>
    </row>
    <row r="7646" customFormat="false" ht="15" hidden="false" customHeight="false" outlineLevel="0" collapsed="false">
      <c r="A7646" s="31" t="n">
        <v>43054.5</v>
      </c>
      <c r="B7646" s="32" t="n">
        <v>260.492</v>
      </c>
      <c r="D7646" s="33" t="n">
        <f aca="false">WEEKDAY(A7646,2)</f>
        <v>3</v>
      </c>
      <c r="E7646" s="33" t="n">
        <f aca="false">HOUR(A7646)+MINUTE(A7646)/60</f>
        <v>12</v>
      </c>
      <c r="F7646" s="33" t="n">
        <f aca="false">IF(OR(D7646&gt;5,E7646&lt;8,E7646&gt;=18,COUNTIF($K$2:$K$10,INT(A7646))&gt;0),1,0)</f>
        <v>0</v>
      </c>
      <c r="G7646" s="34" t="n">
        <f aca="false">B7646/1</f>
        <v>260.492</v>
      </c>
      <c r="H7646" s="34" t="str">
        <f aca="false">IF(F7646=1,G7646,"")</f>
        <v/>
      </c>
    </row>
    <row r="7647" customFormat="false" ht="15" hidden="false" customHeight="false" outlineLevel="0" collapsed="false">
      <c r="A7647" s="31" t="n">
        <v>43054.5416666667</v>
      </c>
      <c r="B7647" s="32" t="n">
        <v>260.015</v>
      </c>
      <c r="D7647" s="33" t="n">
        <f aca="false">WEEKDAY(A7647,2)</f>
        <v>3</v>
      </c>
      <c r="E7647" s="33" t="n">
        <f aca="false">HOUR(A7647)+MINUTE(A7647)/60</f>
        <v>13</v>
      </c>
      <c r="F7647" s="33" t="n">
        <f aca="false">IF(OR(D7647&gt;5,E7647&lt;8,E7647&gt;=18,COUNTIF($K$2:$K$10,INT(A7647))&gt;0),1,0)</f>
        <v>0</v>
      </c>
      <c r="G7647" s="34" t="n">
        <f aca="false">B7647/1</f>
        <v>260.015</v>
      </c>
      <c r="H7647" s="34" t="str">
        <f aca="false">IF(F7647=1,G7647,"")</f>
        <v/>
      </c>
    </row>
    <row r="7648" customFormat="false" ht="15" hidden="false" customHeight="false" outlineLevel="0" collapsed="false">
      <c r="A7648" s="31" t="n">
        <v>43054.5833333333</v>
      </c>
      <c r="B7648" s="32" t="n">
        <v>264.296</v>
      </c>
      <c r="D7648" s="33" t="n">
        <f aca="false">WEEKDAY(A7648,2)</f>
        <v>3</v>
      </c>
      <c r="E7648" s="33" t="n">
        <f aca="false">HOUR(A7648)+MINUTE(A7648)/60</f>
        <v>14</v>
      </c>
      <c r="F7648" s="33" t="n">
        <f aca="false">IF(OR(D7648&gt;5,E7648&lt;8,E7648&gt;=18,COUNTIF($K$2:$K$10,INT(A7648))&gt;0),1,0)</f>
        <v>0</v>
      </c>
      <c r="G7648" s="34" t="n">
        <f aca="false">B7648/1</f>
        <v>264.296</v>
      </c>
      <c r="H7648" s="34" t="str">
        <f aca="false">IF(F7648=1,G7648,"")</f>
        <v/>
      </c>
    </row>
    <row r="7649" customFormat="false" ht="15" hidden="false" customHeight="false" outlineLevel="0" collapsed="false">
      <c r="A7649" s="31" t="n">
        <v>43054.625</v>
      </c>
      <c r="B7649" s="32" t="n">
        <v>261.444</v>
      </c>
      <c r="D7649" s="33" t="n">
        <f aca="false">WEEKDAY(A7649,2)</f>
        <v>3</v>
      </c>
      <c r="E7649" s="33" t="n">
        <f aca="false">HOUR(A7649)+MINUTE(A7649)/60</f>
        <v>15</v>
      </c>
      <c r="F7649" s="33" t="n">
        <f aca="false">IF(OR(D7649&gt;5,E7649&lt;8,E7649&gt;=18,COUNTIF($K$2:$K$10,INT(A7649))&gt;0),1,0)</f>
        <v>0</v>
      </c>
      <c r="G7649" s="34" t="n">
        <f aca="false">B7649/1</f>
        <v>261.444</v>
      </c>
      <c r="H7649" s="34" t="str">
        <f aca="false">IF(F7649=1,G7649,"")</f>
        <v/>
      </c>
    </row>
    <row r="7650" customFormat="false" ht="15" hidden="false" customHeight="false" outlineLevel="0" collapsed="false">
      <c r="A7650" s="31" t="n">
        <v>43054.6666666667</v>
      </c>
      <c r="B7650" s="32" t="n">
        <v>266.642</v>
      </c>
      <c r="D7650" s="33" t="n">
        <f aca="false">WEEKDAY(A7650,2)</f>
        <v>3</v>
      </c>
      <c r="E7650" s="33" t="n">
        <f aca="false">HOUR(A7650)+MINUTE(A7650)/60</f>
        <v>16</v>
      </c>
      <c r="F7650" s="33" t="n">
        <f aca="false">IF(OR(D7650&gt;5,E7650&lt;8,E7650&gt;=18,COUNTIF($K$2:$K$10,INT(A7650))&gt;0),1,0)</f>
        <v>0</v>
      </c>
      <c r="G7650" s="34" t="n">
        <f aca="false">B7650/1</f>
        <v>266.642</v>
      </c>
      <c r="H7650" s="34" t="str">
        <f aca="false">IF(F7650=1,G7650,"")</f>
        <v/>
      </c>
    </row>
    <row r="7651" customFormat="false" ht="15" hidden="false" customHeight="false" outlineLevel="0" collapsed="false">
      <c r="A7651" s="31" t="n">
        <v>43054.7083333333</v>
      </c>
      <c r="B7651" s="32" t="n">
        <v>255.863</v>
      </c>
      <c r="D7651" s="33" t="n">
        <f aca="false">WEEKDAY(A7651,2)</f>
        <v>3</v>
      </c>
      <c r="E7651" s="33" t="n">
        <f aca="false">HOUR(A7651)+MINUTE(A7651)/60</f>
        <v>17</v>
      </c>
      <c r="F7651" s="33" t="n">
        <f aca="false">IF(OR(D7651&gt;5,E7651&lt;8,E7651&gt;=18,COUNTIF($K$2:$K$10,INT(A7651))&gt;0),1,0)</f>
        <v>0</v>
      </c>
      <c r="G7651" s="34" t="n">
        <f aca="false">B7651/1</f>
        <v>255.863</v>
      </c>
      <c r="H7651" s="34" t="str">
        <f aca="false">IF(F7651=1,G7651,"")</f>
        <v/>
      </c>
    </row>
    <row r="7652" customFormat="false" ht="15" hidden="false" customHeight="false" outlineLevel="0" collapsed="false">
      <c r="A7652" s="31" t="n">
        <v>43054.75</v>
      </c>
      <c r="B7652" s="32" t="n">
        <v>231.305</v>
      </c>
      <c r="D7652" s="33" t="n">
        <f aca="false">WEEKDAY(A7652,2)</f>
        <v>3</v>
      </c>
      <c r="E7652" s="33" t="n">
        <f aca="false">HOUR(A7652)+MINUTE(A7652)/60</f>
        <v>18</v>
      </c>
      <c r="F7652" s="33" t="n">
        <f aca="false">IF(OR(D7652&gt;5,E7652&lt;8,E7652&gt;=18,COUNTIF($K$2:$K$10,INT(A7652))&gt;0),1,0)</f>
        <v>1</v>
      </c>
      <c r="G7652" s="34" t="n">
        <f aca="false">B7652/1</f>
        <v>231.305</v>
      </c>
      <c r="H7652" s="34" t="n">
        <f aca="false">IF(F7652=1,G7652,"")</f>
        <v>231.305</v>
      </c>
    </row>
    <row r="7653" customFormat="false" ht="15" hidden="false" customHeight="false" outlineLevel="0" collapsed="false">
      <c r="A7653" s="31" t="n">
        <v>43054.7916666667</v>
      </c>
      <c r="B7653" s="32" t="n">
        <v>216.731</v>
      </c>
      <c r="D7653" s="33" t="n">
        <f aca="false">WEEKDAY(A7653,2)</f>
        <v>3</v>
      </c>
      <c r="E7653" s="33" t="n">
        <f aca="false">HOUR(A7653)+MINUTE(A7653)/60</f>
        <v>19</v>
      </c>
      <c r="F7653" s="33" t="n">
        <f aca="false">IF(OR(D7653&gt;5,E7653&lt;8,E7653&gt;=18,COUNTIF($K$2:$K$10,INT(A7653))&gt;0),1,0)</f>
        <v>1</v>
      </c>
      <c r="G7653" s="34" t="n">
        <f aca="false">B7653/1</f>
        <v>216.731</v>
      </c>
      <c r="H7653" s="34" t="n">
        <f aca="false">IF(F7653=1,G7653,"")</f>
        <v>216.731</v>
      </c>
    </row>
    <row r="7654" customFormat="false" ht="15" hidden="false" customHeight="false" outlineLevel="0" collapsed="false">
      <c r="A7654" s="31" t="n">
        <v>43054.8333333333</v>
      </c>
      <c r="B7654" s="32" t="n">
        <v>211.511</v>
      </c>
      <c r="D7654" s="33" t="n">
        <f aca="false">WEEKDAY(A7654,2)</f>
        <v>3</v>
      </c>
      <c r="E7654" s="33" t="n">
        <f aca="false">HOUR(A7654)+MINUTE(A7654)/60</f>
        <v>20</v>
      </c>
      <c r="F7654" s="33" t="n">
        <f aca="false">IF(OR(D7654&gt;5,E7654&lt;8,E7654&gt;=18,COUNTIF($K$2:$K$10,INT(A7654))&gt;0),1,0)</f>
        <v>1</v>
      </c>
      <c r="G7654" s="34" t="n">
        <f aca="false">B7654/1</f>
        <v>211.511</v>
      </c>
      <c r="H7654" s="34" t="n">
        <f aca="false">IF(F7654=1,G7654,"")</f>
        <v>211.511</v>
      </c>
    </row>
    <row r="7655" customFormat="false" ht="15" hidden="false" customHeight="false" outlineLevel="0" collapsed="false">
      <c r="A7655" s="31" t="n">
        <v>43054.875</v>
      </c>
      <c r="B7655" s="32" t="n">
        <v>198.052</v>
      </c>
      <c r="D7655" s="33" t="n">
        <f aca="false">WEEKDAY(A7655,2)</f>
        <v>3</v>
      </c>
      <c r="E7655" s="33" t="n">
        <f aca="false">HOUR(A7655)+MINUTE(A7655)/60</f>
        <v>21</v>
      </c>
      <c r="F7655" s="33" t="n">
        <f aca="false">IF(OR(D7655&gt;5,E7655&lt;8,E7655&gt;=18,COUNTIF($K$2:$K$10,INT(A7655))&gt;0),1,0)</f>
        <v>1</v>
      </c>
      <c r="G7655" s="34" t="n">
        <f aca="false">B7655/1</f>
        <v>198.052</v>
      </c>
      <c r="H7655" s="34" t="n">
        <f aca="false">IF(F7655=1,G7655,"")</f>
        <v>198.052</v>
      </c>
    </row>
    <row r="7656" customFormat="false" ht="15" hidden="false" customHeight="false" outlineLevel="0" collapsed="false">
      <c r="A7656" s="31" t="n">
        <v>43054.9166666667</v>
      </c>
      <c r="B7656" s="32" t="n">
        <v>144.471</v>
      </c>
      <c r="D7656" s="33" t="n">
        <f aca="false">WEEKDAY(A7656,2)</f>
        <v>3</v>
      </c>
      <c r="E7656" s="33" t="n">
        <f aca="false">HOUR(A7656)+MINUTE(A7656)/60</f>
        <v>22</v>
      </c>
      <c r="F7656" s="33" t="n">
        <f aca="false">IF(OR(D7656&gt;5,E7656&lt;8,E7656&gt;=18,COUNTIF($K$2:$K$10,INT(A7656))&gt;0),1,0)</f>
        <v>1</v>
      </c>
      <c r="G7656" s="34" t="n">
        <f aca="false">B7656/1</f>
        <v>144.471</v>
      </c>
      <c r="H7656" s="34" t="n">
        <f aca="false">IF(F7656=1,G7656,"")</f>
        <v>144.471</v>
      </c>
    </row>
    <row r="7657" customFormat="false" ht="15" hidden="false" customHeight="false" outlineLevel="0" collapsed="false">
      <c r="A7657" s="31" t="n">
        <v>43054.9583333333</v>
      </c>
      <c r="B7657" s="32" t="n">
        <v>81.271</v>
      </c>
      <c r="D7657" s="33" t="n">
        <f aca="false">WEEKDAY(A7657,2)</f>
        <v>3</v>
      </c>
      <c r="E7657" s="33" t="n">
        <f aca="false">HOUR(A7657)+MINUTE(A7657)/60</f>
        <v>23</v>
      </c>
      <c r="F7657" s="33" t="n">
        <f aca="false">IF(OR(D7657&gt;5,E7657&lt;8,E7657&gt;=18,COUNTIF($K$2:$K$10,INT(A7657))&gt;0),1,0)</f>
        <v>1</v>
      </c>
      <c r="G7657" s="34" t="n">
        <f aca="false">B7657/1</f>
        <v>81.271</v>
      </c>
      <c r="H7657" s="34" t="n">
        <f aca="false">IF(F7657=1,G7657,"")</f>
        <v>81.271</v>
      </c>
    </row>
    <row r="7658" customFormat="false" ht="15" hidden="false" customHeight="false" outlineLevel="0" collapsed="false">
      <c r="A7658" s="31" t="n">
        <v>43055</v>
      </c>
      <c r="B7658" s="32" t="n">
        <v>76.338</v>
      </c>
      <c r="D7658" s="33" t="n">
        <f aca="false">WEEKDAY(A7658,2)</f>
        <v>4</v>
      </c>
      <c r="E7658" s="33" t="n">
        <f aca="false">HOUR(A7658)+MINUTE(A7658)/60</f>
        <v>0</v>
      </c>
      <c r="F7658" s="33" t="n">
        <f aca="false">IF(OR(D7658&gt;5,E7658&lt;8,E7658&gt;=18,COUNTIF($K$2:$K$10,INT(A7658))&gt;0),1,0)</f>
        <v>1</v>
      </c>
      <c r="G7658" s="34" t="n">
        <f aca="false">B7658/1</f>
        <v>76.338</v>
      </c>
      <c r="H7658" s="34" t="n">
        <f aca="false">IF(F7658=1,G7658,"")</f>
        <v>76.338</v>
      </c>
    </row>
    <row r="7659" customFormat="false" ht="15" hidden="false" customHeight="false" outlineLevel="0" collapsed="false">
      <c r="A7659" s="31" t="n">
        <v>43055.0416666667</v>
      </c>
      <c r="B7659" s="32" t="n">
        <v>68.22</v>
      </c>
      <c r="D7659" s="33" t="n">
        <f aca="false">WEEKDAY(A7659,2)</f>
        <v>4</v>
      </c>
      <c r="E7659" s="33" t="n">
        <f aca="false">HOUR(A7659)+MINUTE(A7659)/60</f>
        <v>1</v>
      </c>
      <c r="F7659" s="33" t="n">
        <f aca="false">IF(OR(D7659&gt;5,E7659&lt;8,E7659&gt;=18,COUNTIF($K$2:$K$10,INT(A7659))&gt;0),1,0)</f>
        <v>1</v>
      </c>
      <c r="G7659" s="34" t="n">
        <f aca="false">B7659/1</f>
        <v>68.22</v>
      </c>
      <c r="H7659" s="34" t="n">
        <f aca="false">IF(F7659=1,G7659,"")</f>
        <v>68.22</v>
      </c>
    </row>
    <row r="7660" customFormat="false" ht="15" hidden="false" customHeight="false" outlineLevel="0" collapsed="false">
      <c r="A7660" s="31" t="n">
        <v>43055.0833333333</v>
      </c>
      <c r="B7660" s="32" t="n">
        <v>65.791</v>
      </c>
      <c r="D7660" s="33" t="n">
        <f aca="false">WEEKDAY(A7660,2)</f>
        <v>4</v>
      </c>
      <c r="E7660" s="33" t="n">
        <f aca="false">HOUR(A7660)+MINUTE(A7660)/60</f>
        <v>2</v>
      </c>
      <c r="F7660" s="33" t="n">
        <f aca="false">IF(OR(D7660&gt;5,E7660&lt;8,E7660&gt;=18,COUNTIF($K$2:$K$10,INT(A7660))&gt;0),1,0)</f>
        <v>1</v>
      </c>
      <c r="G7660" s="34" t="n">
        <f aca="false">B7660/1</f>
        <v>65.791</v>
      </c>
      <c r="H7660" s="34" t="n">
        <f aca="false">IF(F7660=1,G7660,"")</f>
        <v>65.791</v>
      </c>
    </row>
    <row r="7661" customFormat="false" ht="15" hidden="false" customHeight="false" outlineLevel="0" collapsed="false">
      <c r="A7661" s="31" t="n">
        <v>43055.125</v>
      </c>
      <c r="B7661" s="32" t="n">
        <v>62.628</v>
      </c>
      <c r="D7661" s="33" t="n">
        <f aca="false">WEEKDAY(A7661,2)</f>
        <v>4</v>
      </c>
      <c r="E7661" s="33" t="n">
        <f aca="false">HOUR(A7661)+MINUTE(A7661)/60</f>
        <v>3</v>
      </c>
      <c r="F7661" s="33" t="n">
        <f aca="false">IF(OR(D7661&gt;5,E7661&lt;8,E7661&gt;=18,COUNTIF($K$2:$K$10,INT(A7661))&gt;0),1,0)</f>
        <v>1</v>
      </c>
      <c r="G7661" s="34" t="n">
        <f aca="false">B7661/1</f>
        <v>62.628</v>
      </c>
      <c r="H7661" s="34" t="n">
        <f aca="false">IF(F7661=1,G7661,"")</f>
        <v>62.628</v>
      </c>
    </row>
    <row r="7662" customFormat="false" ht="15" hidden="false" customHeight="false" outlineLevel="0" collapsed="false">
      <c r="A7662" s="31" t="n">
        <v>43055.1666666667</v>
      </c>
      <c r="B7662" s="32" t="n">
        <v>62.766</v>
      </c>
      <c r="D7662" s="33" t="n">
        <f aca="false">WEEKDAY(A7662,2)</f>
        <v>4</v>
      </c>
      <c r="E7662" s="33" t="n">
        <f aca="false">HOUR(A7662)+MINUTE(A7662)/60</f>
        <v>4</v>
      </c>
      <c r="F7662" s="33" t="n">
        <f aca="false">IF(OR(D7662&gt;5,E7662&lt;8,E7662&gt;=18,COUNTIF($K$2:$K$10,INT(A7662))&gt;0),1,0)</f>
        <v>1</v>
      </c>
      <c r="G7662" s="34" t="n">
        <f aca="false">B7662/1</f>
        <v>62.766</v>
      </c>
      <c r="H7662" s="34" t="n">
        <f aca="false">IF(F7662=1,G7662,"")</f>
        <v>62.766</v>
      </c>
    </row>
    <row r="7663" customFormat="false" ht="15" hidden="false" customHeight="false" outlineLevel="0" collapsed="false">
      <c r="A7663" s="31" t="n">
        <v>43055.2083333333</v>
      </c>
      <c r="B7663" s="32" t="n">
        <v>61.223</v>
      </c>
      <c r="D7663" s="33" t="n">
        <f aca="false">WEEKDAY(A7663,2)</f>
        <v>4</v>
      </c>
      <c r="E7663" s="33" t="n">
        <f aca="false">HOUR(A7663)+MINUTE(A7663)/60</f>
        <v>5</v>
      </c>
      <c r="F7663" s="33" t="n">
        <f aca="false">IF(OR(D7663&gt;5,E7663&lt;8,E7663&gt;=18,COUNTIF($K$2:$K$10,INT(A7663))&gt;0),1,0)</f>
        <v>1</v>
      </c>
      <c r="G7663" s="34" t="n">
        <f aca="false">B7663/1</f>
        <v>61.223</v>
      </c>
      <c r="H7663" s="34" t="n">
        <f aca="false">IF(F7663=1,G7663,"")</f>
        <v>61.223</v>
      </c>
    </row>
    <row r="7664" customFormat="false" ht="15" hidden="false" customHeight="false" outlineLevel="0" collapsed="false">
      <c r="A7664" s="31" t="n">
        <v>43055.25</v>
      </c>
      <c r="B7664" s="32" t="n">
        <v>63.341</v>
      </c>
      <c r="D7664" s="33" t="n">
        <f aca="false">WEEKDAY(A7664,2)</f>
        <v>4</v>
      </c>
      <c r="E7664" s="33" t="n">
        <f aca="false">HOUR(A7664)+MINUTE(A7664)/60</f>
        <v>6</v>
      </c>
      <c r="F7664" s="33" t="n">
        <f aca="false">IF(OR(D7664&gt;5,E7664&lt;8,E7664&gt;=18,COUNTIF($K$2:$K$10,INT(A7664))&gt;0),1,0)</f>
        <v>1</v>
      </c>
      <c r="G7664" s="34" t="n">
        <f aca="false">B7664/1</f>
        <v>63.341</v>
      </c>
      <c r="H7664" s="34" t="n">
        <f aca="false">IF(F7664=1,G7664,"")</f>
        <v>63.341</v>
      </c>
    </row>
    <row r="7665" customFormat="false" ht="15" hidden="false" customHeight="false" outlineLevel="0" collapsed="false">
      <c r="A7665" s="31" t="n">
        <v>43055.2916666667</v>
      </c>
      <c r="B7665" s="32" t="n">
        <v>71.396</v>
      </c>
      <c r="D7665" s="33" t="n">
        <f aca="false">WEEKDAY(A7665,2)</f>
        <v>4</v>
      </c>
      <c r="E7665" s="33" t="n">
        <f aca="false">HOUR(A7665)+MINUTE(A7665)/60</f>
        <v>7</v>
      </c>
      <c r="F7665" s="33" t="n">
        <f aca="false">IF(OR(D7665&gt;5,E7665&lt;8,E7665&gt;=18,COUNTIF($K$2:$K$10,INT(A7665))&gt;0),1,0)</f>
        <v>1</v>
      </c>
      <c r="G7665" s="34" t="n">
        <f aca="false">B7665/1</f>
        <v>71.396</v>
      </c>
      <c r="H7665" s="34" t="n">
        <f aca="false">IF(F7665=1,G7665,"")</f>
        <v>71.396</v>
      </c>
    </row>
    <row r="7666" customFormat="false" ht="15" hidden="false" customHeight="false" outlineLevel="0" collapsed="false">
      <c r="A7666" s="31" t="n">
        <v>43055.3333333333</v>
      </c>
      <c r="B7666" s="32" t="n">
        <v>173.172</v>
      </c>
      <c r="D7666" s="33" t="n">
        <f aca="false">WEEKDAY(A7666,2)</f>
        <v>4</v>
      </c>
      <c r="E7666" s="33" t="n">
        <f aca="false">HOUR(A7666)+MINUTE(A7666)/60</f>
        <v>8</v>
      </c>
      <c r="F7666" s="33" t="n">
        <f aca="false">IF(OR(D7666&gt;5,E7666&lt;8,E7666&gt;=18,COUNTIF($K$2:$K$10,INT(A7666))&gt;0),1,0)</f>
        <v>0</v>
      </c>
      <c r="G7666" s="34" t="n">
        <f aca="false">B7666/1</f>
        <v>173.172</v>
      </c>
      <c r="H7666" s="34" t="str">
        <f aca="false">IF(F7666=1,G7666,"")</f>
        <v/>
      </c>
    </row>
    <row r="7667" customFormat="false" ht="15" hidden="false" customHeight="false" outlineLevel="0" collapsed="false">
      <c r="A7667" s="31" t="n">
        <v>43055.375</v>
      </c>
      <c r="B7667" s="32" t="n">
        <v>208.03</v>
      </c>
      <c r="D7667" s="33" t="n">
        <f aca="false">WEEKDAY(A7667,2)</f>
        <v>4</v>
      </c>
      <c r="E7667" s="33" t="n">
        <f aca="false">HOUR(A7667)+MINUTE(A7667)/60</f>
        <v>9</v>
      </c>
      <c r="F7667" s="33" t="n">
        <f aca="false">IF(OR(D7667&gt;5,E7667&lt;8,E7667&gt;=18,COUNTIF($K$2:$K$10,INT(A7667))&gt;0),1,0)</f>
        <v>0</v>
      </c>
      <c r="G7667" s="34" t="n">
        <f aca="false">B7667/1</f>
        <v>208.03</v>
      </c>
      <c r="H7667" s="34" t="str">
        <f aca="false">IF(F7667=1,G7667,"")</f>
        <v/>
      </c>
    </row>
    <row r="7668" customFormat="false" ht="15" hidden="false" customHeight="false" outlineLevel="0" collapsed="false">
      <c r="A7668" s="31" t="n">
        <v>43055.4166666667</v>
      </c>
      <c r="B7668" s="32" t="n">
        <v>226.349</v>
      </c>
      <c r="D7668" s="33" t="n">
        <f aca="false">WEEKDAY(A7668,2)</f>
        <v>4</v>
      </c>
      <c r="E7668" s="33" t="n">
        <f aca="false">HOUR(A7668)+MINUTE(A7668)/60</f>
        <v>10</v>
      </c>
      <c r="F7668" s="33" t="n">
        <f aca="false">IF(OR(D7668&gt;5,E7668&lt;8,E7668&gt;=18,COUNTIF($K$2:$K$10,INT(A7668))&gt;0),1,0)</f>
        <v>0</v>
      </c>
      <c r="G7668" s="34" t="n">
        <f aca="false">B7668/1</f>
        <v>226.349</v>
      </c>
      <c r="H7668" s="34" t="str">
        <f aca="false">IF(F7668=1,G7668,"")</f>
        <v/>
      </c>
    </row>
    <row r="7669" customFormat="false" ht="15" hidden="false" customHeight="false" outlineLevel="0" collapsed="false">
      <c r="A7669" s="31" t="n">
        <v>43055.4583333333</v>
      </c>
      <c r="B7669" s="32" t="n">
        <v>260.606</v>
      </c>
      <c r="D7669" s="33" t="n">
        <f aca="false">WEEKDAY(A7669,2)</f>
        <v>4</v>
      </c>
      <c r="E7669" s="33" t="n">
        <f aca="false">HOUR(A7669)+MINUTE(A7669)/60</f>
        <v>11</v>
      </c>
      <c r="F7669" s="33" t="n">
        <f aca="false">IF(OR(D7669&gt;5,E7669&lt;8,E7669&gt;=18,COUNTIF($K$2:$K$10,INT(A7669))&gt;0),1,0)</f>
        <v>0</v>
      </c>
      <c r="G7669" s="34" t="n">
        <f aca="false">B7669/1</f>
        <v>260.606</v>
      </c>
      <c r="H7669" s="34" t="str">
        <f aca="false">IF(F7669=1,G7669,"")</f>
        <v/>
      </c>
    </row>
    <row r="7670" customFormat="false" ht="15" hidden="false" customHeight="false" outlineLevel="0" collapsed="false">
      <c r="A7670" s="31" t="n">
        <v>43055.5</v>
      </c>
      <c r="B7670" s="32" t="n">
        <v>276.21</v>
      </c>
      <c r="D7670" s="33" t="n">
        <f aca="false">WEEKDAY(A7670,2)</f>
        <v>4</v>
      </c>
      <c r="E7670" s="33" t="n">
        <f aca="false">HOUR(A7670)+MINUTE(A7670)/60</f>
        <v>12</v>
      </c>
      <c r="F7670" s="33" t="n">
        <f aca="false">IF(OR(D7670&gt;5,E7670&lt;8,E7670&gt;=18,COUNTIF($K$2:$K$10,INT(A7670))&gt;0),1,0)</f>
        <v>0</v>
      </c>
      <c r="G7670" s="34" t="n">
        <f aca="false">B7670/1</f>
        <v>276.21</v>
      </c>
      <c r="H7670" s="34" t="str">
        <f aca="false">IF(F7670=1,G7670,"")</f>
        <v/>
      </c>
    </row>
    <row r="7671" customFormat="false" ht="15" hidden="false" customHeight="false" outlineLevel="0" collapsed="false">
      <c r="A7671" s="31" t="n">
        <v>43055.5416666667</v>
      </c>
      <c r="B7671" s="32" t="n">
        <v>254.566</v>
      </c>
      <c r="D7671" s="33" t="n">
        <f aca="false">WEEKDAY(A7671,2)</f>
        <v>4</v>
      </c>
      <c r="E7671" s="33" t="n">
        <f aca="false">HOUR(A7671)+MINUTE(A7671)/60</f>
        <v>13</v>
      </c>
      <c r="F7671" s="33" t="n">
        <f aca="false">IF(OR(D7671&gt;5,E7671&lt;8,E7671&gt;=18,COUNTIF($K$2:$K$10,INT(A7671))&gt;0),1,0)</f>
        <v>0</v>
      </c>
      <c r="G7671" s="34" t="n">
        <f aca="false">B7671/1</f>
        <v>254.566</v>
      </c>
      <c r="H7671" s="34" t="str">
        <f aca="false">IF(F7671=1,G7671,"")</f>
        <v/>
      </c>
    </row>
    <row r="7672" customFormat="false" ht="15" hidden="false" customHeight="false" outlineLevel="0" collapsed="false">
      <c r="A7672" s="31" t="n">
        <v>43055.5833333333</v>
      </c>
      <c r="B7672" s="32" t="n">
        <v>274.218</v>
      </c>
      <c r="D7672" s="33" t="n">
        <f aca="false">WEEKDAY(A7672,2)</f>
        <v>4</v>
      </c>
      <c r="E7672" s="33" t="n">
        <f aca="false">HOUR(A7672)+MINUTE(A7672)/60</f>
        <v>14</v>
      </c>
      <c r="F7672" s="33" t="n">
        <f aca="false">IF(OR(D7672&gt;5,E7672&lt;8,E7672&gt;=18,COUNTIF($K$2:$K$10,INT(A7672))&gt;0),1,0)</f>
        <v>0</v>
      </c>
      <c r="G7672" s="34" t="n">
        <f aca="false">B7672/1</f>
        <v>274.218</v>
      </c>
      <c r="H7672" s="34" t="str">
        <f aca="false">IF(F7672=1,G7672,"")</f>
        <v/>
      </c>
    </row>
    <row r="7673" customFormat="false" ht="15" hidden="false" customHeight="false" outlineLevel="0" collapsed="false">
      <c r="A7673" s="31" t="n">
        <v>43055.625</v>
      </c>
      <c r="B7673" s="32" t="n">
        <v>252.912</v>
      </c>
      <c r="D7673" s="33" t="n">
        <f aca="false">WEEKDAY(A7673,2)</f>
        <v>4</v>
      </c>
      <c r="E7673" s="33" t="n">
        <f aca="false">HOUR(A7673)+MINUTE(A7673)/60</f>
        <v>15</v>
      </c>
      <c r="F7673" s="33" t="n">
        <f aca="false">IF(OR(D7673&gt;5,E7673&lt;8,E7673&gt;=18,COUNTIF($K$2:$K$10,INT(A7673))&gt;0),1,0)</f>
        <v>0</v>
      </c>
      <c r="G7673" s="34" t="n">
        <f aca="false">B7673/1</f>
        <v>252.912</v>
      </c>
      <c r="H7673" s="34" t="str">
        <f aca="false">IF(F7673=1,G7673,"")</f>
        <v/>
      </c>
    </row>
    <row r="7674" customFormat="false" ht="15" hidden="false" customHeight="false" outlineLevel="0" collapsed="false">
      <c r="A7674" s="31" t="n">
        <v>43055.6666666667</v>
      </c>
      <c r="B7674" s="32" t="n">
        <v>265.68</v>
      </c>
      <c r="D7674" s="33" t="n">
        <f aca="false">WEEKDAY(A7674,2)</f>
        <v>4</v>
      </c>
      <c r="E7674" s="33" t="n">
        <f aca="false">HOUR(A7674)+MINUTE(A7674)/60</f>
        <v>16</v>
      </c>
      <c r="F7674" s="33" t="n">
        <f aca="false">IF(OR(D7674&gt;5,E7674&lt;8,E7674&gt;=18,COUNTIF($K$2:$K$10,INT(A7674))&gt;0),1,0)</f>
        <v>0</v>
      </c>
      <c r="G7674" s="34" t="n">
        <f aca="false">B7674/1</f>
        <v>265.68</v>
      </c>
      <c r="H7674" s="34" t="str">
        <f aca="false">IF(F7674=1,G7674,"")</f>
        <v/>
      </c>
    </row>
    <row r="7675" customFormat="false" ht="15" hidden="false" customHeight="false" outlineLevel="0" collapsed="false">
      <c r="A7675" s="31" t="n">
        <v>43055.7083333333</v>
      </c>
      <c r="B7675" s="32" t="n">
        <v>258.587</v>
      </c>
      <c r="D7675" s="33" t="n">
        <f aca="false">WEEKDAY(A7675,2)</f>
        <v>4</v>
      </c>
      <c r="E7675" s="33" t="n">
        <f aca="false">HOUR(A7675)+MINUTE(A7675)/60</f>
        <v>17</v>
      </c>
      <c r="F7675" s="33" t="n">
        <f aca="false">IF(OR(D7675&gt;5,E7675&lt;8,E7675&gt;=18,COUNTIF($K$2:$K$10,INT(A7675))&gt;0),1,0)</f>
        <v>0</v>
      </c>
      <c r="G7675" s="34" t="n">
        <f aca="false">B7675/1</f>
        <v>258.587</v>
      </c>
      <c r="H7675" s="34" t="str">
        <f aca="false">IF(F7675=1,G7675,"")</f>
        <v/>
      </c>
    </row>
    <row r="7676" customFormat="false" ht="15" hidden="false" customHeight="false" outlineLevel="0" collapsed="false">
      <c r="A7676" s="31" t="n">
        <v>43055.75</v>
      </c>
      <c r="B7676" s="32" t="n">
        <v>228.627</v>
      </c>
      <c r="D7676" s="33" t="n">
        <f aca="false">WEEKDAY(A7676,2)</f>
        <v>4</v>
      </c>
      <c r="E7676" s="33" t="n">
        <f aca="false">HOUR(A7676)+MINUTE(A7676)/60</f>
        <v>18</v>
      </c>
      <c r="F7676" s="33" t="n">
        <f aca="false">IF(OR(D7676&gt;5,E7676&lt;8,E7676&gt;=18,COUNTIF($K$2:$K$10,INT(A7676))&gt;0),1,0)</f>
        <v>1</v>
      </c>
      <c r="G7676" s="34" t="n">
        <f aca="false">B7676/1</f>
        <v>228.627</v>
      </c>
      <c r="H7676" s="34" t="n">
        <f aca="false">IF(F7676=1,G7676,"")</f>
        <v>228.627</v>
      </c>
    </row>
    <row r="7677" customFormat="false" ht="15" hidden="false" customHeight="false" outlineLevel="0" collapsed="false">
      <c r="A7677" s="31" t="n">
        <v>43055.7916666667</v>
      </c>
      <c r="B7677" s="32" t="n">
        <v>215.25</v>
      </c>
      <c r="D7677" s="33" t="n">
        <f aca="false">WEEKDAY(A7677,2)</f>
        <v>4</v>
      </c>
      <c r="E7677" s="33" t="n">
        <f aca="false">HOUR(A7677)+MINUTE(A7677)/60</f>
        <v>19</v>
      </c>
      <c r="F7677" s="33" t="n">
        <f aca="false">IF(OR(D7677&gt;5,E7677&lt;8,E7677&gt;=18,COUNTIF($K$2:$K$10,INT(A7677))&gt;0),1,0)</f>
        <v>1</v>
      </c>
      <c r="G7677" s="34" t="n">
        <f aca="false">B7677/1</f>
        <v>215.25</v>
      </c>
      <c r="H7677" s="34" t="n">
        <f aca="false">IF(F7677=1,G7677,"")</f>
        <v>215.25</v>
      </c>
    </row>
    <row r="7678" customFormat="false" ht="15" hidden="false" customHeight="false" outlineLevel="0" collapsed="false">
      <c r="A7678" s="31" t="n">
        <v>43055.8333333333</v>
      </c>
      <c r="B7678" s="32" t="n">
        <v>202.556</v>
      </c>
      <c r="D7678" s="33" t="n">
        <f aca="false">WEEKDAY(A7678,2)</f>
        <v>4</v>
      </c>
      <c r="E7678" s="33" t="n">
        <f aca="false">HOUR(A7678)+MINUTE(A7678)/60</f>
        <v>20</v>
      </c>
      <c r="F7678" s="33" t="n">
        <f aca="false">IF(OR(D7678&gt;5,E7678&lt;8,E7678&gt;=18,COUNTIF($K$2:$K$10,INT(A7678))&gt;0),1,0)</f>
        <v>1</v>
      </c>
      <c r="G7678" s="34" t="n">
        <f aca="false">B7678/1</f>
        <v>202.556</v>
      </c>
      <c r="H7678" s="34" t="n">
        <f aca="false">IF(F7678=1,G7678,"")</f>
        <v>202.556</v>
      </c>
    </row>
    <row r="7679" customFormat="false" ht="15" hidden="false" customHeight="false" outlineLevel="0" collapsed="false">
      <c r="A7679" s="31" t="n">
        <v>43055.875</v>
      </c>
      <c r="B7679" s="32" t="n">
        <v>192.32</v>
      </c>
      <c r="D7679" s="33" t="n">
        <f aca="false">WEEKDAY(A7679,2)</f>
        <v>4</v>
      </c>
      <c r="E7679" s="33" t="n">
        <f aca="false">HOUR(A7679)+MINUTE(A7679)/60</f>
        <v>21</v>
      </c>
      <c r="F7679" s="33" t="n">
        <f aca="false">IF(OR(D7679&gt;5,E7679&lt;8,E7679&gt;=18,COUNTIF($K$2:$K$10,INT(A7679))&gt;0),1,0)</f>
        <v>1</v>
      </c>
      <c r="G7679" s="34" t="n">
        <f aca="false">B7679/1</f>
        <v>192.32</v>
      </c>
      <c r="H7679" s="34" t="n">
        <f aca="false">IF(F7679=1,G7679,"")</f>
        <v>192.32</v>
      </c>
    </row>
    <row r="7680" customFormat="false" ht="15" hidden="false" customHeight="false" outlineLevel="0" collapsed="false">
      <c r="A7680" s="31" t="n">
        <v>43055.9166666667</v>
      </c>
      <c r="B7680" s="32" t="n">
        <v>135.69</v>
      </c>
      <c r="D7680" s="33" t="n">
        <f aca="false">WEEKDAY(A7680,2)</f>
        <v>4</v>
      </c>
      <c r="E7680" s="33" t="n">
        <f aca="false">HOUR(A7680)+MINUTE(A7680)/60</f>
        <v>22</v>
      </c>
      <c r="F7680" s="33" t="n">
        <f aca="false">IF(OR(D7680&gt;5,E7680&lt;8,E7680&gt;=18,COUNTIF($K$2:$K$10,INT(A7680))&gt;0),1,0)</f>
        <v>1</v>
      </c>
      <c r="G7680" s="34" t="n">
        <f aca="false">B7680/1</f>
        <v>135.69</v>
      </c>
      <c r="H7680" s="34" t="n">
        <f aca="false">IF(F7680=1,G7680,"")</f>
        <v>135.69</v>
      </c>
    </row>
    <row r="7681" customFormat="false" ht="15" hidden="false" customHeight="false" outlineLevel="0" collapsed="false">
      <c r="A7681" s="31" t="n">
        <v>43055.9583333333</v>
      </c>
      <c r="B7681" s="32" t="n">
        <v>80.48</v>
      </c>
      <c r="D7681" s="33" t="n">
        <f aca="false">WEEKDAY(A7681,2)</f>
        <v>4</v>
      </c>
      <c r="E7681" s="33" t="n">
        <f aca="false">HOUR(A7681)+MINUTE(A7681)/60</f>
        <v>23</v>
      </c>
      <c r="F7681" s="33" t="n">
        <f aca="false">IF(OR(D7681&gt;5,E7681&lt;8,E7681&gt;=18,COUNTIF($K$2:$K$10,INT(A7681))&gt;0),1,0)</f>
        <v>1</v>
      </c>
      <c r="G7681" s="34" t="n">
        <f aca="false">B7681/1</f>
        <v>80.48</v>
      </c>
      <c r="H7681" s="34" t="n">
        <f aca="false">IF(F7681=1,G7681,"")</f>
        <v>80.48</v>
      </c>
    </row>
    <row r="7682" customFormat="false" ht="15" hidden="false" customHeight="false" outlineLevel="0" collapsed="false">
      <c r="A7682" s="31" t="n">
        <v>43056</v>
      </c>
      <c r="B7682" s="32" t="n">
        <v>78.799</v>
      </c>
      <c r="D7682" s="33" t="n">
        <f aca="false">WEEKDAY(A7682,2)</f>
        <v>5</v>
      </c>
      <c r="E7682" s="33" t="n">
        <f aca="false">HOUR(A7682)+MINUTE(A7682)/60</f>
        <v>0</v>
      </c>
      <c r="F7682" s="33" t="n">
        <f aca="false">IF(OR(D7682&gt;5,E7682&lt;8,E7682&gt;=18,COUNTIF($K$2:$K$10,INT(A7682))&gt;0),1,0)</f>
        <v>1</v>
      </c>
      <c r="G7682" s="34" t="n">
        <f aca="false">B7682/1</f>
        <v>78.799</v>
      </c>
      <c r="H7682" s="34" t="n">
        <f aca="false">IF(F7682=1,G7682,"")</f>
        <v>78.799</v>
      </c>
    </row>
    <row r="7683" customFormat="false" ht="15" hidden="false" customHeight="false" outlineLevel="0" collapsed="false">
      <c r="A7683" s="31" t="n">
        <v>43056.0416666667</v>
      </c>
      <c r="B7683" s="32" t="n">
        <v>68.276</v>
      </c>
      <c r="D7683" s="33" t="n">
        <f aca="false">WEEKDAY(A7683,2)</f>
        <v>5</v>
      </c>
      <c r="E7683" s="33" t="n">
        <f aca="false">HOUR(A7683)+MINUTE(A7683)/60</f>
        <v>1</v>
      </c>
      <c r="F7683" s="33" t="n">
        <f aca="false">IF(OR(D7683&gt;5,E7683&lt;8,E7683&gt;=18,COUNTIF($K$2:$K$10,INT(A7683))&gt;0),1,0)</f>
        <v>1</v>
      </c>
      <c r="G7683" s="34" t="n">
        <f aca="false">B7683/1</f>
        <v>68.276</v>
      </c>
      <c r="H7683" s="34" t="n">
        <f aca="false">IF(F7683=1,G7683,"")</f>
        <v>68.276</v>
      </c>
    </row>
    <row r="7684" customFormat="false" ht="15" hidden="false" customHeight="false" outlineLevel="0" collapsed="false">
      <c r="A7684" s="31" t="n">
        <v>43056.0833333333</v>
      </c>
      <c r="B7684" s="32" t="n">
        <v>66.088</v>
      </c>
      <c r="D7684" s="33" t="n">
        <f aca="false">WEEKDAY(A7684,2)</f>
        <v>5</v>
      </c>
      <c r="E7684" s="33" t="n">
        <f aca="false">HOUR(A7684)+MINUTE(A7684)/60</f>
        <v>2</v>
      </c>
      <c r="F7684" s="33" t="n">
        <f aca="false">IF(OR(D7684&gt;5,E7684&lt;8,E7684&gt;=18,COUNTIF($K$2:$K$10,INT(A7684))&gt;0),1,0)</f>
        <v>1</v>
      </c>
      <c r="G7684" s="34" t="n">
        <f aca="false">B7684/1</f>
        <v>66.088</v>
      </c>
      <c r="H7684" s="34" t="n">
        <f aca="false">IF(F7684=1,G7684,"")</f>
        <v>66.088</v>
      </c>
    </row>
    <row r="7685" customFormat="false" ht="15" hidden="false" customHeight="false" outlineLevel="0" collapsed="false">
      <c r="A7685" s="31" t="n">
        <v>43056.125</v>
      </c>
      <c r="B7685" s="32" t="n">
        <v>65.932</v>
      </c>
      <c r="D7685" s="33" t="n">
        <f aca="false">WEEKDAY(A7685,2)</f>
        <v>5</v>
      </c>
      <c r="E7685" s="33" t="n">
        <f aca="false">HOUR(A7685)+MINUTE(A7685)/60</f>
        <v>3</v>
      </c>
      <c r="F7685" s="33" t="n">
        <f aca="false">IF(OR(D7685&gt;5,E7685&lt;8,E7685&gt;=18,COUNTIF($K$2:$K$10,INT(A7685))&gt;0),1,0)</f>
        <v>1</v>
      </c>
      <c r="G7685" s="34" t="n">
        <f aca="false">B7685/1</f>
        <v>65.932</v>
      </c>
      <c r="H7685" s="34" t="n">
        <f aca="false">IF(F7685=1,G7685,"")</f>
        <v>65.932</v>
      </c>
    </row>
    <row r="7686" customFormat="false" ht="15" hidden="false" customHeight="false" outlineLevel="0" collapsed="false">
      <c r="A7686" s="31" t="n">
        <v>43056.1666666667</v>
      </c>
      <c r="B7686" s="32" t="n">
        <v>64.358</v>
      </c>
      <c r="D7686" s="33" t="n">
        <f aca="false">WEEKDAY(A7686,2)</f>
        <v>5</v>
      </c>
      <c r="E7686" s="33" t="n">
        <f aca="false">HOUR(A7686)+MINUTE(A7686)/60</f>
        <v>4</v>
      </c>
      <c r="F7686" s="33" t="n">
        <f aca="false">IF(OR(D7686&gt;5,E7686&lt;8,E7686&gt;=18,COUNTIF($K$2:$K$10,INT(A7686))&gt;0),1,0)</f>
        <v>1</v>
      </c>
      <c r="G7686" s="34" t="n">
        <f aca="false">B7686/1</f>
        <v>64.358</v>
      </c>
      <c r="H7686" s="34" t="n">
        <f aca="false">IF(F7686=1,G7686,"")</f>
        <v>64.358</v>
      </c>
    </row>
    <row r="7687" customFormat="false" ht="15" hidden="false" customHeight="false" outlineLevel="0" collapsed="false">
      <c r="A7687" s="31" t="n">
        <v>43056.2083333333</v>
      </c>
      <c r="B7687" s="32" t="n">
        <v>63.301</v>
      </c>
      <c r="D7687" s="33" t="n">
        <f aca="false">WEEKDAY(A7687,2)</f>
        <v>5</v>
      </c>
      <c r="E7687" s="33" t="n">
        <f aca="false">HOUR(A7687)+MINUTE(A7687)/60</f>
        <v>5</v>
      </c>
      <c r="F7687" s="33" t="n">
        <f aca="false">IF(OR(D7687&gt;5,E7687&lt;8,E7687&gt;=18,COUNTIF($K$2:$K$10,INT(A7687))&gt;0),1,0)</f>
        <v>1</v>
      </c>
      <c r="G7687" s="34" t="n">
        <f aca="false">B7687/1</f>
        <v>63.301</v>
      </c>
      <c r="H7687" s="34" t="n">
        <f aca="false">IF(F7687=1,G7687,"")</f>
        <v>63.301</v>
      </c>
    </row>
    <row r="7688" customFormat="false" ht="15" hidden="false" customHeight="false" outlineLevel="0" collapsed="false">
      <c r="A7688" s="31" t="n">
        <v>43056.25</v>
      </c>
      <c r="B7688" s="32" t="n">
        <v>64.181</v>
      </c>
      <c r="D7688" s="33" t="n">
        <f aca="false">WEEKDAY(A7688,2)</f>
        <v>5</v>
      </c>
      <c r="E7688" s="33" t="n">
        <f aca="false">HOUR(A7688)+MINUTE(A7688)/60</f>
        <v>6</v>
      </c>
      <c r="F7688" s="33" t="n">
        <f aca="false">IF(OR(D7688&gt;5,E7688&lt;8,E7688&gt;=18,COUNTIF($K$2:$K$10,INT(A7688))&gt;0),1,0)</f>
        <v>1</v>
      </c>
      <c r="G7688" s="34" t="n">
        <f aca="false">B7688/1</f>
        <v>64.181</v>
      </c>
      <c r="H7688" s="34" t="n">
        <f aca="false">IF(F7688=1,G7688,"")</f>
        <v>64.181</v>
      </c>
    </row>
    <row r="7689" customFormat="false" ht="15" hidden="false" customHeight="false" outlineLevel="0" collapsed="false">
      <c r="A7689" s="31" t="n">
        <v>43056.2916666667</v>
      </c>
      <c r="B7689" s="32" t="n">
        <v>68.109</v>
      </c>
      <c r="D7689" s="33" t="n">
        <f aca="false">WEEKDAY(A7689,2)</f>
        <v>5</v>
      </c>
      <c r="E7689" s="33" t="n">
        <f aca="false">HOUR(A7689)+MINUTE(A7689)/60</f>
        <v>7</v>
      </c>
      <c r="F7689" s="33" t="n">
        <f aca="false">IF(OR(D7689&gt;5,E7689&lt;8,E7689&gt;=18,COUNTIF($K$2:$K$10,INT(A7689))&gt;0),1,0)</f>
        <v>1</v>
      </c>
      <c r="G7689" s="34" t="n">
        <f aca="false">B7689/1</f>
        <v>68.109</v>
      </c>
      <c r="H7689" s="34" t="n">
        <f aca="false">IF(F7689=1,G7689,"")</f>
        <v>68.109</v>
      </c>
    </row>
    <row r="7690" customFormat="false" ht="15" hidden="false" customHeight="false" outlineLevel="0" collapsed="false">
      <c r="A7690" s="31" t="n">
        <v>43056.3333333333</v>
      </c>
      <c r="B7690" s="32" t="n">
        <v>165.117</v>
      </c>
      <c r="D7690" s="33" t="n">
        <f aca="false">WEEKDAY(A7690,2)</f>
        <v>5</v>
      </c>
      <c r="E7690" s="33" t="n">
        <f aca="false">HOUR(A7690)+MINUTE(A7690)/60</f>
        <v>8</v>
      </c>
      <c r="F7690" s="33" t="n">
        <f aca="false">IF(OR(D7690&gt;5,E7690&lt;8,E7690&gt;=18,COUNTIF($K$2:$K$10,INT(A7690))&gt;0),1,0)</f>
        <v>0</v>
      </c>
      <c r="G7690" s="34" t="n">
        <f aca="false">B7690/1</f>
        <v>165.117</v>
      </c>
      <c r="H7690" s="34" t="str">
        <f aca="false">IF(F7690=1,G7690,"")</f>
        <v/>
      </c>
    </row>
    <row r="7691" customFormat="false" ht="15" hidden="false" customHeight="false" outlineLevel="0" collapsed="false">
      <c r="A7691" s="31" t="n">
        <v>43056.375</v>
      </c>
      <c r="B7691" s="32" t="n">
        <v>216.63</v>
      </c>
      <c r="D7691" s="33" t="n">
        <f aca="false">WEEKDAY(A7691,2)</f>
        <v>5</v>
      </c>
      <c r="E7691" s="33" t="n">
        <f aca="false">HOUR(A7691)+MINUTE(A7691)/60</f>
        <v>9</v>
      </c>
      <c r="F7691" s="33" t="n">
        <f aca="false">IF(OR(D7691&gt;5,E7691&lt;8,E7691&gt;=18,COUNTIF($K$2:$K$10,INT(A7691))&gt;0),1,0)</f>
        <v>0</v>
      </c>
      <c r="G7691" s="34" t="n">
        <f aca="false">B7691/1</f>
        <v>216.63</v>
      </c>
      <c r="H7691" s="34" t="str">
        <f aca="false">IF(F7691=1,G7691,"")</f>
        <v/>
      </c>
    </row>
    <row r="7692" customFormat="false" ht="15" hidden="false" customHeight="false" outlineLevel="0" collapsed="false">
      <c r="A7692" s="31" t="n">
        <v>43056.4166666667</v>
      </c>
      <c r="B7692" s="32" t="n">
        <v>240.891</v>
      </c>
      <c r="D7692" s="33" t="n">
        <f aca="false">WEEKDAY(A7692,2)</f>
        <v>5</v>
      </c>
      <c r="E7692" s="33" t="n">
        <f aca="false">HOUR(A7692)+MINUTE(A7692)/60</f>
        <v>10</v>
      </c>
      <c r="F7692" s="33" t="n">
        <f aca="false">IF(OR(D7692&gt;5,E7692&lt;8,E7692&gt;=18,COUNTIF($K$2:$K$10,INT(A7692))&gt;0),1,0)</f>
        <v>0</v>
      </c>
      <c r="G7692" s="34" t="n">
        <f aca="false">B7692/1</f>
        <v>240.891</v>
      </c>
      <c r="H7692" s="34" t="str">
        <f aca="false">IF(F7692=1,G7692,"")</f>
        <v/>
      </c>
    </row>
    <row r="7693" customFormat="false" ht="15" hidden="false" customHeight="false" outlineLevel="0" collapsed="false">
      <c r="A7693" s="31" t="n">
        <v>43056.4583333333</v>
      </c>
      <c r="B7693" s="32" t="n">
        <v>234.224</v>
      </c>
      <c r="D7693" s="33" t="n">
        <f aca="false">WEEKDAY(A7693,2)</f>
        <v>5</v>
      </c>
      <c r="E7693" s="33" t="n">
        <f aca="false">HOUR(A7693)+MINUTE(A7693)/60</f>
        <v>11</v>
      </c>
      <c r="F7693" s="33" t="n">
        <f aca="false">IF(OR(D7693&gt;5,E7693&lt;8,E7693&gt;=18,COUNTIF($K$2:$K$10,INT(A7693))&gt;0),1,0)</f>
        <v>0</v>
      </c>
      <c r="G7693" s="34" t="n">
        <f aca="false">B7693/1</f>
        <v>234.224</v>
      </c>
      <c r="H7693" s="34" t="str">
        <f aca="false">IF(F7693=1,G7693,"")</f>
        <v/>
      </c>
    </row>
    <row r="7694" customFormat="false" ht="15" hidden="false" customHeight="false" outlineLevel="0" collapsed="false">
      <c r="A7694" s="31" t="n">
        <v>43056.5</v>
      </c>
      <c r="B7694" s="32" t="n">
        <v>230.251</v>
      </c>
      <c r="D7694" s="33" t="n">
        <f aca="false">WEEKDAY(A7694,2)</f>
        <v>5</v>
      </c>
      <c r="E7694" s="33" t="n">
        <f aca="false">HOUR(A7694)+MINUTE(A7694)/60</f>
        <v>12</v>
      </c>
      <c r="F7694" s="33" t="n">
        <f aca="false">IF(OR(D7694&gt;5,E7694&lt;8,E7694&gt;=18,COUNTIF($K$2:$K$10,INT(A7694))&gt;0),1,0)</f>
        <v>0</v>
      </c>
      <c r="G7694" s="34" t="n">
        <f aca="false">B7694/1</f>
        <v>230.251</v>
      </c>
      <c r="H7694" s="34" t="str">
        <f aca="false">IF(F7694=1,G7694,"")</f>
        <v/>
      </c>
    </row>
    <row r="7695" customFormat="false" ht="15" hidden="false" customHeight="false" outlineLevel="0" collapsed="false">
      <c r="A7695" s="31" t="n">
        <v>43056.5416666667</v>
      </c>
      <c r="B7695" s="32" t="n">
        <v>240.231</v>
      </c>
      <c r="D7695" s="33" t="n">
        <f aca="false">WEEKDAY(A7695,2)</f>
        <v>5</v>
      </c>
      <c r="E7695" s="33" t="n">
        <f aca="false">HOUR(A7695)+MINUTE(A7695)/60</f>
        <v>13</v>
      </c>
      <c r="F7695" s="33" t="n">
        <f aca="false">IF(OR(D7695&gt;5,E7695&lt;8,E7695&gt;=18,COUNTIF($K$2:$K$10,INT(A7695))&gt;0),1,0)</f>
        <v>0</v>
      </c>
      <c r="G7695" s="34" t="n">
        <f aca="false">B7695/1</f>
        <v>240.231</v>
      </c>
      <c r="H7695" s="34" t="str">
        <f aca="false">IF(F7695=1,G7695,"")</f>
        <v/>
      </c>
    </row>
    <row r="7696" customFormat="false" ht="15" hidden="false" customHeight="false" outlineLevel="0" collapsed="false">
      <c r="A7696" s="31" t="n">
        <v>43056.5833333333</v>
      </c>
      <c r="B7696" s="32" t="n">
        <v>248.594</v>
      </c>
      <c r="D7696" s="33" t="n">
        <f aca="false">WEEKDAY(A7696,2)</f>
        <v>5</v>
      </c>
      <c r="E7696" s="33" t="n">
        <f aca="false">HOUR(A7696)+MINUTE(A7696)/60</f>
        <v>14</v>
      </c>
      <c r="F7696" s="33" t="n">
        <f aca="false">IF(OR(D7696&gt;5,E7696&lt;8,E7696&gt;=18,COUNTIF($K$2:$K$10,INT(A7696))&gt;0),1,0)</f>
        <v>0</v>
      </c>
      <c r="G7696" s="34" t="n">
        <f aca="false">B7696/1</f>
        <v>248.594</v>
      </c>
      <c r="H7696" s="34" t="str">
        <f aca="false">IF(F7696=1,G7696,"")</f>
        <v/>
      </c>
    </row>
    <row r="7697" customFormat="false" ht="15" hidden="false" customHeight="false" outlineLevel="0" collapsed="false">
      <c r="A7697" s="31" t="n">
        <v>43056.625</v>
      </c>
      <c r="B7697" s="32" t="n">
        <v>230.826</v>
      </c>
      <c r="D7697" s="33" t="n">
        <f aca="false">WEEKDAY(A7697,2)</f>
        <v>5</v>
      </c>
      <c r="E7697" s="33" t="n">
        <f aca="false">HOUR(A7697)+MINUTE(A7697)/60</f>
        <v>15</v>
      </c>
      <c r="F7697" s="33" t="n">
        <f aca="false">IF(OR(D7697&gt;5,E7697&lt;8,E7697&gt;=18,COUNTIF($K$2:$K$10,INT(A7697))&gt;0),1,0)</f>
        <v>0</v>
      </c>
      <c r="G7697" s="34" t="n">
        <f aca="false">B7697/1</f>
        <v>230.826</v>
      </c>
      <c r="H7697" s="34" t="str">
        <f aca="false">IF(F7697=1,G7697,"")</f>
        <v/>
      </c>
    </row>
    <row r="7698" customFormat="false" ht="15" hidden="false" customHeight="false" outlineLevel="0" collapsed="false">
      <c r="A7698" s="31" t="n">
        <v>43056.6666666667</v>
      </c>
      <c r="B7698" s="32" t="n">
        <v>219.103</v>
      </c>
      <c r="D7698" s="33" t="n">
        <f aca="false">WEEKDAY(A7698,2)</f>
        <v>5</v>
      </c>
      <c r="E7698" s="33" t="n">
        <f aca="false">HOUR(A7698)+MINUTE(A7698)/60</f>
        <v>16</v>
      </c>
      <c r="F7698" s="33" t="n">
        <f aca="false">IF(OR(D7698&gt;5,E7698&lt;8,E7698&gt;=18,COUNTIF($K$2:$K$10,INT(A7698))&gt;0),1,0)</f>
        <v>0</v>
      </c>
      <c r="G7698" s="34" t="n">
        <f aca="false">B7698/1</f>
        <v>219.103</v>
      </c>
      <c r="H7698" s="34" t="str">
        <f aca="false">IF(F7698=1,G7698,"")</f>
        <v/>
      </c>
    </row>
    <row r="7699" customFormat="false" ht="15" hidden="false" customHeight="false" outlineLevel="0" collapsed="false">
      <c r="A7699" s="31" t="n">
        <v>43056.7083333333</v>
      </c>
      <c r="B7699" s="32" t="n">
        <v>209.243</v>
      </c>
      <c r="D7699" s="33" t="n">
        <f aca="false">WEEKDAY(A7699,2)</f>
        <v>5</v>
      </c>
      <c r="E7699" s="33" t="n">
        <f aca="false">HOUR(A7699)+MINUTE(A7699)/60</f>
        <v>17</v>
      </c>
      <c r="F7699" s="33" t="n">
        <f aca="false">IF(OR(D7699&gt;5,E7699&lt;8,E7699&gt;=18,COUNTIF($K$2:$K$10,INT(A7699))&gt;0),1,0)</f>
        <v>0</v>
      </c>
      <c r="G7699" s="34" t="n">
        <f aca="false">B7699/1</f>
        <v>209.243</v>
      </c>
      <c r="H7699" s="34" t="str">
        <f aca="false">IF(F7699=1,G7699,"")</f>
        <v/>
      </c>
    </row>
    <row r="7700" customFormat="false" ht="15" hidden="false" customHeight="false" outlineLevel="0" collapsed="false">
      <c r="A7700" s="31" t="n">
        <v>43056.75</v>
      </c>
      <c r="B7700" s="32" t="n">
        <v>195.576</v>
      </c>
      <c r="D7700" s="33" t="n">
        <f aca="false">WEEKDAY(A7700,2)</f>
        <v>5</v>
      </c>
      <c r="E7700" s="33" t="n">
        <f aca="false">HOUR(A7700)+MINUTE(A7700)/60</f>
        <v>18</v>
      </c>
      <c r="F7700" s="33" t="n">
        <f aca="false">IF(OR(D7700&gt;5,E7700&lt;8,E7700&gt;=18,COUNTIF($K$2:$K$10,INT(A7700))&gt;0),1,0)</f>
        <v>1</v>
      </c>
      <c r="G7700" s="34" t="n">
        <f aca="false">B7700/1</f>
        <v>195.576</v>
      </c>
      <c r="H7700" s="34" t="n">
        <f aca="false">IF(F7700=1,G7700,"")</f>
        <v>195.576</v>
      </c>
    </row>
    <row r="7701" customFormat="false" ht="15" hidden="false" customHeight="false" outlineLevel="0" collapsed="false">
      <c r="A7701" s="31" t="n">
        <v>43056.7916666667</v>
      </c>
      <c r="B7701" s="32" t="n">
        <v>190.553</v>
      </c>
      <c r="D7701" s="33" t="n">
        <f aca="false">WEEKDAY(A7701,2)</f>
        <v>5</v>
      </c>
      <c r="E7701" s="33" t="n">
        <f aca="false">HOUR(A7701)+MINUTE(A7701)/60</f>
        <v>19</v>
      </c>
      <c r="F7701" s="33" t="n">
        <f aca="false">IF(OR(D7701&gt;5,E7701&lt;8,E7701&gt;=18,COUNTIF($K$2:$K$10,INT(A7701))&gt;0),1,0)</f>
        <v>1</v>
      </c>
      <c r="G7701" s="34" t="n">
        <f aca="false">B7701/1</f>
        <v>190.553</v>
      </c>
      <c r="H7701" s="34" t="n">
        <f aca="false">IF(F7701=1,G7701,"")</f>
        <v>190.553</v>
      </c>
    </row>
    <row r="7702" customFormat="false" ht="15" hidden="false" customHeight="false" outlineLevel="0" collapsed="false">
      <c r="A7702" s="31" t="n">
        <v>43056.8333333333</v>
      </c>
      <c r="B7702" s="32" t="n">
        <v>185.373</v>
      </c>
      <c r="D7702" s="33" t="n">
        <f aca="false">WEEKDAY(A7702,2)</f>
        <v>5</v>
      </c>
      <c r="E7702" s="33" t="n">
        <f aca="false">HOUR(A7702)+MINUTE(A7702)/60</f>
        <v>20</v>
      </c>
      <c r="F7702" s="33" t="n">
        <f aca="false">IF(OR(D7702&gt;5,E7702&lt;8,E7702&gt;=18,COUNTIF($K$2:$K$10,INT(A7702))&gt;0),1,0)</f>
        <v>1</v>
      </c>
      <c r="G7702" s="34" t="n">
        <f aca="false">B7702/1</f>
        <v>185.373</v>
      </c>
      <c r="H7702" s="34" t="n">
        <f aca="false">IF(F7702=1,G7702,"")</f>
        <v>185.373</v>
      </c>
    </row>
    <row r="7703" customFormat="false" ht="15" hidden="false" customHeight="false" outlineLevel="0" collapsed="false">
      <c r="A7703" s="31" t="n">
        <v>43056.875</v>
      </c>
      <c r="B7703" s="32" t="n">
        <v>182.305</v>
      </c>
      <c r="D7703" s="33" t="n">
        <f aca="false">WEEKDAY(A7703,2)</f>
        <v>5</v>
      </c>
      <c r="E7703" s="33" t="n">
        <f aca="false">HOUR(A7703)+MINUTE(A7703)/60</f>
        <v>21</v>
      </c>
      <c r="F7703" s="33" t="n">
        <f aca="false">IF(OR(D7703&gt;5,E7703&lt;8,E7703&gt;=18,COUNTIF($K$2:$K$10,INT(A7703))&gt;0),1,0)</f>
        <v>1</v>
      </c>
      <c r="G7703" s="34" t="n">
        <f aca="false">B7703/1</f>
        <v>182.305</v>
      </c>
      <c r="H7703" s="34" t="n">
        <f aca="false">IF(F7703=1,G7703,"")</f>
        <v>182.305</v>
      </c>
    </row>
    <row r="7704" customFormat="false" ht="15" hidden="false" customHeight="false" outlineLevel="0" collapsed="false">
      <c r="A7704" s="31" t="n">
        <v>43056.9166666667</v>
      </c>
      <c r="B7704" s="32" t="n">
        <v>140.379</v>
      </c>
      <c r="D7704" s="33" t="n">
        <f aca="false">WEEKDAY(A7704,2)</f>
        <v>5</v>
      </c>
      <c r="E7704" s="33" t="n">
        <f aca="false">HOUR(A7704)+MINUTE(A7704)/60</f>
        <v>22</v>
      </c>
      <c r="F7704" s="33" t="n">
        <f aca="false">IF(OR(D7704&gt;5,E7704&lt;8,E7704&gt;=18,COUNTIF($K$2:$K$10,INT(A7704))&gt;0),1,0)</f>
        <v>1</v>
      </c>
      <c r="G7704" s="34" t="n">
        <f aca="false">B7704/1</f>
        <v>140.379</v>
      </c>
      <c r="H7704" s="34" t="n">
        <f aca="false">IF(F7704=1,G7704,"")</f>
        <v>140.379</v>
      </c>
    </row>
    <row r="7705" customFormat="false" ht="15" hidden="false" customHeight="false" outlineLevel="0" collapsed="false">
      <c r="A7705" s="31" t="n">
        <v>43056.9583333333</v>
      </c>
      <c r="B7705" s="32" t="n">
        <v>81.26</v>
      </c>
      <c r="D7705" s="33" t="n">
        <f aca="false">WEEKDAY(A7705,2)</f>
        <v>5</v>
      </c>
      <c r="E7705" s="33" t="n">
        <f aca="false">HOUR(A7705)+MINUTE(A7705)/60</f>
        <v>23</v>
      </c>
      <c r="F7705" s="33" t="n">
        <f aca="false">IF(OR(D7705&gt;5,E7705&lt;8,E7705&gt;=18,COUNTIF($K$2:$K$10,INT(A7705))&gt;0),1,0)</f>
        <v>1</v>
      </c>
      <c r="G7705" s="34" t="n">
        <f aca="false">B7705/1</f>
        <v>81.26</v>
      </c>
      <c r="H7705" s="34" t="n">
        <f aca="false">IF(F7705=1,G7705,"")</f>
        <v>81.26</v>
      </c>
    </row>
    <row r="7706" customFormat="false" ht="15" hidden="false" customHeight="false" outlineLevel="0" collapsed="false">
      <c r="A7706" s="31" t="n">
        <v>43057</v>
      </c>
      <c r="B7706" s="32" t="n">
        <v>75.69</v>
      </c>
      <c r="D7706" s="33" t="n">
        <f aca="false">WEEKDAY(A7706,2)</f>
        <v>6</v>
      </c>
      <c r="E7706" s="33" t="n">
        <f aca="false">HOUR(A7706)+MINUTE(A7706)/60</f>
        <v>0</v>
      </c>
      <c r="F7706" s="33" t="n">
        <f aca="false">IF(OR(D7706&gt;5,E7706&lt;8,E7706&gt;=18,COUNTIF($K$2:$K$10,INT(A7706))&gt;0),1,0)</f>
        <v>1</v>
      </c>
      <c r="G7706" s="34" t="n">
        <f aca="false">B7706/1</f>
        <v>75.69</v>
      </c>
      <c r="H7706" s="34" t="n">
        <f aca="false">IF(F7706=1,G7706,"")</f>
        <v>75.69</v>
      </c>
    </row>
    <row r="7707" customFormat="false" ht="15" hidden="false" customHeight="false" outlineLevel="0" collapsed="false">
      <c r="A7707" s="31" t="n">
        <v>43057.0416666667</v>
      </c>
      <c r="B7707" s="32" t="n">
        <v>70.796</v>
      </c>
      <c r="D7707" s="33" t="n">
        <f aca="false">WEEKDAY(A7707,2)</f>
        <v>6</v>
      </c>
      <c r="E7707" s="33" t="n">
        <f aca="false">HOUR(A7707)+MINUTE(A7707)/60</f>
        <v>1</v>
      </c>
      <c r="F7707" s="33" t="n">
        <f aca="false">IF(OR(D7707&gt;5,E7707&lt;8,E7707&gt;=18,COUNTIF($K$2:$K$10,INT(A7707))&gt;0),1,0)</f>
        <v>1</v>
      </c>
      <c r="G7707" s="34" t="n">
        <f aca="false">B7707/1</f>
        <v>70.796</v>
      </c>
      <c r="H7707" s="34" t="n">
        <f aca="false">IF(F7707=1,G7707,"")</f>
        <v>70.796</v>
      </c>
    </row>
    <row r="7708" customFormat="false" ht="15" hidden="false" customHeight="false" outlineLevel="0" collapsed="false">
      <c r="A7708" s="31" t="n">
        <v>43057.0833333333</v>
      </c>
      <c r="B7708" s="32" t="n">
        <v>72.08</v>
      </c>
      <c r="D7708" s="33" t="n">
        <f aca="false">WEEKDAY(A7708,2)</f>
        <v>6</v>
      </c>
      <c r="E7708" s="33" t="n">
        <f aca="false">HOUR(A7708)+MINUTE(A7708)/60</f>
        <v>2</v>
      </c>
      <c r="F7708" s="33" t="n">
        <f aca="false">IF(OR(D7708&gt;5,E7708&lt;8,E7708&gt;=18,COUNTIF($K$2:$K$10,INT(A7708))&gt;0),1,0)</f>
        <v>1</v>
      </c>
      <c r="G7708" s="34" t="n">
        <f aca="false">B7708/1</f>
        <v>72.08</v>
      </c>
      <c r="H7708" s="34" t="n">
        <f aca="false">IF(F7708=1,G7708,"")</f>
        <v>72.08</v>
      </c>
    </row>
    <row r="7709" customFormat="false" ht="15" hidden="false" customHeight="false" outlineLevel="0" collapsed="false">
      <c r="A7709" s="31" t="n">
        <v>43057.125</v>
      </c>
      <c r="B7709" s="32" t="n">
        <v>71.37</v>
      </c>
      <c r="D7709" s="33" t="n">
        <f aca="false">WEEKDAY(A7709,2)</f>
        <v>6</v>
      </c>
      <c r="E7709" s="33" t="n">
        <f aca="false">HOUR(A7709)+MINUTE(A7709)/60</f>
        <v>3</v>
      </c>
      <c r="F7709" s="33" t="n">
        <f aca="false">IF(OR(D7709&gt;5,E7709&lt;8,E7709&gt;=18,COUNTIF($K$2:$K$10,INT(A7709))&gt;0),1,0)</f>
        <v>1</v>
      </c>
      <c r="G7709" s="34" t="n">
        <f aca="false">B7709/1</f>
        <v>71.37</v>
      </c>
      <c r="H7709" s="34" t="n">
        <f aca="false">IF(F7709=1,G7709,"")</f>
        <v>71.37</v>
      </c>
    </row>
    <row r="7710" customFormat="false" ht="15" hidden="false" customHeight="false" outlineLevel="0" collapsed="false">
      <c r="A7710" s="31" t="n">
        <v>43057.1666666667</v>
      </c>
      <c r="B7710" s="32" t="n">
        <v>66.15</v>
      </c>
      <c r="D7710" s="33" t="n">
        <f aca="false">WEEKDAY(A7710,2)</f>
        <v>6</v>
      </c>
      <c r="E7710" s="33" t="n">
        <f aca="false">HOUR(A7710)+MINUTE(A7710)/60</f>
        <v>4</v>
      </c>
      <c r="F7710" s="33" t="n">
        <f aca="false">IF(OR(D7710&gt;5,E7710&lt;8,E7710&gt;=18,COUNTIF($K$2:$K$10,INT(A7710))&gt;0),1,0)</f>
        <v>1</v>
      </c>
      <c r="G7710" s="34" t="n">
        <f aca="false">B7710/1</f>
        <v>66.15</v>
      </c>
      <c r="H7710" s="34" t="n">
        <f aca="false">IF(F7710=1,G7710,"")</f>
        <v>66.15</v>
      </c>
    </row>
    <row r="7711" customFormat="false" ht="15" hidden="false" customHeight="false" outlineLevel="0" collapsed="false">
      <c r="A7711" s="31" t="n">
        <v>43057.2083333333</v>
      </c>
      <c r="B7711" s="32" t="n">
        <v>63.872</v>
      </c>
      <c r="D7711" s="33" t="n">
        <f aca="false">WEEKDAY(A7711,2)</f>
        <v>6</v>
      </c>
      <c r="E7711" s="33" t="n">
        <f aca="false">HOUR(A7711)+MINUTE(A7711)/60</f>
        <v>5</v>
      </c>
      <c r="F7711" s="33" t="n">
        <f aca="false">IF(OR(D7711&gt;5,E7711&lt;8,E7711&gt;=18,COUNTIF($K$2:$K$10,INT(A7711))&gt;0),1,0)</f>
        <v>1</v>
      </c>
      <c r="G7711" s="34" t="n">
        <f aca="false">B7711/1</f>
        <v>63.872</v>
      </c>
      <c r="H7711" s="34" t="n">
        <f aca="false">IF(F7711=1,G7711,"")</f>
        <v>63.872</v>
      </c>
    </row>
    <row r="7712" customFormat="false" ht="15" hidden="false" customHeight="false" outlineLevel="0" collapsed="false">
      <c r="A7712" s="31" t="n">
        <v>43057.25</v>
      </c>
      <c r="B7712" s="32" t="n">
        <v>63.967</v>
      </c>
      <c r="D7712" s="33" t="n">
        <f aca="false">WEEKDAY(A7712,2)</f>
        <v>6</v>
      </c>
      <c r="E7712" s="33" t="n">
        <f aca="false">HOUR(A7712)+MINUTE(A7712)/60</f>
        <v>6</v>
      </c>
      <c r="F7712" s="33" t="n">
        <f aca="false">IF(OR(D7712&gt;5,E7712&lt;8,E7712&gt;=18,COUNTIF($K$2:$K$10,INT(A7712))&gt;0),1,0)</f>
        <v>1</v>
      </c>
      <c r="G7712" s="34" t="n">
        <f aca="false">B7712/1</f>
        <v>63.967</v>
      </c>
      <c r="H7712" s="34" t="n">
        <f aca="false">IF(F7712=1,G7712,"")</f>
        <v>63.967</v>
      </c>
    </row>
    <row r="7713" customFormat="false" ht="15" hidden="false" customHeight="false" outlineLevel="0" collapsed="false">
      <c r="A7713" s="31" t="n">
        <v>43057.2916666667</v>
      </c>
      <c r="B7713" s="32" t="n">
        <v>62.419</v>
      </c>
      <c r="D7713" s="33" t="n">
        <f aca="false">WEEKDAY(A7713,2)</f>
        <v>6</v>
      </c>
      <c r="E7713" s="33" t="n">
        <f aca="false">HOUR(A7713)+MINUTE(A7713)/60</f>
        <v>7</v>
      </c>
      <c r="F7713" s="33" t="n">
        <f aca="false">IF(OR(D7713&gt;5,E7713&lt;8,E7713&gt;=18,COUNTIF($K$2:$K$10,INT(A7713))&gt;0),1,0)</f>
        <v>1</v>
      </c>
      <c r="G7713" s="34" t="n">
        <f aca="false">B7713/1</f>
        <v>62.419</v>
      </c>
      <c r="H7713" s="34" t="n">
        <f aca="false">IF(F7713=1,G7713,"")</f>
        <v>62.419</v>
      </c>
    </row>
    <row r="7714" customFormat="false" ht="15" hidden="false" customHeight="false" outlineLevel="0" collapsed="false">
      <c r="A7714" s="31" t="n">
        <v>43057.3333333333</v>
      </c>
      <c r="B7714" s="32" t="n">
        <v>120.469</v>
      </c>
      <c r="D7714" s="33" t="n">
        <f aca="false">WEEKDAY(A7714,2)</f>
        <v>6</v>
      </c>
      <c r="E7714" s="33" t="n">
        <f aca="false">HOUR(A7714)+MINUTE(A7714)/60</f>
        <v>8</v>
      </c>
      <c r="F7714" s="33" t="n">
        <f aca="false">IF(OR(D7714&gt;5,E7714&lt;8,E7714&gt;=18,COUNTIF($K$2:$K$10,INT(A7714))&gt;0),1,0)</f>
        <v>1</v>
      </c>
      <c r="G7714" s="34" t="n">
        <f aca="false">B7714/1</f>
        <v>120.469</v>
      </c>
      <c r="H7714" s="34" t="n">
        <f aca="false">IF(F7714=1,G7714,"")</f>
        <v>120.469</v>
      </c>
    </row>
    <row r="7715" customFormat="false" ht="15" hidden="false" customHeight="false" outlineLevel="0" collapsed="false">
      <c r="A7715" s="31" t="n">
        <v>43057.375</v>
      </c>
      <c r="B7715" s="32" t="n">
        <v>159.623</v>
      </c>
      <c r="D7715" s="33" t="n">
        <f aca="false">WEEKDAY(A7715,2)</f>
        <v>6</v>
      </c>
      <c r="E7715" s="33" t="n">
        <f aca="false">HOUR(A7715)+MINUTE(A7715)/60</f>
        <v>9</v>
      </c>
      <c r="F7715" s="33" t="n">
        <f aca="false">IF(OR(D7715&gt;5,E7715&lt;8,E7715&gt;=18,COUNTIF($K$2:$K$10,INT(A7715))&gt;0),1,0)</f>
        <v>1</v>
      </c>
      <c r="G7715" s="34" t="n">
        <f aca="false">B7715/1</f>
        <v>159.623</v>
      </c>
      <c r="H7715" s="34" t="n">
        <f aca="false">IF(F7715=1,G7715,"")</f>
        <v>159.623</v>
      </c>
    </row>
    <row r="7716" customFormat="false" ht="15" hidden="false" customHeight="false" outlineLevel="0" collapsed="false">
      <c r="A7716" s="31" t="n">
        <v>43057.4166666667</v>
      </c>
      <c r="B7716" s="32" t="n">
        <v>166.365</v>
      </c>
      <c r="D7716" s="33" t="n">
        <f aca="false">WEEKDAY(A7716,2)</f>
        <v>6</v>
      </c>
      <c r="E7716" s="33" t="n">
        <f aca="false">HOUR(A7716)+MINUTE(A7716)/60</f>
        <v>10</v>
      </c>
      <c r="F7716" s="33" t="n">
        <f aca="false">IF(OR(D7716&gt;5,E7716&lt;8,E7716&gt;=18,COUNTIF($K$2:$K$10,INT(A7716))&gt;0),1,0)</f>
        <v>1</v>
      </c>
      <c r="G7716" s="34" t="n">
        <f aca="false">B7716/1</f>
        <v>166.365</v>
      </c>
      <c r="H7716" s="34" t="n">
        <f aca="false">IF(F7716=1,G7716,"")</f>
        <v>166.365</v>
      </c>
    </row>
    <row r="7717" customFormat="false" ht="15" hidden="false" customHeight="false" outlineLevel="0" collapsed="false">
      <c r="A7717" s="31" t="n">
        <v>43057.4583333333</v>
      </c>
      <c r="B7717" s="32" t="n">
        <v>168.77</v>
      </c>
      <c r="D7717" s="33" t="n">
        <f aca="false">WEEKDAY(A7717,2)</f>
        <v>6</v>
      </c>
      <c r="E7717" s="33" t="n">
        <f aca="false">HOUR(A7717)+MINUTE(A7717)/60</f>
        <v>11</v>
      </c>
      <c r="F7717" s="33" t="n">
        <f aca="false">IF(OR(D7717&gt;5,E7717&lt;8,E7717&gt;=18,COUNTIF($K$2:$K$10,INT(A7717))&gt;0),1,0)</f>
        <v>1</v>
      </c>
      <c r="G7717" s="34" t="n">
        <f aca="false">B7717/1</f>
        <v>168.77</v>
      </c>
      <c r="H7717" s="34" t="n">
        <f aca="false">IF(F7717=1,G7717,"")</f>
        <v>168.77</v>
      </c>
    </row>
    <row r="7718" customFormat="false" ht="15" hidden="false" customHeight="false" outlineLevel="0" collapsed="false">
      <c r="A7718" s="31" t="n">
        <v>43057.5</v>
      </c>
      <c r="B7718" s="32" t="n">
        <v>172.488</v>
      </c>
      <c r="D7718" s="33" t="n">
        <f aca="false">WEEKDAY(A7718,2)</f>
        <v>6</v>
      </c>
      <c r="E7718" s="33" t="n">
        <f aca="false">HOUR(A7718)+MINUTE(A7718)/60</f>
        <v>12</v>
      </c>
      <c r="F7718" s="33" t="n">
        <f aca="false">IF(OR(D7718&gt;5,E7718&lt;8,E7718&gt;=18,COUNTIF($K$2:$K$10,INT(A7718))&gt;0),1,0)</f>
        <v>1</v>
      </c>
      <c r="G7718" s="34" t="n">
        <f aca="false">B7718/1</f>
        <v>172.488</v>
      </c>
      <c r="H7718" s="34" t="n">
        <f aca="false">IF(F7718=1,G7718,"")</f>
        <v>172.488</v>
      </c>
    </row>
    <row r="7719" customFormat="false" ht="15" hidden="false" customHeight="false" outlineLevel="0" collapsed="false">
      <c r="A7719" s="31" t="n">
        <v>43057.5416666667</v>
      </c>
      <c r="B7719" s="32" t="n">
        <v>172.538</v>
      </c>
      <c r="D7719" s="33" t="n">
        <f aca="false">WEEKDAY(A7719,2)</f>
        <v>6</v>
      </c>
      <c r="E7719" s="33" t="n">
        <f aca="false">HOUR(A7719)+MINUTE(A7719)/60</f>
        <v>13</v>
      </c>
      <c r="F7719" s="33" t="n">
        <f aca="false">IF(OR(D7719&gt;5,E7719&lt;8,E7719&gt;=18,COUNTIF($K$2:$K$10,INT(A7719))&gt;0),1,0)</f>
        <v>1</v>
      </c>
      <c r="G7719" s="34" t="n">
        <f aca="false">B7719/1</f>
        <v>172.538</v>
      </c>
      <c r="H7719" s="34" t="n">
        <f aca="false">IF(F7719=1,G7719,"")</f>
        <v>172.538</v>
      </c>
    </row>
    <row r="7720" customFormat="false" ht="15" hidden="false" customHeight="false" outlineLevel="0" collapsed="false">
      <c r="A7720" s="31" t="n">
        <v>43057.5833333333</v>
      </c>
      <c r="B7720" s="32" t="n">
        <v>174.487</v>
      </c>
      <c r="D7720" s="33" t="n">
        <f aca="false">WEEKDAY(A7720,2)</f>
        <v>6</v>
      </c>
      <c r="E7720" s="33" t="n">
        <f aca="false">HOUR(A7720)+MINUTE(A7720)/60</f>
        <v>14</v>
      </c>
      <c r="F7720" s="33" t="n">
        <f aca="false">IF(OR(D7720&gt;5,E7720&lt;8,E7720&gt;=18,COUNTIF($K$2:$K$10,INT(A7720))&gt;0),1,0)</f>
        <v>1</v>
      </c>
      <c r="G7720" s="34" t="n">
        <f aca="false">B7720/1</f>
        <v>174.487</v>
      </c>
      <c r="H7720" s="34" t="n">
        <f aca="false">IF(F7720=1,G7720,"")</f>
        <v>174.487</v>
      </c>
    </row>
    <row r="7721" customFormat="false" ht="15" hidden="false" customHeight="false" outlineLevel="0" collapsed="false">
      <c r="A7721" s="31" t="n">
        <v>43057.625</v>
      </c>
      <c r="B7721" s="32" t="n">
        <v>178.187</v>
      </c>
      <c r="D7721" s="33" t="n">
        <f aca="false">WEEKDAY(A7721,2)</f>
        <v>6</v>
      </c>
      <c r="E7721" s="33" t="n">
        <f aca="false">HOUR(A7721)+MINUTE(A7721)/60</f>
        <v>15</v>
      </c>
      <c r="F7721" s="33" t="n">
        <f aca="false">IF(OR(D7721&gt;5,E7721&lt;8,E7721&gt;=18,COUNTIF($K$2:$K$10,INT(A7721))&gt;0),1,0)</f>
        <v>1</v>
      </c>
      <c r="G7721" s="34" t="n">
        <f aca="false">B7721/1</f>
        <v>178.187</v>
      </c>
      <c r="H7721" s="34" t="n">
        <f aca="false">IF(F7721=1,G7721,"")</f>
        <v>178.187</v>
      </c>
    </row>
    <row r="7722" customFormat="false" ht="15" hidden="false" customHeight="false" outlineLevel="0" collapsed="false">
      <c r="A7722" s="31" t="n">
        <v>43057.6666666667</v>
      </c>
      <c r="B7722" s="32" t="n">
        <v>175.794</v>
      </c>
      <c r="D7722" s="33" t="n">
        <f aca="false">WEEKDAY(A7722,2)</f>
        <v>6</v>
      </c>
      <c r="E7722" s="33" t="n">
        <f aca="false">HOUR(A7722)+MINUTE(A7722)/60</f>
        <v>16</v>
      </c>
      <c r="F7722" s="33" t="n">
        <f aca="false">IF(OR(D7722&gt;5,E7722&lt;8,E7722&gt;=18,COUNTIF($K$2:$K$10,INT(A7722))&gt;0),1,0)</f>
        <v>1</v>
      </c>
      <c r="G7722" s="34" t="n">
        <f aca="false">B7722/1</f>
        <v>175.794</v>
      </c>
      <c r="H7722" s="34" t="n">
        <f aca="false">IF(F7722=1,G7722,"")</f>
        <v>175.794</v>
      </c>
    </row>
    <row r="7723" customFormat="false" ht="15" hidden="false" customHeight="false" outlineLevel="0" collapsed="false">
      <c r="A7723" s="31" t="n">
        <v>43057.7083333333</v>
      </c>
      <c r="B7723" s="32" t="n">
        <v>170.714</v>
      </c>
      <c r="D7723" s="33" t="n">
        <f aca="false">WEEKDAY(A7723,2)</f>
        <v>6</v>
      </c>
      <c r="E7723" s="33" t="n">
        <f aca="false">HOUR(A7723)+MINUTE(A7723)/60</f>
        <v>17</v>
      </c>
      <c r="F7723" s="33" t="n">
        <f aca="false">IF(OR(D7723&gt;5,E7723&lt;8,E7723&gt;=18,COUNTIF($K$2:$K$10,INT(A7723))&gt;0),1,0)</f>
        <v>1</v>
      </c>
      <c r="G7723" s="34" t="n">
        <f aca="false">B7723/1</f>
        <v>170.714</v>
      </c>
      <c r="H7723" s="34" t="n">
        <f aca="false">IF(F7723=1,G7723,"")</f>
        <v>170.714</v>
      </c>
    </row>
    <row r="7724" customFormat="false" ht="15" hidden="false" customHeight="false" outlineLevel="0" collapsed="false">
      <c r="A7724" s="31" t="n">
        <v>43057.75</v>
      </c>
      <c r="B7724" s="32" t="n">
        <v>96.269</v>
      </c>
      <c r="D7724" s="33" t="n">
        <f aca="false">WEEKDAY(A7724,2)</f>
        <v>6</v>
      </c>
      <c r="E7724" s="33" t="n">
        <f aca="false">HOUR(A7724)+MINUTE(A7724)/60</f>
        <v>18</v>
      </c>
      <c r="F7724" s="33" t="n">
        <f aca="false">IF(OR(D7724&gt;5,E7724&lt;8,E7724&gt;=18,COUNTIF($K$2:$K$10,INT(A7724))&gt;0),1,0)</f>
        <v>1</v>
      </c>
      <c r="G7724" s="34" t="n">
        <f aca="false">B7724/1</f>
        <v>96.269</v>
      </c>
      <c r="H7724" s="34" t="n">
        <f aca="false">IF(F7724=1,G7724,"")</f>
        <v>96.269</v>
      </c>
    </row>
    <row r="7725" customFormat="false" ht="15" hidden="false" customHeight="false" outlineLevel="0" collapsed="false">
      <c r="A7725" s="31" t="n">
        <v>43057.7916666667</v>
      </c>
      <c r="B7725" s="32" t="n">
        <v>78.327</v>
      </c>
      <c r="D7725" s="33" t="n">
        <f aca="false">WEEKDAY(A7725,2)</f>
        <v>6</v>
      </c>
      <c r="E7725" s="33" t="n">
        <f aca="false">HOUR(A7725)+MINUTE(A7725)/60</f>
        <v>19</v>
      </c>
      <c r="F7725" s="33" t="n">
        <f aca="false">IF(OR(D7725&gt;5,E7725&lt;8,E7725&gt;=18,COUNTIF($K$2:$K$10,INT(A7725))&gt;0),1,0)</f>
        <v>1</v>
      </c>
      <c r="G7725" s="34" t="n">
        <f aca="false">B7725/1</f>
        <v>78.327</v>
      </c>
      <c r="H7725" s="34" t="n">
        <f aca="false">IF(F7725=1,G7725,"")</f>
        <v>78.327</v>
      </c>
    </row>
    <row r="7726" customFormat="false" ht="15" hidden="false" customHeight="false" outlineLevel="0" collapsed="false">
      <c r="A7726" s="31" t="n">
        <v>43057.8333333333</v>
      </c>
      <c r="B7726" s="32" t="n">
        <v>76.681</v>
      </c>
      <c r="D7726" s="33" t="n">
        <f aca="false">WEEKDAY(A7726,2)</f>
        <v>6</v>
      </c>
      <c r="E7726" s="33" t="n">
        <f aca="false">HOUR(A7726)+MINUTE(A7726)/60</f>
        <v>20</v>
      </c>
      <c r="F7726" s="33" t="n">
        <f aca="false">IF(OR(D7726&gt;5,E7726&lt;8,E7726&gt;=18,COUNTIF($K$2:$K$10,INT(A7726))&gt;0),1,0)</f>
        <v>1</v>
      </c>
      <c r="G7726" s="34" t="n">
        <f aca="false">B7726/1</f>
        <v>76.681</v>
      </c>
      <c r="H7726" s="34" t="n">
        <f aca="false">IF(F7726=1,G7726,"")</f>
        <v>76.681</v>
      </c>
    </row>
    <row r="7727" customFormat="false" ht="15" hidden="false" customHeight="false" outlineLevel="0" collapsed="false">
      <c r="A7727" s="31" t="n">
        <v>43057.875</v>
      </c>
      <c r="B7727" s="32" t="n">
        <v>74.574</v>
      </c>
      <c r="D7727" s="33" t="n">
        <f aca="false">WEEKDAY(A7727,2)</f>
        <v>6</v>
      </c>
      <c r="E7727" s="33" t="n">
        <f aca="false">HOUR(A7727)+MINUTE(A7727)/60</f>
        <v>21</v>
      </c>
      <c r="F7727" s="33" t="n">
        <f aca="false">IF(OR(D7727&gt;5,E7727&lt;8,E7727&gt;=18,COUNTIF($K$2:$K$10,INT(A7727))&gt;0),1,0)</f>
        <v>1</v>
      </c>
      <c r="G7727" s="34" t="n">
        <f aca="false">B7727/1</f>
        <v>74.574</v>
      </c>
      <c r="H7727" s="34" t="n">
        <f aca="false">IF(F7727=1,G7727,"")</f>
        <v>74.574</v>
      </c>
    </row>
    <row r="7728" customFormat="false" ht="15" hidden="false" customHeight="false" outlineLevel="0" collapsed="false">
      <c r="A7728" s="31" t="n">
        <v>43057.9166666667</v>
      </c>
      <c r="B7728" s="32" t="n">
        <v>70.465</v>
      </c>
      <c r="D7728" s="33" t="n">
        <f aca="false">WEEKDAY(A7728,2)</f>
        <v>6</v>
      </c>
      <c r="E7728" s="33" t="n">
        <f aca="false">HOUR(A7728)+MINUTE(A7728)/60</f>
        <v>22</v>
      </c>
      <c r="F7728" s="33" t="n">
        <f aca="false">IF(OR(D7728&gt;5,E7728&lt;8,E7728&gt;=18,COUNTIF($K$2:$K$10,INT(A7728))&gt;0),1,0)</f>
        <v>1</v>
      </c>
      <c r="G7728" s="34" t="n">
        <f aca="false">B7728/1</f>
        <v>70.465</v>
      </c>
      <c r="H7728" s="34" t="n">
        <f aca="false">IF(F7728=1,G7728,"")</f>
        <v>70.465</v>
      </c>
    </row>
    <row r="7729" customFormat="false" ht="15" hidden="false" customHeight="false" outlineLevel="0" collapsed="false">
      <c r="A7729" s="31" t="n">
        <v>43057.9583333333</v>
      </c>
      <c r="B7729" s="32" t="n">
        <v>72.368</v>
      </c>
      <c r="D7729" s="33" t="n">
        <f aca="false">WEEKDAY(A7729,2)</f>
        <v>6</v>
      </c>
      <c r="E7729" s="33" t="n">
        <f aca="false">HOUR(A7729)+MINUTE(A7729)/60</f>
        <v>23</v>
      </c>
      <c r="F7729" s="33" t="n">
        <f aca="false">IF(OR(D7729&gt;5,E7729&lt;8,E7729&gt;=18,COUNTIF($K$2:$K$10,INT(A7729))&gt;0),1,0)</f>
        <v>1</v>
      </c>
      <c r="G7729" s="34" t="n">
        <f aca="false">B7729/1</f>
        <v>72.368</v>
      </c>
      <c r="H7729" s="34" t="n">
        <f aca="false">IF(F7729=1,G7729,"")</f>
        <v>72.368</v>
      </c>
    </row>
    <row r="7730" customFormat="false" ht="15" hidden="false" customHeight="false" outlineLevel="0" collapsed="false">
      <c r="A7730" s="31" t="n">
        <v>43058</v>
      </c>
      <c r="B7730" s="32" t="n">
        <v>71.049</v>
      </c>
      <c r="D7730" s="33" t="n">
        <f aca="false">WEEKDAY(A7730,2)</f>
        <v>7</v>
      </c>
      <c r="E7730" s="33" t="n">
        <f aca="false">HOUR(A7730)+MINUTE(A7730)/60</f>
        <v>0</v>
      </c>
      <c r="F7730" s="33" t="n">
        <f aca="false">IF(OR(D7730&gt;5,E7730&lt;8,E7730&gt;=18,COUNTIF($K$2:$K$10,INT(A7730))&gt;0),1,0)</f>
        <v>1</v>
      </c>
      <c r="G7730" s="34" t="n">
        <f aca="false">B7730/1</f>
        <v>71.049</v>
      </c>
      <c r="H7730" s="34" t="n">
        <f aca="false">IF(F7730=1,G7730,"")</f>
        <v>71.049</v>
      </c>
    </row>
    <row r="7731" customFormat="false" ht="15" hidden="false" customHeight="false" outlineLevel="0" collapsed="false">
      <c r="A7731" s="31" t="n">
        <v>43058.0416666667</v>
      </c>
      <c r="B7731" s="32" t="n">
        <v>71.528</v>
      </c>
      <c r="D7731" s="33" t="n">
        <f aca="false">WEEKDAY(A7731,2)</f>
        <v>7</v>
      </c>
      <c r="E7731" s="33" t="n">
        <f aca="false">HOUR(A7731)+MINUTE(A7731)/60</f>
        <v>1</v>
      </c>
      <c r="F7731" s="33" t="n">
        <f aca="false">IF(OR(D7731&gt;5,E7731&lt;8,E7731&gt;=18,COUNTIF($K$2:$K$10,INT(A7731))&gt;0),1,0)</f>
        <v>1</v>
      </c>
      <c r="G7731" s="34" t="n">
        <f aca="false">B7731/1</f>
        <v>71.528</v>
      </c>
      <c r="H7731" s="34" t="n">
        <f aca="false">IF(F7731=1,G7731,"")</f>
        <v>71.528</v>
      </c>
    </row>
    <row r="7732" customFormat="false" ht="15" hidden="false" customHeight="false" outlineLevel="0" collapsed="false">
      <c r="A7732" s="31" t="n">
        <v>43058.0833333333</v>
      </c>
      <c r="B7732" s="32" t="n">
        <v>70.181</v>
      </c>
      <c r="D7732" s="33" t="n">
        <f aca="false">WEEKDAY(A7732,2)</f>
        <v>7</v>
      </c>
      <c r="E7732" s="33" t="n">
        <f aca="false">HOUR(A7732)+MINUTE(A7732)/60</f>
        <v>2</v>
      </c>
      <c r="F7732" s="33" t="n">
        <f aca="false">IF(OR(D7732&gt;5,E7732&lt;8,E7732&gt;=18,COUNTIF($K$2:$K$10,INT(A7732))&gt;0),1,0)</f>
        <v>1</v>
      </c>
      <c r="G7732" s="34" t="n">
        <f aca="false">B7732/1</f>
        <v>70.181</v>
      </c>
      <c r="H7732" s="34" t="n">
        <f aca="false">IF(F7732=1,G7732,"")</f>
        <v>70.181</v>
      </c>
    </row>
    <row r="7733" customFormat="false" ht="15" hidden="false" customHeight="false" outlineLevel="0" collapsed="false">
      <c r="A7733" s="31" t="n">
        <v>43058.125</v>
      </c>
      <c r="B7733" s="32" t="n">
        <v>67.75</v>
      </c>
      <c r="D7733" s="33" t="n">
        <f aca="false">WEEKDAY(A7733,2)</f>
        <v>7</v>
      </c>
      <c r="E7733" s="33" t="n">
        <f aca="false">HOUR(A7733)+MINUTE(A7733)/60</f>
        <v>3</v>
      </c>
      <c r="F7733" s="33" t="n">
        <f aca="false">IF(OR(D7733&gt;5,E7733&lt;8,E7733&gt;=18,COUNTIF($K$2:$K$10,INT(A7733))&gt;0),1,0)</f>
        <v>1</v>
      </c>
      <c r="G7733" s="34" t="n">
        <f aca="false">B7733/1</f>
        <v>67.75</v>
      </c>
      <c r="H7733" s="34" t="n">
        <f aca="false">IF(F7733=1,G7733,"")</f>
        <v>67.75</v>
      </c>
    </row>
    <row r="7734" customFormat="false" ht="15" hidden="false" customHeight="false" outlineLevel="0" collapsed="false">
      <c r="A7734" s="31" t="n">
        <v>43058.1666666667</v>
      </c>
      <c r="B7734" s="32" t="n">
        <v>68.337</v>
      </c>
      <c r="D7734" s="33" t="n">
        <f aca="false">WEEKDAY(A7734,2)</f>
        <v>7</v>
      </c>
      <c r="E7734" s="33" t="n">
        <f aca="false">HOUR(A7734)+MINUTE(A7734)/60</f>
        <v>4</v>
      </c>
      <c r="F7734" s="33" t="n">
        <f aca="false">IF(OR(D7734&gt;5,E7734&lt;8,E7734&gt;=18,COUNTIF($K$2:$K$10,INT(A7734))&gt;0),1,0)</f>
        <v>1</v>
      </c>
      <c r="G7734" s="34" t="n">
        <f aca="false">B7734/1</f>
        <v>68.337</v>
      </c>
      <c r="H7734" s="34" t="n">
        <f aca="false">IF(F7734=1,G7734,"")</f>
        <v>68.337</v>
      </c>
    </row>
    <row r="7735" customFormat="false" ht="15" hidden="false" customHeight="false" outlineLevel="0" collapsed="false">
      <c r="A7735" s="31" t="n">
        <v>43058.2083333333</v>
      </c>
      <c r="B7735" s="32" t="n">
        <v>67.152</v>
      </c>
      <c r="D7735" s="33" t="n">
        <f aca="false">WEEKDAY(A7735,2)</f>
        <v>7</v>
      </c>
      <c r="E7735" s="33" t="n">
        <f aca="false">HOUR(A7735)+MINUTE(A7735)/60</f>
        <v>5</v>
      </c>
      <c r="F7735" s="33" t="n">
        <f aca="false">IF(OR(D7735&gt;5,E7735&lt;8,E7735&gt;=18,COUNTIF($K$2:$K$10,INT(A7735))&gt;0),1,0)</f>
        <v>1</v>
      </c>
      <c r="G7735" s="34" t="n">
        <f aca="false">B7735/1</f>
        <v>67.152</v>
      </c>
      <c r="H7735" s="34" t="n">
        <f aca="false">IF(F7735=1,G7735,"")</f>
        <v>67.152</v>
      </c>
    </row>
    <row r="7736" customFormat="false" ht="15" hidden="false" customHeight="false" outlineLevel="0" collapsed="false">
      <c r="A7736" s="31" t="n">
        <v>43058.25</v>
      </c>
      <c r="B7736" s="32" t="n">
        <v>67.871</v>
      </c>
      <c r="D7736" s="33" t="n">
        <f aca="false">WEEKDAY(A7736,2)</f>
        <v>7</v>
      </c>
      <c r="E7736" s="33" t="n">
        <f aca="false">HOUR(A7736)+MINUTE(A7736)/60</f>
        <v>6</v>
      </c>
      <c r="F7736" s="33" t="n">
        <f aca="false">IF(OR(D7736&gt;5,E7736&lt;8,E7736&gt;=18,COUNTIF($K$2:$K$10,INT(A7736))&gt;0),1,0)</f>
        <v>1</v>
      </c>
      <c r="G7736" s="34" t="n">
        <f aca="false">B7736/1</f>
        <v>67.871</v>
      </c>
      <c r="H7736" s="34" t="n">
        <f aca="false">IF(F7736=1,G7736,"")</f>
        <v>67.871</v>
      </c>
    </row>
    <row r="7737" customFormat="false" ht="15" hidden="false" customHeight="false" outlineLevel="0" collapsed="false">
      <c r="A7737" s="31" t="n">
        <v>43058.2916666667</v>
      </c>
      <c r="B7737" s="32" t="n">
        <v>68.283</v>
      </c>
      <c r="D7737" s="33" t="n">
        <f aca="false">WEEKDAY(A7737,2)</f>
        <v>7</v>
      </c>
      <c r="E7737" s="33" t="n">
        <f aca="false">HOUR(A7737)+MINUTE(A7737)/60</f>
        <v>7</v>
      </c>
      <c r="F7737" s="33" t="n">
        <f aca="false">IF(OR(D7737&gt;5,E7737&lt;8,E7737&gt;=18,COUNTIF($K$2:$K$10,INT(A7737))&gt;0),1,0)</f>
        <v>1</v>
      </c>
      <c r="G7737" s="34" t="n">
        <f aca="false">B7737/1</f>
        <v>68.283</v>
      </c>
      <c r="H7737" s="34" t="n">
        <f aca="false">IF(F7737=1,G7737,"")</f>
        <v>68.283</v>
      </c>
    </row>
    <row r="7738" customFormat="false" ht="15" hidden="false" customHeight="false" outlineLevel="0" collapsed="false">
      <c r="A7738" s="31" t="n">
        <v>43058.3333333333</v>
      </c>
      <c r="B7738" s="32" t="n">
        <v>67.84</v>
      </c>
      <c r="D7738" s="33" t="n">
        <f aca="false">WEEKDAY(A7738,2)</f>
        <v>7</v>
      </c>
      <c r="E7738" s="33" t="n">
        <f aca="false">HOUR(A7738)+MINUTE(A7738)/60</f>
        <v>8</v>
      </c>
      <c r="F7738" s="33" t="n">
        <f aca="false">IF(OR(D7738&gt;5,E7738&lt;8,E7738&gt;=18,COUNTIF($K$2:$K$10,INT(A7738))&gt;0),1,0)</f>
        <v>1</v>
      </c>
      <c r="G7738" s="34" t="n">
        <f aca="false">B7738/1</f>
        <v>67.84</v>
      </c>
      <c r="H7738" s="34" t="n">
        <f aca="false">IF(F7738=1,G7738,"")</f>
        <v>67.84</v>
      </c>
    </row>
    <row r="7739" customFormat="false" ht="15" hidden="false" customHeight="false" outlineLevel="0" collapsed="false">
      <c r="A7739" s="31" t="n">
        <v>43058.375</v>
      </c>
      <c r="B7739" s="32" t="n">
        <v>65.592</v>
      </c>
      <c r="D7739" s="33" t="n">
        <f aca="false">WEEKDAY(A7739,2)</f>
        <v>7</v>
      </c>
      <c r="E7739" s="33" t="n">
        <f aca="false">HOUR(A7739)+MINUTE(A7739)/60</f>
        <v>9</v>
      </c>
      <c r="F7739" s="33" t="n">
        <f aca="false">IF(OR(D7739&gt;5,E7739&lt;8,E7739&gt;=18,COUNTIF($K$2:$K$10,INT(A7739))&gt;0),1,0)</f>
        <v>1</v>
      </c>
      <c r="G7739" s="34" t="n">
        <f aca="false">B7739/1</f>
        <v>65.592</v>
      </c>
      <c r="H7739" s="34" t="n">
        <f aca="false">IF(F7739=1,G7739,"")</f>
        <v>65.592</v>
      </c>
    </row>
    <row r="7740" customFormat="false" ht="15" hidden="false" customHeight="false" outlineLevel="0" collapsed="false">
      <c r="A7740" s="31" t="n">
        <v>43058.4166666667</v>
      </c>
      <c r="B7740" s="32" t="n">
        <v>65.144</v>
      </c>
      <c r="D7740" s="33" t="n">
        <f aca="false">WEEKDAY(A7740,2)</f>
        <v>7</v>
      </c>
      <c r="E7740" s="33" t="n">
        <f aca="false">HOUR(A7740)+MINUTE(A7740)/60</f>
        <v>10</v>
      </c>
      <c r="F7740" s="33" t="n">
        <f aca="false">IF(OR(D7740&gt;5,E7740&lt;8,E7740&gt;=18,COUNTIF($K$2:$K$10,INT(A7740))&gt;0),1,0)</f>
        <v>1</v>
      </c>
      <c r="G7740" s="34" t="n">
        <f aca="false">B7740/1</f>
        <v>65.144</v>
      </c>
      <c r="H7740" s="34" t="n">
        <f aca="false">IF(F7740=1,G7740,"")</f>
        <v>65.144</v>
      </c>
    </row>
    <row r="7741" customFormat="false" ht="15" hidden="false" customHeight="false" outlineLevel="0" collapsed="false">
      <c r="A7741" s="31" t="n">
        <v>43058.4583333333</v>
      </c>
      <c r="B7741" s="32" t="n">
        <v>67.287</v>
      </c>
      <c r="D7741" s="33" t="n">
        <f aca="false">WEEKDAY(A7741,2)</f>
        <v>7</v>
      </c>
      <c r="E7741" s="33" t="n">
        <f aca="false">HOUR(A7741)+MINUTE(A7741)/60</f>
        <v>11</v>
      </c>
      <c r="F7741" s="33" t="n">
        <f aca="false">IF(OR(D7741&gt;5,E7741&lt;8,E7741&gt;=18,COUNTIF($K$2:$K$10,INT(A7741))&gt;0),1,0)</f>
        <v>1</v>
      </c>
      <c r="G7741" s="34" t="n">
        <f aca="false">B7741/1</f>
        <v>67.287</v>
      </c>
      <c r="H7741" s="34" t="n">
        <f aca="false">IF(F7741=1,G7741,"")</f>
        <v>67.287</v>
      </c>
    </row>
    <row r="7742" customFormat="false" ht="15" hidden="false" customHeight="false" outlineLevel="0" collapsed="false">
      <c r="A7742" s="31" t="n">
        <v>43058.5</v>
      </c>
      <c r="B7742" s="32" t="n">
        <v>68.809</v>
      </c>
      <c r="D7742" s="33" t="n">
        <f aca="false">WEEKDAY(A7742,2)</f>
        <v>7</v>
      </c>
      <c r="E7742" s="33" t="n">
        <f aca="false">HOUR(A7742)+MINUTE(A7742)/60</f>
        <v>12</v>
      </c>
      <c r="F7742" s="33" t="n">
        <f aca="false">IF(OR(D7742&gt;5,E7742&lt;8,E7742&gt;=18,COUNTIF($K$2:$K$10,INT(A7742))&gt;0),1,0)</f>
        <v>1</v>
      </c>
      <c r="G7742" s="34" t="n">
        <f aca="false">B7742/1</f>
        <v>68.809</v>
      </c>
      <c r="H7742" s="34" t="n">
        <f aca="false">IF(F7742=1,G7742,"")</f>
        <v>68.809</v>
      </c>
    </row>
    <row r="7743" customFormat="false" ht="15" hidden="false" customHeight="false" outlineLevel="0" collapsed="false">
      <c r="A7743" s="31" t="n">
        <v>43058.5416666667</v>
      </c>
      <c r="B7743" s="32" t="n">
        <v>113.874</v>
      </c>
      <c r="D7743" s="33" t="n">
        <f aca="false">WEEKDAY(A7743,2)</f>
        <v>7</v>
      </c>
      <c r="E7743" s="33" t="n">
        <f aca="false">HOUR(A7743)+MINUTE(A7743)/60</f>
        <v>13</v>
      </c>
      <c r="F7743" s="33" t="n">
        <f aca="false">IF(OR(D7743&gt;5,E7743&lt;8,E7743&gt;=18,COUNTIF($K$2:$K$10,INT(A7743))&gt;0),1,0)</f>
        <v>1</v>
      </c>
      <c r="G7743" s="34" t="n">
        <f aca="false">B7743/1</f>
        <v>113.874</v>
      </c>
      <c r="H7743" s="34" t="n">
        <f aca="false">IF(F7743=1,G7743,"")</f>
        <v>113.874</v>
      </c>
    </row>
    <row r="7744" customFormat="false" ht="15" hidden="false" customHeight="false" outlineLevel="0" collapsed="false">
      <c r="A7744" s="31" t="n">
        <v>43058.5833333333</v>
      </c>
      <c r="B7744" s="32" t="n">
        <v>138.754</v>
      </c>
      <c r="D7744" s="33" t="n">
        <f aca="false">WEEKDAY(A7744,2)</f>
        <v>7</v>
      </c>
      <c r="E7744" s="33" t="n">
        <f aca="false">HOUR(A7744)+MINUTE(A7744)/60</f>
        <v>14</v>
      </c>
      <c r="F7744" s="33" t="n">
        <f aca="false">IF(OR(D7744&gt;5,E7744&lt;8,E7744&gt;=18,COUNTIF($K$2:$K$10,INT(A7744))&gt;0),1,0)</f>
        <v>1</v>
      </c>
      <c r="G7744" s="34" t="n">
        <f aca="false">B7744/1</f>
        <v>138.754</v>
      </c>
      <c r="H7744" s="34" t="n">
        <f aca="false">IF(F7744=1,G7744,"")</f>
        <v>138.754</v>
      </c>
    </row>
    <row r="7745" customFormat="false" ht="15" hidden="false" customHeight="false" outlineLevel="0" collapsed="false">
      <c r="A7745" s="31" t="n">
        <v>43058.625</v>
      </c>
      <c r="B7745" s="32" t="n">
        <v>139.54</v>
      </c>
      <c r="D7745" s="33" t="n">
        <f aca="false">WEEKDAY(A7745,2)</f>
        <v>7</v>
      </c>
      <c r="E7745" s="33" t="n">
        <f aca="false">HOUR(A7745)+MINUTE(A7745)/60</f>
        <v>15</v>
      </c>
      <c r="F7745" s="33" t="n">
        <f aca="false">IF(OR(D7745&gt;5,E7745&lt;8,E7745&gt;=18,COUNTIF($K$2:$K$10,INT(A7745))&gt;0),1,0)</f>
        <v>1</v>
      </c>
      <c r="G7745" s="34" t="n">
        <f aca="false">B7745/1</f>
        <v>139.54</v>
      </c>
      <c r="H7745" s="34" t="n">
        <f aca="false">IF(F7745=1,G7745,"")</f>
        <v>139.54</v>
      </c>
    </row>
    <row r="7746" customFormat="false" ht="15" hidden="false" customHeight="false" outlineLevel="0" collapsed="false">
      <c r="A7746" s="31" t="n">
        <v>43058.6666666667</v>
      </c>
      <c r="B7746" s="32" t="n">
        <v>140.453</v>
      </c>
      <c r="D7746" s="33" t="n">
        <f aca="false">WEEKDAY(A7746,2)</f>
        <v>7</v>
      </c>
      <c r="E7746" s="33" t="n">
        <f aca="false">HOUR(A7746)+MINUTE(A7746)/60</f>
        <v>16</v>
      </c>
      <c r="F7746" s="33" t="n">
        <f aca="false">IF(OR(D7746&gt;5,E7746&lt;8,E7746&gt;=18,COUNTIF($K$2:$K$10,INT(A7746))&gt;0),1,0)</f>
        <v>1</v>
      </c>
      <c r="G7746" s="34" t="n">
        <f aca="false">B7746/1</f>
        <v>140.453</v>
      </c>
      <c r="H7746" s="34" t="n">
        <f aca="false">IF(F7746=1,G7746,"")</f>
        <v>140.453</v>
      </c>
    </row>
    <row r="7747" customFormat="false" ht="15" hidden="false" customHeight="false" outlineLevel="0" collapsed="false">
      <c r="A7747" s="31" t="n">
        <v>43058.7083333333</v>
      </c>
      <c r="B7747" s="32" t="n">
        <v>145.847</v>
      </c>
      <c r="D7747" s="33" t="n">
        <f aca="false">WEEKDAY(A7747,2)</f>
        <v>7</v>
      </c>
      <c r="E7747" s="33" t="n">
        <f aca="false">HOUR(A7747)+MINUTE(A7747)/60</f>
        <v>17</v>
      </c>
      <c r="F7747" s="33" t="n">
        <f aca="false">IF(OR(D7747&gt;5,E7747&lt;8,E7747&gt;=18,COUNTIF($K$2:$K$10,INT(A7747))&gt;0),1,0)</f>
        <v>1</v>
      </c>
      <c r="G7747" s="34" t="n">
        <f aca="false">B7747/1</f>
        <v>145.847</v>
      </c>
      <c r="H7747" s="34" t="n">
        <f aca="false">IF(F7747=1,G7747,"")</f>
        <v>145.847</v>
      </c>
    </row>
    <row r="7748" customFormat="false" ht="15" hidden="false" customHeight="false" outlineLevel="0" collapsed="false">
      <c r="A7748" s="31" t="n">
        <v>43058.75</v>
      </c>
      <c r="B7748" s="32" t="n">
        <v>93.327</v>
      </c>
      <c r="D7748" s="33" t="n">
        <f aca="false">WEEKDAY(A7748,2)</f>
        <v>7</v>
      </c>
      <c r="E7748" s="33" t="n">
        <f aca="false">HOUR(A7748)+MINUTE(A7748)/60</f>
        <v>18</v>
      </c>
      <c r="F7748" s="33" t="n">
        <f aca="false">IF(OR(D7748&gt;5,E7748&lt;8,E7748&gt;=18,COUNTIF($K$2:$K$10,INT(A7748))&gt;0),1,0)</f>
        <v>1</v>
      </c>
      <c r="G7748" s="34" t="n">
        <f aca="false">B7748/1</f>
        <v>93.327</v>
      </c>
      <c r="H7748" s="34" t="n">
        <f aca="false">IF(F7748=1,G7748,"")</f>
        <v>93.327</v>
      </c>
    </row>
    <row r="7749" customFormat="false" ht="15" hidden="false" customHeight="false" outlineLevel="0" collapsed="false">
      <c r="A7749" s="31" t="n">
        <v>43058.7916666667</v>
      </c>
      <c r="B7749" s="32" t="n">
        <v>85.863</v>
      </c>
      <c r="D7749" s="33" t="n">
        <f aca="false">WEEKDAY(A7749,2)</f>
        <v>7</v>
      </c>
      <c r="E7749" s="33" t="n">
        <f aca="false">HOUR(A7749)+MINUTE(A7749)/60</f>
        <v>19</v>
      </c>
      <c r="F7749" s="33" t="n">
        <f aca="false">IF(OR(D7749&gt;5,E7749&lt;8,E7749&gt;=18,COUNTIF($K$2:$K$10,INT(A7749))&gt;0),1,0)</f>
        <v>1</v>
      </c>
      <c r="G7749" s="34" t="n">
        <f aca="false">B7749/1</f>
        <v>85.863</v>
      </c>
      <c r="H7749" s="34" t="n">
        <f aca="false">IF(F7749=1,G7749,"")</f>
        <v>85.863</v>
      </c>
    </row>
    <row r="7750" customFormat="false" ht="15" hidden="false" customHeight="false" outlineLevel="0" collapsed="false">
      <c r="A7750" s="31" t="n">
        <v>43058.8333333333</v>
      </c>
      <c r="B7750" s="32" t="n">
        <v>82.3</v>
      </c>
      <c r="D7750" s="33" t="n">
        <f aca="false">WEEKDAY(A7750,2)</f>
        <v>7</v>
      </c>
      <c r="E7750" s="33" t="n">
        <f aca="false">HOUR(A7750)+MINUTE(A7750)/60</f>
        <v>20</v>
      </c>
      <c r="F7750" s="33" t="n">
        <f aca="false">IF(OR(D7750&gt;5,E7750&lt;8,E7750&gt;=18,COUNTIF($K$2:$K$10,INT(A7750))&gt;0),1,0)</f>
        <v>1</v>
      </c>
      <c r="G7750" s="34" t="n">
        <f aca="false">B7750/1</f>
        <v>82.3</v>
      </c>
      <c r="H7750" s="34" t="n">
        <f aca="false">IF(F7750=1,G7750,"")</f>
        <v>82.3</v>
      </c>
    </row>
    <row r="7751" customFormat="false" ht="15" hidden="false" customHeight="false" outlineLevel="0" collapsed="false">
      <c r="A7751" s="31" t="n">
        <v>43058.875</v>
      </c>
      <c r="B7751" s="32" t="n">
        <v>76.897</v>
      </c>
      <c r="D7751" s="33" t="n">
        <f aca="false">WEEKDAY(A7751,2)</f>
        <v>7</v>
      </c>
      <c r="E7751" s="33" t="n">
        <f aca="false">HOUR(A7751)+MINUTE(A7751)/60</f>
        <v>21</v>
      </c>
      <c r="F7751" s="33" t="n">
        <f aca="false">IF(OR(D7751&gt;5,E7751&lt;8,E7751&gt;=18,COUNTIF($K$2:$K$10,INT(A7751))&gt;0),1,0)</f>
        <v>1</v>
      </c>
      <c r="G7751" s="34" t="n">
        <f aca="false">B7751/1</f>
        <v>76.897</v>
      </c>
      <c r="H7751" s="34" t="n">
        <f aca="false">IF(F7751=1,G7751,"")</f>
        <v>76.897</v>
      </c>
    </row>
    <row r="7752" customFormat="false" ht="15" hidden="false" customHeight="false" outlineLevel="0" collapsed="false">
      <c r="A7752" s="31" t="n">
        <v>43058.9166666667</v>
      </c>
      <c r="B7752" s="32" t="n">
        <v>73.927</v>
      </c>
      <c r="D7752" s="33" t="n">
        <f aca="false">WEEKDAY(A7752,2)</f>
        <v>7</v>
      </c>
      <c r="E7752" s="33" t="n">
        <f aca="false">HOUR(A7752)+MINUTE(A7752)/60</f>
        <v>22</v>
      </c>
      <c r="F7752" s="33" t="n">
        <f aca="false">IF(OR(D7752&gt;5,E7752&lt;8,E7752&gt;=18,COUNTIF($K$2:$K$10,INT(A7752))&gt;0),1,0)</f>
        <v>1</v>
      </c>
      <c r="G7752" s="34" t="n">
        <f aca="false">B7752/1</f>
        <v>73.927</v>
      </c>
      <c r="H7752" s="34" t="n">
        <f aca="false">IF(F7752=1,G7752,"")</f>
        <v>73.927</v>
      </c>
    </row>
    <row r="7753" customFormat="false" ht="15" hidden="false" customHeight="false" outlineLevel="0" collapsed="false">
      <c r="A7753" s="31" t="n">
        <v>43058.9583333333</v>
      </c>
      <c r="B7753" s="32" t="n">
        <v>74.415</v>
      </c>
      <c r="D7753" s="33" t="n">
        <f aca="false">WEEKDAY(A7753,2)</f>
        <v>7</v>
      </c>
      <c r="E7753" s="33" t="n">
        <f aca="false">HOUR(A7753)+MINUTE(A7753)/60</f>
        <v>23</v>
      </c>
      <c r="F7753" s="33" t="n">
        <f aca="false">IF(OR(D7753&gt;5,E7753&lt;8,E7753&gt;=18,COUNTIF($K$2:$K$10,INT(A7753))&gt;0),1,0)</f>
        <v>1</v>
      </c>
      <c r="G7753" s="34" t="n">
        <f aca="false">B7753/1</f>
        <v>74.415</v>
      </c>
      <c r="H7753" s="34" t="n">
        <f aca="false">IF(F7753=1,G7753,"")</f>
        <v>74.415</v>
      </c>
    </row>
    <row r="7754" customFormat="false" ht="15" hidden="false" customHeight="false" outlineLevel="0" collapsed="false">
      <c r="A7754" s="31" t="n">
        <v>43059</v>
      </c>
      <c r="B7754" s="32" t="n">
        <v>73.334</v>
      </c>
      <c r="D7754" s="33" t="n">
        <f aca="false">WEEKDAY(A7754,2)</f>
        <v>1</v>
      </c>
      <c r="E7754" s="33" t="n">
        <f aca="false">HOUR(A7754)+MINUTE(A7754)/60</f>
        <v>0</v>
      </c>
      <c r="F7754" s="33" t="n">
        <f aca="false">IF(OR(D7754&gt;5,E7754&lt;8,E7754&gt;=18,COUNTIF($K$2:$K$10,INT(A7754))&gt;0),1,0)</f>
        <v>1</v>
      </c>
      <c r="G7754" s="34" t="n">
        <f aca="false">B7754/1</f>
        <v>73.334</v>
      </c>
      <c r="H7754" s="34" t="n">
        <f aca="false">IF(F7754=1,G7754,"")</f>
        <v>73.334</v>
      </c>
    </row>
    <row r="7755" customFormat="false" ht="15" hidden="false" customHeight="false" outlineLevel="0" collapsed="false">
      <c r="A7755" s="31" t="n">
        <v>43059.0416666667</v>
      </c>
      <c r="B7755" s="32" t="n">
        <v>73.353</v>
      </c>
      <c r="D7755" s="33" t="n">
        <f aca="false">WEEKDAY(A7755,2)</f>
        <v>1</v>
      </c>
      <c r="E7755" s="33" t="n">
        <f aca="false">HOUR(A7755)+MINUTE(A7755)/60</f>
        <v>1</v>
      </c>
      <c r="F7755" s="33" t="n">
        <f aca="false">IF(OR(D7755&gt;5,E7755&lt;8,E7755&gt;=18,COUNTIF($K$2:$K$10,INT(A7755))&gt;0),1,0)</f>
        <v>1</v>
      </c>
      <c r="G7755" s="34" t="n">
        <f aca="false">B7755/1</f>
        <v>73.353</v>
      </c>
      <c r="H7755" s="34" t="n">
        <f aca="false">IF(F7755=1,G7755,"")</f>
        <v>73.353</v>
      </c>
    </row>
    <row r="7756" customFormat="false" ht="15" hidden="false" customHeight="false" outlineLevel="0" collapsed="false">
      <c r="A7756" s="31" t="n">
        <v>43059.0833333333</v>
      </c>
      <c r="B7756" s="32" t="n">
        <v>66.829</v>
      </c>
      <c r="D7756" s="33" t="n">
        <f aca="false">WEEKDAY(A7756,2)</f>
        <v>1</v>
      </c>
      <c r="E7756" s="33" t="n">
        <f aca="false">HOUR(A7756)+MINUTE(A7756)/60</f>
        <v>2</v>
      </c>
      <c r="F7756" s="33" t="n">
        <f aca="false">IF(OR(D7756&gt;5,E7756&lt;8,E7756&gt;=18,COUNTIF($K$2:$K$10,INT(A7756))&gt;0),1,0)</f>
        <v>1</v>
      </c>
      <c r="G7756" s="34" t="n">
        <f aca="false">B7756/1</f>
        <v>66.829</v>
      </c>
      <c r="H7756" s="34" t="n">
        <f aca="false">IF(F7756=1,G7756,"")</f>
        <v>66.829</v>
      </c>
    </row>
    <row r="7757" customFormat="false" ht="15" hidden="false" customHeight="false" outlineLevel="0" collapsed="false">
      <c r="A7757" s="31" t="n">
        <v>43059.125</v>
      </c>
      <c r="B7757" s="32" t="n">
        <v>67.038</v>
      </c>
      <c r="D7757" s="33" t="n">
        <f aca="false">WEEKDAY(A7757,2)</f>
        <v>1</v>
      </c>
      <c r="E7757" s="33" t="n">
        <f aca="false">HOUR(A7757)+MINUTE(A7757)/60</f>
        <v>3</v>
      </c>
      <c r="F7757" s="33" t="n">
        <f aca="false">IF(OR(D7757&gt;5,E7757&lt;8,E7757&gt;=18,COUNTIF($K$2:$K$10,INT(A7757))&gt;0),1,0)</f>
        <v>1</v>
      </c>
      <c r="G7757" s="34" t="n">
        <f aca="false">B7757/1</f>
        <v>67.038</v>
      </c>
      <c r="H7757" s="34" t="n">
        <f aca="false">IF(F7757=1,G7757,"")</f>
        <v>67.038</v>
      </c>
    </row>
    <row r="7758" customFormat="false" ht="15" hidden="false" customHeight="false" outlineLevel="0" collapsed="false">
      <c r="A7758" s="31" t="n">
        <v>43059.1666666667</v>
      </c>
      <c r="B7758" s="32" t="n">
        <v>67.006</v>
      </c>
      <c r="D7758" s="33" t="n">
        <f aca="false">WEEKDAY(A7758,2)</f>
        <v>1</v>
      </c>
      <c r="E7758" s="33" t="n">
        <f aca="false">HOUR(A7758)+MINUTE(A7758)/60</f>
        <v>4</v>
      </c>
      <c r="F7758" s="33" t="n">
        <f aca="false">IF(OR(D7758&gt;5,E7758&lt;8,E7758&gt;=18,COUNTIF($K$2:$K$10,INT(A7758))&gt;0),1,0)</f>
        <v>1</v>
      </c>
      <c r="G7758" s="34" t="n">
        <f aca="false">B7758/1</f>
        <v>67.006</v>
      </c>
      <c r="H7758" s="34" t="n">
        <f aca="false">IF(F7758=1,G7758,"")</f>
        <v>67.006</v>
      </c>
    </row>
    <row r="7759" customFormat="false" ht="15" hidden="false" customHeight="false" outlineLevel="0" collapsed="false">
      <c r="A7759" s="31" t="n">
        <v>43059.2083333333</v>
      </c>
      <c r="B7759" s="32" t="n">
        <v>66.385</v>
      </c>
      <c r="D7759" s="33" t="n">
        <f aca="false">WEEKDAY(A7759,2)</f>
        <v>1</v>
      </c>
      <c r="E7759" s="33" t="n">
        <f aca="false">HOUR(A7759)+MINUTE(A7759)/60</f>
        <v>5</v>
      </c>
      <c r="F7759" s="33" t="n">
        <f aca="false">IF(OR(D7759&gt;5,E7759&lt;8,E7759&gt;=18,COUNTIF($K$2:$K$10,INT(A7759))&gt;0),1,0)</f>
        <v>1</v>
      </c>
      <c r="G7759" s="34" t="n">
        <f aca="false">B7759/1</f>
        <v>66.385</v>
      </c>
      <c r="H7759" s="34" t="n">
        <f aca="false">IF(F7759=1,G7759,"")</f>
        <v>66.385</v>
      </c>
    </row>
    <row r="7760" customFormat="false" ht="15" hidden="false" customHeight="false" outlineLevel="0" collapsed="false">
      <c r="A7760" s="31" t="n">
        <v>43059.25</v>
      </c>
      <c r="B7760" s="32" t="n">
        <v>66.498</v>
      </c>
      <c r="D7760" s="33" t="n">
        <f aca="false">WEEKDAY(A7760,2)</f>
        <v>1</v>
      </c>
      <c r="E7760" s="33" t="n">
        <f aca="false">HOUR(A7760)+MINUTE(A7760)/60</f>
        <v>6</v>
      </c>
      <c r="F7760" s="33" t="n">
        <f aca="false">IF(OR(D7760&gt;5,E7760&lt;8,E7760&gt;=18,COUNTIF($K$2:$K$10,INT(A7760))&gt;0),1,0)</f>
        <v>1</v>
      </c>
      <c r="G7760" s="34" t="n">
        <f aca="false">B7760/1</f>
        <v>66.498</v>
      </c>
      <c r="H7760" s="34" t="n">
        <f aca="false">IF(F7760=1,G7760,"")</f>
        <v>66.498</v>
      </c>
    </row>
    <row r="7761" customFormat="false" ht="15" hidden="false" customHeight="false" outlineLevel="0" collapsed="false">
      <c r="A7761" s="31" t="n">
        <v>43059.2916666667</v>
      </c>
      <c r="B7761" s="32" t="n">
        <v>87.326</v>
      </c>
      <c r="D7761" s="33" t="n">
        <f aca="false">WEEKDAY(A7761,2)</f>
        <v>1</v>
      </c>
      <c r="E7761" s="33" t="n">
        <f aca="false">HOUR(A7761)+MINUTE(A7761)/60</f>
        <v>7</v>
      </c>
      <c r="F7761" s="33" t="n">
        <f aca="false">IF(OR(D7761&gt;5,E7761&lt;8,E7761&gt;=18,COUNTIF($K$2:$K$10,INT(A7761))&gt;0),1,0)</f>
        <v>1</v>
      </c>
      <c r="G7761" s="34" t="n">
        <f aca="false">B7761/1</f>
        <v>87.326</v>
      </c>
      <c r="H7761" s="34" t="n">
        <f aca="false">IF(F7761=1,G7761,"")</f>
        <v>87.326</v>
      </c>
    </row>
    <row r="7762" customFormat="false" ht="15" hidden="false" customHeight="false" outlineLevel="0" collapsed="false">
      <c r="A7762" s="31" t="n">
        <v>43059.3333333333</v>
      </c>
      <c r="B7762" s="32" t="n">
        <v>177.175</v>
      </c>
      <c r="D7762" s="33" t="n">
        <f aca="false">WEEKDAY(A7762,2)</f>
        <v>1</v>
      </c>
      <c r="E7762" s="33" t="n">
        <f aca="false">HOUR(A7762)+MINUTE(A7762)/60</f>
        <v>8</v>
      </c>
      <c r="F7762" s="33" t="n">
        <f aca="false">IF(OR(D7762&gt;5,E7762&lt;8,E7762&gt;=18,COUNTIF($K$2:$K$10,INT(A7762))&gt;0),1,0)</f>
        <v>0</v>
      </c>
      <c r="G7762" s="34" t="n">
        <f aca="false">B7762/1</f>
        <v>177.175</v>
      </c>
      <c r="H7762" s="34" t="str">
        <f aca="false">IF(F7762=1,G7762,"")</f>
        <v/>
      </c>
    </row>
    <row r="7763" customFormat="false" ht="15" hidden="false" customHeight="false" outlineLevel="0" collapsed="false">
      <c r="A7763" s="31" t="n">
        <v>43059.375</v>
      </c>
      <c r="B7763" s="32" t="n">
        <v>214.53</v>
      </c>
      <c r="D7763" s="33" t="n">
        <f aca="false">WEEKDAY(A7763,2)</f>
        <v>1</v>
      </c>
      <c r="E7763" s="33" t="n">
        <f aca="false">HOUR(A7763)+MINUTE(A7763)/60</f>
        <v>9</v>
      </c>
      <c r="F7763" s="33" t="n">
        <f aca="false">IF(OR(D7763&gt;5,E7763&lt;8,E7763&gt;=18,COUNTIF($K$2:$K$10,INT(A7763))&gt;0),1,0)</f>
        <v>0</v>
      </c>
      <c r="G7763" s="34" t="n">
        <f aca="false">B7763/1</f>
        <v>214.53</v>
      </c>
      <c r="H7763" s="34" t="str">
        <f aca="false">IF(F7763=1,G7763,"")</f>
        <v/>
      </c>
    </row>
    <row r="7764" customFormat="false" ht="15" hidden="false" customHeight="false" outlineLevel="0" collapsed="false">
      <c r="A7764" s="31" t="n">
        <v>43059.4166666667</v>
      </c>
      <c r="B7764" s="32" t="n">
        <v>236.766</v>
      </c>
      <c r="D7764" s="33" t="n">
        <f aca="false">WEEKDAY(A7764,2)</f>
        <v>1</v>
      </c>
      <c r="E7764" s="33" t="n">
        <f aca="false">HOUR(A7764)+MINUTE(A7764)/60</f>
        <v>10</v>
      </c>
      <c r="F7764" s="33" t="n">
        <f aca="false">IF(OR(D7764&gt;5,E7764&lt;8,E7764&gt;=18,COUNTIF($K$2:$K$10,INT(A7764))&gt;0),1,0)</f>
        <v>0</v>
      </c>
      <c r="G7764" s="34" t="n">
        <f aca="false">B7764/1</f>
        <v>236.766</v>
      </c>
      <c r="H7764" s="34" t="str">
        <f aca="false">IF(F7764=1,G7764,"")</f>
        <v/>
      </c>
    </row>
    <row r="7765" customFormat="false" ht="15" hidden="false" customHeight="false" outlineLevel="0" collapsed="false">
      <c r="A7765" s="31" t="n">
        <v>43059.4583333333</v>
      </c>
      <c r="B7765" s="32" t="n">
        <v>245.412</v>
      </c>
      <c r="D7765" s="33" t="n">
        <f aca="false">WEEKDAY(A7765,2)</f>
        <v>1</v>
      </c>
      <c r="E7765" s="33" t="n">
        <f aca="false">HOUR(A7765)+MINUTE(A7765)/60</f>
        <v>11</v>
      </c>
      <c r="F7765" s="33" t="n">
        <f aca="false">IF(OR(D7765&gt;5,E7765&lt;8,E7765&gt;=18,COUNTIF($K$2:$K$10,INT(A7765))&gt;0),1,0)</f>
        <v>0</v>
      </c>
      <c r="G7765" s="34" t="n">
        <f aca="false">B7765/1</f>
        <v>245.412</v>
      </c>
      <c r="H7765" s="34" t="str">
        <f aca="false">IF(F7765=1,G7765,"")</f>
        <v/>
      </c>
    </row>
    <row r="7766" customFormat="false" ht="15" hidden="false" customHeight="false" outlineLevel="0" collapsed="false">
      <c r="A7766" s="31" t="n">
        <v>43059.5</v>
      </c>
      <c r="B7766" s="32" t="n">
        <v>248.555</v>
      </c>
      <c r="D7766" s="33" t="n">
        <f aca="false">WEEKDAY(A7766,2)</f>
        <v>1</v>
      </c>
      <c r="E7766" s="33" t="n">
        <f aca="false">HOUR(A7766)+MINUTE(A7766)/60</f>
        <v>12</v>
      </c>
      <c r="F7766" s="33" t="n">
        <f aca="false">IF(OR(D7766&gt;5,E7766&lt;8,E7766&gt;=18,COUNTIF($K$2:$K$10,INT(A7766))&gt;0),1,0)</f>
        <v>0</v>
      </c>
      <c r="G7766" s="34" t="n">
        <f aca="false">B7766/1</f>
        <v>248.555</v>
      </c>
      <c r="H7766" s="34" t="str">
        <f aca="false">IF(F7766=1,G7766,"")</f>
        <v/>
      </c>
    </row>
    <row r="7767" customFormat="false" ht="15" hidden="false" customHeight="false" outlineLevel="0" collapsed="false">
      <c r="A7767" s="31" t="n">
        <v>43059.5416666667</v>
      </c>
      <c r="B7767" s="32" t="n">
        <v>252.206</v>
      </c>
      <c r="D7767" s="33" t="n">
        <f aca="false">WEEKDAY(A7767,2)</f>
        <v>1</v>
      </c>
      <c r="E7767" s="33" t="n">
        <f aca="false">HOUR(A7767)+MINUTE(A7767)/60</f>
        <v>13</v>
      </c>
      <c r="F7767" s="33" t="n">
        <f aca="false">IF(OR(D7767&gt;5,E7767&lt;8,E7767&gt;=18,COUNTIF($K$2:$K$10,INT(A7767))&gt;0),1,0)</f>
        <v>0</v>
      </c>
      <c r="G7767" s="34" t="n">
        <f aca="false">B7767/1</f>
        <v>252.206</v>
      </c>
      <c r="H7767" s="34" t="str">
        <f aca="false">IF(F7767=1,G7767,"")</f>
        <v/>
      </c>
    </row>
    <row r="7768" customFormat="false" ht="15" hidden="false" customHeight="false" outlineLevel="0" collapsed="false">
      <c r="A7768" s="31" t="n">
        <v>43059.5833333333</v>
      </c>
      <c r="B7768" s="32" t="n">
        <v>254.27</v>
      </c>
      <c r="D7768" s="33" t="n">
        <f aca="false">WEEKDAY(A7768,2)</f>
        <v>1</v>
      </c>
      <c r="E7768" s="33" t="n">
        <f aca="false">HOUR(A7768)+MINUTE(A7768)/60</f>
        <v>14</v>
      </c>
      <c r="F7768" s="33" t="n">
        <f aca="false">IF(OR(D7768&gt;5,E7768&lt;8,E7768&gt;=18,COUNTIF($K$2:$K$10,INT(A7768))&gt;0),1,0)</f>
        <v>0</v>
      </c>
      <c r="G7768" s="34" t="n">
        <f aca="false">B7768/1</f>
        <v>254.27</v>
      </c>
      <c r="H7768" s="34" t="str">
        <f aca="false">IF(F7768=1,G7768,"")</f>
        <v/>
      </c>
    </row>
    <row r="7769" customFormat="false" ht="15" hidden="false" customHeight="false" outlineLevel="0" collapsed="false">
      <c r="A7769" s="31" t="n">
        <v>43059.625</v>
      </c>
      <c r="B7769" s="32" t="n">
        <v>253.506</v>
      </c>
      <c r="D7769" s="33" t="n">
        <f aca="false">WEEKDAY(A7769,2)</f>
        <v>1</v>
      </c>
      <c r="E7769" s="33" t="n">
        <f aca="false">HOUR(A7769)+MINUTE(A7769)/60</f>
        <v>15</v>
      </c>
      <c r="F7769" s="33" t="n">
        <f aca="false">IF(OR(D7769&gt;5,E7769&lt;8,E7769&gt;=18,COUNTIF($K$2:$K$10,INT(A7769))&gt;0),1,0)</f>
        <v>0</v>
      </c>
      <c r="G7769" s="34" t="n">
        <f aca="false">B7769/1</f>
        <v>253.506</v>
      </c>
      <c r="H7769" s="34" t="str">
        <f aca="false">IF(F7769=1,G7769,"")</f>
        <v/>
      </c>
    </row>
    <row r="7770" customFormat="false" ht="15" hidden="false" customHeight="false" outlineLevel="0" collapsed="false">
      <c r="A7770" s="31" t="n">
        <v>43059.6666666667</v>
      </c>
      <c r="B7770" s="32" t="n">
        <v>244.915</v>
      </c>
      <c r="D7770" s="33" t="n">
        <f aca="false">WEEKDAY(A7770,2)</f>
        <v>1</v>
      </c>
      <c r="E7770" s="33" t="n">
        <f aca="false">HOUR(A7770)+MINUTE(A7770)/60</f>
        <v>16</v>
      </c>
      <c r="F7770" s="33" t="n">
        <f aca="false">IF(OR(D7770&gt;5,E7770&lt;8,E7770&gt;=18,COUNTIF($K$2:$K$10,INT(A7770))&gt;0),1,0)</f>
        <v>0</v>
      </c>
      <c r="G7770" s="34" t="n">
        <f aca="false">B7770/1</f>
        <v>244.915</v>
      </c>
      <c r="H7770" s="34" t="str">
        <f aca="false">IF(F7770=1,G7770,"")</f>
        <v/>
      </c>
    </row>
    <row r="7771" customFormat="false" ht="15" hidden="false" customHeight="false" outlineLevel="0" collapsed="false">
      <c r="A7771" s="31" t="n">
        <v>43059.7083333333</v>
      </c>
      <c r="B7771" s="32" t="n">
        <v>236.809</v>
      </c>
      <c r="D7771" s="33" t="n">
        <f aca="false">WEEKDAY(A7771,2)</f>
        <v>1</v>
      </c>
      <c r="E7771" s="33" t="n">
        <f aca="false">HOUR(A7771)+MINUTE(A7771)/60</f>
        <v>17</v>
      </c>
      <c r="F7771" s="33" t="n">
        <f aca="false">IF(OR(D7771&gt;5,E7771&lt;8,E7771&gt;=18,COUNTIF($K$2:$K$10,INT(A7771))&gt;0),1,0)</f>
        <v>0</v>
      </c>
      <c r="G7771" s="34" t="n">
        <f aca="false">B7771/1</f>
        <v>236.809</v>
      </c>
      <c r="H7771" s="34" t="str">
        <f aca="false">IF(F7771=1,G7771,"")</f>
        <v/>
      </c>
    </row>
    <row r="7772" customFormat="false" ht="15" hidden="false" customHeight="false" outlineLevel="0" collapsed="false">
      <c r="A7772" s="31" t="n">
        <v>43059.75</v>
      </c>
      <c r="B7772" s="32" t="n">
        <v>218.535</v>
      </c>
      <c r="D7772" s="33" t="n">
        <f aca="false">WEEKDAY(A7772,2)</f>
        <v>1</v>
      </c>
      <c r="E7772" s="33" t="n">
        <f aca="false">HOUR(A7772)+MINUTE(A7772)/60</f>
        <v>18</v>
      </c>
      <c r="F7772" s="33" t="n">
        <f aca="false">IF(OR(D7772&gt;5,E7772&lt;8,E7772&gt;=18,COUNTIF($K$2:$K$10,INT(A7772))&gt;0),1,0)</f>
        <v>1</v>
      </c>
      <c r="G7772" s="34" t="n">
        <f aca="false">B7772/1</f>
        <v>218.535</v>
      </c>
      <c r="H7772" s="34" t="n">
        <f aca="false">IF(F7772=1,G7772,"")</f>
        <v>218.535</v>
      </c>
    </row>
    <row r="7773" customFormat="false" ht="15" hidden="false" customHeight="false" outlineLevel="0" collapsed="false">
      <c r="A7773" s="31" t="n">
        <v>43059.7916666667</v>
      </c>
      <c r="B7773" s="32" t="n">
        <v>206.84</v>
      </c>
      <c r="D7773" s="33" t="n">
        <f aca="false">WEEKDAY(A7773,2)</f>
        <v>1</v>
      </c>
      <c r="E7773" s="33" t="n">
        <f aca="false">HOUR(A7773)+MINUTE(A7773)/60</f>
        <v>19</v>
      </c>
      <c r="F7773" s="33" t="n">
        <f aca="false">IF(OR(D7773&gt;5,E7773&lt;8,E7773&gt;=18,COUNTIF($K$2:$K$10,INT(A7773))&gt;0),1,0)</f>
        <v>1</v>
      </c>
      <c r="G7773" s="34" t="n">
        <f aca="false">B7773/1</f>
        <v>206.84</v>
      </c>
      <c r="H7773" s="34" t="n">
        <f aca="false">IF(F7773=1,G7773,"")</f>
        <v>206.84</v>
      </c>
    </row>
    <row r="7774" customFormat="false" ht="15" hidden="false" customHeight="false" outlineLevel="0" collapsed="false">
      <c r="A7774" s="31" t="n">
        <v>43059.8333333333</v>
      </c>
      <c r="B7774" s="32" t="n">
        <v>202.648</v>
      </c>
      <c r="D7774" s="33" t="n">
        <f aca="false">WEEKDAY(A7774,2)</f>
        <v>1</v>
      </c>
      <c r="E7774" s="33" t="n">
        <f aca="false">HOUR(A7774)+MINUTE(A7774)/60</f>
        <v>20</v>
      </c>
      <c r="F7774" s="33" t="n">
        <f aca="false">IF(OR(D7774&gt;5,E7774&lt;8,E7774&gt;=18,COUNTIF($K$2:$K$10,INT(A7774))&gt;0),1,0)</f>
        <v>1</v>
      </c>
      <c r="G7774" s="34" t="n">
        <f aca="false">B7774/1</f>
        <v>202.648</v>
      </c>
      <c r="H7774" s="34" t="n">
        <f aca="false">IF(F7774=1,G7774,"")</f>
        <v>202.648</v>
      </c>
    </row>
    <row r="7775" customFormat="false" ht="15" hidden="false" customHeight="false" outlineLevel="0" collapsed="false">
      <c r="A7775" s="31" t="n">
        <v>43059.875</v>
      </c>
      <c r="B7775" s="32" t="n">
        <v>195.094</v>
      </c>
      <c r="D7775" s="33" t="n">
        <f aca="false">WEEKDAY(A7775,2)</f>
        <v>1</v>
      </c>
      <c r="E7775" s="33" t="n">
        <f aca="false">HOUR(A7775)+MINUTE(A7775)/60</f>
        <v>21</v>
      </c>
      <c r="F7775" s="33" t="n">
        <f aca="false">IF(OR(D7775&gt;5,E7775&lt;8,E7775&gt;=18,COUNTIF($K$2:$K$10,INT(A7775))&gt;0),1,0)</f>
        <v>1</v>
      </c>
      <c r="G7775" s="34" t="n">
        <f aca="false">B7775/1</f>
        <v>195.094</v>
      </c>
      <c r="H7775" s="34" t="n">
        <f aca="false">IF(F7775=1,G7775,"")</f>
        <v>195.094</v>
      </c>
    </row>
    <row r="7776" customFormat="false" ht="15" hidden="false" customHeight="false" outlineLevel="0" collapsed="false">
      <c r="A7776" s="31" t="n">
        <v>43059.9166666667</v>
      </c>
      <c r="B7776" s="32" t="n">
        <v>140</v>
      </c>
      <c r="D7776" s="33" t="n">
        <f aca="false">WEEKDAY(A7776,2)</f>
        <v>1</v>
      </c>
      <c r="E7776" s="33" t="n">
        <f aca="false">HOUR(A7776)+MINUTE(A7776)/60</f>
        <v>22</v>
      </c>
      <c r="F7776" s="33" t="n">
        <f aca="false">IF(OR(D7776&gt;5,E7776&lt;8,E7776&gt;=18,COUNTIF($K$2:$K$10,INT(A7776))&gt;0),1,0)</f>
        <v>1</v>
      </c>
      <c r="G7776" s="34" t="n">
        <f aca="false">B7776/1</f>
        <v>140</v>
      </c>
      <c r="H7776" s="34" t="n">
        <f aca="false">IF(F7776=1,G7776,"")</f>
        <v>140</v>
      </c>
    </row>
    <row r="7777" customFormat="false" ht="15" hidden="false" customHeight="false" outlineLevel="0" collapsed="false">
      <c r="A7777" s="31" t="n">
        <v>43059.9583333333</v>
      </c>
      <c r="B7777" s="32" t="n">
        <v>82.838</v>
      </c>
      <c r="D7777" s="33" t="n">
        <f aca="false">WEEKDAY(A7777,2)</f>
        <v>1</v>
      </c>
      <c r="E7777" s="33" t="n">
        <f aca="false">HOUR(A7777)+MINUTE(A7777)/60</f>
        <v>23</v>
      </c>
      <c r="F7777" s="33" t="n">
        <f aca="false">IF(OR(D7777&gt;5,E7777&lt;8,E7777&gt;=18,COUNTIF($K$2:$K$10,INT(A7777))&gt;0),1,0)</f>
        <v>1</v>
      </c>
      <c r="G7777" s="34" t="n">
        <f aca="false">B7777/1</f>
        <v>82.838</v>
      </c>
      <c r="H7777" s="34" t="n">
        <f aca="false">IF(F7777=1,G7777,"")</f>
        <v>82.838</v>
      </c>
    </row>
    <row r="7778" customFormat="false" ht="15" hidden="false" customHeight="false" outlineLevel="0" collapsed="false">
      <c r="A7778" s="31" t="n">
        <v>43060</v>
      </c>
      <c r="B7778" s="32" t="n">
        <v>80.015</v>
      </c>
      <c r="D7778" s="33" t="n">
        <f aca="false">WEEKDAY(A7778,2)</f>
        <v>2</v>
      </c>
      <c r="E7778" s="33" t="n">
        <f aca="false">HOUR(A7778)+MINUTE(A7778)/60</f>
        <v>0</v>
      </c>
      <c r="F7778" s="33" t="n">
        <f aca="false">IF(OR(D7778&gt;5,E7778&lt;8,E7778&gt;=18,COUNTIF($K$2:$K$10,INT(A7778))&gt;0),1,0)</f>
        <v>1</v>
      </c>
      <c r="G7778" s="34" t="n">
        <f aca="false">B7778/1</f>
        <v>80.015</v>
      </c>
      <c r="H7778" s="34" t="n">
        <f aca="false">IF(F7778=1,G7778,"")</f>
        <v>80.015</v>
      </c>
    </row>
    <row r="7779" customFormat="false" ht="15" hidden="false" customHeight="false" outlineLevel="0" collapsed="false">
      <c r="A7779" s="31" t="n">
        <v>43060.0416666667</v>
      </c>
      <c r="B7779" s="32" t="n">
        <v>71.96</v>
      </c>
      <c r="D7779" s="33" t="n">
        <f aca="false">WEEKDAY(A7779,2)</f>
        <v>2</v>
      </c>
      <c r="E7779" s="33" t="n">
        <f aca="false">HOUR(A7779)+MINUTE(A7779)/60</f>
        <v>1</v>
      </c>
      <c r="F7779" s="33" t="n">
        <f aca="false">IF(OR(D7779&gt;5,E7779&lt;8,E7779&gt;=18,COUNTIF($K$2:$K$10,INT(A7779))&gt;0),1,0)</f>
        <v>1</v>
      </c>
      <c r="G7779" s="34" t="n">
        <f aca="false">B7779/1</f>
        <v>71.96</v>
      </c>
      <c r="H7779" s="34" t="n">
        <f aca="false">IF(F7779=1,G7779,"")</f>
        <v>71.96</v>
      </c>
    </row>
    <row r="7780" customFormat="false" ht="15" hidden="false" customHeight="false" outlineLevel="0" collapsed="false">
      <c r="A7780" s="31" t="n">
        <v>43060.0833333333</v>
      </c>
      <c r="B7780" s="32" t="n">
        <v>67.332</v>
      </c>
      <c r="D7780" s="33" t="n">
        <f aca="false">WEEKDAY(A7780,2)</f>
        <v>2</v>
      </c>
      <c r="E7780" s="33" t="n">
        <f aca="false">HOUR(A7780)+MINUTE(A7780)/60</f>
        <v>2</v>
      </c>
      <c r="F7780" s="33" t="n">
        <f aca="false">IF(OR(D7780&gt;5,E7780&lt;8,E7780&gt;=18,COUNTIF($K$2:$K$10,INT(A7780))&gt;0),1,0)</f>
        <v>1</v>
      </c>
      <c r="G7780" s="34" t="n">
        <f aca="false">B7780/1</f>
        <v>67.332</v>
      </c>
      <c r="H7780" s="34" t="n">
        <f aca="false">IF(F7780=1,G7780,"")</f>
        <v>67.332</v>
      </c>
    </row>
    <row r="7781" customFormat="false" ht="15" hidden="false" customHeight="false" outlineLevel="0" collapsed="false">
      <c r="A7781" s="31" t="n">
        <v>43060.125</v>
      </c>
      <c r="B7781" s="32" t="n">
        <v>64.779</v>
      </c>
      <c r="D7781" s="33" t="n">
        <f aca="false">WEEKDAY(A7781,2)</f>
        <v>2</v>
      </c>
      <c r="E7781" s="33" t="n">
        <f aca="false">HOUR(A7781)+MINUTE(A7781)/60</f>
        <v>3</v>
      </c>
      <c r="F7781" s="33" t="n">
        <f aca="false">IF(OR(D7781&gt;5,E7781&lt;8,E7781&gt;=18,COUNTIF($K$2:$K$10,INT(A7781))&gt;0),1,0)</f>
        <v>1</v>
      </c>
      <c r="G7781" s="34" t="n">
        <f aca="false">B7781/1</f>
        <v>64.779</v>
      </c>
      <c r="H7781" s="34" t="n">
        <f aca="false">IF(F7781=1,G7781,"")</f>
        <v>64.779</v>
      </c>
    </row>
    <row r="7782" customFormat="false" ht="15" hidden="false" customHeight="false" outlineLevel="0" collapsed="false">
      <c r="A7782" s="31" t="n">
        <v>43060.1666666667</v>
      </c>
      <c r="B7782" s="32" t="n">
        <v>66.457</v>
      </c>
      <c r="D7782" s="33" t="n">
        <f aca="false">WEEKDAY(A7782,2)</f>
        <v>2</v>
      </c>
      <c r="E7782" s="33" t="n">
        <f aca="false">HOUR(A7782)+MINUTE(A7782)/60</f>
        <v>4</v>
      </c>
      <c r="F7782" s="33" t="n">
        <f aca="false">IF(OR(D7782&gt;5,E7782&lt;8,E7782&gt;=18,COUNTIF($K$2:$K$10,INT(A7782))&gt;0),1,0)</f>
        <v>1</v>
      </c>
      <c r="G7782" s="34" t="n">
        <f aca="false">B7782/1</f>
        <v>66.457</v>
      </c>
      <c r="H7782" s="34" t="n">
        <f aca="false">IF(F7782=1,G7782,"")</f>
        <v>66.457</v>
      </c>
    </row>
    <row r="7783" customFormat="false" ht="15" hidden="false" customHeight="false" outlineLevel="0" collapsed="false">
      <c r="A7783" s="31" t="n">
        <v>43060.2083333333</v>
      </c>
      <c r="B7783" s="32" t="n">
        <v>65.45</v>
      </c>
      <c r="D7783" s="33" t="n">
        <f aca="false">WEEKDAY(A7783,2)</f>
        <v>2</v>
      </c>
      <c r="E7783" s="33" t="n">
        <f aca="false">HOUR(A7783)+MINUTE(A7783)/60</f>
        <v>5</v>
      </c>
      <c r="F7783" s="33" t="n">
        <f aca="false">IF(OR(D7783&gt;5,E7783&lt;8,E7783&gt;=18,COUNTIF($K$2:$K$10,INT(A7783))&gt;0),1,0)</f>
        <v>1</v>
      </c>
      <c r="G7783" s="34" t="n">
        <f aca="false">B7783/1</f>
        <v>65.45</v>
      </c>
      <c r="H7783" s="34" t="n">
        <f aca="false">IF(F7783=1,G7783,"")</f>
        <v>65.45</v>
      </c>
    </row>
    <row r="7784" customFormat="false" ht="15" hidden="false" customHeight="false" outlineLevel="0" collapsed="false">
      <c r="A7784" s="31" t="n">
        <v>43060.25</v>
      </c>
      <c r="B7784" s="32" t="n">
        <v>66.582</v>
      </c>
      <c r="D7784" s="33" t="n">
        <f aca="false">WEEKDAY(A7784,2)</f>
        <v>2</v>
      </c>
      <c r="E7784" s="33" t="n">
        <f aca="false">HOUR(A7784)+MINUTE(A7784)/60</f>
        <v>6</v>
      </c>
      <c r="F7784" s="33" t="n">
        <f aca="false">IF(OR(D7784&gt;5,E7784&lt;8,E7784&gt;=18,COUNTIF($K$2:$K$10,INT(A7784))&gt;0),1,0)</f>
        <v>1</v>
      </c>
      <c r="G7784" s="34" t="n">
        <f aca="false">B7784/1</f>
        <v>66.582</v>
      </c>
      <c r="H7784" s="34" t="n">
        <f aca="false">IF(F7784=1,G7784,"")</f>
        <v>66.582</v>
      </c>
    </row>
    <row r="7785" customFormat="false" ht="15" hidden="false" customHeight="false" outlineLevel="0" collapsed="false">
      <c r="A7785" s="31" t="n">
        <v>43060.2916666667</v>
      </c>
      <c r="B7785" s="32" t="n">
        <v>72.323</v>
      </c>
      <c r="D7785" s="33" t="n">
        <f aca="false">WEEKDAY(A7785,2)</f>
        <v>2</v>
      </c>
      <c r="E7785" s="33" t="n">
        <f aca="false">HOUR(A7785)+MINUTE(A7785)/60</f>
        <v>7</v>
      </c>
      <c r="F7785" s="33" t="n">
        <f aca="false">IF(OR(D7785&gt;5,E7785&lt;8,E7785&gt;=18,COUNTIF($K$2:$K$10,INT(A7785))&gt;0),1,0)</f>
        <v>1</v>
      </c>
      <c r="G7785" s="34" t="n">
        <f aca="false">B7785/1</f>
        <v>72.323</v>
      </c>
      <c r="H7785" s="34" t="n">
        <f aca="false">IF(F7785=1,G7785,"")</f>
        <v>72.323</v>
      </c>
    </row>
    <row r="7786" customFormat="false" ht="15" hidden="false" customHeight="false" outlineLevel="0" collapsed="false">
      <c r="A7786" s="31" t="n">
        <v>43060.3333333333</v>
      </c>
      <c r="B7786" s="32" t="n">
        <v>170.82</v>
      </c>
      <c r="D7786" s="33" t="n">
        <f aca="false">WEEKDAY(A7786,2)</f>
        <v>2</v>
      </c>
      <c r="E7786" s="33" t="n">
        <f aca="false">HOUR(A7786)+MINUTE(A7786)/60</f>
        <v>8</v>
      </c>
      <c r="F7786" s="33" t="n">
        <f aca="false">IF(OR(D7786&gt;5,E7786&lt;8,E7786&gt;=18,COUNTIF($K$2:$K$10,INT(A7786))&gt;0),1,0)</f>
        <v>0</v>
      </c>
      <c r="G7786" s="34" t="n">
        <f aca="false">B7786/1</f>
        <v>170.82</v>
      </c>
      <c r="H7786" s="34" t="str">
        <f aca="false">IF(F7786=1,G7786,"")</f>
        <v/>
      </c>
    </row>
    <row r="7787" customFormat="false" ht="15" hidden="false" customHeight="false" outlineLevel="0" collapsed="false">
      <c r="A7787" s="31" t="n">
        <v>43060.375</v>
      </c>
      <c r="B7787" s="32" t="n">
        <v>209.258</v>
      </c>
      <c r="D7787" s="33" t="n">
        <f aca="false">WEEKDAY(A7787,2)</f>
        <v>2</v>
      </c>
      <c r="E7787" s="33" t="n">
        <f aca="false">HOUR(A7787)+MINUTE(A7787)/60</f>
        <v>9</v>
      </c>
      <c r="F7787" s="33" t="n">
        <f aca="false">IF(OR(D7787&gt;5,E7787&lt;8,E7787&gt;=18,COUNTIF($K$2:$K$10,INT(A7787))&gt;0),1,0)</f>
        <v>0</v>
      </c>
      <c r="G7787" s="34" t="n">
        <f aca="false">B7787/1</f>
        <v>209.258</v>
      </c>
      <c r="H7787" s="34" t="str">
        <f aca="false">IF(F7787=1,G7787,"")</f>
        <v/>
      </c>
    </row>
    <row r="7788" customFormat="false" ht="15" hidden="false" customHeight="false" outlineLevel="0" collapsed="false">
      <c r="A7788" s="31" t="n">
        <v>43060.4166666667</v>
      </c>
      <c r="B7788" s="32" t="n">
        <v>227.843</v>
      </c>
      <c r="D7788" s="33" t="n">
        <f aca="false">WEEKDAY(A7788,2)</f>
        <v>2</v>
      </c>
      <c r="E7788" s="33" t="n">
        <f aca="false">HOUR(A7788)+MINUTE(A7788)/60</f>
        <v>10</v>
      </c>
      <c r="F7788" s="33" t="n">
        <f aca="false">IF(OR(D7788&gt;5,E7788&lt;8,E7788&gt;=18,COUNTIF($K$2:$K$10,INT(A7788))&gt;0),1,0)</f>
        <v>0</v>
      </c>
      <c r="G7788" s="34" t="n">
        <f aca="false">B7788/1</f>
        <v>227.843</v>
      </c>
      <c r="H7788" s="34" t="str">
        <f aca="false">IF(F7788=1,G7788,"")</f>
        <v/>
      </c>
    </row>
    <row r="7789" customFormat="false" ht="15" hidden="false" customHeight="false" outlineLevel="0" collapsed="false">
      <c r="A7789" s="31" t="n">
        <v>43060.4583333333</v>
      </c>
      <c r="B7789" s="32" t="n">
        <v>245.046</v>
      </c>
      <c r="D7789" s="33" t="n">
        <f aca="false">WEEKDAY(A7789,2)</f>
        <v>2</v>
      </c>
      <c r="E7789" s="33" t="n">
        <f aca="false">HOUR(A7789)+MINUTE(A7789)/60</f>
        <v>11</v>
      </c>
      <c r="F7789" s="33" t="n">
        <f aca="false">IF(OR(D7789&gt;5,E7789&lt;8,E7789&gt;=18,COUNTIF($K$2:$K$10,INT(A7789))&gt;0),1,0)</f>
        <v>0</v>
      </c>
      <c r="G7789" s="34" t="n">
        <f aca="false">B7789/1</f>
        <v>245.046</v>
      </c>
      <c r="H7789" s="34" t="str">
        <f aca="false">IF(F7789=1,G7789,"")</f>
        <v/>
      </c>
    </row>
    <row r="7790" customFormat="false" ht="15" hidden="false" customHeight="false" outlineLevel="0" collapsed="false">
      <c r="A7790" s="31" t="n">
        <v>43060.5</v>
      </c>
      <c r="B7790" s="32" t="n">
        <v>252.457</v>
      </c>
      <c r="D7790" s="33" t="n">
        <f aca="false">WEEKDAY(A7790,2)</f>
        <v>2</v>
      </c>
      <c r="E7790" s="33" t="n">
        <f aca="false">HOUR(A7790)+MINUTE(A7790)/60</f>
        <v>12</v>
      </c>
      <c r="F7790" s="33" t="n">
        <f aca="false">IF(OR(D7790&gt;5,E7790&lt;8,E7790&gt;=18,COUNTIF($K$2:$K$10,INT(A7790))&gt;0),1,0)</f>
        <v>0</v>
      </c>
      <c r="G7790" s="34" t="n">
        <f aca="false">B7790/1</f>
        <v>252.457</v>
      </c>
      <c r="H7790" s="34" t="str">
        <f aca="false">IF(F7790=1,G7790,"")</f>
        <v/>
      </c>
    </row>
    <row r="7791" customFormat="false" ht="15" hidden="false" customHeight="false" outlineLevel="0" collapsed="false">
      <c r="A7791" s="31" t="n">
        <v>43060.5416666667</v>
      </c>
      <c r="B7791" s="32" t="n">
        <v>247.978</v>
      </c>
      <c r="D7791" s="33" t="n">
        <f aca="false">WEEKDAY(A7791,2)</f>
        <v>2</v>
      </c>
      <c r="E7791" s="33" t="n">
        <f aca="false">HOUR(A7791)+MINUTE(A7791)/60</f>
        <v>13</v>
      </c>
      <c r="F7791" s="33" t="n">
        <f aca="false">IF(OR(D7791&gt;5,E7791&lt;8,E7791&gt;=18,COUNTIF($K$2:$K$10,INT(A7791))&gt;0),1,0)</f>
        <v>0</v>
      </c>
      <c r="G7791" s="34" t="n">
        <f aca="false">B7791/1</f>
        <v>247.978</v>
      </c>
      <c r="H7791" s="34" t="str">
        <f aca="false">IF(F7791=1,G7791,"")</f>
        <v/>
      </c>
    </row>
    <row r="7792" customFormat="false" ht="15" hidden="false" customHeight="false" outlineLevel="0" collapsed="false">
      <c r="A7792" s="31" t="n">
        <v>43060.5833333333</v>
      </c>
      <c r="B7792" s="32" t="n">
        <v>247.945</v>
      </c>
      <c r="D7792" s="33" t="n">
        <f aca="false">WEEKDAY(A7792,2)</f>
        <v>2</v>
      </c>
      <c r="E7792" s="33" t="n">
        <f aca="false">HOUR(A7792)+MINUTE(A7792)/60</f>
        <v>14</v>
      </c>
      <c r="F7792" s="33" t="n">
        <f aca="false">IF(OR(D7792&gt;5,E7792&lt;8,E7792&gt;=18,COUNTIF($K$2:$K$10,INT(A7792))&gt;0),1,0)</f>
        <v>0</v>
      </c>
      <c r="G7792" s="34" t="n">
        <f aca="false">B7792/1</f>
        <v>247.945</v>
      </c>
      <c r="H7792" s="34" t="str">
        <f aca="false">IF(F7792=1,G7792,"")</f>
        <v/>
      </c>
    </row>
    <row r="7793" customFormat="false" ht="15" hidden="false" customHeight="false" outlineLevel="0" collapsed="false">
      <c r="A7793" s="31" t="n">
        <v>43060.625</v>
      </c>
      <c r="B7793" s="32" t="n">
        <v>246.468</v>
      </c>
      <c r="D7793" s="33" t="n">
        <f aca="false">WEEKDAY(A7793,2)</f>
        <v>2</v>
      </c>
      <c r="E7793" s="33" t="n">
        <f aca="false">HOUR(A7793)+MINUTE(A7793)/60</f>
        <v>15</v>
      </c>
      <c r="F7793" s="33" t="n">
        <f aca="false">IF(OR(D7793&gt;5,E7793&lt;8,E7793&gt;=18,COUNTIF($K$2:$K$10,INT(A7793))&gt;0),1,0)</f>
        <v>0</v>
      </c>
      <c r="G7793" s="34" t="n">
        <f aca="false">B7793/1</f>
        <v>246.468</v>
      </c>
      <c r="H7793" s="34" t="str">
        <f aca="false">IF(F7793=1,G7793,"")</f>
        <v/>
      </c>
    </row>
    <row r="7794" customFormat="false" ht="15" hidden="false" customHeight="false" outlineLevel="0" collapsed="false">
      <c r="A7794" s="31" t="n">
        <v>43060.6666666667</v>
      </c>
      <c r="B7794" s="32" t="n">
        <v>238.781</v>
      </c>
      <c r="D7794" s="33" t="n">
        <f aca="false">WEEKDAY(A7794,2)</f>
        <v>2</v>
      </c>
      <c r="E7794" s="33" t="n">
        <f aca="false">HOUR(A7794)+MINUTE(A7794)/60</f>
        <v>16</v>
      </c>
      <c r="F7794" s="33" t="n">
        <f aca="false">IF(OR(D7794&gt;5,E7794&lt;8,E7794&gt;=18,COUNTIF($K$2:$K$10,INT(A7794))&gt;0),1,0)</f>
        <v>0</v>
      </c>
      <c r="G7794" s="34" t="n">
        <f aca="false">B7794/1</f>
        <v>238.781</v>
      </c>
      <c r="H7794" s="34" t="str">
        <f aca="false">IF(F7794=1,G7794,"")</f>
        <v/>
      </c>
    </row>
    <row r="7795" customFormat="false" ht="15" hidden="false" customHeight="false" outlineLevel="0" collapsed="false">
      <c r="A7795" s="31" t="n">
        <v>43060.7083333333</v>
      </c>
      <c r="B7795" s="32" t="n">
        <v>229.86</v>
      </c>
      <c r="D7795" s="33" t="n">
        <f aca="false">WEEKDAY(A7795,2)</f>
        <v>2</v>
      </c>
      <c r="E7795" s="33" t="n">
        <f aca="false">HOUR(A7795)+MINUTE(A7795)/60</f>
        <v>17</v>
      </c>
      <c r="F7795" s="33" t="n">
        <f aca="false">IF(OR(D7795&gt;5,E7795&lt;8,E7795&gt;=18,COUNTIF($K$2:$K$10,INT(A7795))&gt;0),1,0)</f>
        <v>0</v>
      </c>
      <c r="G7795" s="34" t="n">
        <f aca="false">B7795/1</f>
        <v>229.86</v>
      </c>
      <c r="H7795" s="34" t="str">
        <f aca="false">IF(F7795=1,G7795,"")</f>
        <v/>
      </c>
    </row>
    <row r="7796" customFormat="false" ht="15" hidden="false" customHeight="false" outlineLevel="0" collapsed="false">
      <c r="A7796" s="31" t="n">
        <v>43060.75</v>
      </c>
      <c r="B7796" s="32" t="n">
        <v>217.356</v>
      </c>
      <c r="D7796" s="33" t="n">
        <f aca="false">WEEKDAY(A7796,2)</f>
        <v>2</v>
      </c>
      <c r="E7796" s="33" t="n">
        <f aca="false">HOUR(A7796)+MINUTE(A7796)/60</f>
        <v>18</v>
      </c>
      <c r="F7796" s="33" t="n">
        <f aca="false">IF(OR(D7796&gt;5,E7796&lt;8,E7796&gt;=18,COUNTIF($K$2:$K$10,INT(A7796))&gt;0),1,0)</f>
        <v>1</v>
      </c>
      <c r="G7796" s="34" t="n">
        <f aca="false">B7796/1</f>
        <v>217.356</v>
      </c>
      <c r="H7796" s="34" t="n">
        <f aca="false">IF(F7796=1,G7796,"")</f>
        <v>217.356</v>
      </c>
    </row>
    <row r="7797" customFormat="false" ht="15" hidden="false" customHeight="false" outlineLevel="0" collapsed="false">
      <c r="A7797" s="31" t="n">
        <v>43060.7916666667</v>
      </c>
      <c r="B7797" s="32" t="n">
        <v>208.073</v>
      </c>
      <c r="D7797" s="33" t="n">
        <f aca="false">WEEKDAY(A7797,2)</f>
        <v>2</v>
      </c>
      <c r="E7797" s="33" t="n">
        <f aca="false">HOUR(A7797)+MINUTE(A7797)/60</f>
        <v>19</v>
      </c>
      <c r="F7797" s="33" t="n">
        <f aca="false">IF(OR(D7797&gt;5,E7797&lt;8,E7797&gt;=18,COUNTIF($K$2:$K$10,INT(A7797))&gt;0),1,0)</f>
        <v>1</v>
      </c>
      <c r="G7797" s="34" t="n">
        <f aca="false">B7797/1</f>
        <v>208.073</v>
      </c>
      <c r="H7797" s="34" t="n">
        <f aca="false">IF(F7797=1,G7797,"")</f>
        <v>208.073</v>
      </c>
    </row>
    <row r="7798" customFormat="false" ht="15" hidden="false" customHeight="false" outlineLevel="0" collapsed="false">
      <c r="A7798" s="31" t="n">
        <v>43060.8333333333</v>
      </c>
      <c r="B7798" s="32" t="n">
        <v>200.184</v>
      </c>
      <c r="D7798" s="33" t="n">
        <f aca="false">WEEKDAY(A7798,2)</f>
        <v>2</v>
      </c>
      <c r="E7798" s="33" t="n">
        <f aca="false">HOUR(A7798)+MINUTE(A7798)/60</f>
        <v>20</v>
      </c>
      <c r="F7798" s="33" t="n">
        <f aca="false">IF(OR(D7798&gt;5,E7798&lt;8,E7798&gt;=18,COUNTIF($K$2:$K$10,INT(A7798))&gt;0),1,0)</f>
        <v>1</v>
      </c>
      <c r="G7798" s="34" t="n">
        <f aca="false">B7798/1</f>
        <v>200.184</v>
      </c>
      <c r="H7798" s="34" t="n">
        <f aca="false">IF(F7798=1,G7798,"")</f>
        <v>200.184</v>
      </c>
    </row>
    <row r="7799" customFormat="false" ht="15" hidden="false" customHeight="false" outlineLevel="0" collapsed="false">
      <c r="A7799" s="31" t="n">
        <v>43060.875</v>
      </c>
      <c r="B7799" s="32" t="n">
        <v>195.69</v>
      </c>
      <c r="D7799" s="33" t="n">
        <f aca="false">WEEKDAY(A7799,2)</f>
        <v>2</v>
      </c>
      <c r="E7799" s="33" t="n">
        <f aca="false">HOUR(A7799)+MINUTE(A7799)/60</f>
        <v>21</v>
      </c>
      <c r="F7799" s="33" t="n">
        <f aca="false">IF(OR(D7799&gt;5,E7799&lt;8,E7799&gt;=18,COUNTIF($K$2:$K$10,INT(A7799))&gt;0),1,0)</f>
        <v>1</v>
      </c>
      <c r="G7799" s="34" t="n">
        <f aca="false">B7799/1</f>
        <v>195.69</v>
      </c>
      <c r="H7799" s="34" t="n">
        <f aca="false">IF(F7799=1,G7799,"")</f>
        <v>195.69</v>
      </c>
    </row>
    <row r="7800" customFormat="false" ht="15" hidden="false" customHeight="false" outlineLevel="0" collapsed="false">
      <c r="A7800" s="31" t="n">
        <v>43060.9166666667</v>
      </c>
      <c r="B7800" s="32" t="n">
        <v>145.481</v>
      </c>
      <c r="D7800" s="33" t="n">
        <f aca="false">WEEKDAY(A7800,2)</f>
        <v>2</v>
      </c>
      <c r="E7800" s="33" t="n">
        <f aca="false">HOUR(A7800)+MINUTE(A7800)/60</f>
        <v>22</v>
      </c>
      <c r="F7800" s="33" t="n">
        <f aca="false">IF(OR(D7800&gt;5,E7800&lt;8,E7800&gt;=18,COUNTIF($K$2:$K$10,INT(A7800))&gt;0),1,0)</f>
        <v>1</v>
      </c>
      <c r="G7800" s="34" t="n">
        <f aca="false">B7800/1</f>
        <v>145.481</v>
      </c>
      <c r="H7800" s="34" t="n">
        <f aca="false">IF(F7800=1,G7800,"")</f>
        <v>145.481</v>
      </c>
    </row>
    <row r="7801" customFormat="false" ht="15" hidden="false" customHeight="false" outlineLevel="0" collapsed="false">
      <c r="A7801" s="31" t="n">
        <v>43060.9583333333</v>
      </c>
      <c r="B7801" s="32" t="n">
        <v>83.093</v>
      </c>
      <c r="D7801" s="33" t="n">
        <f aca="false">WEEKDAY(A7801,2)</f>
        <v>2</v>
      </c>
      <c r="E7801" s="33" t="n">
        <f aca="false">HOUR(A7801)+MINUTE(A7801)/60</f>
        <v>23</v>
      </c>
      <c r="F7801" s="33" t="n">
        <f aca="false">IF(OR(D7801&gt;5,E7801&lt;8,E7801&gt;=18,COUNTIF($K$2:$K$10,INT(A7801))&gt;0),1,0)</f>
        <v>1</v>
      </c>
      <c r="G7801" s="34" t="n">
        <f aca="false">B7801/1</f>
        <v>83.093</v>
      </c>
      <c r="H7801" s="34" t="n">
        <f aca="false">IF(F7801=1,G7801,"")</f>
        <v>83.093</v>
      </c>
    </row>
    <row r="7802" customFormat="false" ht="15" hidden="false" customHeight="false" outlineLevel="0" collapsed="false">
      <c r="A7802" s="31" t="n">
        <v>43061</v>
      </c>
      <c r="B7802" s="32" t="n">
        <v>77.136</v>
      </c>
      <c r="D7802" s="33" t="n">
        <f aca="false">WEEKDAY(A7802,2)</f>
        <v>3</v>
      </c>
      <c r="E7802" s="33" t="n">
        <f aca="false">HOUR(A7802)+MINUTE(A7802)/60</f>
        <v>0</v>
      </c>
      <c r="F7802" s="33" t="n">
        <f aca="false">IF(OR(D7802&gt;5,E7802&lt;8,E7802&gt;=18,COUNTIF($K$2:$K$10,INT(A7802))&gt;0),1,0)</f>
        <v>1</v>
      </c>
      <c r="G7802" s="34" t="n">
        <f aca="false">B7802/1</f>
        <v>77.136</v>
      </c>
      <c r="H7802" s="34" t="n">
        <f aca="false">IF(F7802=1,G7802,"")</f>
        <v>77.136</v>
      </c>
    </row>
    <row r="7803" customFormat="false" ht="15" hidden="false" customHeight="false" outlineLevel="0" collapsed="false">
      <c r="A7803" s="31" t="n">
        <v>43061.0416666667</v>
      </c>
      <c r="B7803" s="32" t="n">
        <v>70.499</v>
      </c>
      <c r="D7803" s="33" t="n">
        <f aca="false">WEEKDAY(A7803,2)</f>
        <v>3</v>
      </c>
      <c r="E7803" s="33" t="n">
        <f aca="false">HOUR(A7803)+MINUTE(A7803)/60</f>
        <v>1</v>
      </c>
      <c r="F7803" s="33" t="n">
        <f aca="false">IF(OR(D7803&gt;5,E7803&lt;8,E7803&gt;=18,COUNTIF($K$2:$K$10,INT(A7803))&gt;0),1,0)</f>
        <v>1</v>
      </c>
      <c r="G7803" s="34" t="n">
        <f aca="false">B7803/1</f>
        <v>70.499</v>
      </c>
      <c r="H7803" s="34" t="n">
        <f aca="false">IF(F7803=1,G7803,"")</f>
        <v>70.499</v>
      </c>
    </row>
    <row r="7804" customFormat="false" ht="15" hidden="false" customHeight="false" outlineLevel="0" collapsed="false">
      <c r="A7804" s="31" t="n">
        <v>43061.0833333333</v>
      </c>
      <c r="B7804" s="32" t="n">
        <v>68.405</v>
      </c>
      <c r="D7804" s="33" t="n">
        <f aca="false">WEEKDAY(A7804,2)</f>
        <v>3</v>
      </c>
      <c r="E7804" s="33" t="n">
        <f aca="false">HOUR(A7804)+MINUTE(A7804)/60</f>
        <v>2</v>
      </c>
      <c r="F7804" s="33" t="n">
        <f aca="false">IF(OR(D7804&gt;5,E7804&lt;8,E7804&gt;=18,COUNTIF($K$2:$K$10,INT(A7804))&gt;0),1,0)</f>
        <v>1</v>
      </c>
      <c r="G7804" s="34" t="n">
        <f aca="false">B7804/1</f>
        <v>68.405</v>
      </c>
      <c r="H7804" s="34" t="n">
        <f aca="false">IF(F7804=1,G7804,"")</f>
        <v>68.405</v>
      </c>
    </row>
    <row r="7805" customFormat="false" ht="15" hidden="false" customHeight="false" outlineLevel="0" collapsed="false">
      <c r="A7805" s="31" t="n">
        <v>43061.125</v>
      </c>
      <c r="B7805" s="32" t="n">
        <v>69.671</v>
      </c>
      <c r="D7805" s="33" t="n">
        <f aca="false">WEEKDAY(A7805,2)</f>
        <v>3</v>
      </c>
      <c r="E7805" s="33" t="n">
        <f aca="false">HOUR(A7805)+MINUTE(A7805)/60</f>
        <v>3</v>
      </c>
      <c r="F7805" s="33" t="n">
        <f aca="false">IF(OR(D7805&gt;5,E7805&lt;8,E7805&gt;=18,COUNTIF($K$2:$K$10,INT(A7805))&gt;0),1,0)</f>
        <v>1</v>
      </c>
      <c r="G7805" s="34" t="n">
        <f aca="false">B7805/1</f>
        <v>69.671</v>
      </c>
      <c r="H7805" s="34" t="n">
        <f aca="false">IF(F7805=1,G7805,"")</f>
        <v>69.671</v>
      </c>
    </row>
    <row r="7806" customFormat="false" ht="15" hidden="false" customHeight="false" outlineLevel="0" collapsed="false">
      <c r="A7806" s="31" t="n">
        <v>43061.1666666667</v>
      </c>
      <c r="B7806" s="32" t="n">
        <v>68.444</v>
      </c>
      <c r="D7806" s="33" t="n">
        <f aca="false">WEEKDAY(A7806,2)</f>
        <v>3</v>
      </c>
      <c r="E7806" s="33" t="n">
        <f aca="false">HOUR(A7806)+MINUTE(A7806)/60</f>
        <v>4</v>
      </c>
      <c r="F7806" s="33" t="n">
        <f aca="false">IF(OR(D7806&gt;5,E7806&lt;8,E7806&gt;=18,COUNTIF($K$2:$K$10,INT(A7806))&gt;0),1,0)</f>
        <v>1</v>
      </c>
      <c r="G7806" s="34" t="n">
        <f aca="false">B7806/1</f>
        <v>68.444</v>
      </c>
      <c r="H7806" s="34" t="n">
        <f aca="false">IF(F7806=1,G7806,"")</f>
        <v>68.444</v>
      </c>
    </row>
    <row r="7807" customFormat="false" ht="15" hidden="false" customHeight="false" outlineLevel="0" collapsed="false">
      <c r="A7807" s="31" t="n">
        <v>43061.2083333333</v>
      </c>
      <c r="B7807" s="32" t="n">
        <v>68.965</v>
      </c>
      <c r="D7807" s="33" t="n">
        <f aca="false">WEEKDAY(A7807,2)</f>
        <v>3</v>
      </c>
      <c r="E7807" s="33" t="n">
        <f aca="false">HOUR(A7807)+MINUTE(A7807)/60</f>
        <v>5</v>
      </c>
      <c r="F7807" s="33" t="n">
        <f aca="false">IF(OR(D7807&gt;5,E7807&lt;8,E7807&gt;=18,COUNTIF($K$2:$K$10,INT(A7807))&gt;0),1,0)</f>
        <v>1</v>
      </c>
      <c r="G7807" s="34" t="n">
        <f aca="false">B7807/1</f>
        <v>68.965</v>
      </c>
      <c r="H7807" s="34" t="n">
        <f aca="false">IF(F7807=1,G7807,"")</f>
        <v>68.965</v>
      </c>
    </row>
    <row r="7808" customFormat="false" ht="15" hidden="false" customHeight="false" outlineLevel="0" collapsed="false">
      <c r="A7808" s="31" t="n">
        <v>43061.25</v>
      </c>
      <c r="B7808" s="32" t="n">
        <v>69.119</v>
      </c>
      <c r="D7808" s="33" t="n">
        <f aca="false">WEEKDAY(A7808,2)</f>
        <v>3</v>
      </c>
      <c r="E7808" s="33" t="n">
        <f aca="false">HOUR(A7808)+MINUTE(A7808)/60</f>
        <v>6</v>
      </c>
      <c r="F7808" s="33" t="n">
        <f aca="false">IF(OR(D7808&gt;5,E7808&lt;8,E7808&gt;=18,COUNTIF($K$2:$K$10,INT(A7808))&gt;0),1,0)</f>
        <v>1</v>
      </c>
      <c r="G7808" s="34" t="n">
        <f aca="false">B7808/1</f>
        <v>69.119</v>
      </c>
      <c r="H7808" s="34" t="n">
        <f aca="false">IF(F7808=1,G7808,"")</f>
        <v>69.119</v>
      </c>
    </row>
    <row r="7809" customFormat="false" ht="15" hidden="false" customHeight="false" outlineLevel="0" collapsed="false">
      <c r="A7809" s="31" t="n">
        <v>43061.2916666667</v>
      </c>
      <c r="B7809" s="32" t="n">
        <v>71.581</v>
      </c>
      <c r="D7809" s="33" t="n">
        <f aca="false">WEEKDAY(A7809,2)</f>
        <v>3</v>
      </c>
      <c r="E7809" s="33" t="n">
        <f aca="false">HOUR(A7809)+MINUTE(A7809)/60</f>
        <v>7</v>
      </c>
      <c r="F7809" s="33" t="n">
        <f aca="false">IF(OR(D7809&gt;5,E7809&lt;8,E7809&gt;=18,COUNTIF($K$2:$K$10,INT(A7809))&gt;0),1,0)</f>
        <v>1</v>
      </c>
      <c r="G7809" s="34" t="n">
        <f aca="false">B7809/1</f>
        <v>71.581</v>
      </c>
      <c r="H7809" s="34" t="n">
        <f aca="false">IF(F7809=1,G7809,"")</f>
        <v>71.581</v>
      </c>
    </row>
    <row r="7810" customFormat="false" ht="15" hidden="false" customHeight="false" outlineLevel="0" collapsed="false">
      <c r="A7810" s="31" t="n">
        <v>43061.3333333333</v>
      </c>
      <c r="B7810" s="32" t="n">
        <v>172.276</v>
      </c>
      <c r="D7810" s="33" t="n">
        <f aca="false">WEEKDAY(A7810,2)</f>
        <v>3</v>
      </c>
      <c r="E7810" s="33" t="n">
        <f aca="false">HOUR(A7810)+MINUTE(A7810)/60</f>
        <v>8</v>
      </c>
      <c r="F7810" s="33" t="n">
        <f aca="false">IF(OR(D7810&gt;5,E7810&lt;8,E7810&gt;=18,COUNTIF($K$2:$K$10,INT(A7810))&gt;0),1,0)</f>
        <v>0</v>
      </c>
      <c r="G7810" s="34" t="n">
        <f aca="false">B7810/1</f>
        <v>172.276</v>
      </c>
      <c r="H7810" s="34" t="str">
        <f aca="false">IF(F7810=1,G7810,"")</f>
        <v/>
      </c>
    </row>
    <row r="7811" customFormat="false" ht="15" hidden="false" customHeight="false" outlineLevel="0" collapsed="false">
      <c r="A7811" s="31" t="n">
        <v>43061.375</v>
      </c>
      <c r="B7811" s="32" t="n">
        <v>194.676</v>
      </c>
      <c r="D7811" s="33" t="n">
        <f aca="false">WEEKDAY(A7811,2)</f>
        <v>3</v>
      </c>
      <c r="E7811" s="33" t="n">
        <f aca="false">HOUR(A7811)+MINUTE(A7811)/60</f>
        <v>9</v>
      </c>
      <c r="F7811" s="33" t="n">
        <f aca="false">IF(OR(D7811&gt;5,E7811&lt;8,E7811&gt;=18,COUNTIF($K$2:$K$10,INT(A7811))&gt;0),1,0)</f>
        <v>0</v>
      </c>
      <c r="G7811" s="34" t="n">
        <f aca="false">B7811/1</f>
        <v>194.676</v>
      </c>
      <c r="H7811" s="34" t="str">
        <f aca="false">IF(F7811=1,G7811,"")</f>
        <v/>
      </c>
    </row>
    <row r="7812" customFormat="false" ht="15" hidden="false" customHeight="false" outlineLevel="0" collapsed="false">
      <c r="A7812" s="31" t="n">
        <v>43061.4166666667</v>
      </c>
      <c r="B7812" s="32" t="n">
        <v>211.478</v>
      </c>
      <c r="D7812" s="33" t="n">
        <f aca="false">WEEKDAY(A7812,2)</f>
        <v>3</v>
      </c>
      <c r="E7812" s="33" t="n">
        <f aca="false">HOUR(A7812)+MINUTE(A7812)/60</f>
        <v>10</v>
      </c>
      <c r="F7812" s="33" t="n">
        <f aca="false">IF(OR(D7812&gt;5,E7812&lt;8,E7812&gt;=18,COUNTIF($K$2:$K$10,INT(A7812))&gt;0),1,0)</f>
        <v>0</v>
      </c>
      <c r="G7812" s="34" t="n">
        <f aca="false">B7812/1</f>
        <v>211.478</v>
      </c>
      <c r="H7812" s="34" t="str">
        <f aca="false">IF(F7812=1,G7812,"")</f>
        <v/>
      </c>
    </row>
    <row r="7813" customFormat="false" ht="15" hidden="false" customHeight="false" outlineLevel="0" collapsed="false">
      <c r="A7813" s="31" t="n">
        <v>43061.4583333333</v>
      </c>
      <c r="B7813" s="32" t="n">
        <v>222.124</v>
      </c>
      <c r="D7813" s="33" t="n">
        <f aca="false">WEEKDAY(A7813,2)</f>
        <v>3</v>
      </c>
      <c r="E7813" s="33" t="n">
        <f aca="false">HOUR(A7813)+MINUTE(A7813)/60</f>
        <v>11</v>
      </c>
      <c r="F7813" s="33" t="n">
        <f aca="false">IF(OR(D7813&gt;5,E7813&lt;8,E7813&gt;=18,COUNTIF($K$2:$K$10,INT(A7813))&gt;0),1,0)</f>
        <v>0</v>
      </c>
      <c r="G7813" s="34" t="n">
        <f aca="false">B7813/1</f>
        <v>222.124</v>
      </c>
      <c r="H7813" s="34" t="str">
        <f aca="false">IF(F7813=1,G7813,"")</f>
        <v/>
      </c>
    </row>
    <row r="7814" customFormat="false" ht="15" hidden="false" customHeight="false" outlineLevel="0" collapsed="false">
      <c r="A7814" s="31" t="n">
        <v>43061.5</v>
      </c>
      <c r="B7814" s="32" t="n">
        <v>225.096</v>
      </c>
      <c r="D7814" s="33" t="n">
        <f aca="false">WEEKDAY(A7814,2)</f>
        <v>3</v>
      </c>
      <c r="E7814" s="33" t="n">
        <f aca="false">HOUR(A7814)+MINUTE(A7814)/60</f>
        <v>12</v>
      </c>
      <c r="F7814" s="33" t="n">
        <f aca="false">IF(OR(D7814&gt;5,E7814&lt;8,E7814&gt;=18,COUNTIF($K$2:$K$10,INT(A7814))&gt;0),1,0)</f>
        <v>0</v>
      </c>
      <c r="G7814" s="34" t="n">
        <f aca="false">B7814/1</f>
        <v>225.096</v>
      </c>
      <c r="H7814" s="34" t="str">
        <f aca="false">IF(F7814=1,G7814,"")</f>
        <v/>
      </c>
    </row>
    <row r="7815" customFormat="false" ht="15" hidden="false" customHeight="false" outlineLevel="0" collapsed="false">
      <c r="A7815" s="31" t="n">
        <v>43061.5416666667</v>
      </c>
      <c r="B7815" s="32" t="n">
        <v>225.817</v>
      </c>
      <c r="D7815" s="33" t="n">
        <f aca="false">WEEKDAY(A7815,2)</f>
        <v>3</v>
      </c>
      <c r="E7815" s="33" t="n">
        <f aca="false">HOUR(A7815)+MINUTE(A7815)/60</f>
        <v>13</v>
      </c>
      <c r="F7815" s="33" t="n">
        <f aca="false">IF(OR(D7815&gt;5,E7815&lt;8,E7815&gt;=18,COUNTIF($K$2:$K$10,INT(A7815))&gt;0),1,0)</f>
        <v>0</v>
      </c>
      <c r="G7815" s="34" t="n">
        <f aca="false">B7815/1</f>
        <v>225.817</v>
      </c>
      <c r="H7815" s="34" t="str">
        <f aca="false">IF(F7815=1,G7815,"")</f>
        <v/>
      </c>
    </row>
    <row r="7816" customFormat="false" ht="15" hidden="false" customHeight="false" outlineLevel="0" collapsed="false">
      <c r="A7816" s="31" t="n">
        <v>43061.5833333333</v>
      </c>
      <c r="B7816" s="32" t="n">
        <v>219.26</v>
      </c>
      <c r="D7816" s="33" t="n">
        <f aca="false">WEEKDAY(A7816,2)</f>
        <v>3</v>
      </c>
      <c r="E7816" s="33" t="n">
        <f aca="false">HOUR(A7816)+MINUTE(A7816)/60</f>
        <v>14</v>
      </c>
      <c r="F7816" s="33" t="n">
        <f aca="false">IF(OR(D7816&gt;5,E7816&lt;8,E7816&gt;=18,COUNTIF($K$2:$K$10,INT(A7816))&gt;0),1,0)</f>
        <v>0</v>
      </c>
      <c r="G7816" s="34" t="n">
        <f aca="false">B7816/1</f>
        <v>219.26</v>
      </c>
      <c r="H7816" s="34" t="str">
        <f aca="false">IF(F7816=1,G7816,"")</f>
        <v/>
      </c>
    </row>
    <row r="7817" customFormat="false" ht="15" hidden="false" customHeight="false" outlineLevel="0" collapsed="false">
      <c r="A7817" s="31" t="n">
        <v>43061.625</v>
      </c>
      <c r="B7817" s="32" t="n">
        <v>216.379</v>
      </c>
      <c r="D7817" s="33" t="n">
        <f aca="false">WEEKDAY(A7817,2)</f>
        <v>3</v>
      </c>
      <c r="E7817" s="33" t="n">
        <f aca="false">HOUR(A7817)+MINUTE(A7817)/60</f>
        <v>15</v>
      </c>
      <c r="F7817" s="33" t="n">
        <f aca="false">IF(OR(D7817&gt;5,E7817&lt;8,E7817&gt;=18,COUNTIF($K$2:$K$10,INT(A7817))&gt;0),1,0)</f>
        <v>0</v>
      </c>
      <c r="G7817" s="34" t="n">
        <f aca="false">B7817/1</f>
        <v>216.379</v>
      </c>
      <c r="H7817" s="34" t="str">
        <f aca="false">IF(F7817=1,G7817,"")</f>
        <v/>
      </c>
    </row>
    <row r="7818" customFormat="false" ht="15" hidden="false" customHeight="false" outlineLevel="0" collapsed="false">
      <c r="A7818" s="31" t="n">
        <v>43061.6666666667</v>
      </c>
      <c r="B7818" s="32" t="n">
        <v>209.074</v>
      </c>
      <c r="D7818" s="33" t="n">
        <f aca="false">WEEKDAY(A7818,2)</f>
        <v>3</v>
      </c>
      <c r="E7818" s="33" t="n">
        <f aca="false">HOUR(A7818)+MINUTE(A7818)/60</f>
        <v>16</v>
      </c>
      <c r="F7818" s="33" t="n">
        <f aca="false">IF(OR(D7818&gt;5,E7818&lt;8,E7818&gt;=18,COUNTIF($K$2:$K$10,INT(A7818))&gt;0),1,0)</f>
        <v>0</v>
      </c>
      <c r="G7818" s="34" t="n">
        <f aca="false">B7818/1</f>
        <v>209.074</v>
      </c>
      <c r="H7818" s="34" t="str">
        <f aca="false">IF(F7818=1,G7818,"")</f>
        <v/>
      </c>
    </row>
    <row r="7819" customFormat="false" ht="15" hidden="false" customHeight="false" outlineLevel="0" collapsed="false">
      <c r="A7819" s="31" t="n">
        <v>43061.7083333333</v>
      </c>
      <c r="B7819" s="32" t="n">
        <v>194.93</v>
      </c>
      <c r="D7819" s="33" t="n">
        <f aca="false">WEEKDAY(A7819,2)</f>
        <v>3</v>
      </c>
      <c r="E7819" s="33" t="n">
        <f aca="false">HOUR(A7819)+MINUTE(A7819)/60</f>
        <v>17</v>
      </c>
      <c r="F7819" s="33" t="n">
        <f aca="false">IF(OR(D7819&gt;5,E7819&lt;8,E7819&gt;=18,COUNTIF($K$2:$K$10,INT(A7819))&gt;0),1,0)</f>
        <v>0</v>
      </c>
      <c r="G7819" s="34" t="n">
        <f aca="false">B7819/1</f>
        <v>194.93</v>
      </c>
      <c r="H7819" s="34" t="str">
        <f aca="false">IF(F7819=1,G7819,"")</f>
        <v/>
      </c>
    </row>
    <row r="7820" customFormat="false" ht="15" hidden="false" customHeight="false" outlineLevel="0" collapsed="false">
      <c r="A7820" s="31" t="n">
        <v>43061.75</v>
      </c>
      <c r="B7820" s="32" t="n">
        <v>184.645</v>
      </c>
      <c r="D7820" s="33" t="n">
        <f aca="false">WEEKDAY(A7820,2)</f>
        <v>3</v>
      </c>
      <c r="E7820" s="33" t="n">
        <f aca="false">HOUR(A7820)+MINUTE(A7820)/60</f>
        <v>18</v>
      </c>
      <c r="F7820" s="33" t="n">
        <f aca="false">IF(OR(D7820&gt;5,E7820&lt;8,E7820&gt;=18,COUNTIF($K$2:$K$10,INT(A7820))&gt;0),1,0)</f>
        <v>1</v>
      </c>
      <c r="G7820" s="34" t="n">
        <f aca="false">B7820/1</f>
        <v>184.645</v>
      </c>
      <c r="H7820" s="34" t="n">
        <f aca="false">IF(F7820=1,G7820,"")</f>
        <v>184.645</v>
      </c>
    </row>
    <row r="7821" customFormat="false" ht="15" hidden="false" customHeight="false" outlineLevel="0" collapsed="false">
      <c r="A7821" s="31" t="n">
        <v>43061.7916666667</v>
      </c>
      <c r="B7821" s="32" t="n">
        <v>178.418</v>
      </c>
      <c r="D7821" s="33" t="n">
        <f aca="false">WEEKDAY(A7821,2)</f>
        <v>3</v>
      </c>
      <c r="E7821" s="33" t="n">
        <f aca="false">HOUR(A7821)+MINUTE(A7821)/60</f>
        <v>19</v>
      </c>
      <c r="F7821" s="33" t="n">
        <f aca="false">IF(OR(D7821&gt;5,E7821&lt;8,E7821&gt;=18,COUNTIF($K$2:$K$10,INT(A7821))&gt;0),1,0)</f>
        <v>1</v>
      </c>
      <c r="G7821" s="34" t="n">
        <f aca="false">B7821/1</f>
        <v>178.418</v>
      </c>
      <c r="H7821" s="34" t="n">
        <f aca="false">IF(F7821=1,G7821,"")</f>
        <v>178.418</v>
      </c>
    </row>
    <row r="7822" customFormat="false" ht="15" hidden="false" customHeight="false" outlineLevel="0" collapsed="false">
      <c r="A7822" s="31" t="n">
        <v>43061.8333333333</v>
      </c>
      <c r="B7822" s="32" t="n">
        <v>173.434</v>
      </c>
      <c r="D7822" s="33" t="n">
        <f aca="false">WEEKDAY(A7822,2)</f>
        <v>3</v>
      </c>
      <c r="E7822" s="33" t="n">
        <f aca="false">HOUR(A7822)+MINUTE(A7822)/60</f>
        <v>20</v>
      </c>
      <c r="F7822" s="33" t="n">
        <f aca="false">IF(OR(D7822&gt;5,E7822&lt;8,E7822&gt;=18,COUNTIF($K$2:$K$10,INT(A7822))&gt;0),1,0)</f>
        <v>1</v>
      </c>
      <c r="G7822" s="34" t="n">
        <f aca="false">B7822/1</f>
        <v>173.434</v>
      </c>
      <c r="H7822" s="34" t="n">
        <f aca="false">IF(F7822=1,G7822,"")</f>
        <v>173.434</v>
      </c>
    </row>
    <row r="7823" customFormat="false" ht="15" hidden="false" customHeight="false" outlineLevel="0" collapsed="false">
      <c r="A7823" s="31" t="n">
        <v>43061.875</v>
      </c>
      <c r="B7823" s="32" t="n">
        <v>167.059</v>
      </c>
      <c r="D7823" s="33" t="n">
        <f aca="false">WEEKDAY(A7823,2)</f>
        <v>3</v>
      </c>
      <c r="E7823" s="33" t="n">
        <f aca="false">HOUR(A7823)+MINUTE(A7823)/60</f>
        <v>21</v>
      </c>
      <c r="F7823" s="33" t="n">
        <f aca="false">IF(OR(D7823&gt;5,E7823&lt;8,E7823&gt;=18,COUNTIF($K$2:$K$10,INT(A7823))&gt;0),1,0)</f>
        <v>1</v>
      </c>
      <c r="G7823" s="34" t="n">
        <f aca="false">B7823/1</f>
        <v>167.059</v>
      </c>
      <c r="H7823" s="34" t="n">
        <f aca="false">IF(F7823=1,G7823,"")</f>
        <v>167.059</v>
      </c>
    </row>
    <row r="7824" customFormat="false" ht="15" hidden="false" customHeight="false" outlineLevel="0" collapsed="false">
      <c r="A7824" s="31" t="n">
        <v>43061.9166666667</v>
      </c>
      <c r="B7824" s="32" t="n">
        <v>122.587</v>
      </c>
      <c r="D7824" s="33" t="n">
        <f aca="false">WEEKDAY(A7824,2)</f>
        <v>3</v>
      </c>
      <c r="E7824" s="33" t="n">
        <f aca="false">HOUR(A7824)+MINUTE(A7824)/60</f>
        <v>22</v>
      </c>
      <c r="F7824" s="33" t="n">
        <f aca="false">IF(OR(D7824&gt;5,E7824&lt;8,E7824&gt;=18,COUNTIF($K$2:$K$10,INT(A7824))&gt;0),1,0)</f>
        <v>1</v>
      </c>
      <c r="G7824" s="34" t="n">
        <f aca="false">B7824/1</f>
        <v>122.587</v>
      </c>
      <c r="H7824" s="34" t="n">
        <f aca="false">IF(F7824=1,G7824,"")</f>
        <v>122.587</v>
      </c>
    </row>
    <row r="7825" customFormat="false" ht="15" hidden="false" customHeight="false" outlineLevel="0" collapsed="false">
      <c r="A7825" s="31" t="n">
        <v>43061.9583333333</v>
      </c>
      <c r="B7825" s="32" t="n">
        <v>68.976</v>
      </c>
      <c r="D7825" s="33" t="n">
        <f aca="false">WEEKDAY(A7825,2)</f>
        <v>3</v>
      </c>
      <c r="E7825" s="33" t="n">
        <f aca="false">HOUR(A7825)+MINUTE(A7825)/60</f>
        <v>23</v>
      </c>
      <c r="F7825" s="33" t="n">
        <f aca="false">IF(OR(D7825&gt;5,E7825&lt;8,E7825&gt;=18,COUNTIF($K$2:$K$10,INT(A7825))&gt;0),1,0)</f>
        <v>1</v>
      </c>
      <c r="G7825" s="34" t="n">
        <f aca="false">B7825/1</f>
        <v>68.976</v>
      </c>
      <c r="H7825" s="34" t="n">
        <f aca="false">IF(F7825=1,G7825,"")</f>
        <v>68.976</v>
      </c>
    </row>
    <row r="7826" customFormat="false" ht="15" hidden="false" customHeight="false" outlineLevel="0" collapsed="false">
      <c r="A7826" s="31" t="n">
        <v>43062</v>
      </c>
      <c r="B7826" s="32" t="n">
        <v>65.713</v>
      </c>
      <c r="D7826" s="33" t="n">
        <f aca="false">WEEKDAY(A7826,2)</f>
        <v>4</v>
      </c>
      <c r="E7826" s="33" t="n">
        <f aca="false">HOUR(A7826)+MINUTE(A7826)/60</f>
        <v>0</v>
      </c>
      <c r="F7826" s="33" t="n">
        <f aca="false">IF(OR(D7826&gt;5,E7826&lt;8,E7826&gt;=18,COUNTIF($K$2:$K$10,INT(A7826))&gt;0),1,0)</f>
        <v>1</v>
      </c>
      <c r="G7826" s="34" t="n">
        <f aca="false">B7826/1</f>
        <v>65.713</v>
      </c>
      <c r="H7826" s="34" t="n">
        <f aca="false">IF(F7826=1,G7826,"")</f>
        <v>65.713</v>
      </c>
    </row>
    <row r="7827" customFormat="false" ht="15" hidden="false" customHeight="false" outlineLevel="0" collapsed="false">
      <c r="A7827" s="31" t="n">
        <v>43062.0416666667</v>
      </c>
      <c r="B7827" s="32" t="n">
        <v>63.902</v>
      </c>
      <c r="D7827" s="33" t="n">
        <f aca="false">WEEKDAY(A7827,2)</f>
        <v>4</v>
      </c>
      <c r="E7827" s="33" t="n">
        <f aca="false">HOUR(A7827)+MINUTE(A7827)/60</f>
        <v>1</v>
      </c>
      <c r="F7827" s="33" t="n">
        <f aca="false">IF(OR(D7827&gt;5,E7827&lt;8,E7827&gt;=18,COUNTIF($K$2:$K$10,INT(A7827))&gt;0),1,0)</f>
        <v>1</v>
      </c>
      <c r="G7827" s="34" t="n">
        <f aca="false">B7827/1</f>
        <v>63.902</v>
      </c>
      <c r="H7827" s="34" t="n">
        <f aca="false">IF(F7827=1,G7827,"")</f>
        <v>63.902</v>
      </c>
    </row>
    <row r="7828" customFormat="false" ht="15" hidden="false" customHeight="false" outlineLevel="0" collapsed="false">
      <c r="A7828" s="31" t="n">
        <v>43062.0833333333</v>
      </c>
      <c r="B7828" s="32" t="n">
        <v>63.986</v>
      </c>
      <c r="D7828" s="33" t="n">
        <f aca="false">WEEKDAY(A7828,2)</f>
        <v>4</v>
      </c>
      <c r="E7828" s="33" t="n">
        <f aca="false">HOUR(A7828)+MINUTE(A7828)/60</f>
        <v>2</v>
      </c>
      <c r="F7828" s="33" t="n">
        <f aca="false">IF(OR(D7828&gt;5,E7828&lt;8,E7828&gt;=18,COUNTIF($K$2:$K$10,INT(A7828))&gt;0),1,0)</f>
        <v>1</v>
      </c>
      <c r="G7828" s="34" t="n">
        <f aca="false">B7828/1</f>
        <v>63.986</v>
      </c>
      <c r="H7828" s="34" t="n">
        <f aca="false">IF(F7828=1,G7828,"")</f>
        <v>63.986</v>
      </c>
    </row>
    <row r="7829" customFormat="false" ht="15" hidden="false" customHeight="false" outlineLevel="0" collapsed="false">
      <c r="A7829" s="31" t="n">
        <v>43062.125</v>
      </c>
      <c r="B7829" s="32" t="n">
        <v>63.857</v>
      </c>
      <c r="D7829" s="33" t="n">
        <f aca="false">WEEKDAY(A7829,2)</f>
        <v>4</v>
      </c>
      <c r="E7829" s="33" t="n">
        <f aca="false">HOUR(A7829)+MINUTE(A7829)/60</f>
        <v>3</v>
      </c>
      <c r="F7829" s="33" t="n">
        <f aca="false">IF(OR(D7829&gt;5,E7829&lt;8,E7829&gt;=18,COUNTIF($K$2:$K$10,INT(A7829))&gt;0),1,0)</f>
        <v>1</v>
      </c>
      <c r="G7829" s="34" t="n">
        <f aca="false">B7829/1</f>
        <v>63.857</v>
      </c>
      <c r="H7829" s="34" t="n">
        <f aca="false">IF(F7829=1,G7829,"")</f>
        <v>63.857</v>
      </c>
    </row>
    <row r="7830" customFormat="false" ht="15" hidden="false" customHeight="false" outlineLevel="0" collapsed="false">
      <c r="A7830" s="31" t="n">
        <v>43062.1666666667</v>
      </c>
      <c r="B7830" s="32" t="n">
        <v>64.196</v>
      </c>
      <c r="D7830" s="33" t="n">
        <f aca="false">WEEKDAY(A7830,2)</f>
        <v>4</v>
      </c>
      <c r="E7830" s="33" t="n">
        <f aca="false">HOUR(A7830)+MINUTE(A7830)/60</f>
        <v>4</v>
      </c>
      <c r="F7830" s="33" t="n">
        <f aca="false">IF(OR(D7830&gt;5,E7830&lt;8,E7830&gt;=18,COUNTIF($K$2:$K$10,INT(A7830))&gt;0),1,0)</f>
        <v>1</v>
      </c>
      <c r="G7830" s="34" t="n">
        <f aca="false">B7830/1</f>
        <v>64.196</v>
      </c>
      <c r="H7830" s="34" t="n">
        <f aca="false">IF(F7830=1,G7830,"")</f>
        <v>64.196</v>
      </c>
    </row>
    <row r="7831" customFormat="false" ht="15" hidden="false" customHeight="false" outlineLevel="0" collapsed="false">
      <c r="A7831" s="31" t="n">
        <v>43062.2083333333</v>
      </c>
      <c r="B7831" s="32" t="n">
        <v>63.935</v>
      </c>
      <c r="D7831" s="33" t="n">
        <f aca="false">WEEKDAY(A7831,2)</f>
        <v>4</v>
      </c>
      <c r="E7831" s="33" t="n">
        <f aca="false">HOUR(A7831)+MINUTE(A7831)/60</f>
        <v>5</v>
      </c>
      <c r="F7831" s="33" t="n">
        <f aca="false">IF(OR(D7831&gt;5,E7831&lt;8,E7831&gt;=18,COUNTIF($K$2:$K$10,INT(A7831))&gt;0),1,0)</f>
        <v>1</v>
      </c>
      <c r="G7831" s="34" t="n">
        <f aca="false">B7831/1</f>
        <v>63.935</v>
      </c>
      <c r="H7831" s="34" t="n">
        <f aca="false">IF(F7831=1,G7831,"")</f>
        <v>63.935</v>
      </c>
    </row>
    <row r="7832" customFormat="false" ht="15" hidden="false" customHeight="false" outlineLevel="0" collapsed="false">
      <c r="A7832" s="31" t="n">
        <v>43062.25</v>
      </c>
      <c r="B7832" s="32" t="n">
        <v>64.957</v>
      </c>
      <c r="D7832" s="33" t="n">
        <f aca="false">WEEKDAY(A7832,2)</f>
        <v>4</v>
      </c>
      <c r="E7832" s="33" t="n">
        <f aca="false">HOUR(A7832)+MINUTE(A7832)/60</f>
        <v>6</v>
      </c>
      <c r="F7832" s="33" t="n">
        <f aca="false">IF(OR(D7832&gt;5,E7832&lt;8,E7832&gt;=18,COUNTIF($K$2:$K$10,INT(A7832))&gt;0),1,0)</f>
        <v>1</v>
      </c>
      <c r="G7832" s="34" t="n">
        <f aca="false">B7832/1</f>
        <v>64.957</v>
      </c>
      <c r="H7832" s="34" t="n">
        <f aca="false">IF(F7832=1,G7832,"")</f>
        <v>64.957</v>
      </c>
    </row>
    <row r="7833" customFormat="false" ht="15" hidden="false" customHeight="false" outlineLevel="0" collapsed="false">
      <c r="A7833" s="31" t="n">
        <v>43062.2916666667</v>
      </c>
      <c r="B7833" s="32" t="n">
        <v>68.035</v>
      </c>
      <c r="D7833" s="33" t="n">
        <f aca="false">WEEKDAY(A7833,2)</f>
        <v>4</v>
      </c>
      <c r="E7833" s="33" t="n">
        <f aca="false">HOUR(A7833)+MINUTE(A7833)/60</f>
        <v>7</v>
      </c>
      <c r="F7833" s="33" t="n">
        <f aca="false">IF(OR(D7833&gt;5,E7833&lt;8,E7833&gt;=18,COUNTIF($K$2:$K$10,INT(A7833))&gt;0),1,0)</f>
        <v>1</v>
      </c>
      <c r="G7833" s="34" t="n">
        <f aca="false">B7833/1</f>
        <v>68.035</v>
      </c>
      <c r="H7833" s="34" t="n">
        <f aca="false">IF(F7833=1,G7833,"")</f>
        <v>68.035</v>
      </c>
    </row>
    <row r="7834" customFormat="false" ht="15" hidden="false" customHeight="false" outlineLevel="0" collapsed="false">
      <c r="A7834" s="31" t="n">
        <v>43062.3333333333</v>
      </c>
      <c r="B7834" s="32" t="n">
        <v>152.79</v>
      </c>
      <c r="D7834" s="33" t="n">
        <f aca="false">WEEKDAY(A7834,2)</f>
        <v>4</v>
      </c>
      <c r="E7834" s="33" t="n">
        <f aca="false">HOUR(A7834)+MINUTE(A7834)/60</f>
        <v>8</v>
      </c>
      <c r="F7834" s="33" t="n">
        <f aca="false">IF(OR(D7834&gt;5,E7834&lt;8,E7834&gt;=18,COUNTIF($K$2:$K$10,INT(A7834))&gt;0),1,0)</f>
        <v>1</v>
      </c>
      <c r="G7834" s="34" t="n">
        <f aca="false">B7834/1</f>
        <v>152.79</v>
      </c>
      <c r="H7834" s="34" t="n">
        <f aca="false">IF(F7834=1,G7834,"")</f>
        <v>152.79</v>
      </c>
    </row>
    <row r="7835" customFormat="false" ht="15" hidden="false" customHeight="false" outlineLevel="0" collapsed="false">
      <c r="A7835" s="31" t="n">
        <v>43062.375</v>
      </c>
      <c r="B7835" s="32" t="n">
        <v>157.956</v>
      </c>
      <c r="D7835" s="33" t="n">
        <f aca="false">WEEKDAY(A7835,2)</f>
        <v>4</v>
      </c>
      <c r="E7835" s="33" t="n">
        <f aca="false">HOUR(A7835)+MINUTE(A7835)/60</f>
        <v>9</v>
      </c>
      <c r="F7835" s="33" t="n">
        <f aca="false">IF(OR(D7835&gt;5,E7835&lt;8,E7835&gt;=18,COUNTIF($K$2:$K$10,INT(A7835))&gt;0),1,0)</f>
        <v>1</v>
      </c>
      <c r="G7835" s="34" t="n">
        <f aca="false">B7835/1</f>
        <v>157.956</v>
      </c>
      <c r="H7835" s="34" t="n">
        <f aca="false">IF(F7835=1,G7835,"")</f>
        <v>157.956</v>
      </c>
    </row>
    <row r="7836" customFormat="false" ht="15" hidden="false" customHeight="false" outlineLevel="0" collapsed="false">
      <c r="A7836" s="31" t="n">
        <v>43062.4166666667</v>
      </c>
      <c r="B7836" s="32" t="n">
        <v>160.089</v>
      </c>
      <c r="D7836" s="33" t="n">
        <f aca="false">WEEKDAY(A7836,2)</f>
        <v>4</v>
      </c>
      <c r="E7836" s="33" t="n">
        <f aca="false">HOUR(A7836)+MINUTE(A7836)/60</f>
        <v>10</v>
      </c>
      <c r="F7836" s="33" t="n">
        <f aca="false">IF(OR(D7836&gt;5,E7836&lt;8,E7836&gt;=18,COUNTIF($K$2:$K$10,INT(A7836))&gt;0),1,0)</f>
        <v>1</v>
      </c>
      <c r="G7836" s="34" t="n">
        <f aca="false">B7836/1</f>
        <v>160.089</v>
      </c>
      <c r="H7836" s="34" t="n">
        <f aca="false">IF(F7836=1,G7836,"")</f>
        <v>160.089</v>
      </c>
    </row>
    <row r="7837" customFormat="false" ht="15" hidden="false" customHeight="false" outlineLevel="0" collapsed="false">
      <c r="A7837" s="31" t="n">
        <v>43062.4583333333</v>
      </c>
      <c r="B7837" s="32" t="n">
        <v>160.968</v>
      </c>
      <c r="D7837" s="33" t="n">
        <f aca="false">WEEKDAY(A7837,2)</f>
        <v>4</v>
      </c>
      <c r="E7837" s="33" t="n">
        <f aca="false">HOUR(A7837)+MINUTE(A7837)/60</f>
        <v>11</v>
      </c>
      <c r="F7837" s="33" t="n">
        <f aca="false">IF(OR(D7837&gt;5,E7837&lt;8,E7837&gt;=18,COUNTIF($K$2:$K$10,INT(A7837))&gt;0),1,0)</f>
        <v>1</v>
      </c>
      <c r="G7837" s="34" t="n">
        <f aca="false">B7837/1</f>
        <v>160.968</v>
      </c>
      <c r="H7837" s="34" t="n">
        <f aca="false">IF(F7837=1,G7837,"")</f>
        <v>160.968</v>
      </c>
    </row>
    <row r="7838" customFormat="false" ht="15" hidden="false" customHeight="false" outlineLevel="0" collapsed="false">
      <c r="A7838" s="31" t="n">
        <v>43062.5</v>
      </c>
      <c r="B7838" s="32" t="n">
        <v>160.738</v>
      </c>
      <c r="D7838" s="33" t="n">
        <f aca="false">WEEKDAY(A7838,2)</f>
        <v>4</v>
      </c>
      <c r="E7838" s="33" t="n">
        <f aca="false">HOUR(A7838)+MINUTE(A7838)/60</f>
        <v>12</v>
      </c>
      <c r="F7838" s="33" t="n">
        <f aca="false">IF(OR(D7838&gt;5,E7838&lt;8,E7838&gt;=18,COUNTIF($K$2:$K$10,INT(A7838))&gt;0),1,0)</f>
        <v>1</v>
      </c>
      <c r="G7838" s="34" t="n">
        <f aca="false">B7838/1</f>
        <v>160.738</v>
      </c>
      <c r="H7838" s="34" t="n">
        <f aca="false">IF(F7838=1,G7838,"")</f>
        <v>160.738</v>
      </c>
    </row>
    <row r="7839" customFormat="false" ht="15" hidden="false" customHeight="false" outlineLevel="0" collapsed="false">
      <c r="A7839" s="31" t="n">
        <v>43062.5416666667</v>
      </c>
      <c r="B7839" s="32" t="n">
        <v>161.529</v>
      </c>
      <c r="D7839" s="33" t="n">
        <f aca="false">WEEKDAY(A7839,2)</f>
        <v>4</v>
      </c>
      <c r="E7839" s="33" t="n">
        <f aca="false">HOUR(A7839)+MINUTE(A7839)/60</f>
        <v>13</v>
      </c>
      <c r="F7839" s="33" t="n">
        <f aca="false">IF(OR(D7839&gt;5,E7839&lt;8,E7839&gt;=18,COUNTIF($K$2:$K$10,INT(A7839))&gt;0),1,0)</f>
        <v>1</v>
      </c>
      <c r="G7839" s="34" t="n">
        <f aca="false">B7839/1</f>
        <v>161.529</v>
      </c>
      <c r="H7839" s="34" t="n">
        <f aca="false">IF(F7839=1,G7839,"")</f>
        <v>161.529</v>
      </c>
    </row>
    <row r="7840" customFormat="false" ht="15" hidden="false" customHeight="false" outlineLevel="0" collapsed="false">
      <c r="A7840" s="31" t="n">
        <v>43062.5833333333</v>
      </c>
      <c r="B7840" s="32" t="n">
        <v>162.796</v>
      </c>
      <c r="D7840" s="33" t="n">
        <f aca="false">WEEKDAY(A7840,2)</f>
        <v>4</v>
      </c>
      <c r="E7840" s="33" t="n">
        <f aca="false">HOUR(A7840)+MINUTE(A7840)/60</f>
        <v>14</v>
      </c>
      <c r="F7840" s="33" t="n">
        <f aca="false">IF(OR(D7840&gt;5,E7840&lt;8,E7840&gt;=18,COUNTIF($K$2:$K$10,INT(A7840))&gt;0),1,0)</f>
        <v>1</v>
      </c>
      <c r="G7840" s="34" t="n">
        <f aca="false">B7840/1</f>
        <v>162.796</v>
      </c>
      <c r="H7840" s="34" t="n">
        <f aca="false">IF(F7840=1,G7840,"")</f>
        <v>162.796</v>
      </c>
    </row>
    <row r="7841" customFormat="false" ht="15" hidden="false" customHeight="false" outlineLevel="0" collapsed="false">
      <c r="A7841" s="31" t="n">
        <v>43062.625</v>
      </c>
      <c r="B7841" s="32" t="n">
        <v>160.865</v>
      </c>
      <c r="D7841" s="33" t="n">
        <f aca="false">WEEKDAY(A7841,2)</f>
        <v>4</v>
      </c>
      <c r="E7841" s="33" t="n">
        <f aca="false">HOUR(A7841)+MINUTE(A7841)/60</f>
        <v>15</v>
      </c>
      <c r="F7841" s="33" t="n">
        <f aca="false">IF(OR(D7841&gt;5,E7841&lt;8,E7841&gt;=18,COUNTIF($K$2:$K$10,INT(A7841))&gt;0),1,0)</f>
        <v>1</v>
      </c>
      <c r="G7841" s="34" t="n">
        <f aca="false">B7841/1</f>
        <v>160.865</v>
      </c>
      <c r="H7841" s="34" t="n">
        <f aca="false">IF(F7841=1,G7841,"")</f>
        <v>160.865</v>
      </c>
    </row>
    <row r="7842" customFormat="false" ht="15" hidden="false" customHeight="false" outlineLevel="0" collapsed="false">
      <c r="A7842" s="31" t="n">
        <v>43062.6666666667</v>
      </c>
      <c r="B7842" s="32" t="n">
        <v>159.996</v>
      </c>
      <c r="D7842" s="33" t="n">
        <f aca="false">WEEKDAY(A7842,2)</f>
        <v>4</v>
      </c>
      <c r="E7842" s="33" t="n">
        <f aca="false">HOUR(A7842)+MINUTE(A7842)/60</f>
        <v>16</v>
      </c>
      <c r="F7842" s="33" t="n">
        <f aca="false">IF(OR(D7842&gt;5,E7842&lt;8,E7842&gt;=18,COUNTIF($K$2:$K$10,INT(A7842))&gt;0),1,0)</f>
        <v>1</v>
      </c>
      <c r="G7842" s="34" t="n">
        <f aca="false">B7842/1</f>
        <v>159.996</v>
      </c>
      <c r="H7842" s="34" t="n">
        <f aca="false">IF(F7842=1,G7842,"")</f>
        <v>159.996</v>
      </c>
    </row>
    <row r="7843" customFormat="false" ht="15" hidden="false" customHeight="false" outlineLevel="0" collapsed="false">
      <c r="A7843" s="31" t="n">
        <v>43062.7083333333</v>
      </c>
      <c r="B7843" s="32" t="n">
        <v>158.107</v>
      </c>
      <c r="D7843" s="33" t="n">
        <f aca="false">WEEKDAY(A7843,2)</f>
        <v>4</v>
      </c>
      <c r="E7843" s="33" t="n">
        <f aca="false">HOUR(A7843)+MINUTE(A7843)/60</f>
        <v>17</v>
      </c>
      <c r="F7843" s="33" t="n">
        <f aca="false">IF(OR(D7843&gt;5,E7843&lt;8,E7843&gt;=18,COUNTIF($K$2:$K$10,INT(A7843))&gt;0),1,0)</f>
        <v>1</v>
      </c>
      <c r="G7843" s="34" t="n">
        <f aca="false">B7843/1</f>
        <v>158.107</v>
      </c>
      <c r="H7843" s="34" t="n">
        <f aca="false">IF(F7843=1,G7843,"")</f>
        <v>158.107</v>
      </c>
    </row>
    <row r="7844" customFormat="false" ht="15" hidden="false" customHeight="false" outlineLevel="0" collapsed="false">
      <c r="A7844" s="31" t="n">
        <v>43062.75</v>
      </c>
      <c r="B7844" s="32" t="n">
        <v>160.742</v>
      </c>
      <c r="D7844" s="33" t="n">
        <f aca="false">WEEKDAY(A7844,2)</f>
        <v>4</v>
      </c>
      <c r="E7844" s="33" t="n">
        <f aca="false">HOUR(A7844)+MINUTE(A7844)/60</f>
        <v>18</v>
      </c>
      <c r="F7844" s="33" t="n">
        <f aca="false">IF(OR(D7844&gt;5,E7844&lt;8,E7844&gt;=18,COUNTIF($K$2:$K$10,INT(A7844))&gt;0),1,0)</f>
        <v>1</v>
      </c>
      <c r="G7844" s="34" t="n">
        <f aca="false">B7844/1</f>
        <v>160.742</v>
      </c>
      <c r="H7844" s="34" t="n">
        <f aca="false">IF(F7844=1,G7844,"")</f>
        <v>160.742</v>
      </c>
    </row>
    <row r="7845" customFormat="false" ht="15" hidden="false" customHeight="false" outlineLevel="0" collapsed="false">
      <c r="A7845" s="31" t="n">
        <v>43062.7916666667</v>
      </c>
      <c r="B7845" s="32" t="n">
        <v>161.629</v>
      </c>
      <c r="D7845" s="33" t="n">
        <f aca="false">WEEKDAY(A7845,2)</f>
        <v>4</v>
      </c>
      <c r="E7845" s="33" t="n">
        <f aca="false">HOUR(A7845)+MINUTE(A7845)/60</f>
        <v>19</v>
      </c>
      <c r="F7845" s="33" t="n">
        <f aca="false">IF(OR(D7845&gt;5,E7845&lt;8,E7845&gt;=18,COUNTIF($K$2:$K$10,INT(A7845))&gt;0),1,0)</f>
        <v>1</v>
      </c>
      <c r="G7845" s="34" t="n">
        <f aca="false">B7845/1</f>
        <v>161.629</v>
      </c>
      <c r="H7845" s="34" t="n">
        <f aca="false">IF(F7845=1,G7845,"")</f>
        <v>161.629</v>
      </c>
    </row>
    <row r="7846" customFormat="false" ht="15" hidden="false" customHeight="false" outlineLevel="0" collapsed="false">
      <c r="A7846" s="31" t="n">
        <v>43062.8333333333</v>
      </c>
      <c r="B7846" s="32" t="n">
        <v>161.518</v>
      </c>
      <c r="D7846" s="33" t="n">
        <f aca="false">WEEKDAY(A7846,2)</f>
        <v>4</v>
      </c>
      <c r="E7846" s="33" t="n">
        <f aca="false">HOUR(A7846)+MINUTE(A7846)/60</f>
        <v>20</v>
      </c>
      <c r="F7846" s="33" t="n">
        <f aca="false">IF(OR(D7846&gt;5,E7846&lt;8,E7846&gt;=18,COUNTIF($K$2:$K$10,INT(A7846))&gt;0),1,0)</f>
        <v>1</v>
      </c>
      <c r="G7846" s="34" t="n">
        <f aca="false">B7846/1</f>
        <v>161.518</v>
      </c>
      <c r="H7846" s="34" t="n">
        <f aca="false">IF(F7846=1,G7846,"")</f>
        <v>161.518</v>
      </c>
    </row>
    <row r="7847" customFormat="false" ht="15" hidden="false" customHeight="false" outlineLevel="0" collapsed="false">
      <c r="A7847" s="31" t="n">
        <v>43062.875</v>
      </c>
      <c r="B7847" s="32" t="n">
        <v>161.049</v>
      </c>
      <c r="D7847" s="33" t="n">
        <f aca="false">WEEKDAY(A7847,2)</f>
        <v>4</v>
      </c>
      <c r="E7847" s="33" t="n">
        <f aca="false">HOUR(A7847)+MINUTE(A7847)/60</f>
        <v>21</v>
      </c>
      <c r="F7847" s="33" t="n">
        <f aca="false">IF(OR(D7847&gt;5,E7847&lt;8,E7847&gt;=18,COUNTIF($K$2:$K$10,INT(A7847))&gt;0),1,0)</f>
        <v>1</v>
      </c>
      <c r="G7847" s="34" t="n">
        <f aca="false">B7847/1</f>
        <v>161.049</v>
      </c>
      <c r="H7847" s="34" t="n">
        <f aca="false">IF(F7847=1,G7847,"")</f>
        <v>161.049</v>
      </c>
    </row>
    <row r="7848" customFormat="false" ht="15" hidden="false" customHeight="false" outlineLevel="0" collapsed="false">
      <c r="A7848" s="31" t="n">
        <v>43062.9166666667</v>
      </c>
      <c r="B7848" s="32" t="n">
        <v>116.882</v>
      </c>
      <c r="D7848" s="33" t="n">
        <f aca="false">WEEKDAY(A7848,2)</f>
        <v>4</v>
      </c>
      <c r="E7848" s="33" t="n">
        <f aca="false">HOUR(A7848)+MINUTE(A7848)/60</f>
        <v>22</v>
      </c>
      <c r="F7848" s="33" t="n">
        <f aca="false">IF(OR(D7848&gt;5,E7848&lt;8,E7848&gt;=18,COUNTIF($K$2:$K$10,INT(A7848))&gt;0),1,0)</f>
        <v>1</v>
      </c>
      <c r="G7848" s="34" t="n">
        <f aca="false">B7848/1</f>
        <v>116.882</v>
      </c>
      <c r="H7848" s="34" t="n">
        <f aca="false">IF(F7848=1,G7848,"")</f>
        <v>116.882</v>
      </c>
    </row>
    <row r="7849" customFormat="false" ht="15" hidden="false" customHeight="false" outlineLevel="0" collapsed="false">
      <c r="A7849" s="31" t="n">
        <v>43062.9583333333</v>
      </c>
      <c r="B7849" s="32" t="n">
        <v>63.296</v>
      </c>
      <c r="D7849" s="33" t="n">
        <f aca="false">WEEKDAY(A7849,2)</f>
        <v>4</v>
      </c>
      <c r="E7849" s="33" t="n">
        <f aca="false">HOUR(A7849)+MINUTE(A7849)/60</f>
        <v>23</v>
      </c>
      <c r="F7849" s="33" t="n">
        <f aca="false">IF(OR(D7849&gt;5,E7849&lt;8,E7849&gt;=18,COUNTIF($K$2:$K$10,INT(A7849))&gt;0),1,0)</f>
        <v>1</v>
      </c>
      <c r="G7849" s="34" t="n">
        <f aca="false">B7849/1</f>
        <v>63.296</v>
      </c>
      <c r="H7849" s="34" t="n">
        <f aca="false">IF(F7849=1,G7849,"")</f>
        <v>63.296</v>
      </c>
    </row>
    <row r="7850" customFormat="false" ht="15" hidden="false" customHeight="false" outlineLevel="0" collapsed="false">
      <c r="A7850" s="31" t="n">
        <v>43063</v>
      </c>
      <c r="B7850" s="32" t="n">
        <v>63.422</v>
      </c>
      <c r="D7850" s="33" t="n">
        <f aca="false">WEEKDAY(A7850,2)</f>
        <v>5</v>
      </c>
      <c r="E7850" s="33" t="n">
        <f aca="false">HOUR(A7850)+MINUTE(A7850)/60</f>
        <v>0</v>
      </c>
      <c r="F7850" s="33" t="n">
        <f aca="false">IF(OR(D7850&gt;5,E7850&lt;8,E7850&gt;=18,COUNTIF($K$2:$K$10,INT(A7850))&gt;0),1,0)</f>
        <v>1</v>
      </c>
      <c r="G7850" s="34" t="n">
        <f aca="false">B7850/1</f>
        <v>63.422</v>
      </c>
      <c r="H7850" s="34" t="n">
        <f aca="false">IF(F7850=1,G7850,"")</f>
        <v>63.422</v>
      </c>
    </row>
    <row r="7851" customFormat="false" ht="15" hidden="false" customHeight="false" outlineLevel="0" collapsed="false">
      <c r="A7851" s="31" t="n">
        <v>43063.0416666667</v>
      </c>
      <c r="B7851" s="32" t="n">
        <v>63.498</v>
      </c>
      <c r="D7851" s="33" t="n">
        <f aca="false">WEEKDAY(A7851,2)</f>
        <v>5</v>
      </c>
      <c r="E7851" s="33" t="n">
        <f aca="false">HOUR(A7851)+MINUTE(A7851)/60</f>
        <v>1</v>
      </c>
      <c r="F7851" s="33" t="n">
        <f aca="false">IF(OR(D7851&gt;5,E7851&lt;8,E7851&gt;=18,COUNTIF($K$2:$K$10,INT(A7851))&gt;0),1,0)</f>
        <v>1</v>
      </c>
      <c r="G7851" s="34" t="n">
        <f aca="false">B7851/1</f>
        <v>63.498</v>
      </c>
      <c r="H7851" s="34" t="n">
        <f aca="false">IF(F7851=1,G7851,"")</f>
        <v>63.498</v>
      </c>
    </row>
    <row r="7852" customFormat="false" ht="15" hidden="false" customHeight="false" outlineLevel="0" collapsed="false">
      <c r="A7852" s="31" t="n">
        <v>43063.0833333333</v>
      </c>
      <c r="B7852" s="32" t="n">
        <v>63.574</v>
      </c>
      <c r="D7852" s="33" t="n">
        <f aca="false">WEEKDAY(A7852,2)</f>
        <v>5</v>
      </c>
      <c r="E7852" s="33" t="n">
        <f aca="false">HOUR(A7852)+MINUTE(A7852)/60</f>
        <v>2</v>
      </c>
      <c r="F7852" s="33" t="n">
        <f aca="false">IF(OR(D7852&gt;5,E7852&lt;8,E7852&gt;=18,COUNTIF($K$2:$K$10,INT(A7852))&gt;0),1,0)</f>
        <v>1</v>
      </c>
      <c r="G7852" s="34" t="n">
        <f aca="false">B7852/1</f>
        <v>63.574</v>
      </c>
      <c r="H7852" s="34" t="n">
        <f aca="false">IF(F7852=1,G7852,"")</f>
        <v>63.574</v>
      </c>
    </row>
    <row r="7853" customFormat="false" ht="15" hidden="false" customHeight="false" outlineLevel="0" collapsed="false">
      <c r="A7853" s="31" t="n">
        <v>43063.125</v>
      </c>
      <c r="B7853" s="32" t="n">
        <v>63.589</v>
      </c>
      <c r="D7853" s="33" t="n">
        <f aca="false">WEEKDAY(A7853,2)</f>
        <v>5</v>
      </c>
      <c r="E7853" s="33" t="n">
        <f aca="false">HOUR(A7853)+MINUTE(A7853)/60</f>
        <v>3</v>
      </c>
      <c r="F7853" s="33" t="n">
        <f aca="false">IF(OR(D7853&gt;5,E7853&lt;8,E7853&gt;=18,COUNTIF($K$2:$K$10,INT(A7853))&gt;0),1,0)</f>
        <v>1</v>
      </c>
      <c r="G7853" s="34" t="n">
        <f aca="false">B7853/1</f>
        <v>63.589</v>
      </c>
      <c r="H7853" s="34" t="n">
        <f aca="false">IF(F7853=1,G7853,"")</f>
        <v>63.589</v>
      </c>
    </row>
    <row r="7854" customFormat="false" ht="15" hidden="false" customHeight="false" outlineLevel="0" collapsed="false">
      <c r="A7854" s="31" t="n">
        <v>43063.1666666667</v>
      </c>
      <c r="B7854" s="32" t="n">
        <v>63.281</v>
      </c>
      <c r="D7854" s="33" t="n">
        <f aca="false">WEEKDAY(A7854,2)</f>
        <v>5</v>
      </c>
      <c r="E7854" s="33" t="n">
        <f aca="false">HOUR(A7854)+MINUTE(A7854)/60</f>
        <v>4</v>
      </c>
      <c r="F7854" s="33" t="n">
        <f aca="false">IF(OR(D7854&gt;5,E7854&lt;8,E7854&gt;=18,COUNTIF($K$2:$K$10,INT(A7854))&gt;0),1,0)</f>
        <v>1</v>
      </c>
      <c r="G7854" s="34" t="n">
        <f aca="false">B7854/1</f>
        <v>63.281</v>
      </c>
      <c r="H7854" s="34" t="n">
        <f aca="false">IF(F7854=1,G7854,"")</f>
        <v>63.281</v>
      </c>
    </row>
    <row r="7855" customFormat="false" ht="15" hidden="false" customHeight="false" outlineLevel="0" collapsed="false">
      <c r="A7855" s="31" t="n">
        <v>43063.2083333333</v>
      </c>
      <c r="B7855" s="32" t="n">
        <v>62.93</v>
      </c>
      <c r="D7855" s="33" t="n">
        <f aca="false">WEEKDAY(A7855,2)</f>
        <v>5</v>
      </c>
      <c r="E7855" s="33" t="n">
        <f aca="false">HOUR(A7855)+MINUTE(A7855)/60</f>
        <v>5</v>
      </c>
      <c r="F7855" s="33" t="n">
        <f aca="false">IF(OR(D7855&gt;5,E7855&lt;8,E7855&gt;=18,COUNTIF($K$2:$K$10,INT(A7855))&gt;0),1,0)</f>
        <v>1</v>
      </c>
      <c r="G7855" s="34" t="n">
        <f aca="false">B7855/1</f>
        <v>62.93</v>
      </c>
      <c r="H7855" s="34" t="n">
        <f aca="false">IF(F7855=1,G7855,"")</f>
        <v>62.93</v>
      </c>
    </row>
    <row r="7856" customFormat="false" ht="15" hidden="false" customHeight="false" outlineLevel="0" collapsed="false">
      <c r="A7856" s="31" t="n">
        <v>43063.25</v>
      </c>
      <c r="B7856" s="32" t="n">
        <v>64.754</v>
      </c>
      <c r="D7856" s="33" t="n">
        <f aca="false">WEEKDAY(A7856,2)</f>
        <v>5</v>
      </c>
      <c r="E7856" s="33" t="n">
        <f aca="false">HOUR(A7856)+MINUTE(A7856)/60</f>
        <v>6</v>
      </c>
      <c r="F7856" s="33" t="n">
        <f aca="false">IF(OR(D7856&gt;5,E7856&lt;8,E7856&gt;=18,COUNTIF($K$2:$K$10,INT(A7856))&gt;0),1,0)</f>
        <v>1</v>
      </c>
      <c r="G7856" s="34" t="n">
        <f aca="false">B7856/1</f>
        <v>64.754</v>
      </c>
      <c r="H7856" s="34" t="n">
        <f aca="false">IF(F7856=1,G7856,"")</f>
        <v>64.754</v>
      </c>
    </row>
    <row r="7857" customFormat="false" ht="15" hidden="false" customHeight="false" outlineLevel="0" collapsed="false">
      <c r="A7857" s="31" t="n">
        <v>43063.2916666667</v>
      </c>
      <c r="B7857" s="32" t="n">
        <v>68.217</v>
      </c>
      <c r="D7857" s="33" t="n">
        <f aca="false">WEEKDAY(A7857,2)</f>
        <v>5</v>
      </c>
      <c r="E7857" s="33" t="n">
        <f aca="false">HOUR(A7857)+MINUTE(A7857)/60</f>
        <v>7</v>
      </c>
      <c r="F7857" s="33" t="n">
        <f aca="false">IF(OR(D7857&gt;5,E7857&lt;8,E7857&gt;=18,COUNTIF($K$2:$K$10,INT(A7857))&gt;0),1,0)</f>
        <v>1</v>
      </c>
      <c r="G7857" s="34" t="n">
        <f aca="false">B7857/1</f>
        <v>68.217</v>
      </c>
      <c r="H7857" s="34" t="n">
        <f aca="false">IF(F7857=1,G7857,"")</f>
        <v>68.217</v>
      </c>
    </row>
    <row r="7858" customFormat="false" ht="15" hidden="false" customHeight="false" outlineLevel="0" collapsed="false">
      <c r="A7858" s="31" t="n">
        <v>43063.3333333333</v>
      </c>
      <c r="B7858" s="32" t="n">
        <v>153.108</v>
      </c>
      <c r="D7858" s="33" t="n">
        <f aca="false">WEEKDAY(A7858,2)</f>
        <v>5</v>
      </c>
      <c r="E7858" s="33" t="n">
        <f aca="false">HOUR(A7858)+MINUTE(A7858)/60</f>
        <v>8</v>
      </c>
      <c r="F7858" s="33" t="n">
        <f aca="false">IF(OR(D7858&gt;5,E7858&lt;8,E7858&gt;=18,COUNTIF($K$2:$K$10,INT(A7858))&gt;0),1,0)</f>
        <v>1</v>
      </c>
      <c r="G7858" s="34" t="n">
        <f aca="false">B7858/1</f>
        <v>153.108</v>
      </c>
      <c r="H7858" s="34" t="n">
        <f aca="false">IF(F7858=1,G7858,"")</f>
        <v>153.108</v>
      </c>
    </row>
    <row r="7859" customFormat="false" ht="15" hidden="false" customHeight="false" outlineLevel="0" collapsed="false">
      <c r="A7859" s="31" t="n">
        <v>43063.375</v>
      </c>
      <c r="B7859" s="32" t="n">
        <v>160.78</v>
      </c>
      <c r="D7859" s="33" t="n">
        <f aca="false">WEEKDAY(A7859,2)</f>
        <v>5</v>
      </c>
      <c r="E7859" s="33" t="n">
        <f aca="false">HOUR(A7859)+MINUTE(A7859)/60</f>
        <v>9</v>
      </c>
      <c r="F7859" s="33" t="n">
        <f aca="false">IF(OR(D7859&gt;5,E7859&lt;8,E7859&gt;=18,COUNTIF($K$2:$K$10,INT(A7859))&gt;0),1,0)</f>
        <v>1</v>
      </c>
      <c r="G7859" s="34" t="n">
        <f aca="false">B7859/1</f>
        <v>160.78</v>
      </c>
      <c r="H7859" s="34" t="n">
        <f aca="false">IF(F7859=1,G7859,"")</f>
        <v>160.78</v>
      </c>
    </row>
    <row r="7860" customFormat="false" ht="15" hidden="false" customHeight="false" outlineLevel="0" collapsed="false">
      <c r="A7860" s="31" t="n">
        <v>43063.4166666667</v>
      </c>
      <c r="B7860" s="32" t="n">
        <v>166.653</v>
      </c>
      <c r="D7860" s="33" t="n">
        <f aca="false">WEEKDAY(A7860,2)</f>
        <v>5</v>
      </c>
      <c r="E7860" s="33" t="n">
        <f aca="false">HOUR(A7860)+MINUTE(A7860)/60</f>
        <v>10</v>
      </c>
      <c r="F7860" s="33" t="n">
        <f aca="false">IF(OR(D7860&gt;5,E7860&lt;8,E7860&gt;=18,COUNTIF($K$2:$K$10,INT(A7860))&gt;0),1,0)</f>
        <v>1</v>
      </c>
      <c r="G7860" s="34" t="n">
        <f aca="false">B7860/1</f>
        <v>166.653</v>
      </c>
      <c r="H7860" s="34" t="n">
        <f aca="false">IF(F7860=1,G7860,"")</f>
        <v>166.653</v>
      </c>
    </row>
    <row r="7861" customFormat="false" ht="15" hidden="false" customHeight="false" outlineLevel="0" collapsed="false">
      <c r="A7861" s="31" t="n">
        <v>43063.4583333333</v>
      </c>
      <c r="B7861" s="32" t="n">
        <v>172.795</v>
      </c>
      <c r="D7861" s="33" t="n">
        <f aca="false">WEEKDAY(A7861,2)</f>
        <v>5</v>
      </c>
      <c r="E7861" s="33" t="n">
        <f aca="false">HOUR(A7861)+MINUTE(A7861)/60</f>
        <v>11</v>
      </c>
      <c r="F7861" s="33" t="n">
        <f aca="false">IF(OR(D7861&gt;5,E7861&lt;8,E7861&gt;=18,COUNTIF($K$2:$K$10,INT(A7861))&gt;0),1,0)</f>
        <v>1</v>
      </c>
      <c r="G7861" s="34" t="n">
        <f aca="false">B7861/1</f>
        <v>172.795</v>
      </c>
      <c r="H7861" s="34" t="n">
        <f aca="false">IF(F7861=1,G7861,"")</f>
        <v>172.795</v>
      </c>
    </row>
    <row r="7862" customFormat="false" ht="15" hidden="false" customHeight="false" outlineLevel="0" collapsed="false">
      <c r="A7862" s="31" t="n">
        <v>43063.5</v>
      </c>
      <c r="B7862" s="32" t="n">
        <v>178.974</v>
      </c>
      <c r="D7862" s="33" t="n">
        <f aca="false">WEEKDAY(A7862,2)</f>
        <v>5</v>
      </c>
      <c r="E7862" s="33" t="n">
        <f aca="false">HOUR(A7862)+MINUTE(A7862)/60</f>
        <v>12</v>
      </c>
      <c r="F7862" s="33" t="n">
        <f aca="false">IF(OR(D7862&gt;5,E7862&lt;8,E7862&gt;=18,COUNTIF($K$2:$K$10,INT(A7862))&gt;0),1,0)</f>
        <v>1</v>
      </c>
      <c r="G7862" s="34" t="n">
        <f aca="false">B7862/1</f>
        <v>178.974</v>
      </c>
      <c r="H7862" s="34" t="n">
        <f aca="false">IF(F7862=1,G7862,"")</f>
        <v>178.974</v>
      </c>
    </row>
    <row r="7863" customFormat="false" ht="15" hidden="false" customHeight="false" outlineLevel="0" collapsed="false">
      <c r="A7863" s="31" t="n">
        <v>43063.5416666667</v>
      </c>
      <c r="B7863" s="32" t="n">
        <v>176.757</v>
      </c>
      <c r="D7863" s="33" t="n">
        <f aca="false">WEEKDAY(A7863,2)</f>
        <v>5</v>
      </c>
      <c r="E7863" s="33" t="n">
        <f aca="false">HOUR(A7863)+MINUTE(A7863)/60</f>
        <v>13</v>
      </c>
      <c r="F7863" s="33" t="n">
        <f aca="false">IF(OR(D7863&gt;5,E7863&lt;8,E7863&gt;=18,COUNTIF($K$2:$K$10,INT(A7863))&gt;0),1,0)</f>
        <v>1</v>
      </c>
      <c r="G7863" s="34" t="n">
        <f aca="false">B7863/1</f>
        <v>176.757</v>
      </c>
      <c r="H7863" s="34" t="n">
        <f aca="false">IF(F7863=1,G7863,"")</f>
        <v>176.757</v>
      </c>
    </row>
    <row r="7864" customFormat="false" ht="15" hidden="false" customHeight="false" outlineLevel="0" collapsed="false">
      <c r="A7864" s="31" t="n">
        <v>43063.5833333333</v>
      </c>
      <c r="B7864" s="32" t="n">
        <v>173.39</v>
      </c>
      <c r="D7864" s="33" t="n">
        <f aca="false">WEEKDAY(A7864,2)</f>
        <v>5</v>
      </c>
      <c r="E7864" s="33" t="n">
        <f aca="false">HOUR(A7864)+MINUTE(A7864)/60</f>
        <v>14</v>
      </c>
      <c r="F7864" s="33" t="n">
        <f aca="false">IF(OR(D7864&gt;5,E7864&lt;8,E7864&gt;=18,COUNTIF($K$2:$K$10,INT(A7864))&gt;0),1,0)</f>
        <v>1</v>
      </c>
      <c r="G7864" s="34" t="n">
        <f aca="false">B7864/1</f>
        <v>173.39</v>
      </c>
      <c r="H7864" s="34" t="n">
        <f aca="false">IF(F7864=1,G7864,"")</f>
        <v>173.39</v>
      </c>
    </row>
    <row r="7865" customFormat="false" ht="15" hidden="false" customHeight="false" outlineLevel="0" collapsed="false">
      <c r="A7865" s="31" t="n">
        <v>43063.625</v>
      </c>
      <c r="B7865" s="32" t="n">
        <v>172.674</v>
      </c>
      <c r="D7865" s="33" t="n">
        <f aca="false">WEEKDAY(A7865,2)</f>
        <v>5</v>
      </c>
      <c r="E7865" s="33" t="n">
        <f aca="false">HOUR(A7865)+MINUTE(A7865)/60</f>
        <v>15</v>
      </c>
      <c r="F7865" s="33" t="n">
        <f aca="false">IF(OR(D7865&gt;5,E7865&lt;8,E7865&gt;=18,COUNTIF($K$2:$K$10,INT(A7865))&gt;0),1,0)</f>
        <v>1</v>
      </c>
      <c r="G7865" s="34" t="n">
        <f aca="false">B7865/1</f>
        <v>172.674</v>
      </c>
      <c r="H7865" s="34" t="n">
        <f aca="false">IF(F7865=1,G7865,"")</f>
        <v>172.674</v>
      </c>
    </row>
    <row r="7866" customFormat="false" ht="15" hidden="false" customHeight="false" outlineLevel="0" collapsed="false">
      <c r="A7866" s="31" t="n">
        <v>43063.6666666667</v>
      </c>
      <c r="B7866" s="32" t="n">
        <v>176.101</v>
      </c>
      <c r="D7866" s="33" t="n">
        <f aca="false">WEEKDAY(A7866,2)</f>
        <v>5</v>
      </c>
      <c r="E7866" s="33" t="n">
        <f aca="false">HOUR(A7866)+MINUTE(A7866)/60</f>
        <v>16</v>
      </c>
      <c r="F7866" s="33" t="n">
        <f aca="false">IF(OR(D7866&gt;5,E7866&lt;8,E7866&gt;=18,COUNTIF($K$2:$K$10,INT(A7866))&gt;0),1,0)</f>
        <v>1</v>
      </c>
      <c r="G7866" s="34" t="n">
        <f aca="false">B7866/1</f>
        <v>176.101</v>
      </c>
      <c r="H7866" s="34" t="n">
        <f aca="false">IF(F7866=1,G7866,"")</f>
        <v>176.101</v>
      </c>
    </row>
    <row r="7867" customFormat="false" ht="15" hidden="false" customHeight="false" outlineLevel="0" collapsed="false">
      <c r="A7867" s="31" t="n">
        <v>43063.7083333333</v>
      </c>
      <c r="B7867" s="32" t="n">
        <v>169.01</v>
      </c>
      <c r="D7867" s="33" t="n">
        <f aca="false">WEEKDAY(A7867,2)</f>
        <v>5</v>
      </c>
      <c r="E7867" s="33" t="n">
        <f aca="false">HOUR(A7867)+MINUTE(A7867)/60</f>
        <v>17</v>
      </c>
      <c r="F7867" s="33" t="n">
        <f aca="false">IF(OR(D7867&gt;5,E7867&lt;8,E7867&gt;=18,COUNTIF($K$2:$K$10,INT(A7867))&gt;0),1,0)</f>
        <v>1</v>
      </c>
      <c r="G7867" s="34" t="n">
        <f aca="false">B7867/1</f>
        <v>169.01</v>
      </c>
      <c r="H7867" s="34" t="n">
        <f aca="false">IF(F7867=1,G7867,"")</f>
        <v>169.01</v>
      </c>
    </row>
    <row r="7868" customFormat="false" ht="15" hidden="false" customHeight="false" outlineLevel="0" collapsed="false">
      <c r="A7868" s="31" t="n">
        <v>43063.75</v>
      </c>
      <c r="B7868" s="32" t="n">
        <v>168.411</v>
      </c>
      <c r="D7868" s="33" t="n">
        <f aca="false">WEEKDAY(A7868,2)</f>
        <v>5</v>
      </c>
      <c r="E7868" s="33" t="n">
        <f aca="false">HOUR(A7868)+MINUTE(A7868)/60</f>
        <v>18</v>
      </c>
      <c r="F7868" s="33" t="n">
        <f aca="false">IF(OR(D7868&gt;5,E7868&lt;8,E7868&gt;=18,COUNTIF($K$2:$K$10,INT(A7868))&gt;0),1,0)</f>
        <v>1</v>
      </c>
      <c r="G7868" s="34" t="n">
        <f aca="false">B7868/1</f>
        <v>168.411</v>
      </c>
      <c r="H7868" s="34" t="n">
        <f aca="false">IF(F7868=1,G7868,"")</f>
        <v>168.411</v>
      </c>
    </row>
    <row r="7869" customFormat="false" ht="15" hidden="false" customHeight="false" outlineLevel="0" collapsed="false">
      <c r="A7869" s="31" t="n">
        <v>43063.7916666667</v>
      </c>
      <c r="B7869" s="32" t="n">
        <v>167.357</v>
      </c>
      <c r="D7869" s="33" t="n">
        <f aca="false">WEEKDAY(A7869,2)</f>
        <v>5</v>
      </c>
      <c r="E7869" s="33" t="n">
        <f aca="false">HOUR(A7869)+MINUTE(A7869)/60</f>
        <v>19</v>
      </c>
      <c r="F7869" s="33" t="n">
        <f aca="false">IF(OR(D7869&gt;5,E7869&lt;8,E7869&gt;=18,COUNTIF($K$2:$K$10,INT(A7869))&gt;0),1,0)</f>
        <v>1</v>
      </c>
      <c r="G7869" s="34" t="n">
        <f aca="false">B7869/1</f>
        <v>167.357</v>
      </c>
      <c r="H7869" s="34" t="n">
        <f aca="false">IF(F7869=1,G7869,"")</f>
        <v>167.357</v>
      </c>
    </row>
    <row r="7870" customFormat="false" ht="15" hidden="false" customHeight="false" outlineLevel="0" collapsed="false">
      <c r="A7870" s="31" t="n">
        <v>43063.8333333333</v>
      </c>
      <c r="B7870" s="32" t="n">
        <v>167.2</v>
      </c>
      <c r="D7870" s="33" t="n">
        <f aca="false">WEEKDAY(A7870,2)</f>
        <v>5</v>
      </c>
      <c r="E7870" s="33" t="n">
        <f aca="false">HOUR(A7870)+MINUTE(A7870)/60</f>
        <v>20</v>
      </c>
      <c r="F7870" s="33" t="n">
        <f aca="false">IF(OR(D7870&gt;5,E7870&lt;8,E7870&gt;=18,COUNTIF($K$2:$K$10,INT(A7870))&gt;0),1,0)</f>
        <v>1</v>
      </c>
      <c r="G7870" s="34" t="n">
        <f aca="false">B7870/1</f>
        <v>167.2</v>
      </c>
      <c r="H7870" s="34" t="n">
        <f aca="false">IF(F7870=1,G7870,"")</f>
        <v>167.2</v>
      </c>
    </row>
    <row r="7871" customFormat="false" ht="15" hidden="false" customHeight="false" outlineLevel="0" collapsed="false">
      <c r="A7871" s="31" t="n">
        <v>43063.875</v>
      </c>
      <c r="B7871" s="32" t="n">
        <v>169.352</v>
      </c>
      <c r="D7871" s="33" t="n">
        <f aca="false">WEEKDAY(A7871,2)</f>
        <v>5</v>
      </c>
      <c r="E7871" s="33" t="n">
        <f aca="false">HOUR(A7871)+MINUTE(A7871)/60</f>
        <v>21</v>
      </c>
      <c r="F7871" s="33" t="n">
        <f aca="false">IF(OR(D7871&gt;5,E7871&lt;8,E7871&gt;=18,COUNTIF($K$2:$K$10,INT(A7871))&gt;0),1,0)</f>
        <v>1</v>
      </c>
      <c r="G7871" s="34" t="n">
        <f aca="false">B7871/1</f>
        <v>169.352</v>
      </c>
      <c r="H7871" s="34" t="n">
        <f aca="false">IF(F7871=1,G7871,"")</f>
        <v>169.352</v>
      </c>
    </row>
    <row r="7872" customFormat="false" ht="15" hidden="false" customHeight="false" outlineLevel="0" collapsed="false">
      <c r="A7872" s="31" t="n">
        <v>43063.9166666667</v>
      </c>
      <c r="B7872" s="32" t="n">
        <v>120.232</v>
      </c>
      <c r="D7872" s="33" t="n">
        <f aca="false">WEEKDAY(A7872,2)</f>
        <v>5</v>
      </c>
      <c r="E7872" s="33" t="n">
        <f aca="false">HOUR(A7872)+MINUTE(A7872)/60</f>
        <v>22</v>
      </c>
      <c r="F7872" s="33" t="n">
        <f aca="false">IF(OR(D7872&gt;5,E7872&lt;8,E7872&gt;=18,COUNTIF($K$2:$K$10,INT(A7872))&gt;0),1,0)</f>
        <v>1</v>
      </c>
      <c r="G7872" s="34" t="n">
        <f aca="false">B7872/1</f>
        <v>120.232</v>
      </c>
      <c r="H7872" s="34" t="n">
        <f aca="false">IF(F7872=1,G7872,"")</f>
        <v>120.232</v>
      </c>
    </row>
    <row r="7873" customFormat="false" ht="15" hidden="false" customHeight="false" outlineLevel="0" collapsed="false">
      <c r="A7873" s="31" t="n">
        <v>43063.9583333333</v>
      </c>
      <c r="B7873" s="32" t="n">
        <v>65.544</v>
      </c>
      <c r="D7873" s="33" t="n">
        <f aca="false">WEEKDAY(A7873,2)</f>
        <v>5</v>
      </c>
      <c r="E7873" s="33" t="n">
        <f aca="false">HOUR(A7873)+MINUTE(A7873)/60</f>
        <v>23</v>
      </c>
      <c r="F7873" s="33" t="n">
        <f aca="false">IF(OR(D7873&gt;5,E7873&lt;8,E7873&gt;=18,COUNTIF($K$2:$K$10,INT(A7873))&gt;0),1,0)</f>
        <v>1</v>
      </c>
      <c r="G7873" s="34" t="n">
        <f aca="false">B7873/1</f>
        <v>65.544</v>
      </c>
      <c r="H7873" s="34" t="n">
        <f aca="false">IF(F7873=1,G7873,"")</f>
        <v>65.544</v>
      </c>
    </row>
    <row r="7874" customFormat="false" ht="15" hidden="false" customHeight="false" outlineLevel="0" collapsed="false">
      <c r="A7874" s="31" t="n">
        <v>43064</v>
      </c>
      <c r="B7874" s="32" t="n">
        <v>64.37</v>
      </c>
      <c r="D7874" s="33" t="n">
        <f aca="false">WEEKDAY(A7874,2)</f>
        <v>6</v>
      </c>
      <c r="E7874" s="33" t="n">
        <f aca="false">HOUR(A7874)+MINUTE(A7874)/60</f>
        <v>0</v>
      </c>
      <c r="F7874" s="33" t="n">
        <f aca="false">IF(OR(D7874&gt;5,E7874&lt;8,E7874&gt;=18,COUNTIF($K$2:$K$10,INT(A7874))&gt;0),1,0)</f>
        <v>1</v>
      </c>
      <c r="G7874" s="34" t="n">
        <f aca="false">B7874/1</f>
        <v>64.37</v>
      </c>
      <c r="H7874" s="34" t="n">
        <f aca="false">IF(F7874=1,G7874,"")</f>
        <v>64.37</v>
      </c>
    </row>
    <row r="7875" customFormat="false" ht="15" hidden="false" customHeight="false" outlineLevel="0" collapsed="false">
      <c r="A7875" s="31" t="n">
        <v>43064.0416666667</v>
      </c>
      <c r="B7875" s="32" t="n">
        <v>62.121</v>
      </c>
      <c r="D7875" s="33" t="n">
        <f aca="false">WEEKDAY(A7875,2)</f>
        <v>6</v>
      </c>
      <c r="E7875" s="33" t="n">
        <f aca="false">HOUR(A7875)+MINUTE(A7875)/60</f>
        <v>1</v>
      </c>
      <c r="F7875" s="33" t="n">
        <f aca="false">IF(OR(D7875&gt;5,E7875&lt;8,E7875&gt;=18,COUNTIF($K$2:$K$10,INT(A7875))&gt;0),1,0)</f>
        <v>1</v>
      </c>
      <c r="G7875" s="34" t="n">
        <f aca="false">B7875/1</f>
        <v>62.121</v>
      </c>
      <c r="H7875" s="34" t="n">
        <f aca="false">IF(F7875=1,G7875,"")</f>
        <v>62.121</v>
      </c>
    </row>
    <row r="7876" customFormat="false" ht="15" hidden="false" customHeight="false" outlineLevel="0" collapsed="false">
      <c r="A7876" s="31" t="n">
        <v>43064.0833333333</v>
      </c>
      <c r="B7876" s="32" t="n">
        <v>64.659</v>
      </c>
      <c r="D7876" s="33" t="n">
        <f aca="false">WEEKDAY(A7876,2)</f>
        <v>6</v>
      </c>
      <c r="E7876" s="33" t="n">
        <f aca="false">HOUR(A7876)+MINUTE(A7876)/60</f>
        <v>2</v>
      </c>
      <c r="F7876" s="33" t="n">
        <f aca="false">IF(OR(D7876&gt;5,E7876&lt;8,E7876&gt;=18,COUNTIF($K$2:$K$10,INT(A7876))&gt;0),1,0)</f>
        <v>1</v>
      </c>
      <c r="G7876" s="34" t="n">
        <f aca="false">B7876/1</f>
        <v>64.659</v>
      </c>
      <c r="H7876" s="34" t="n">
        <f aca="false">IF(F7876=1,G7876,"")</f>
        <v>64.659</v>
      </c>
    </row>
    <row r="7877" customFormat="false" ht="15" hidden="false" customHeight="false" outlineLevel="0" collapsed="false">
      <c r="A7877" s="31" t="n">
        <v>43064.125</v>
      </c>
      <c r="B7877" s="32" t="n">
        <v>62.725</v>
      </c>
      <c r="D7877" s="33" t="n">
        <f aca="false">WEEKDAY(A7877,2)</f>
        <v>6</v>
      </c>
      <c r="E7877" s="33" t="n">
        <f aca="false">HOUR(A7877)+MINUTE(A7877)/60</f>
        <v>3</v>
      </c>
      <c r="F7877" s="33" t="n">
        <f aca="false">IF(OR(D7877&gt;5,E7877&lt;8,E7877&gt;=18,COUNTIF($K$2:$K$10,INT(A7877))&gt;0),1,0)</f>
        <v>1</v>
      </c>
      <c r="G7877" s="34" t="n">
        <f aca="false">B7877/1</f>
        <v>62.725</v>
      </c>
      <c r="H7877" s="34" t="n">
        <f aca="false">IF(F7877=1,G7877,"")</f>
        <v>62.725</v>
      </c>
    </row>
    <row r="7878" customFormat="false" ht="15" hidden="false" customHeight="false" outlineLevel="0" collapsed="false">
      <c r="A7878" s="31" t="n">
        <v>43064.1666666667</v>
      </c>
      <c r="B7878" s="32" t="n">
        <v>64.13</v>
      </c>
      <c r="D7878" s="33" t="n">
        <f aca="false">WEEKDAY(A7878,2)</f>
        <v>6</v>
      </c>
      <c r="E7878" s="33" t="n">
        <f aca="false">HOUR(A7878)+MINUTE(A7878)/60</f>
        <v>4</v>
      </c>
      <c r="F7878" s="33" t="n">
        <f aca="false">IF(OR(D7878&gt;5,E7878&lt;8,E7878&gt;=18,COUNTIF($K$2:$K$10,INT(A7878))&gt;0),1,0)</f>
        <v>1</v>
      </c>
      <c r="G7878" s="34" t="n">
        <f aca="false">B7878/1</f>
        <v>64.13</v>
      </c>
      <c r="H7878" s="34" t="n">
        <f aca="false">IF(F7878=1,G7878,"")</f>
        <v>64.13</v>
      </c>
    </row>
    <row r="7879" customFormat="false" ht="15" hidden="false" customHeight="false" outlineLevel="0" collapsed="false">
      <c r="A7879" s="31" t="n">
        <v>43064.2083333333</v>
      </c>
      <c r="B7879" s="32" t="n">
        <v>62.655</v>
      </c>
      <c r="D7879" s="33" t="n">
        <f aca="false">WEEKDAY(A7879,2)</f>
        <v>6</v>
      </c>
      <c r="E7879" s="33" t="n">
        <f aca="false">HOUR(A7879)+MINUTE(A7879)/60</f>
        <v>5</v>
      </c>
      <c r="F7879" s="33" t="n">
        <f aca="false">IF(OR(D7879&gt;5,E7879&lt;8,E7879&gt;=18,COUNTIF($K$2:$K$10,INT(A7879))&gt;0),1,0)</f>
        <v>1</v>
      </c>
      <c r="G7879" s="34" t="n">
        <f aca="false">B7879/1</f>
        <v>62.655</v>
      </c>
      <c r="H7879" s="34" t="n">
        <f aca="false">IF(F7879=1,G7879,"")</f>
        <v>62.655</v>
      </c>
    </row>
    <row r="7880" customFormat="false" ht="15" hidden="false" customHeight="false" outlineLevel="0" collapsed="false">
      <c r="A7880" s="31" t="n">
        <v>43064.25</v>
      </c>
      <c r="B7880" s="32" t="n">
        <v>61.55</v>
      </c>
      <c r="D7880" s="33" t="n">
        <f aca="false">WEEKDAY(A7880,2)</f>
        <v>6</v>
      </c>
      <c r="E7880" s="33" t="n">
        <f aca="false">HOUR(A7880)+MINUTE(A7880)/60</f>
        <v>6</v>
      </c>
      <c r="F7880" s="33" t="n">
        <f aca="false">IF(OR(D7880&gt;5,E7880&lt;8,E7880&gt;=18,COUNTIF($K$2:$K$10,INT(A7880))&gt;0),1,0)</f>
        <v>1</v>
      </c>
      <c r="G7880" s="34" t="n">
        <f aca="false">B7880/1</f>
        <v>61.55</v>
      </c>
      <c r="H7880" s="34" t="n">
        <f aca="false">IF(F7880=1,G7880,"")</f>
        <v>61.55</v>
      </c>
    </row>
    <row r="7881" customFormat="false" ht="15" hidden="false" customHeight="false" outlineLevel="0" collapsed="false">
      <c r="A7881" s="31" t="n">
        <v>43064.2916666667</v>
      </c>
      <c r="B7881" s="32" t="n">
        <v>64.107</v>
      </c>
      <c r="D7881" s="33" t="n">
        <f aca="false">WEEKDAY(A7881,2)</f>
        <v>6</v>
      </c>
      <c r="E7881" s="33" t="n">
        <f aca="false">HOUR(A7881)+MINUTE(A7881)/60</f>
        <v>7</v>
      </c>
      <c r="F7881" s="33" t="n">
        <f aca="false">IF(OR(D7881&gt;5,E7881&lt;8,E7881&gt;=18,COUNTIF($K$2:$K$10,INT(A7881))&gt;0),1,0)</f>
        <v>1</v>
      </c>
      <c r="G7881" s="34" t="n">
        <f aca="false">B7881/1</f>
        <v>64.107</v>
      </c>
      <c r="H7881" s="34" t="n">
        <f aca="false">IF(F7881=1,G7881,"")</f>
        <v>64.107</v>
      </c>
    </row>
    <row r="7882" customFormat="false" ht="15" hidden="false" customHeight="false" outlineLevel="0" collapsed="false">
      <c r="A7882" s="31" t="n">
        <v>43064.3333333333</v>
      </c>
      <c r="B7882" s="32" t="n">
        <v>120.123</v>
      </c>
      <c r="D7882" s="33" t="n">
        <f aca="false">WEEKDAY(A7882,2)</f>
        <v>6</v>
      </c>
      <c r="E7882" s="33" t="n">
        <f aca="false">HOUR(A7882)+MINUTE(A7882)/60</f>
        <v>8</v>
      </c>
      <c r="F7882" s="33" t="n">
        <f aca="false">IF(OR(D7882&gt;5,E7882&lt;8,E7882&gt;=18,COUNTIF($K$2:$K$10,INT(A7882))&gt;0),1,0)</f>
        <v>1</v>
      </c>
      <c r="G7882" s="34" t="n">
        <f aca="false">B7882/1</f>
        <v>120.123</v>
      </c>
      <c r="H7882" s="34" t="n">
        <f aca="false">IF(F7882=1,G7882,"")</f>
        <v>120.123</v>
      </c>
    </row>
    <row r="7883" customFormat="false" ht="15" hidden="false" customHeight="false" outlineLevel="0" collapsed="false">
      <c r="A7883" s="31" t="n">
        <v>43064.375</v>
      </c>
      <c r="B7883" s="32" t="n">
        <v>159.272</v>
      </c>
      <c r="D7883" s="33" t="n">
        <f aca="false">WEEKDAY(A7883,2)</f>
        <v>6</v>
      </c>
      <c r="E7883" s="33" t="n">
        <f aca="false">HOUR(A7883)+MINUTE(A7883)/60</f>
        <v>9</v>
      </c>
      <c r="F7883" s="33" t="n">
        <f aca="false">IF(OR(D7883&gt;5,E7883&lt;8,E7883&gt;=18,COUNTIF($K$2:$K$10,INT(A7883))&gt;0),1,0)</f>
        <v>1</v>
      </c>
      <c r="G7883" s="34" t="n">
        <f aca="false">B7883/1</f>
        <v>159.272</v>
      </c>
      <c r="H7883" s="34" t="n">
        <f aca="false">IF(F7883=1,G7883,"")</f>
        <v>159.272</v>
      </c>
    </row>
    <row r="7884" customFormat="false" ht="15" hidden="false" customHeight="false" outlineLevel="0" collapsed="false">
      <c r="A7884" s="31" t="n">
        <v>43064.4166666667</v>
      </c>
      <c r="B7884" s="32" t="n">
        <v>163.689</v>
      </c>
      <c r="D7884" s="33" t="n">
        <f aca="false">WEEKDAY(A7884,2)</f>
        <v>6</v>
      </c>
      <c r="E7884" s="33" t="n">
        <f aca="false">HOUR(A7884)+MINUTE(A7884)/60</f>
        <v>10</v>
      </c>
      <c r="F7884" s="33" t="n">
        <f aca="false">IF(OR(D7884&gt;5,E7884&lt;8,E7884&gt;=18,COUNTIF($K$2:$K$10,INT(A7884))&gt;0),1,0)</f>
        <v>1</v>
      </c>
      <c r="G7884" s="34" t="n">
        <f aca="false">B7884/1</f>
        <v>163.689</v>
      </c>
      <c r="H7884" s="34" t="n">
        <f aca="false">IF(F7884=1,G7884,"")</f>
        <v>163.689</v>
      </c>
    </row>
    <row r="7885" customFormat="false" ht="15" hidden="false" customHeight="false" outlineLevel="0" collapsed="false">
      <c r="A7885" s="31" t="n">
        <v>43064.4583333333</v>
      </c>
      <c r="B7885" s="32" t="n">
        <v>167.497</v>
      </c>
      <c r="D7885" s="33" t="n">
        <f aca="false">WEEKDAY(A7885,2)</f>
        <v>6</v>
      </c>
      <c r="E7885" s="33" t="n">
        <f aca="false">HOUR(A7885)+MINUTE(A7885)/60</f>
        <v>11</v>
      </c>
      <c r="F7885" s="33" t="n">
        <f aca="false">IF(OR(D7885&gt;5,E7885&lt;8,E7885&gt;=18,COUNTIF($K$2:$K$10,INT(A7885))&gt;0),1,0)</f>
        <v>1</v>
      </c>
      <c r="G7885" s="34" t="n">
        <f aca="false">B7885/1</f>
        <v>167.497</v>
      </c>
      <c r="H7885" s="34" t="n">
        <f aca="false">IF(F7885=1,G7885,"")</f>
        <v>167.497</v>
      </c>
    </row>
    <row r="7886" customFormat="false" ht="15" hidden="false" customHeight="false" outlineLevel="0" collapsed="false">
      <c r="A7886" s="31" t="n">
        <v>43064.5</v>
      </c>
      <c r="B7886" s="32" t="n">
        <v>169.35</v>
      </c>
      <c r="D7886" s="33" t="n">
        <f aca="false">WEEKDAY(A7886,2)</f>
        <v>6</v>
      </c>
      <c r="E7886" s="33" t="n">
        <f aca="false">HOUR(A7886)+MINUTE(A7886)/60</f>
        <v>12</v>
      </c>
      <c r="F7886" s="33" t="n">
        <f aca="false">IF(OR(D7886&gt;5,E7886&lt;8,E7886&gt;=18,COUNTIF($K$2:$K$10,INT(A7886))&gt;0),1,0)</f>
        <v>1</v>
      </c>
      <c r="G7886" s="34" t="n">
        <f aca="false">B7886/1</f>
        <v>169.35</v>
      </c>
      <c r="H7886" s="34" t="n">
        <f aca="false">IF(F7886=1,G7886,"")</f>
        <v>169.35</v>
      </c>
    </row>
    <row r="7887" customFormat="false" ht="15" hidden="false" customHeight="false" outlineLevel="0" collapsed="false">
      <c r="A7887" s="31" t="n">
        <v>43064.5416666667</v>
      </c>
      <c r="B7887" s="32" t="n">
        <v>169.078</v>
      </c>
      <c r="D7887" s="33" t="n">
        <f aca="false">WEEKDAY(A7887,2)</f>
        <v>6</v>
      </c>
      <c r="E7887" s="33" t="n">
        <f aca="false">HOUR(A7887)+MINUTE(A7887)/60</f>
        <v>13</v>
      </c>
      <c r="F7887" s="33" t="n">
        <f aca="false">IF(OR(D7887&gt;5,E7887&lt;8,E7887&gt;=18,COUNTIF($K$2:$K$10,INT(A7887))&gt;0),1,0)</f>
        <v>1</v>
      </c>
      <c r="G7887" s="34" t="n">
        <f aca="false">B7887/1</f>
        <v>169.078</v>
      </c>
      <c r="H7887" s="34" t="n">
        <f aca="false">IF(F7887=1,G7887,"")</f>
        <v>169.078</v>
      </c>
    </row>
    <row r="7888" customFormat="false" ht="15" hidden="false" customHeight="false" outlineLevel="0" collapsed="false">
      <c r="A7888" s="31" t="n">
        <v>43064.5833333333</v>
      </c>
      <c r="B7888" s="32" t="n">
        <v>170.26</v>
      </c>
      <c r="D7888" s="33" t="n">
        <f aca="false">WEEKDAY(A7888,2)</f>
        <v>6</v>
      </c>
      <c r="E7888" s="33" t="n">
        <f aca="false">HOUR(A7888)+MINUTE(A7888)/60</f>
        <v>14</v>
      </c>
      <c r="F7888" s="33" t="n">
        <f aca="false">IF(OR(D7888&gt;5,E7888&lt;8,E7888&gt;=18,COUNTIF($K$2:$K$10,INT(A7888))&gt;0),1,0)</f>
        <v>1</v>
      </c>
      <c r="G7888" s="34" t="n">
        <f aca="false">B7888/1</f>
        <v>170.26</v>
      </c>
      <c r="H7888" s="34" t="n">
        <f aca="false">IF(F7888=1,G7888,"")</f>
        <v>170.26</v>
      </c>
    </row>
    <row r="7889" customFormat="false" ht="15" hidden="false" customHeight="false" outlineLevel="0" collapsed="false">
      <c r="A7889" s="31" t="n">
        <v>43064.625</v>
      </c>
      <c r="B7889" s="32" t="n">
        <v>170.583</v>
      </c>
      <c r="D7889" s="33" t="n">
        <f aca="false">WEEKDAY(A7889,2)</f>
        <v>6</v>
      </c>
      <c r="E7889" s="33" t="n">
        <f aca="false">HOUR(A7889)+MINUTE(A7889)/60</f>
        <v>15</v>
      </c>
      <c r="F7889" s="33" t="n">
        <f aca="false">IF(OR(D7889&gt;5,E7889&lt;8,E7889&gt;=18,COUNTIF($K$2:$K$10,INT(A7889))&gt;0),1,0)</f>
        <v>1</v>
      </c>
      <c r="G7889" s="34" t="n">
        <f aca="false">B7889/1</f>
        <v>170.583</v>
      </c>
      <c r="H7889" s="34" t="n">
        <f aca="false">IF(F7889=1,G7889,"")</f>
        <v>170.583</v>
      </c>
    </row>
    <row r="7890" customFormat="false" ht="15" hidden="false" customHeight="false" outlineLevel="0" collapsed="false">
      <c r="A7890" s="31" t="n">
        <v>43064.6666666667</v>
      </c>
      <c r="B7890" s="32" t="n">
        <v>167.148</v>
      </c>
      <c r="D7890" s="33" t="n">
        <f aca="false">WEEKDAY(A7890,2)</f>
        <v>6</v>
      </c>
      <c r="E7890" s="33" t="n">
        <f aca="false">HOUR(A7890)+MINUTE(A7890)/60</f>
        <v>16</v>
      </c>
      <c r="F7890" s="33" t="n">
        <f aca="false">IF(OR(D7890&gt;5,E7890&lt;8,E7890&gt;=18,COUNTIF($K$2:$K$10,INT(A7890))&gt;0),1,0)</f>
        <v>1</v>
      </c>
      <c r="G7890" s="34" t="n">
        <f aca="false">B7890/1</f>
        <v>167.148</v>
      </c>
      <c r="H7890" s="34" t="n">
        <f aca="false">IF(F7890=1,G7890,"")</f>
        <v>167.148</v>
      </c>
    </row>
    <row r="7891" customFormat="false" ht="15" hidden="false" customHeight="false" outlineLevel="0" collapsed="false">
      <c r="A7891" s="31" t="n">
        <v>43064.7083333333</v>
      </c>
      <c r="B7891" s="32" t="n">
        <v>163.444</v>
      </c>
      <c r="D7891" s="33" t="n">
        <f aca="false">WEEKDAY(A7891,2)</f>
        <v>6</v>
      </c>
      <c r="E7891" s="33" t="n">
        <f aca="false">HOUR(A7891)+MINUTE(A7891)/60</f>
        <v>17</v>
      </c>
      <c r="F7891" s="33" t="n">
        <f aca="false">IF(OR(D7891&gt;5,E7891&lt;8,E7891&gt;=18,COUNTIF($K$2:$K$10,INT(A7891))&gt;0),1,0)</f>
        <v>1</v>
      </c>
      <c r="G7891" s="34" t="n">
        <f aca="false">B7891/1</f>
        <v>163.444</v>
      </c>
      <c r="H7891" s="34" t="n">
        <f aca="false">IF(F7891=1,G7891,"")</f>
        <v>163.444</v>
      </c>
    </row>
    <row r="7892" customFormat="false" ht="15" hidden="false" customHeight="false" outlineLevel="0" collapsed="false">
      <c r="A7892" s="31" t="n">
        <v>43064.75</v>
      </c>
      <c r="B7892" s="32" t="n">
        <v>89.235</v>
      </c>
      <c r="D7892" s="33" t="n">
        <f aca="false">WEEKDAY(A7892,2)</f>
        <v>6</v>
      </c>
      <c r="E7892" s="33" t="n">
        <f aca="false">HOUR(A7892)+MINUTE(A7892)/60</f>
        <v>18</v>
      </c>
      <c r="F7892" s="33" t="n">
        <f aca="false">IF(OR(D7892&gt;5,E7892&lt;8,E7892&gt;=18,COUNTIF($K$2:$K$10,INT(A7892))&gt;0),1,0)</f>
        <v>1</v>
      </c>
      <c r="G7892" s="34" t="n">
        <f aca="false">B7892/1</f>
        <v>89.235</v>
      </c>
      <c r="H7892" s="34" t="n">
        <f aca="false">IF(F7892=1,G7892,"")</f>
        <v>89.235</v>
      </c>
    </row>
    <row r="7893" customFormat="false" ht="15" hidden="false" customHeight="false" outlineLevel="0" collapsed="false">
      <c r="A7893" s="31" t="n">
        <v>43064.7916666667</v>
      </c>
      <c r="B7893" s="32" t="n">
        <v>72.148</v>
      </c>
      <c r="D7893" s="33" t="n">
        <f aca="false">WEEKDAY(A7893,2)</f>
        <v>6</v>
      </c>
      <c r="E7893" s="33" t="n">
        <f aca="false">HOUR(A7893)+MINUTE(A7893)/60</f>
        <v>19</v>
      </c>
      <c r="F7893" s="33" t="n">
        <f aca="false">IF(OR(D7893&gt;5,E7893&lt;8,E7893&gt;=18,COUNTIF($K$2:$K$10,INT(A7893))&gt;0),1,0)</f>
        <v>1</v>
      </c>
      <c r="G7893" s="34" t="n">
        <f aca="false">B7893/1</f>
        <v>72.148</v>
      </c>
      <c r="H7893" s="34" t="n">
        <f aca="false">IF(F7893=1,G7893,"")</f>
        <v>72.148</v>
      </c>
    </row>
    <row r="7894" customFormat="false" ht="15" hidden="false" customHeight="false" outlineLevel="0" collapsed="false">
      <c r="A7894" s="31" t="n">
        <v>43064.8333333333</v>
      </c>
      <c r="B7894" s="32" t="n">
        <v>70.017</v>
      </c>
      <c r="D7894" s="33" t="n">
        <f aca="false">WEEKDAY(A7894,2)</f>
        <v>6</v>
      </c>
      <c r="E7894" s="33" t="n">
        <f aca="false">HOUR(A7894)+MINUTE(A7894)/60</f>
        <v>20</v>
      </c>
      <c r="F7894" s="33" t="n">
        <f aca="false">IF(OR(D7894&gt;5,E7894&lt;8,E7894&gt;=18,COUNTIF($K$2:$K$10,INT(A7894))&gt;0),1,0)</f>
        <v>1</v>
      </c>
      <c r="G7894" s="34" t="n">
        <f aca="false">B7894/1</f>
        <v>70.017</v>
      </c>
      <c r="H7894" s="34" t="n">
        <f aca="false">IF(F7894=1,G7894,"")</f>
        <v>70.017</v>
      </c>
    </row>
    <row r="7895" customFormat="false" ht="15" hidden="false" customHeight="false" outlineLevel="0" collapsed="false">
      <c r="A7895" s="31" t="n">
        <v>43064.875</v>
      </c>
      <c r="B7895" s="32" t="n">
        <v>70.396</v>
      </c>
      <c r="D7895" s="33" t="n">
        <f aca="false">WEEKDAY(A7895,2)</f>
        <v>6</v>
      </c>
      <c r="E7895" s="33" t="n">
        <f aca="false">HOUR(A7895)+MINUTE(A7895)/60</f>
        <v>21</v>
      </c>
      <c r="F7895" s="33" t="n">
        <f aca="false">IF(OR(D7895&gt;5,E7895&lt;8,E7895&gt;=18,COUNTIF($K$2:$K$10,INT(A7895))&gt;0),1,0)</f>
        <v>1</v>
      </c>
      <c r="G7895" s="34" t="n">
        <f aca="false">B7895/1</f>
        <v>70.396</v>
      </c>
      <c r="H7895" s="34" t="n">
        <f aca="false">IF(F7895=1,G7895,"")</f>
        <v>70.396</v>
      </c>
    </row>
    <row r="7896" customFormat="false" ht="15" hidden="false" customHeight="false" outlineLevel="0" collapsed="false">
      <c r="A7896" s="31" t="n">
        <v>43064.9166666667</v>
      </c>
      <c r="B7896" s="32" t="n">
        <v>70.397</v>
      </c>
      <c r="D7896" s="33" t="n">
        <f aca="false">WEEKDAY(A7896,2)</f>
        <v>6</v>
      </c>
      <c r="E7896" s="33" t="n">
        <f aca="false">HOUR(A7896)+MINUTE(A7896)/60</f>
        <v>22</v>
      </c>
      <c r="F7896" s="33" t="n">
        <f aca="false">IF(OR(D7896&gt;5,E7896&lt;8,E7896&gt;=18,COUNTIF($K$2:$K$10,INT(A7896))&gt;0),1,0)</f>
        <v>1</v>
      </c>
      <c r="G7896" s="34" t="n">
        <f aca="false">B7896/1</f>
        <v>70.397</v>
      </c>
      <c r="H7896" s="34" t="n">
        <f aca="false">IF(F7896=1,G7896,"")</f>
        <v>70.397</v>
      </c>
    </row>
    <row r="7897" customFormat="false" ht="15" hidden="false" customHeight="false" outlineLevel="0" collapsed="false">
      <c r="A7897" s="31" t="n">
        <v>43064.9583333333</v>
      </c>
      <c r="B7897" s="32" t="n">
        <v>68.385</v>
      </c>
      <c r="D7897" s="33" t="n">
        <f aca="false">WEEKDAY(A7897,2)</f>
        <v>6</v>
      </c>
      <c r="E7897" s="33" t="n">
        <f aca="false">HOUR(A7897)+MINUTE(A7897)/60</f>
        <v>23</v>
      </c>
      <c r="F7897" s="33" t="n">
        <f aca="false">IF(OR(D7897&gt;5,E7897&lt;8,E7897&gt;=18,COUNTIF($K$2:$K$10,INT(A7897))&gt;0),1,0)</f>
        <v>1</v>
      </c>
      <c r="G7897" s="34" t="n">
        <f aca="false">B7897/1</f>
        <v>68.385</v>
      </c>
      <c r="H7897" s="34" t="n">
        <f aca="false">IF(F7897=1,G7897,"")</f>
        <v>68.385</v>
      </c>
    </row>
    <row r="7898" customFormat="false" ht="15" hidden="false" customHeight="false" outlineLevel="0" collapsed="false">
      <c r="A7898" s="31" t="n">
        <v>43065</v>
      </c>
      <c r="B7898" s="32" t="n">
        <v>65.25</v>
      </c>
      <c r="D7898" s="33" t="n">
        <f aca="false">WEEKDAY(A7898,2)</f>
        <v>7</v>
      </c>
      <c r="E7898" s="33" t="n">
        <f aca="false">HOUR(A7898)+MINUTE(A7898)/60</f>
        <v>0</v>
      </c>
      <c r="F7898" s="33" t="n">
        <f aca="false">IF(OR(D7898&gt;5,E7898&lt;8,E7898&gt;=18,COUNTIF($K$2:$K$10,INT(A7898))&gt;0),1,0)</f>
        <v>1</v>
      </c>
      <c r="G7898" s="34" t="n">
        <f aca="false">B7898/1</f>
        <v>65.25</v>
      </c>
      <c r="H7898" s="34" t="n">
        <f aca="false">IF(F7898=1,G7898,"")</f>
        <v>65.25</v>
      </c>
    </row>
    <row r="7899" customFormat="false" ht="15" hidden="false" customHeight="false" outlineLevel="0" collapsed="false">
      <c r="A7899" s="31" t="n">
        <v>43065.0416666667</v>
      </c>
      <c r="B7899" s="32" t="n">
        <v>64.392</v>
      </c>
      <c r="D7899" s="33" t="n">
        <f aca="false">WEEKDAY(A7899,2)</f>
        <v>7</v>
      </c>
      <c r="E7899" s="33" t="n">
        <f aca="false">HOUR(A7899)+MINUTE(A7899)/60</f>
        <v>1</v>
      </c>
      <c r="F7899" s="33" t="n">
        <f aca="false">IF(OR(D7899&gt;5,E7899&lt;8,E7899&gt;=18,COUNTIF($K$2:$K$10,INT(A7899))&gt;0),1,0)</f>
        <v>1</v>
      </c>
      <c r="G7899" s="34" t="n">
        <f aca="false">B7899/1</f>
        <v>64.392</v>
      </c>
      <c r="H7899" s="34" t="n">
        <f aca="false">IF(F7899=1,G7899,"")</f>
        <v>64.392</v>
      </c>
    </row>
    <row r="7900" customFormat="false" ht="15" hidden="false" customHeight="false" outlineLevel="0" collapsed="false">
      <c r="A7900" s="31" t="n">
        <v>43065.0833333333</v>
      </c>
      <c r="B7900" s="32" t="n">
        <v>64.721</v>
      </c>
      <c r="D7900" s="33" t="n">
        <f aca="false">WEEKDAY(A7900,2)</f>
        <v>7</v>
      </c>
      <c r="E7900" s="33" t="n">
        <f aca="false">HOUR(A7900)+MINUTE(A7900)/60</f>
        <v>2</v>
      </c>
      <c r="F7900" s="33" t="n">
        <f aca="false">IF(OR(D7900&gt;5,E7900&lt;8,E7900&gt;=18,COUNTIF($K$2:$K$10,INT(A7900))&gt;0),1,0)</f>
        <v>1</v>
      </c>
      <c r="G7900" s="34" t="n">
        <f aca="false">B7900/1</f>
        <v>64.721</v>
      </c>
      <c r="H7900" s="34" t="n">
        <f aca="false">IF(F7900=1,G7900,"")</f>
        <v>64.721</v>
      </c>
    </row>
    <row r="7901" customFormat="false" ht="15" hidden="false" customHeight="false" outlineLevel="0" collapsed="false">
      <c r="A7901" s="31" t="n">
        <v>43065.125</v>
      </c>
      <c r="B7901" s="32" t="n">
        <v>64.446</v>
      </c>
      <c r="D7901" s="33" t="n">
        <f aca="false">WEEKDAY(A7901,2)</f>
        <v>7</v>
      </c>
      <c r="E7901" s="33" t="n">
        <f aca="false">HOUR(A7901)+MINUTE(A7901)/60</f>
        <v>3</v>
      </c>
      <c r="F7901" s="33" t="n">
        <f aca="false">IF(OR(D7901&gt;5,E7901&lt;8,E7901&gt;=18,COUNTIF($K$2:$K$10,INT(A7901))&gt;0),1,0)</f>
        <v>1</v>
      </c>
      <c r="G7901" s="34" t="n">
        <f aca="false">B7901/1</f>
        <v>64.446</v>
      </c>
      <c r="H7901" s="34" t="n">
        <f aca="false">IF(F7901=1,G7901,"")</f>
        <v>64.446</v>
      </c>
    </row>
    <row r="7902" customFormat="false" ht="15" hidden="false" customHeight="false" outlineLevel="0" collapsed="false">
      <c r="A7902" s="31" t="n">
        <v>43065.1666666667</v>
      </c>
      <c r="B7902" s="32" t="n">
        <v>64.678</v>
      </c>
      <c r="D7902" s="33" t="n">
        <f aca="false">WEEKDAY(A7902,2)</f>
        <v>7</v>
      </c>
      <c r="E7902" s="33" t="n">
        <f aca="false">HOUR(A7902)+MINUTE(A7902)/60</f>
        <v>4</v>
      </c>
      <c r="F7902" s="33" t="n">
        <f aca="false">IF(OR(D7902&gt;5,E7902&lt;8,E7902&gt;=18,COUNTIF($K$2:$K$10,INT(A7902))&gt;0),1,0)</f>
        <v>1</v>
      </c>
      <c r="G7902" s="34" t="n">
        <f aca="false">B7902/1</f>
        <v>64.678</v>
      </c>
      <c r="H7902" s="34" t="n">
        <f aca="false">IF(F7902=1,G7902,"")</f>
        <v>64.678</v>
      </c>
    </row>
    <row r="7903" customFormat="false" ht="15" hidden="false" customHeight="false" outlineLevel="0" collapsed="false">
      <c r="A7903" s="31" t="n">
        <v>43065.2083333333</v>
      </c>
      <c r="B7903" s="32" t="n">
        <v>65.058</v>
      </c>
      <c r="D7903" s="33" t="n">
        <f aca="false">WEEKDAY(A7903,2)</f>
        <v>7</v>
      </c>
      <c r="E7903" s="33" t="n">
        <f aca="false">HOUR(A7903)+MINUTE(A7903)/60</f>
        <v>5</v>
      </c>
      <c r="F7903" s="33" t="n">
        <f aca="false">IF(OR(D7903&gt;5,E7903&lt;8,E7903&gt;=18,COUNTIF($K$2:$K$10,INT(A7903))&gt;0),1,0)</f>
        <v>1</v>
      </c>
      <c r="G7903" s="34" t="n">
        <f aca="false">B7903/1</f>
        <v>65.058</v>
      </c>
      <c r="H7903" s="34" t="n">
        <f aca="false">IF(F7903=1,G7903,"")</f>
        <v>65.058</v>
      </c>
    </row>
    <row r="7904" customFormat="false" ht="15" hidden="false" customHeight="false" outlineLevel="0" collapsed="false">
      <c r="A7904" s="31" t="n">
        <v>43065.25</v>
      </c>
      <c r="B7904" s="32" t="n">
        <v>64.874</v>
      </c>
      <c r="D7904" s="33" t="n">
        <f aca="false">WEEKDAY(A7904,2)</f>
        <v>7</v>
      </c>
      <c r="E7904" s="33" t="n">
        <f aca="false">HOUR(A7904)+MINUTE(A7904)/60</f>
        <v>6</v>
      </c>
      <c r="F7904" s="33" t="n">
        <f aca="false">IF(OR(D7904&gt;5,E7904&lt;8,E7904&gt;=18,COUNTIF($K$2:$K$10,INT(A7904))&gt;0),1,0)</f>
        <v>1</v>
      </c>
      <c r="G7904" s="34" t="n">
        <f aca="false">B7904/1</f>
        <v>64.874</v>
      </c>
      <c r="H7904" s="34" t="n">
        <f aca="false">IF(F7904=1,G7904,"")</f>
        <v>64.874</v>
      </c>
    </row>
    <row r="7905" customFormat="false" ht="15" hidden="false" customHeight="false" outlineLevel="0" collapsed="false">
      <c r="A7905" s="31" t="n">
        <v>43065.2916666667</v>
      </c>
      <c r="B7905" s="32" t="n">
        <v>65.467</v>
      </c>
      <c r="D7905" s="33" t="n">
        <f aca="false">WEEKDAY(A7905,2)</f>
        <v>7</v>
      </c>
      <c r="E7905" s="33" t="n">
        <f aca="false">HOUR(A7905)+MINUTE(A7905)/60</f>
        <v>7</v>
      </c>
      <c r="F7905" s="33" t="n">
        <f aca="false">IF(OR(D7905&gt;5,E7905&lt;8,E7905&gt;=18,COUNTIF($K$2:$K$10,INT(A7905))&gt;0),1,0)</f>
        <v>1</v>
      </c>
      <c r="G7905" s="34" t="n">
        <f aca="false">B7905/1</f>
        <v>65.467</v>
      </c>
      <c r="H7905" s="34" t="n">
        <f aca="false">IF(F7905=1,G7905,"")</f>
        <v>65.467</v>
      </c>
    </row>
    <row r="7906" customFormat="false" ht="15" hidden="false" customHeight="false" outlineLevel="0" collapsed="false">
      <c r="A7906" s="31" t="n">
        <v>43065.3333333333</v>
      </c>
      <c r="B7906" s="32" t="n">
        <v>65.833</v>
      </c>
      <c r="D7906" s="33" t="n">
        <f aca="false">WEEKDAY(A7906,2)</f>
        <v>7</v>
      </c>
      <c r="E7906" s="33" t="n">
        <f aca="false">HOUR(A7906)+MINUTE(A7906)/60</f>
        <v>8</v>
      </c>
      <c r="F7906" s="33" t="n">
        <f aca="false">IF(OR(D7906&gt;5,E7906&lt;8,E7906&gt;=18,COUNTIF($K$2:$K$10,INT(A7906))&gt;0),1,0)</f>
        <v>1</v>
      </c>
      <c r="G7906" s="34" t="n">
        <f aca="false">B7906/1</f>
        <v>65.833</v>
      </c>
      <c r="H7906" s="34" t="n">
        <f aca="false">IF(F7906=1,G7906,"")</f>
        <v>65.833</v>
      </c>
    </row>
    <row r="7907" customFormat="false" ht="15" hidden="false" customHeight="false" outlineLevel="0" collapsed="false">
      <c r="A7907" s="31" t="n">
        <v>43065.375</v>
      </c>
      <c r="B7907" s="32" t="n">
        <v>62.77</v>
      </c>
      <c r="D7907" s="33" t="n">
        <f aca="false">WEEKDAY(A7907,2)</f>
        <v>7</v>
      </c>
      <c r="E7907" s="33" t="n">
        <f aca="false">HOUR(A7907)+MINUTE(A7907)/60</f>
        <v>9</v>
      </c>
      <c r="F7907" s="33" t="n">
        <f aca="false">IF(OR(D7907&gt;5,E7907&lt;8,E7907&gt;=18,COUNTIF($K$2:$K$10,INT(A7907))&gt;0),1,0)</f>
        <v>1</v>
      </c>
      <c r="G7907" s="34" t="n">
        <f aca="false">B7907/1</f>
        <v>62.77</v>
      </c>
      <c r="H7907" s="34" t="n">
        <f aca="false">IF(F7907=1,G7907,"")</f>
        <v>62.77</v>
      </c>
    </row>
    <row r="7908" customFormat="false" ht="15" hidden="false" customHeight="false" outlineLevel="0" collapsed="false">
      <c r="A7908" s="31" t="n">
        <v>43065.4166666667</v>
      </c>
      <c r="B7908" s="32" t="n">
        <v>62.546</v>
      </c>
      <c r="D7908" s="33" t="n">
        <f aca="false">WEEKDAY(A7908,2)</f>
        <v>7</v>
      </c>
      <c r="E7908" s="33" t="n">
        <f aca="false">HOUR(A7908)+MINUTE(A7908)/60</f>
        <v>10</v>
      </c>
      <c r="F7908" s="33" t="n">
        <f aca="false">IF(OR(D7908&gt;5,E7908&lt;8,E7908&gt;=18,COUNTIF($K$2:$K$10,INT(A7908))&gt;0),1,0)</f>
        <v>1</v>
      </c>
      <c r="G7908" s="34" t="n">
        <f aca="false">B7908/1</f>
        <v>62.546</v>
      </c>
      <c r="H7908" s="34" t="n">
        <f aca="false">IF(F7908=1,G7908,"")</f>
        <v>62.546</v>
      </c>
    </row>
    <row r="7909" customFormat="false" ht="15" hidden="false" customHeight="false" outlineLevel="0" collapsed="false">
      <c r="A7909" s="31" t="n">
        <v>43065.4583333333</v>
      </c>
      <c r="B7909" s="32" t="n">
        <v>62.251</v>
      </c>
      <c r="D7909" s="33" t="n">
        <f aca="false">WEEKDAY(A7909,2)</f>
        <v>7</v>
      </c>
      <c r="E7909" s="33" t="n">
        <f aca="false">HOUR(A7909)+MINUTE(A7909)/60</f>
        <v>11</v>
      </c>
      <c r="F7909" s="33" t="n">
        <f aca="false">IF(OR(D7909&gt;5,E7909&lt;8,E7909&gt;=18,COUNTIF($K$2:$K$10,INT(A7909))&gt;0),1,0)</f>
        <v>1</v>
      </c>
      <c r="G7909" s="34" t="n">
        <f aca="false">B7909/1</f>
        <v>62.251</v>
      </c>
      <c r="H7909" s="34" t="n">
        <f aca="false">IF(F7909=1,G7909,"")</f>
        <v>62.251</v>
      </c>
    </row>
    <row r="7910" customFormat="false" ht="15" hidden="false" customHeight="false" outlineLevel="0" collapsed="false">
      <c r="A7910" s="31" t="n">
        <v>43065.5</v>
      </c>
      <c r="B7910" s="32" t="n">
        <v>62.15</v>
      </c>
      <c r="D7910" s="33" t="n">
        <f aca="false">WEEKDAY(A7910,2)</f>
        <v>7</v>
      </c>
      <c r="E7910" s="33" t="n">
        <f aca="false">HOUR(A7910)+MINUTE(A7910)/60</f>
        <v>12</v>
      </c>
      <c r="F7910" s="33" t="n">
        <f aca="false">IF(OR(D7910&gt;5,E7910&lt;8,E7910&gt;=18,COUNTIF($K$2:$K$10,INT(A7910))&gt;0),1,0)</f>
        <v>1</v>
      </c>
      <c r="G7910" s="34" t="n">
        <f aca="false">B7910/1</f>
        <v>62.15</v>
      </c>
      <c r="H7910" s="34" t="n">
        <f aca="false">IF(F7910=1,G7910,"")</f>
        <v>62.15</v>
      </c>
    </row>
    <row r="7911" customFormat="false" ht="15" hidden="false" customHeight="false" outlineLevel="0" collapsed="false">
      <c r="A7911" s="31" t="n">
        <v>43065.5416666667</v>
      </c>
      <c r="B7911" s="32" t="n">
        <v>113.863</v>
      </c>
      <c r="D7911" s="33" t="n">
        <f aca="false">WEEKDAY(A7911,2)</f>
        <v>7</v>
      </c>
      <c r="E7911" s="33" t="n">
        <f aca="false">HOUR(A7911)+MINUTE(A7911)/60</f>
        <v>13</v>
      </c>
      <c r="F7911" s="33" t="n">
        <f aca="false">IF(OR(D7911&gt;5,E7911&lt;8,E7911&gt;=18,COUNTIF($K$2:$K$10,INT(A7911))&gt;0),1,0)</f>
        <v>1</v>
      </c>
      <c r="G7911" s="34" t="n">
        <f aca="false">B7911/1</f>
        <v>113.863</v>
      </c>
      <c r="H7911" s="34" t="n">
        <f aca="false">IF(F7911=1,G7911,"")</f>
        <v>113.863</v>
      </c>
    </row>
    <row r="7912" customFormat="false" ht="15" hidden="false" customHeight="false" outlineLevel="0" collapsed="false">
      <c r="A7912" s="31" t="n">
        <v>43065.5833333333</v>
      </c>
      <c r="B7912" s="32" t="n">
        <v>147.304</v>
      </c>
      <c r="D7912" s="33" t="n">
        <f aca="false">WEEKDAY(A7912,2)</f>
        <v>7</v>
      </c>
      <c r="E7912" s="33" t="n">
        <f aca="false">HOUR(A7912)+MINUTE(A7912)/60</f>
        <v>14</v>
      </c>
      <c r="F7912" s="33" t="n">
        <f aca="false">IF(OR(D7912&gt;5,E7912&lt;8,E7912&gt;=18,COUNTIF($K$2:$K$10,INT(A7912))&gt;0),1,0)</f>
        <v>1</v>
      </c>
      <c r="G7912" s="34" t="n">
        <f aca="false">B7912/1</f>
        <v>147.304</v>
      </c>
      <c r="H7912" s="34" t="n">
        <f aca="false">IF(F7912=1,G7912,"")</f>
        <v>147.304</v>
      </c>
    </row>
    <row r="7913" customFormat="false" ht="15" hidden="false" customHeight="false" outlineLevel="0" collapsed="false">
      <c r="A7913" s="31" t="n">
        <v>43065.625</v>
      </c>
      <c r="B7913" s="32" t="n">
        <v>150.05</v>
      </c>
      <c r="D7913" s="33" t="n">
        <f aca="false">WEEKDAY(A7913,2)</f>
        <v>7</v>
      </c>
      <c r="E7913" s="33" t="n">
        <f aca="false">HOUR(A7913)+MINUTE(A7913)/60</f>
        <v>15</v>
      </c>
      <c r="F7913" s="33" t="n">
        <f aca="false">IF(OR(D7913&gt;5,E7913&lt;8,E7913&gt;=18,COUNTIF($K$2:$K$10,INT(A7913))&gt;0),1,0)</f>
        <v>1</v>
      </c>
      <c r="G7913" s="34" t="n">
        <f aca="false">B7913/1</f>
        <v>150.05</v>
      </c>
      <c r="H7913" s="34" t="n">
        <f aca="false">IF(F7913=1,G7913,"")</f>
        <v>150.05</v>
      </c>
    </row>
    <row r="7914" customFormat="false" ht="15" hidden="false" customHeight="false" outlineLevel="0" collapsed="false">
      <c r="A7914" s="31" t="n">
        <v>43065.6666666667</v>
      </c>
      <c r="B7914" s="32" t="n">
        <v>148.714</v>
      </c>
      <c r="D7914" s="33" t="n">
        <f aca="false">WEEKDAY(A7914,2)</f>
        <v>7</v>
      </c>
      <c r="E7914" s="33" t="n">
        <f aca="false">HOUR(A7914)+MINUTE(A7914)/60</f>
        <v>16</v>
      </c>
      <c r="F7914" s="33" t="n">
        <f aca="false">IF(OR(D7914&gt;5,E7914&lt;8,E7914&gt;=18,COUNTIF($K$2:$K$10,INT(A7914))&gt;0),1,0)</f>
        <v>1</v>
      </c>
      <c r="G7914" s="34" t="n">
        <f aca="false">B7914/1</f>
        <v>148.714</v>
      </c>
      <c r="H7914" s="34" t="n">
        <f aca="false">IF(F7914=1,G7914,"")</f>
        <v>148.714</v>
      </c>
    </row>
    <row r="7915" customFormat="false" ht="15" hidden="false" customHeight="false" outlineLevel="0" collapsed="false">
      <c r="A7915" s="31" t="n">
        <v>43065.7083333333</v>
      </c>
      <c r="B7915" s="32" t="n">
        <v>145.296</v>
      </c>
      <c r="D7915" s="33" t="n">
        <f aca="false">WEEKDAY(A7915,2)</f>
        <v>7</v>
      </c>
      <c r="E7915" s="33" t="n">
        <f aca="false">HOUR(A7915)+MINUTE(A7915)/60</f>
        <v>17</v>
      </c>
      <c r="F7915" s="33" t="n">
        <f aca="false">IF(OR(D7915&gt;5,E7915&lt;8,E7915&gt;=18,COUNTIF($K$2:$K$10,INT(A7915))&gt;0),1,0)</f>
        <v>1</v>
      </c>
      <c r="G7915" s="34" t="n">
        <f aca="false">B7915/1</f>
        <v>145.296</v>
      </c>
      <c r="H7915" s="34" t="n">
        <f aca="false">IF(F7915=1,G7915,"")</f>
        <v>145.296</v>
      </c>
    </row>
    <row r="7916" customFormat="false" ht="15" hidden="false" customHeight="false" outlineLevel="0" collapsed="false">
      <c r="A7916" s="31" t="n">
        <v>43065.75</v>
      </c>
      <c r="B7916" s="32" t="n">
        <v>84.488</v>
      </c>
      <c r="D7916" s="33" t="n">
        <f aca="false">WEEKDAY(A7916,2)</f>
        <v>7</v>
      </c>
      <c r="E7916" s="33" t="n">
        <f aca="false">HOUR(A7916)+MINUTE(A7916)/60</f>
        <v>18</v>
      </c>
      <c r="F7916" s="33" t="n">
        <f aca="false">IF(OR(D7916&gt;5,E7916&lt;8,E7916&gt;=18,COUNTIF($K$2:$K$10,INT(A7916))&gt;0),1,0)</f>
        <v>1</v>
      </c>
      <c r="G7916" s="34" t="n">
        <f aca="false">B7916/1</f>
        <v>84.488</v>
      </c>
      <c r="H7916" s="34" t="n">
        <f aca="false">IF(F7916=1,G7916,"")</f>
        <v>84.488</v>
      </c>
    </row>
    <row r="7917" customFormat="false" ht="15" hidden="false" customHeight="false" outlineLevel="0" collapsed="false">
      <c r="A7917" s="31" t="n">
        <v>43065.7916666667</v>
      </c>
      <c r="B7917" s="32" t="n">
        <v>80.187</v>
      </c>
      <c r="D7917" s="33" t="n">
        <f aca="false">WEEKDAY(A7917,2)</f>
        <v>7</v>
      </c>
      <c r="E7917" s="33" t="n">
        <f aca="false">HOUR(A7917)+MINUTE(A7917)/60</f>
        <v>19</v>
      </c>
      <c r="F7917" s="33" t="n">
        <f aca="false">IF(OR(D7917&gt;5,E7917&lt;8,E7917&gt;=18,COUNTIF($K$2:$K$10,INT(A7917))&gt;0),1,0)</f>
        <v>1</v>
      </c>
      <c r="G7917" s="34" t="n">
        <f aca="false">B7917/1</f>
        <v>80.187</v>
      </c>
      <c r="H7917" s="34" t="n">
        <f aca="false">IF(F7917=1,G7917,"")</f>
        <v>80.187</v>
      </c>
    </row>
    <row r="7918" customFormat="false" ht="15" hidden="false" customHeight="false" outlineLevel="0" collapsed="false">
      <c r="A7918" s="31" t="n">
        <v>43065.8333333333</v>
      </c>
      <c r="B7918" s="32" t="n">
        <v>80.138</v>
      </c>
      <c r="D7918" s="33" t="n">
        <f aca="false">WEEKDAY(A7918,2)</f>
        <v>7</v>
      </c>
      <c r="E7918" s="33" t="n">
        <f aca="false">HOUR(A7918)+MINUTE(A7918)/60</f>
        <v>20</v>
      </c>
      <c r="F7918" s="33" t="n">
        <f aca="false">IF(OR(D7918&gt;5,E7918&lt;8,E7918&gt;=18,COUNTIF($K$2:$K$10,INT(A7918))&gt;0),1,0)</f>
        <v>1</v>
      </c>
      <c r="G7918" s="34" t="n">
        <f aca="false">B7918/1</f>
        <v>80.138</v>
      </c>
      <c r="H7918" s="34" t="n">
        <f aca="false">IF(F7918=1,G7918,"")</f>
        <v>80.138</v>
      </c>
    </row>
    <row r="7919" customFormat="false" ht="15" hidden="false" customHeight="false" outlineLevel="0" collapsed="false">
      <c r="A7919" s="31" t="n">
        <v>43065.875</v>
      </c>
      <c r="B7919" s="32" t="n">
        <v>84.216</v>
      </c>
      <c r="D7919" s="33" t="n">
        <f aca="false">WEEKDAY(A7919,2)</f>
        <v>7</v>
      </c>
      <c r="E7919" s="33" t="n">
        <f aca="false">HOUR(A7919)+MINUTE(A7919)/60</f>
        <v>21</v>
      </c>
      <c r="F7919" s="33" t="n">
        <f aca="false">IF(OR(D7919&gt;5,E7919&lt;8,E7919&gt;=18,COUNTIF($K$2:$K$10,INT(A7919))&gt;0),1,0)</f>
        <v>1</v>
      </c>
      <c r="G7919" s="34" t="n">
        <f aca="false">B7919/1</f>
        <v>84.216</v>
      </c>
      <c r="H7919" s="34" t="n">
        <f aca="false">IF(F7919=1,G7919,"")</f>
        <v>84.216</v>
      </c>
    </row>
    <row r="7920" customFormat="false" ht="15" hidden="false" customHeight="false" outlineLevel="0" collapsed="false">
      <c r="A7920" s="31" t="n">
        <v>43065.9166666667</v>
      </c>
      <c r="B7920" s="32" t="n">
        <v>81.521</v>
      </c>
      <c r="D7920" s="33" t="n">
        <f aca="false">WEEKDAY(A7920,2)</f>
        <v>7</v>
      </c>
      <c r="E7920" s="33" t="n">
        <f aca="false">HOUR(A7920)+MINUTE(A7920)/60</f>
        <v>22</v>
      </c>
      <c r="F7920" s="33" t="n">
        <f aca="false">IF(OR(D7920&gt;5,E7920&lt;8,E7920&gt;=18,COUNTIF($K$2:$K$10,INT(A7920))&gt;0),1,0)</f>
        <v>1</v>
      </c>
      <c r="G7920" s="34" t="n">
        <f aca="false">B7920/1</f>
        <v>81.521</v>
      </c>
      <c r="H7920" s="34" t="n">
        <f aca="false">IF(F7920=1,G7920,"")</f>
        <v>81.521</v>
      </c>
    </row>
    <row r="7921" customFormat="false" ht="15" hidden="false" customHeight="false" outlineLevel="0" collapsed="false">
      <c r="A7921" s="31" t="n">
        <v>43065.9583333333</v>
      </c>
      <c r="B7921" s="32" t="n">
        <v>75.914</v>
      </c>
      <c r="D7921" s="33" t="n">
        <f aca="false">WEEKDAY(A7921,2)</f>
        <v>7</v>
      </c>
      <c r="E7921" s="33" t="n">
        <f aca="false">HOUR(A7921)+MINUTE(A7921)/60</f>
        <v>23</v>
      </c>
      <c r="F7921" s="33" t="n">
        <f aca="false">IF(OR(D7921&gt;5,E7921&lt;8,E7921&gt;=18,COUNTIF($K$2:$K$10,INT(A7921))&gt;0),1,0)</f>
        <v>1</v>
      </c>
      <c r="G7921" s="34" t="n">
        <f aca="false">B7921/1</f>
        <v>75.914</v>
      </c>
      <c r="H7921" s="34" t="n">
        <f aca="false">IF(F7921=1,G7921,"")</f>
        <v>75.914</v>
      </c>
    </row>
    <row r="7922" customFormat="false" ht="15" hidden="false" customHeight="false" outlineLevel="0" collapsed="false">
      <c r="A7922" s="31" t="n">
        <v>43066</v>
      </c>
      <c r="B7922" s="32" t="n">
        <v>68.857</v>
      </c>
      <c r="D7922" s="33" t="n">
        <f aca="false">WEEKDAY(A7922,2)</f>
        <v>1</v>
      </c>
      <c r="E7922" s="33" t="n">
        <f aca="false">HOUR(A7922)+MINUTE(A7922)/60</f>
        <v>0</v>
      </c>
      <c r="F7922" s="33" t="n">
        <f aca="false">IF(OR(D7922&gt;5,E7922&lt;8,E7922&gt;=18,COUNTIF($K$2:$K$10,INT(A7922))&gt;0),1,0)</f>
        <v>1</v>
      </c>
      <c r="G7922" s="34" t="n">
        <f aca="false">B7922/1</f>
        <v>68.857</v>
      </c>
      <c r="H7922" s="34" t="n">
        <f aca="false">IF(F7922=1,G7922,"")</f>
        <v>68.857</v>
      </c>
    </row>
    <row r="7923" customFormat="false" ht="15" hidden="false" customHeight="false" outlineLevel="0" collapsed="false">
      <c r="A7923" s="31" t="n">
        <v>43066.0416666667</v>
      </c>
      <c r="B7923" s="32" t="n">
        <v>71.892</v>
      </c>
      <c r="D7923" s="33" t="n">
        <f aca="false">WEEKDAY(A7923,2)</f>
        <v>1</v>
      </c>
      <c r="E7923" s="33" t="n">
        <f aca="false">HOUR(A7923)+MINUTE(A7923)/60</f>
        <v>1</v>
      </c>
      <c r="F7923" s="33" t="n">
        <f aca="false">IF(OR(D7923&gt;5,E7923&lt;8,E7923&gt;=18,COUNTIF($K$2:$K$10,INT(A7923))&gt;0),1,0)</f>
        <v>1</v>
      </c>
      <c r="G7923" s="34" t="n">
        <f aca="false">B7923/1</f>
        <v>71.892</v>
      </c>
      <c r="H7923" s="34" t="n">
        <f aca="false">IF(F7923=1,G7923,"")</f>
        <v>71.892</v>
      </c>
    </row>
    <row r="7924" customFormat="false" ht="15" hidden="false" customHeight="false" outlineLevel="0" collapsed="false">
      <c r="A7924" s="31" t="n">
        <v>43066.0833333333</v>
      </c>
      <c r="B7924" s="32" t="n">
        <v>68.291</v>
      </c>
      <c r="D7924" s="33" t="n">
        <f aca="false">WEEKDAY(A7924,2)</f>
        <v>1</v>
      </c>
      <c r="E7924" s="33" t="n">
        <f aca="false">HOUR(A7924)+MINUTE(A7924)/60</f>
        <v>2</v>
      </c>
      <c r="F7924" s="33" t="n">
        <f aca="false">IF(OR(D7924&gt;5,E7924&lt;8,E7924&gt;=18,COUNTIF($K$2:$K$10,INT(A7924))&gt;0),1,0)</f>
        <v>1</v>
      </c>
      <c r="G7924" s="34" t="n">
        <f aca="false">B7924/1</f>
        <v>68.291</v>
      </c>
      <c r="H7924" s="34" t="n">
        <f aca="false">IF(F7924=1,G7924,"")</f>
        <v>68.291</v>
      </c>
    </row>
    <row r="7925" customFormat="false" ht="15" hidden="false" customHeight="false" outlineLevel="0" collapsed="false">
      <c r="A7925" s="31" t="n">
        <v>43066.125</v>
      </c>
      <c r="B7925" s="32" t="n">
        <v>70.535</v>
      </c>
      <c r="D7925" s="33" t="n">
        <f aca="false">WEEKDAY(A7925,2)</f>
        <v>1</v>
      </c>
      <c r="E7925" s="33" t="n">
        <f aca="false">HOUR(A7925)+MINUTE(A7925)/60</f>
        <v>3</v>
      </c>
      <c r="F7925" s="33" t="n">
        <f aca="false">IF(OR(D7925&gt;5,E7925&lt;8,E7925&gt;=18,COUNTIF($K$2:$K$10,INT(A7925))&gt;0),1,0)</f>
        <v>1</v>
      </c>
      <c r="G7925" s="34" t="n">
        <f aca="false">B7925/1</f>
        <v>70.535</v>
      </c>
      <c r="H7925" s="34" t="n">
        <f aca="false">IF(F7925=1,G7925,"")</f>
        <v>70.535</v>
      </c>
    </row>
    <row r="7926" customFormat="false" ht="15" hidden="false" customHeight="false" outlineLevel="0" collapsed="false">
      <c r="A7926" s="31" t="n">
        <v>43066.1666666667</v>
      </c>
      <c r="B7926" s="32" t="n">
        <v>66.434</v>
      </c>
      <c r="D7926" s="33" t="n">
        <f aca="false">WEEKDAY(A7926,2)</f>
        <v>1</v>
      </c>
      <c r="E7926" s="33" t="n">
        <f aca="false">HOUR(A7926)+MINUTE(A7926)/60</f>
        <v>4</v>
      </c>
      <c r="F7926" s="33" t="n">
        <f aca="false">IF(OR(D7926&gt;5,E7926&lt;8,E7926&gt;=18,COUNTIF($K$2:$K$10,INT(A7926))&gt;0),1,0)</f>
        <v>1</v>
      </c>
      <c r="G7926" s="34" t="n">
        <f aca="false">B7926/1</f>
        <v>66.434</v>
      </c>
      <c r="H7926" s="34" t="n">
        <f aca="false">IF(F7926=1,G7926,"")</f>
        <v>66.434</v>
      </c>
    </row>
    <row r="7927" customFormat="false" ht="15" hidden="false" customHeight="false" outlineLevel="0" collapsed="false">
      <c r="A7927" s="31" t="n">
        <v>43066.2083333333</v>
      </c>
      <c r="B7927" s="32" t="n">
        <v>69.126</v>
      </c>
      <c r="D7927" s="33" t="n">
        <f aca="false">WEEKDAY(A7927,2)</f>
        <v>1</v>
      </c>
      <c r="E7927" s="33" t="n">
        <f aca="false">HOUR(A7927)+MINUTE(A7927)/60</f>
        <v>5</v>
      </c>
      <c r="F7927" s="33" t="n">
        <f aca="false">IF(OR(D7927&gt;5,E7927&lt;8,E7927&gt;=18,COUNTIF($K$2:$K$10,INT(A7927))&gt;0),1,0)</f>
        <v>1</v>
      </c>
      <c r="G7927" s="34" t="n">
        <f aca="false">B7927/1</f>
        <v>69.126</v>
      </c>
      <c r="H7927" s="34" t="n">
        <f aca="false">IF(F7927=1,G7927,"")</f>
        <v>69.126</v>
      </c>
    </row>
    <row r="7928" customFormat="false" ht="15" hidden="false" customHeight="false" outlineLevel="0" collapsed="false">
      <c r="A7928" s="31" t="n">
        <v>43066.25</v>
      </c>
      <c r="B7928" s="32" t="n">
        <v>65.521</v>
      </c>
      <c r="D7928" s="33" t="n">
        <f aca="false">WEEKDAY(A7928,2)</f>
        <v>1</v>
      </c>
      <c r="E7928" s="33" t="n">
        <f aca="false">HOUR(A7928)+MINUTE(A7928)/60</f>
        <v>6</v>
      </c>
      <c r="F7928" s="33" t="n">
        <f aca="false">IF(OR(D7928&gt;5,E7928&lt;8,E7928&gt;=18,COUNTIF($K$2:$K$10,INT(A7928))&gt;0),1,0)</f>
        <v>1</v>
      </c>
      <c r="G7928" s="34" t="n">
        <f aca="false">B7928/1</f>
        <v>65.521</v>
      </c>
      <c r="H7928" s="34" t="n">
        <f aca="false">IF(F7928=1,G7928,"")</f>
        <v>65.521</v>
      </c>
    </row>
    <row r="7929" customFormat="false" ht="15" hidden="false" customHeight="false" outlineLevel="0" collapsed="false">
      <c r="A7929" s="31" t="n">
        <v>43066.2916666667</v>
      </c>
      <c r="B7929" s="32" t="n">
        <v>89.724</v>
      </c>
      <c r="D7929" s="33" t="n">
        <f aca="false">WEEKDAY(A7929,2)</f>
        <v>1</v>
      </c>
      <c r="E7929" s="33" t="n">
        <f aca="false">HOUR(A7929)+MINUTE(A7929)/60</f>
        <v>7</v>
      </c>
      <c r="F7929" s="33" t="n">
        <f aca="false">IF(OR(D7929&gt;5,E7929&lt;8,E7929&gt;=18,COUNTIF($K$2:$K$10,INT(A7929))&gt;0),1,0)</f>
        <v>1</v>
      </c>
      <c r="G7929" s="34" t="n">
        <f aca="false">B7929/1</f>
        <v>89.724</v>
      </c>
      <c r="H7929" s="34" t="n">
        <f aca="false">IF(F7929=1,G7929,"")</f>
        <v>89.724</v>
      </c>
    </row>
    <row r="7930" customFormat="false" ht="15" hidden="false" customHeight="false" outlineLevel="0" collapsed="false">
      <c r="A7930" s="31" t="n">
        <v>43066.3333333333</v>
      </c>
      <c r="B7930" s="32" t="n">
        <v>178.913</v>
      </c>
      <c r="D7930" s="33" t="n">
        <f aca="false">WEEKDAY(A7930,2)</f>
        <v>1</v>
      </c>
      <c r="E7930" s="33" t="n">
        <f aca="false">HOUR(A7930)+MINUTE(A7930)/60</f>
        <v>8</v>
      </c>
      <c r="F7930" s="33" t="n">
        <f aca="false">IF(OR(D7930&gt;5,E7930&lt;8,E7930&gt;=18,COUNTIF($K$2:$K$10,INT(A7930))&gt;0),1,0)</f>
        <v>0</v>
      </c>
      <c r="G7930" s="34" t="n">
        <f aca="false">B7930/1</f>
        <v>178.913</v>
      </c>
      <c r="H7930" s="34" t="str">
        <f aca="false">IF(F7930=1,G7930,"")</f>
        <v/>
      </c>
    </row>
    <row r="7931" customFormat="false" ht="15" hidden="false" customHeight="false" outlineLevel="0" collapsed="false">
      <c r="A7931" s="31" t="n">
        <v>43066.375</v>
      </c>
      <c r="B7931" s="32" t="n">
        <v>223.975</v>
      </c>
      <c r="D7931" s="33" t="n">
        <f aca="false">WEEKDAY(A7931,2)</f>
        <v>1</v>
      </c>
      <c r="E7931" s="33" t="n">
        <f aca="false">HOUR(A7931)+MINUTE(A7931)/60</f>
        <v>9</v>
      </c>
      <c r="F7931" s="33" t="n">
        <f aca="false">IF(OR(D7931&gt;5,E7931&lt;8,E7931&gt;=18,COUNTIF($K$2:$K$10,INT(A7931))&gt;0),1,0)</f>
        <v>0</v>
      </c>
      <c r="G7931" s="34" t="n">
        <f aca="false">B7931/1</f>
        <v>223.975</v>
      </c>
      <c r="H7931" s="34" t="str">
        <f aca="false">IF(F7931=1,G7931,"")</f>
        <v/>
      </c>
    </row>
    <row r="7932" customFormat="false" ht="15" hidden="false" customHeight="false" outlineLevel="0" collapsed="false">
      <c r="A7932" s="31" t="n">
        <v>43066.4166666667</v>
      </c>
      <c r="B7932" s="32" t="n">
        <v>242.928</v>
      </c>
      <c r="D7932" s="33" t="n">
        <f aca="false">WEEKDAY(A7932,2)</f>
        <v>1</v>
      </c>
      <c r="E7932" s="33" t="n">
        <f aca="false">HOUR(A7932)+MINUTE(A7932)/60</f>
        <v>10</v>
      </c>
      <c r="F7932" s="33" t="n">
        <f aca="false">IF(OR(D7932&gt;5,E7932&lt;8,E7932&gt;=18,COUNTIF($K$2:$K$10,INT(A7932))&gt;0),1,0)</f>
        <v>0</v>
      </c>
      <c r="G7932" s="34" t="n">
        <f aca="false">B7932/1</f>
        <v>242.928</v>
      </c>
      <c r="H7932" s="34" t="str">
        <f aca="false">IF(F7932=1,G7932,"")</f>
        <v/>
      </c>
    </row>
    <row r="7933" customFormat="false" ht="15" hidden="false" customHeight="false" outlineLevel="0" collapsed="false">
      <c r="A7933" s="31" t="n">
        <v>43066.4583333333</v>
      </c>
      <c r="B7933" s="32" t="n">
        <v>256.531</v>
      </c>
      <c r="D7933" s="33" t="n">
        <f aca="false">WEEKDAY(A7933,2)</f>
        <v>1</v>
      </c>
      <c r="E7933" s="33" t="n">
        <f aca="false">HOUR(A7933)+MINUTE(A7933)/60</f>
        <v>11</v>
      </c>
      <c r="F7933" s="33" t="n">
        <f aca="false">IF(OR(D7933&gt;5,E7933&lt;8,E7933&gt;=18,COUNTIF($K$2:$K$10,INT(A7933))&gt;0),1,0)</f>
        <v>0</v>
      </c>
      <c r="G7933" s="34" t="n">
        <f aca="false">B7933/1</f>
        <v>256.531</v>
      </c>
      <c r="H7933" s="34" t="str">
        <f aca="false">IF(F7933=1,G7933,"")</f>
        <v/>
      </c>
    </row>
    <row r="7934" customFormat="false" ht="15" hidden="false" customHeight="false" outlineLevel="0" collapsed="false">
      <c r="A7934" s="31" t="n">
        <v>43066.5</v>
      </c>
      <c r="B7934" s="32" t="n">
        <v>259.339</v>
      </c>
      <c r="D7934" s="33" t="n">
        <f aca="false">WEEKDAY(A7934,2)</f>
        <v>1</v>
      </c>
      <c r="E7934" s="33" t="n">
        <f aca="false">HOUR(A7934)+MINUTE(A7934)/60</f>
        <v>12</v>
      </c>
      <c r="F7934" s="33" t="n">
        <f aca="false">IF(OR(D7934&gt;5,E7934&lt;8,E7934&gt;=18,COUNTIF($K$2:$K$10,INT(A7934))&gt;0),1,0)</f>
        <v>0</v>
      </c>
      <c r="G7934" s="34" t="n">
        <f aca="false">B7934/1</f>
        <v>259.339</v>
      </c>
      <c r="H7934" s="34" t="str">
        <f aca="false">IF(F7934=1,G7934,"")</f>
        <v/>
      </c>
    </row>
    <row r="7935" customFormat="false" ht="15" hidden="false" customHeight="false" outlineLevel="0" collapsed="false">
      <c r="A7935" s="31" t="n">
        <v>43066.5416666667</v>
      </c>
      <c r="B7935" s="32" t="n">
        <v>258.192</v>
      </c>
      <c r="D7935" s="33" t="n">
        <f aca="false">WEEKDAY(A7935,2)</f>
        <v>1</v>
      </c>
      <c r="E7935" s="33" t="n">
        <f aca="false">HOUR(A7935)+MINUTE(A7935)/60</f>
        <v>13</v>
      </c>
      <c r="F7935" s="33" t="n">
        <f aca="false">IF(OR(D7935&gt;5,E7935&lt;8,E7935&gt;=18,COUNTIF($K$2:$K$10,INT(A7935))&gt;0),1,0)</f>
        <v>0</v>
      </c>
      <c r="G7935" s="34" t="n">
        <f aca="false">B7935/1</f>
        <v>258.192</v>
      </c>
      <c r="H7935" s="34" t="str">
        <f aca="false">IF(F7935=1,G7935,"")</f>
        <v/>
      </c>
    </row>
    <row r="7936" customFormat="false" ht="15" hidden="false" customHeight="false" outlineLevel="0" collapsed="false">
      <c r="A7936" s="31" t="n">
        <v>43066.5833333333</v>
      </c>
      <c r="B7936" s="32" t="n">
        <v>256.824</v>
      </c>
      <c r="D7936" s="33" t="n">
        <f aca="false">WEEKDAY(A7936,2)</f>
        <v>1</v>
      </c>
      <c r="E7936" s="33" t="n">
        <f aca="false">HOUR(A7936)+MINUTE(A7936)/60</f>
        <v>14</v>
      </c>
      <c r="F7936" s="33" t="n">
        <f aca="false">IF(OR(D7936&gt;5,E7936&lt;8,E7936&gt;=18,COUNTIF($K$2:$K$10,INT(A7936))&gt;0),1,0)</f>
        <v>0</v>
      </c>
      <c r="G7936" s="34" t="n">
        <f aca="false">B7936/1</f>
        <v>256.824</v>
      </c>
      <c r="H7936" s="34" t="str">
        <f aca="false">IF(F7936=1,G7936,"")</f>
        <v/>
      </c>
    </row>
    <row r="7937" customFormat="false" ht="15" hidden="false" customHeight="false" outlineLevel="0" collapsed="false">
      <c r="A7937" s="31" t="n">
        <v>43066.625</v>
      </c>
      <c r="B7937" s="32" t="n">
        <v>255.384</v>
      </c>
      <c r="D7937" s="33" t="n">
        <f aca="false">WEEKDAY(A7937,2)</f>
        <v>1</v>
      </c>
      <c r="E7937" s="33" t="n">
        <f aca="false">HOUR(A7937)+MINUTE(A7937)/60</f>
        <v>15</v>
      </c>
      <c r="F7937" s="33" t="n">
        <f aca="false">IF(OR(D7937&gt;5,E7937&lt;8,E7937&gt;=18,COUNTIF($K$2:$K$10,INT(A7937))&gt;0),1,0)</f>
        <v>0</v>
      </c>
      <c r="G7937" s="34" t="n">
        <f aca="false">B7937/1</f>
        <v>255.384</v>
      </c>
      <c r="H7937" s="34" t="str">
        <f aca="false">IF(F7937=1,G7937,"")</f>
        <v/>
      </c>
    </row>
    <row r="7938" customFormat="false" ht="15" hidden="false" customHeight="false" outlineLevel="0" collapsed="false">
      <c r="A7938" s="31" t="n">
        <v>43066.6666666667</v>
      </c>
      <c r="B7938" s="32" t="n">
        <v>255.127</v>
      </c>
      <c r="D7938" s="33" t="n">
        <f aca="false">WEEKDAY(A7938,2)</f>
        <v>1</v>
      </c>
      <c r="E7938" s="33" t="n">
        <f aca="false">HOUR(A7938)+MINUTE(A7938)/60</f>
        <v>16</v>
      </c>
      <c r="F7938" s="33" t="n">
        <f aca="false">IF(OR(D7938&gt;5,E7938&lt;8,E7938&gt;=18,COUNTIF($K$2:$K$10,INT(A7938))&gt;0),1,0)</f>
        <v>0</v>
      </c>
      <c r="G7938" s="34" t="n">
        <f aca="false">B7938/1</f>
        <v>255.127</v>
      </c>
      <c r="H7938" s="34" t="str">
        <f aca="false">IF(F7938=1,G7938,"")</f>
        <v/>
      </c>
    </row>
    <row r="7939" customFormat="false" ht="15" hidden="false" customHeight="false" outlineLevel="0" collapsed="false">
      <c r="A7939" s="31" t="n">
        <v>43066.7083333333</v>
      </c>
      <c r="B7939" s="32" t="n">
        <v>251.987</v>
      </c>
      <c r="D7939" s="33" t="n">
        <f aca="false">WEEKDAY(A7939,2)</f>
        <v>1</v>
      </c>
      <c r="E7939" s="33" t="n">
        <f aca="false">HOUR(A7939)+MINUTE(A7939)/60</f>
        <v>17</v>
      </c>
      <c r="F7939" s="33" t="n">
        <f aca="false">IF(OR(D7939&gt;5,E7939&lt;8,E7939&gt;=18,COUNTIF($K$2:$K$10,INT(A7939))&gt;0),1,0)</f>
        <v>0</v>
      </c>
      <c r="G7939" s="34" t="n">
        <f aca="false">B7939/1</f>
        <v>251.987</v>
      </c>
      <c r="H7939" s="34" t="str">
        <f aca="false">IF(F7939=1,G7939,"")</f>
        <v/>
      </c>
    </row>
    <row r="7940" customFormat="false" ht="15" hidden="false" customHeight="false" outlineLevel="0" collapsed="false">
      <c r="A7940" s="31" t="n">
        <v>43066.75</v>
      </c>
      <c r="B7940" s="32" t="n">
        <v>225.716</v>
      </c>
      <c r="D7940" s="33" t="n">
        <f aca="false">WEEKDAY(A7940,2)</f>
        <v>1</v>
      </c>
      <c r="E7940" s="33" t="n">
        <f aca="false">HOUR(A7940)+MINUTE(A7940)/60</f>
        <v>18</v>
      </c>
      <c r="F7940" s="33" t="n">
        <f aca="false">IF(OR(D7940&gt;5,E7940&lt;8,E7940&gt;=18,COUNTIF($K$2:$K$10,INT(A7940))&gt;0),1,0)</f>
        <v>1</v>
      </c>
      <c r="G7940" s="34" t="n">
        <f aca="false">B7940/1</f>
        <v>225.716</v>
      </c>
      <c r="H7940" s="34" t="n">
        <f aca="false">IF(F7940=1,G7940,"")</f>
        <v>225.716</v>
      </c>
    </row>
    <row r="7941" customFormat="false" ht="15" hidden="false" customHeight="false" outlineLevel="0" collapsed="false">
      <c r="A7941" s="31" t="n">
        <v>43066.7916666667</v>
      </c>
      <c r="B7941" s="32" t="n">
        <v>217.107</v>
      </c>
      <c r="D7941" s="33" t="n">
        <f aca="false">WEEKDAY(A7941,2)</f>
        <v>1</v>
      </c>
      <c r="E7941" s="33" t="n">
        <f aca="false">HOUR(A7941)+MINUTE(A7941)/60</f>
        <v>19</v>
      </c>
      <c r="F7941" s="33" t="n">
        <f aca="false">IF(OR(D7941&gt;5,E7941&lt;8,E7941&gt;=18,COUNTIF($K$2:$K$10,INT(A7941))&gt;0),1,0)</f>
        <v>1</v>
      </c>
      <c r="G7941" s="34" t="n">
        <f aca="false">B7941/1</f>
        <v>217.107</v>
      </c>
      <c r="H7941" s="34" t="n">
        <f aca="false">IF(F7941=1,G7941,"")</f>
        <v>217.107</v>
      </c>
    </row>
    <row r="7942" customFormat="false" ht="15" hidden="false" customHeight="false" outlineLevel="0" collapsed="false">
      <c r="A7942" s="31" t="n">
        <v>43066.8333333333</v>
      </c>
      <c r="B7942" s="32" t="n">
        <v>208.013</v>
      </c>
      <c r="D7942" s="33" t="n">
        <f aca="false">WEEKDAY(A7942,2)</f>
        <v>1</v>
      </c>
      <c r="E7942" s="33" t="n">
        <f aca="false">HOUR(A7942)+MINUTE(A7942)/60</f>
        <v>20</v>
      </c>
      <c r="F7942" s="33" t="n">
        <f aca="false">IF(OR(D7942&gt;5,E7942&lt;8,E7942&gt;=18,COUNTIF($K$2:$K$10,INT(A7942))&gt;0),1,0)</f>
        <v>1</v>
      </c>
      <c r="G7942" s="34" t="n">
        <f aca="false">B7942/1</f>
        <v>208.013</v>
      </c>
      <c r="H7942" s="34" t="n">
        <f aca="false">IF(F7942=1,G7942,"")</f>
        <v>208.013</v>
      </c>
    </row>
    <row r="7943" customFormat="false" ht="15" hidden="false" customHeight="false" outlineLevel="0" collapsed="false">
      <c r="A7943" s="31" t="n">
        <v>43066.875</v>
      </c>
      <c r="B7943" s="32" t="n">
        <v>200.5</v>
      </c>
      <c r="D7943" s="33" t="n">
        <f aca="false">WEEKDAY(A7943,2)</f>
        <v>1</v>
      </c>
      <c r="E7943" s="33" t="n">
        <f aca="false">HOUR(A7943)+MINUTE(A7943)/60</f>
        <v>21</v>
      </c>
      <c r="F7943" s="33" t="n">
        <f aca="false">IF(OR(D7943&gt;5,E7943&lt;8,E7943&gt;=18,COUNTIF($K$2:$K$10,INT(A7943))&gt;0),1,0)</f>
        <v>1</v>
      </c>
      <c r="G7943" s="34" t="n">
        <f aca="false">B7943/1</f>
        <v>200.5</v>
      </c>
      <c r="H7943" s="34" t="n">
        <f aca="false">IF(F7943=1,G7943,"")</f>
        <v>200.5</v>
      </c>
    </row>
    <row r="7944" customFormat="false" ht="15" hidden="false" customHeight="false" outlineLevel="0" collapsed="false">
      <c r="A7944" s="31" t="n">
        <v>43066.9166666667</v>
      </c>
      <c r="B7944" s="32" t="n">
        <v>142.868</v>
      </c>
      <c r="D7944" s="33" t="n">
        <f aca="false">WEEKDAY(A7944,2)</f>
        <v>1</v>
      </c>
      <c r="E7944" s="33" t="n">
        <f aca="false">HOUR(A7944)+MINUTE(A7944)/60</f>
        <v>22</v>
      </c>
      <c r="F7944" s="33" t="n">
        <f aca="false">IF(OR(D7944&gt;5,E7944&lt;8,E7944&gt;=18,COUNTIF($K$2:$K$10,INT(A7944))&gt;0),1,0)</f>
        <v>1</v>
      </c>
      <c r="G7944" s="34" t="n">
        <f aca="false">B7944/1</f>
        <v>142.868</v>
      </c>
      <c r="H7944" s="34" t="n">
        <f aca="false">IF(F7944=1,G7944,"")</f>
        <v>142.868</v>
      </c>
    </row>
    <row r="7945" customFormat="false" ht="15" hidden="false" customHeight="false" outlineLevel="0" collapsed="false">
      <c r="A7945" s="31" t="n">
        <v>43066.9583333333</v>
      </c>
      <c r="B7945" s="32" t="n">
        <v>76.954</v>
      </c>
      <c r="D7945" s="33" t="n">
        <f aca="false">WEEKDAY(A7945,2)</f>
        <v>1</v>
      </c>
      <c r="E7945" s="33" t="n">
        <f aca="false">HOUR(A7945)+MINUTE(A7945)/60</f>
        <v>23</v>
      </c>
      <c r="F7945" s="33" t="n">
        <f aca="false">IF(OR(D7945&gt;5,E7945&lt;8,E7945&gt;=18,COUNTIF($K$2:$K$10,INT(A7945))&gt;0),1,0)</f>
        <v>1</v>
      </c>
      <c r="G7945" s="34" t="n">
        <f aca="false">B7945/1</f>
        <v>76.954</v>
      </c>
      <c r="H7945" s="34" t="n">
        <f aca="false">IF(F7945=1,G7945,"")</f>
        <v>76.954</v>
      </c>
    </row>
    <row r="7946" customFormat="false" ht="15" hidden="false" customHeight="false" outlineLevel="0" collapsed="false">
      <c r="A7946" s="31" t="n">
        <v>43067</v>
      </c>
      <c r="B7946" s="32" t="n">
        <v>70.512</v>
      </c>
      <c r="D7946" s="33" t="n">
        <f aca="false">WEEKDAY(A7946,2)</f>
        <v>2</v>
      </c>
      <c r="E7946" s="33" t="n">
        <f aca="false">HOUR(A7946)+MINUTE(A7946)/60</f>
        <v>0</v>
      </c>
      <c r="F7946" s="33" t="n">
        <f aca="false">IF(OR(D7946&gt;5,E7946&lt;8,E7946&gt;=18,COUNTIF($K$2:$K$10,INT(A7946))&gt;0),1,0)</f>
        <v>1</v>
      </c>
      <c r="G7946" s="34" t="n">
        <f aca="false">B7946/1</f>
        <v>70.512</v>
      </c>
      <c r="H7946" s="34" t="n">
        <f aca="false">IF(F7946=1,G7946,"")</f>
        <v>70.512</v>
      </c>
    </row>
    <row r="7947" customFormat="false" ht="15" hidden="false" customHeight="false" outlineLevel="0" collapsed="false">
      <c r="A7947" s="31" t="n">
        <v>43067.0416666667</v>
      </c>
      <c r="B7947" s="32" t="n">
        <v>62.181</v>
      </c>
      <c r="D7947" s="33" t="n">
        <f aca="false">WEEKDAY(A7947,2)</f>
        <v>2</v>
      </c>
      <c r="E7947" s="33" t="n">
        <f aca="false">HOUR(A7947)+MINUTE(A7947)/60</f>
        <v>1</v>
      </c>
      <c r="F7947" s="33" t="n">
        <f aca="false">IF(OR(D7947&gt;5,E7947&lt;8,E7947&gt;=18,COUNTIF($K$2:$K$10,INT(A7947))&gt;0),1,0)</f>
        <v>1</v>
      </c>
      <c r="G7947" s="34" t="n">
        <f aca="false">B7947/1</f>
        <v>62.181</v>
      </c>
      <c r="H7947" s="34" t="n">
        <f aca="false">IF(F7947=1,G7947,"")</f>
        <v>62.181</v>
      </c>
    </row>
    <row r="7948" customFormat="false" ht="15" hidden="false" customHeight="false" outlineLevel="0" collapsed="false">
      <c r="A7948" s="31" t="n">
        <v>43067.0833333333</v>
      </c>
      <c r="B7948" s="32" t="n">
        <v>62.366</v>
      </c>
      <c r="D7948" s="33" t="n">
        <f aca="false">WEEKDAY(A7948,2)</f>
        <v>2</v>
      </c>
      <c r="E7948" s="33" t="n">
        <f aca="false">HOUR(A7948)+MINUTE(A7948)/60</f>
        <v>2</v>
      </c>
      <c r="F7948" s="33" t="n">
        <f aca="false">IF(OR(D7948&gt;5,E7948&lt;8,E7948&gt;=18,COUNTIF($K$2:$K$10,INT(A7948))&gt;0),1,0)</f>
        <v>1</v>
      </c>
      <c r="G7948" s="34" t="n">
        <f aca="false">B7948/1</f>
        <v>62.366</v>
      </c>
      <c r="H7948" s="34" t="n">
        <f aca="false">IF(F7948=1,G7948,"")</f>
        <v>62.366</v>
      </c>
    </row>
    <row r="7949" customFormat="false" ht="15" hidden="false" customHeight="false" outlineLevel="0" collapsed="false">
      <c r="A7949" s="31" t="n">
        <v>43067.125</v>
      </c>
      <c r="B7949" s="32" t="n">
        <v>64.027</v>
      </c>
      <c r="D7949" s="33" t="n">
        <f aca="false">WEEKDAY(A7949,2)</f>
        <v>2</v>
      </c>
      <c r="E7949" s="33" t="n">
        <f aca="false">HOUR(A7949)+MINUTE(A7949)/60</f>
        <v>3</v>
      </c>
      <c r="F7949" s="33" t="n">
        <f aca="false">IF(OR(D7949&gt;5,E7949&lt;8,E7949&gt;=18,COUNTIF($K$2:$K$10,INT(A7949))&gt;0),1,0)</f>
        <v>1</v>
      </c>
      <c r="G7949" s="34" t="n">
        <f aca="false">B7949/1</f>
        <v>64.027</v>
      </c>
      <c r="H7949" s="34" t="n">
        <f aca="false">IF(F7949=1,G7949,"")</f>
        <v>64.027</v>
      </c>
    </row>
    <row r="7950" customFormat="false" ht="15" hidden="false" customHeight="false" outlineLevel="0" collapsed="false">
      <c r="A7950" s="31" t="n">
        <v>43067.1666666667</v>
      </c>
      <c r="B7950" s="32" t="n">
        <v>62.64</v>
      </c>
      <c r="D7950" s="33" t="n">
        <f aca="false">WEEKDAY(A7950,2)</f>
        <v>2</v>
      </c>
      <c r="E7950" s="33" t="n">
        <f aca="false">HOUR(A7950)+MINUTE(A7950)/60</f>
        <v>4</v>
      </c>
      <c r="F7950" s="33" t="n">
        <f aca="false">IF(OR(D7950&gt;5,E7950&lt;8,E7950&gt;=18,COUNTIF($K$2:$K$10,INT(A7950))&gt;0),1,0)</f>
        <v>1</v>
      </c>
      <c r="G7950" s="34" t="n">
        <f aca="false">B7950/1</f>
        <v>62.64</v>
      </c>
      <c r="H7950" s="34" t="n">
        <f aca="false">IF(F7950=1,G7950,"")</f>
        <v>62.64</v>
      </c>
    </row>
    <row r="7951" customFormat="false" ht="15" hidden="false" customHeight="false" outlineLevel="0" collapsed="false">
      <c r="A7951" s="31" t="n">
        <v>43067.2083333333</v>
      </c>
      <c r="B7951" s="32" t="n">
        <v>58.987</v>
      </c>
      <c r="D7951" s="33" t="n">
        <f aca="false">WEEKDAY(A7951,2)</f>
        <v>2</v>
      </c>
      <c r="E7951" s="33" t="n">
        <f aca="false">HOUR(A7951)+MINUTE(A7951)/60</f>
        <v>5</v>
      </c>
      <c r="F7951" s="33" t="n">
        <f aca="false">IF(OR(D7951&gt;5,E7951&lt;8,E7951&gt;=18,COUNTIF($K$2:$K$10,INT(A7951))&gt;0),1,0)</f>
        <v>1</v>
      </c>
      <c r="G7951" s="34" t="n">
        <f aca="false">B7951/1</f>
        <v>58.987</v>
      </c>
      <c r="H7951" s="34" t="n">
        <f aca="false">IF(F7951=1,G7951,"")</f>
        <v>58.987</v>
      </c>
    </row>
    <row r="7952" customFormat="false" ht="15" hidden="false" customHeight="false" outlineLevel="0" collapsed="false">
      <c r="A7952" s="31" t="n">
        <v>43067.25</v>
      </c>
      <c r="B7952" s="32" t="n">
        <v>60.167</v>
      </c>
      <c r="D7952" s="33" t="n">
        <f aca="false">WEEKDAY(A7952,2)</f>
        <v>2</v>
      </c>
      <c r="E7952" s="33" t="n">
        <f aca="false">HOUR(A7952)+MINUTE(A7952)/60</f>
        <v>6</v>
      </c>
      <c r="F7952" s="33" t="n">
        <f aca="false">IF(OR(D7952&gt;5,E7952&lt;8,E7952&gt;=18,COUNTIF($K$2:$K$10,INT(A7952))&gt;0),1,0)</f>
        <v>1</v>
      </c>
      <c r="G7952" s="34" t="n">
        <f aca="false">B7952/1</f>
        <v>60.167</v>
      </c>
      <c r="H7952" s="34" t="n">
        <f aca="false">IF(F7952=1,G7952,"")</f>
        <v>60.167</v>
      </c>
    </row>
    <row r="7953" customFormat="false" ht="15" hidden="false" customHeight="false" outlineLevel="0" collapsed="false">
      <c r="A7953" s="31" t="n">
        <v>43067.2916666667</v>
      </c>
      <c r="B7953" s="32" t="n">
        <v>66.014</v>
      </c>
      <c r="D7953" s="33" t="n">
        <f aca="false">WEEKDAY(A7953,2)</f>
        <v>2</v>
      </c>
      <c r="E7953" s="33" t="n">
        <f aca="false">HOUR(A7953)+MINUTE(A7953)/60</f>
        <v>7</v>
      </c>
      <c r="F7953" s="33" t="n">
        <f aca="false">IF(OR(D7953&gt;5,E7953&lt;8,E7953&gt;=18,COUNTIF($K$2:$K$10,INT(A7953))&gt;0),1,0)</f>
        <v>1</v>
      </c>
      <c r="G7953" s="34" t="n">
        <f aca="false">B7953/1</f>
        <v>66.014</v>
      </c>
      <c r="H7953" s="34" t="n">
        <f aca="false">IF(F7953=1,G7953,"")</f>
        <v>66.014</v>
      </c>
    </row>
    <row r="7954" customFormat="false" ht="15" hidden="false" customHeight="false" outlineLevel="0" collapsed="false">
      <c r="A7954" s="31" t="n">
        <v>43067.3333333333</v>
      </c>
      <c r="B7954" s="32" t="n">
        <v>176.938</v>
      </c>
      <c r="D7954" s="33" t="n">
        <f aca="false">WEEKDAY(A7954,2)</f>
        <v>2</v>
      </c>
      <c r="E7954" s="33" t="n">
        <f aca="false">HOUR(A7954)+MINUTE(A7954)/60</f>
        <v>8</v>
      </c>
      <c r="F7954" s="33" t="n">
        <f aca="false">IF(OR(D7954&gt;5,E7954&lt;8,E7954&gt;=18,COUNTIF($K$2:$K$10,INT(A7954))&gt;0),1,0)</f>
        <v>0</v>
      </c>
      <c r="G7954" s="34" t="n">
        <f aca="false">B7954/1</f>
        <v>176.938</v>
      </c>
      <c r="H7954" s="34" t="str">
        <f aca="false">IF(F7954=1,G7954,"")</f>
        <v/>
      </c>
    </row>
    <row r="7955" customFormat="false" ht="15" hidden="false" customHeight="false" outlineLevel="0" collapsed="false">
      <c r="A7955" s="31" t="n">
        <v>43067.375</v>
      </c>
      <c r="B7955" s="32" t="n">
        <v>219.91</v>
      </c>
      <c r="D7955" s="33" t="n">
        <f aca="false">WEEKDAY(A7955,2)</f>
        <v>2</v>
      </c>
      <c r="E7955" s="33" t="n">
        <f aca="false">HOUR(A7955)+MINUTE(A7955)/60</f>
        <v>9</v>
      </c>
      <c r="F7955" s="33" t="n">
        <f aca="false">IF(OR(D7955&gt;5,E7955&lt;8,E7955&gt;=18,COUNTIF($K$2:$K$10,INT(A7955))&gt;0),1,0)</f>
        <v>0</v>
      </c>
      <c r="G7955" s="34" t="n">
        <f aca="false">B7955/1</f>
        <v>219.91</v>
      </c>
      <c r="H7955" s="34" t="str">
        <f aca="false">IF(F7955=1,G7955,"")</f>
        <v/>
      </c>
    </row>
    <row r="7956" customFormat="false" ht="15" hidden="false" customHeight="false" outlineLevel="0" collapsed="false">
      <c r="A7956" s="31" t="n">
        <v>43067.4166666667</v>
      </c>
      <c r="B7956" s="32" t="n">
        <v>245.011</v>
      </c>
      <c r="D7956" s="33" t="n">
        <f aca="false">WEEKDAY(A7956,2)</f>
        <v>2</v>
      </c>
      <c r="E7956" s="33" t="n">
        <f aca="false">HOUR(A7956)+MINUTE(A7956)/60</f>
        <v>10</v>
      </c>
      <c r="F7956" s="33" t="n">
        <f aca="false">IF(OR(D7956&gt;5,E7956&lt;8,E7956&gt;=18,COUNTIF($K$2:$K$10,INT(A7956))&gt;0),1,0)</f>
        <v>0</v>
      </c>
      <c r="G7956" s="34" t="n">
        <f aca="false">B7956/1</f>
        <v>245.011</v>
      </c>
      <c r="H7956" s="34" t="str">
        <f aca="false">IF(F7956=1,G7956,"")</f>
        <v/>
      </c>
    </row>
    <row r="7957" customFormat="false" ht="15" hidden="false" customHeight="false" outlineLevel="0" collapsed="false">
      <c r="A7957" s="31" t="n">
        <v>43067.4583333333</v>
      </c>
      <c r="B7957" s="32" t="n">
        <v>269.341</v>
      </c>
      <c r="D7957" s="33" t="n">
        <f aca="false">WEEKDAY(A7957,2)</f>
        <v>2</v>
      </c>
      <c r="E7957" s="33" t="n">
        <f aca="false">HOUR(A7957)+MINUTE(A7957)/60</f>
        <v>11</v>
      </c>
      <c r="F7957" s="33" t="n">
        <f aca="false">IF(OR(D7957&gt;5,E7957&lt;8,E7957&gt;=18,COUNTIF($K$2:$K$10,INT(A7957))&gt;0),1,0)</f>
        <v>0</v>
      </c>
      <c r="G7957" s="34" t="n">
        <f aca="false">B7957/1</f>
        <v>269.341</v>
      </c>
      <c r="H7957" s="34" t="str">
        <f aca="false">IF(F7957=1,G7957,"")</f>
        <v/>
      </c>
    </row>
    <row r="7958" customFormat="false" ht="15" hidden="false" customHeight="false" outlineLevel="0" collapsed="false">
      <c r="A7958" s="31" t="n">
        <v>43067.5</v>
      </c>
      <c r="B7958" s="32" t="n">
        <v>277.842</v>
      </c>
      <c r="D7958" s="33" t="n">
        <f aca="false">WEEKDAY(A7958,2)</f>
        <v>2</v>
      </c>
      <c r="E7958" s="33" t="n">
        <f aca="false">HOUR(A7958)+MINUTE(A7958)/60</f>
        <v>12</v>
      </c>
      <c r="F7958" s="33" t="n">
        <f aca="false">IF(OR(D7958&gt;5,E7958&lt;8,E7958&gt;=18,COUNTIF($K$2:$K$10,INT(A7958))&gt;0),1,0)</f>
        <v>0</v>
      </c>
      <c r="G7958" s="34" t="n">
        <f aca="false">B7958/1</f>
        <v>277.842</v>
      </c>
      <c r="H7958" s="34" t="str">
        <f aca="false">IF(F7958=1,G7958,"")</f>
        <v/>
      </c>
    </row>
    <row r="7959" customFormat="false" ht="15" hidden="false" customHeight="false" outlineLevel="0" collapsed="false">
      <c r="A7959" s="31" t="n">
        <v>43067.5416666667</v>
      </c>
      <c r="B7959" s="32" t="n">
        <v>268.797</v>
      </c>
      <c r="D7959" s="33" t="n">
        <f aca="false">WEEKDAY(A7959,2)</f>
        <v>2</v>
      </c>
      <c r="E7959" s="33" t="n">
        <f aca="false">HOUR(A7959)+MINUTE(A7959)/60</f>
        <v>13</v>
      </c>
      <c r="F7959" s="33" t="n">
        <f aca="false">IF(OR(D7959&gt;5,E7959&lt;8,E7959&gt;=18,COUNTIF($K$2:$K$10,INT(A7959))&gt;0),1,0)</f>
        <v>0</v>
      </c>
      <c r="G7959" s="34" t="n">
        <f aca="false">B7959/1</f>
        <v>268.797</v>
      </c>
      <c r="H7959" s="34" t="str">
        <f aca="false">IF(F7959=1,G7959,"")</f>
        <v/>
      </c>
    </row>
    <row r="7960" customFormat="false" ht="15" hidden="false" customHeight="false" outlineLevel="0" collapsed="false">
      <c r="A7960" s="31" t="n">
        <v>43067.5833333333</v>
      </c>
      <c r="B7960" s="32" t="n">
        <v>286.791</v>
      </c>
      <c r="D7960" s="33" t="n">
        <f aca="false">WEEKDAY(A7960,2)</f>
        <v>2</v>
      </c>
      <c r="E7960" s="33" t="n">
        <f aca="false">HOUR(A7960)+MINUTE(A7960)/60</f>
        <v>14</v>
      </c>
      <c r="F7960" s="33" t="n">
        <f aca="false">IF(OR(D7960&gt;5,E7960&lt;8,E7960&gt;=18,COUNTIF($K$2:$K$10,INT(A7960))&gt;0),1,0)</f>
        <v>0</v>
      </c>
      <c r="G7960" s="34" t="n">
        <f aca="false">B7960/1</f>
        <v>286.791</v>
      </c>
      <c r="H7960" s="34" t="str">
        <f aca="false">IF(F7960=1,G7960,"")</f>
        <v/>
      </c>
    </row>
    <row r="7961" customFormat="false" ht="15" hidden="false" customHeight="false" outlineLevel="0" collapsed="false">
      <c r="A7961" s="31" t="n">
        <v>43067.625</v>
      </c>
      <c r="B7961" s="32" t="n">
        <v>268.268</v>
      </c>
      <c r="D7961" s="33" t="n">
        <f aca="false">WEEKDAY(A7961,2)</f>
        <v>2</v>
      </c>
      <c r="E7961" s="33" t="n">
        <f aca="false">HOUR(A7961)+MINUTE(A7961)/60</f>
        <v>15</v>
      </c>
      <c r="F7961" s="33" t="n">
        <f aca="false">IF(OR(D7961&gt;5,E7961&lt;8,E7961&gt;=18,COUNTIF($K$2:$K$10,INT(A7961))&gt;0),1,0)</f>
        <v>0</v>
      </c>
      <c r="G7961" s="34" t="n">
        <f aca="false">B7961/1</f>
        <v>268.268</v>
      </c>
      <c r="H7961" s="34" t="str">
        <f aca="false">IF(F7961=1,G7961,"")</f>
        <v/>
      </c>
    </row>
    <row r="7962" customFormat="false" ht="15" hidden="false" customHeight="false" outlineLevel="0" collapsed="false">
      <c r="A7962" s="31" t="n">
        <v>43067.6666666667</v>
      </c>
      <c r="B7962" s="32" t="n">
        <v>260.333</v>
      </c>
      <c r="D7962" s="33" t="n">
        <f aca="false">WEEKDAY(A7962,2)</f>
        <v>2</v>
      </c>
      <c r="E7962" s="33" t="n">
        <f aca="false">HOUR(A7962)+MINUTE(A7962)/60</f>
        <v>16</v>
      </c>
      <c r="F7962" s="33" t="n">
        <f aca="false">IF(OR(D7962&gt;5,E7962&lt;8,E7962&gt;=18,COUNTIF($K$2:$K$10,INT(A7962))&gt;0),1,0)</f>
        <v>0</v>
      </c>
      <c r="G7962" s="34" t="n">
        <f aca="false">B7962/1</f>
        <v>260.333</v>
      </c>
      <c r="H7962" s="34" t="str">
        <f aca="false">IF(F7962=1,G7962,"")</f>
        <v/>
      </c>
    </row>
    <row r="7963" customFormat="false" ht="15" hidden="false" customHeight="false" outlineLevel="0" collapsed="false">
      <c r="A7963" s="31" t="n">
        <v>43067.7083333333</v>
      </c>
      <c r="B7963" s="32" t="n">
        <v>250.54</v>
      </c>
      <c r="D7963" s="33" t="n">
        <f aca="false">WEEKDAY(A7963,2)</f>
        <v>2</v>
      </c>
      <c r="E7963" s="33" t="n">
        <f aca="false">HOUR(A7963)+MINUTE(A7963)/60</f>
        <v>17</v>
      </c>
      <c r="F7963" s="33" t="n">
        <f aca="false">IF(OR(D7963&gt;5,E7963&lt;8,E7963&gt;=18,COUNTIF($K$2:$K$10,INT(A7963))&gt;0),1,0)</f>
        <v>0</v>
      </c>
      <c r="G7963" s="34" t="n">
        <f aca="false">B7963/1</f>
        <v>250.54</v>
      </c>
      <c r="H7963" s="34" t="str">
        <f aca="false">IF(F7963=1,G7963,"")</f>
        <v/>
      </c>
    </row>
    <row r="7964" customFormat="false" ht="15" hidden="false" customHeight="false" outlineLevel="0" collapsed="false">
      <c r="A7964" s="31" t="n">
        <v>43067.75</v>
      </c>
      <c r="B7964" s="32" t="n">
        <v>231.98</v>
      </c>
      <c r="D7964" s="33" t="n">
        <f aca="false">WEEKDAY(A7964,2)</f>
        <v>2</v>
      </c>
      <c r="E7964" s="33" t="n">
        <f aca="false">HOUR(A7964)+MINUTE(A7964)/60</f>
        <v>18</v>
      </c>
      <c r="F7964" s="33" t="n">
        <f aca="false">IF(OR(D7964&gt;5,E7964&lt;8,E7964&gt;=18,COUNTIF($K$2:$K$10,INT(A7964))&gt;0),1,0)</f>
        <v>1</v>
      </c>
      <c r="G7964" s="34" t="n">
        <f aca="false">B7964/1</f>
        <v>231.98</v>
      </c>
      <c r="H7964" s="34" t="n">
        <f aca="false">IF(F7964=1,G7964,"")</f>
        <v>231.98</v>
      </c>
    </row>
    <row r="7965" customFormat="false" ht="15" hidden="false" customHeight="false" outlineLevel="0" collapsed="false">
      <c r="A7965" s="31" t="n">
        <v>43067.7916666667</v>
      </c>
      <c r="B7965" s="32" t="n">
        <v>218.168</v>
      </c>
      <c r="D7965" s="33" t="n">
        <f aca="false">WEEKDAY(A7965,2)</f>
        <v>2</v>
      </c>
      <c r="E7965" s="33" t="n">
        <f aca="false">HOUR(A7965)+MINUTE(A7965)/60</f>
        <v>19</v>
      </c>
      <c r="F7965" s="33" t="n">
        <f aca="false">IF(OR(D7965&gt;5,E7965&lt;8,E7965&gt;=18,COUNTIF($K$2:$K$10,INT(A7965))&gt;0),1,0)</f>
        <v>1</v>
      </c>
      <c r="G7965" s="34" t="n">
        <f aca="false">B7965/1</f>
        <v>218.168</v>
      </c>
      <c r="H7965" s="34" t="n">
        <f aca="false">IF(F7965=1,G7965,"")</f>
        <v>218.168</v>
      </c>
    </row>
    <row r="7966" customFormat="false" ht="15" hidden="false" customHeight="false" outlineLevel="0" collapsed="false">
      <c r="A7966" s="31" t="n">
        <v>43067.8333333333</v>
      </c>
      <c r="B7966" s="32" t="n">
        <v>209.985</v>
      </c>
      <c r="D7966" s="33" t="n">
        <f aca="false">WEEKDAY(A7966,2)</f>
        <v>2</v>
      </c>
      <c r="E7966" s="33" t="n">
        <f aca="false">HOUR(A7966)+MINUTE(A7966)/60</f>
        <v>20</v>
      </c>
      <c r="F7966" s="33" t="n">
        <f aca="false">IF(OR(D7966&gt;5,E7966&lt;8,E7966&gt;=18,COUNTIF($K$2:$K$10,INT(A7966))&gt;0),1,0)</f>
        <v>1</v>
      </c>
      <c r="G7966" s="34" t="n">
        <f aca="false">B7966/1</f>
        <v>209.985</v>
      </c>
      <c r="H7966" s="34" t="n">
        <f aca="false">IF(F7966=1,G7966,"")</f>
        <v>209.985</v>
      </c>
    </row>
    <row r="7967" customFormat="false" ht="15" hidden="false" customHeight="false" outlineLevel="0" collapsed="false">
      <c r="A7967" s="31" t="n">
        <v>43067.875</v>
      </c>
      <c r="B7967" s="32" t="n">
        <v>201.638</v>
      </c>
      <c r="D7967" s="33" t="n">
        <f aca="false">WEEKDAY(A7967,2)</f>
        <v>2</v>
      </c>
      <c r="E7967" s="33" t="n">
        <f aca="false">HOUR(A7967)+MINUTE(A7967)/60</f>
        <v>21</v>
      </c>
      <c r="F7967" s="33" t="n">
        <f aca="false">IF(OR(D7967&gt;5,E7967&lt;8,E7967&gt;=18,COUNTIF($K$2:$K$10,INT(A7967))&gt;0),1,0)</f>
        <v>1</v>
      </c>
      <c r="G7967" s="34" t="n">
        <f aca="false">B7967/1</f>
        <v>201.638</v>
      </c>
      <c r="H7967" s="34" t="n">
        <f aca="false">IF(F7967=1,G7967,"")</f>
        <v>201.638</v>
      </c>
    </row>
    <row r="7968" customFormat="false" ht="15" hidden="false" customHeight="false" outlineLevel="0" collapsed="false">
      <c r="A7968" s="31" t="n">
        <v>43067.9166666667</v>
      </c>
      <c r="B7968" s="32" t="n">
        <v>144.829</v>
      </c>
      <c r="D7968" s="33" t="n">
        <f aca="false">WEEKDAY(A7968,2)</f>
        <v>2</v>
      </c>
      <c r="E7968" s="33" t="n">
        <f aca="false">HOUR(A7968)+MINUTE(A7968)/60</f>
        <v>22</v>
      </c>
      <c r="F7968" s="33" t="n">
        <f aca="false">IF(OR(D7968&gt;5,E7968&lt;8,E7968&gt;=18,COUNTIF($K$2:$K$10,INT(A7968))&gt;0),1,0)</f>
        <v>1</v>
      </c>
      <c r="G7968" s="34" t="n">
        <f aca="false">B7968/1</f>
        <v>144.829</v>
      </c>
      <c r="H7968" s="34" t="n">
        <f aca="false">IF(F7968=1,G7968,"")</f>
        <v>144.829</v>
      </c>
    </row>
    <row r="7969" customFormat="false" ht="15" hidden="false" customHeight="false" outlineLevel="0" collapsed="false">
      <c r="A7969" s="31" t="n">
        <v>43067.9583333333</v>
      </c>
      <c r="B7969" s="32" t="n">
        <v>83.199</v>
      </c>
      <c r="D7969" s="33" t="n">
        <f aca="false">WEEKDAY(A7969,2)</f>
        <v>2</v>
      </c>
      <c r="E7969" s="33" t="n">
        <f aca="false">HOUR(A7969)+MINUTE(A7969)/60</f>
        <v>23</v>
      </c>
      <c r="F7969" s="33" t="n">
        <f aca="false">IF(OR(D7969&gt;5,E7969&lt;8,E7969&gt;=18,COUNTIF($K$2:$K$10,INT(A7969))&gt;0),1,0)</f>
        <v>1</v>
      </c>
      <c r="G7969" s="34" t="n">
        <f aca="false">B7969/1</f>
        <v>83.199</v>
      </c>
      <c r="H7969" s="34" t="n">
        <f aca="false">IF(F7969=1,G7969,"")</f>
        <v>83.199</v>
      </c>
    </row>
    <row r="7970" customFormat="false" ht="15" hidden="false" customHeight="false" outlineLevel="0" collapsed="false">
      <c r="A7970" s="31" t="n">
        <v>43068</v>
      </c>
      <c r="B7970" s="32" t="n">
        <v>78.951</v>
      </c>
      <c r="D7970" s="33" t="n">
        <f aca="false">WEEKDAY(A7970,2)</f>
        <v>3</v>
      </c>
      <c r="E7970" s="33" t="n">
        <f aca="false">HOUR(A7970)+MINUTE(A7970)/60</f>
        <v>0</v>
      </c>
      <c r="F7970" s="33" t="n">
        <f aca="false">IF(OR(D7970&gt;5,E7970&lt;8,E7970&gt;=18,COUNTIF($K$2:$K$10,INT(A7970))&gt;0),1,0)</f>
        <v>1</v>
      </c>
      <c r="G7970" s="34" t="n">
        <f aca="false">B7970/1</f>
        <v>78.951</v>
      </c>
      <c r="H7970" s="34" t="n">
        <f aca="false">IF(F7970=1,G7970,"")</f>
        <v>78.951</v>
      </c>
    </row>
    <row r="7971" customFormat="false" ht="15" hidden="false" customHeight="false" outlineLevel="0" collapsed="false">
      <c r="A7971" s="31" t="n">
        <v>43068.0416666667</v>
      </c>
      <c r="B7971" s="32" t="n">
        <v>71.318</v>
      </c>
      <c r="D7971" s="33" t="n">
        <f aca="false">WEEKDAY(A7971,2)</f>
        <v>3</v>
      </c>
      <c r="E7971" s="33" t="n">
        <f aca="false">HOUR(A7971)+MINUTE(A7971)/60</f>
        <v>1</v>
      </c>
      <c r="F7971" s="33" t="n">
        <f aca="false">IF(OR(D7971&gt;5,E7971&lt;8,E7971&gt;=18,COUNTIF($K$2:$K$10,INT(A7971))&gt;0),1,0)</f>
        <v>1</v>
      </c>
      <c r="G7971" s="34" t="n">
        <f aca="false">B7971/1</f>
        <v>71.318</v>
      </c>
      <c r="H7971" s="34" t="n">
        <f aca="false">IF(F7971=1,G7971,"")</f>
        <v>71.318</v>
      </c>
    </row>
    <row r="7972" customFormat="false" ht="15" hidden="false" customHeight="false" outlineLevel="0" collapsed="false">
      <c r="A7972" s="31" t="n">
        <v>43068.0833333333</v>
      </c>
      <c r="B7972" s="32" t="n">
        <v>69.849</v>
      </c>
      <c r="D7972" s="33" t="n">
        <f aca="false">WEEKDAY(A7972,2)</f>
        <v>3</v>
      </c>
      <c r="E7972" s="33" t="n">
        <f aca="false">HOUR(A7972)+MINUTE(A7972)/60</f>
        <v>2</v>
      </c>
      <c r="F7972" s="33" t="n">
        <f aca="false">IF(OR(D7972&gt;5,E7972&lt;8,E7972&gt;=18,COUNTIF($K$2:$K$10,INT(A7972))&gt;0),1,0)</f>
        <v>1</v>
      </c>
      <c r="G7972" s="34" t="n">
        <f aca="false">B7972/1</f>
        <v>69.849</v>
      </c>
      <c r="H7972" s="34" t="n">
        <f aca="false">IF(F7972=1,G7972,"")</f>
        <v>69.849</v>
      </c>
    </row>
    <row r="7973" customFormat="false" ht="15" hidden="false" customHeight="false" outlineLevel="0" collapsed="false">
      <c r="A7973" s="31" t="n">
        <v>43068.125</v>
      </c>
      <c r="B7973" s="32" t="n">
        <v>67.762</v>
      </c>
      <c r="D7973" s="33" t="n">
        <f aca="false">WEEKDAY(A7973,2)</f>
        <v>3</v>
      </c>
      <c r="E7973" s="33" t="n">
        <f aca="false">HOUR(A7973)+MINUTE(A7973)/60</f>
        <v>3</v>
      </c>
      <c r="F7973" s="33" t="n">
        <f aca="false">IF(OR(D7973&gt;5,E7973&lt;8,E7973&gt;=18,COUNTIF($K$2:$K$10,INT(A7973))&gt;0),1,0)</f>
        <v>1</v>
      </c>
      <c r="G7973" s="34" t="n">
        <f aca="false">B7973/1</f>
        <v>67.762</v>
      </c>
      <c r="H7973" s="34" t="n">
        <f aca="false">IF(F7973=1,G7973,"")</f>
        <v>67.762</v>
      </c>
    </row>
    <row r="7974" customFormat="false" ht="15" hidden="false" customHeight="false" outlineLevel="0" collapsed="false">
      <c r="A7974" s="31" t="n">
        <v>43068.1666666667</v>
      </c>
      <c r="B7974" s="32" t="n">
        <v>64.948</v>
      </c>
      <c r="D7974" s="33" t="n">
        <f aca="false">WEEKDAY(A7974,2)</f>
        <v>3</v>
      </c>
      <c r="E7974" s="33" t="n">
        <f aca="false">HOUR(A7974)+MINUTE(A7974)/60</f>
        <v>4</v>
      </c>
      <c r="F7974" s="33" t="n">
        <f aca="false">IF(OR(D7974&gt;5,E7974&lt;8,E7974&gt;=18,COUNTIF($K$2:$K$10,INT(A7974))&gt;0),1,0)</f>
        <v>1</v>
      </c>
      <c r="G7974" s="34" t="n">
        <f aca="false">B7974/1</f>
        <v>64.948</v>
      </c>
      <c r="H7974" s="34" t="n">
        <f aca="false">IF(F7974=1,G7974,"")</f>
        <v>64.948</v>
      </c>
    </row>
    <row r="7975" customFormat="false" ht="15" hidden="false" customHeight="false" outlineLevel="0" collapsed="false">
      <c r="A7975" s="31" t="n">
        <v>43068.2083333333</v>
      </c>
      <c r="B7975" s="32" t="n">
        <v>65.214</v>
      </c>
      <c r="D7975" s="33" t="n">
        <f aca="false">WEEKDAY(A7975,2)</f>
        <v>3</v>
      </c>
      <c r="E7975" s="33" t="n">
        <f aca="false">HOUR(A7975)+MINUTE(A7975)/60</f>
        <v>5</v>
      </c>
      <c r="F7975" s="33" t="n">
        <f aca="false">IF(OR(D7975&gt;5,E7975&lt;8,E7975&gt;=18,COUNTIF($K$2:$K$10,INT(A7975))&gt;0),1,0)</f>
        <v>1</v>
      </c>
      <c r="G7975" s="34" t="n">
        <f aca="false">B7975/1</f>
        <v>65.214</v>
      </c>
      <c r="H7975" s="34" t="n">
        <f aca="false">IF(F7975=1,G7975,"")</f>
        <v>65.214</v>
      </c>
    </row>
    <row r="7976" customFormat="false" ht="15" hidden="false" customHeight="false" outlineLevel="0" collapsed="false">
      <c r="A7976" s="31" t="n">
        <v>43068.25</v>
      </c>
      <c r="B7976" s="32" t="n">
        <v>67.104</v>
      </c>
      <c r="D7976" s="33" t="n">
        <f aca="false">WEEKDAY(A7976,2)</f>
        <v>3</v>
      </c>
      <c r="E7976" s="33" t="n">
        <f aca="false">HOUR(A7976)+MINUTE(A7976)/60</f>
        <v>6</v>
      </c>
      <c r="F7976" s="33" t="n">
        <f aca="false">IF(OR(D7976&gt;5,E7976&lt;8,E7976&gt;=18,COUNTIF($K$2:$K$10,INT(A7976))&gt;0),1,0)</f>
        <v>1</v>
      </c>
      <c r="G7976" s="34" t="n">
        <f aca="false">B7976/1</f>
        <v>67.104</v>
      </c>
      <c r="H7976" s="34" t="n">
        <f aca="false">IF(F7976=1,G7976,"")</f>
        <v>67.104</v>
      </c>
    </row>
    <row r="7977" customFormat="false" ht="15" hidden="false" customHeight="false" outlineLevel="0" collapsed="false">
      <c r="A7977" s="31" t="n">
        <v>43068.2916666667</v>
      </c>
      <c r="B7977" s="32" t="n">
        <v>71.734</v>
      </c>
      <c r="D7977" s="33" t="n">
        <f aca="false">WEEKDAY(A7977,2)</f>
        <v>3</v>
      </c>
      <c r="E7977" s="33" t="n">
        <f aca="false">HOUR(A7977)+MINUTE(A7977)/60</f>
        <v>7</v>
      </c>
      <c r="F7977" s="33" t="n">
        <f aca="false">IF(OR(D7977&gt;5,E7977&lt;8,E7977&gt;=18,COUNTIF($K$2:$K$10,INT(A7977))&gt;0),1,0)</f>
        <v>1</v>
      </c>
      <c r="G7977" s="34" t="n">
        <f aca="false">B7977/1</f>
        <v>71.734</v>
      </c>
      <c r="H7977" s="34" t="n">
        <f aca="false">IF(F7977=1,G7977,"")</f>
        <v>71.734</v>
      </c>
    </row>
    <row r="7978" customFormat="false" ht="15" hidden="false" customHeight="false" outlineLevel="0" collapsed="false">
      <c r="A7978" s="31" t="n">
        <v>43068.3333333333</v>
      </c>
      <c r="B7978" s="32" t="n">
        <v>179.619</v>
      </c>
      <c r="D7978" s="33" t="n">
        <f aca="false">WEEKDAY(A7978,2)</f>
        <v>3</v>
      </c>
      <c r="E7978" s="33" t="n">
        <f aca="false">HOUR(A7978)+MINUTE(A7978)/60</f>
        <v>8</v>
      </c>
      <c r="F7978" s="33" t="n">
        <f aca="false">IF(OR(D7978&gt;5,E7978&lt;8,E7978&gt;=18,COUNTIF($K$2:$K$10,INT(A7978))&gt;0),1,0)</f>
        <v>0</v>
      </c>
      <c r="G7978" s="34" t="n">
        <f aca="false">B7978/1</f>
        <v>179.619</v>
      </c>
      <c r="H7978" s="34" t="str">
        <f aca="false">IF(F7978=1,G7978,"")</f>
        <v/>
      </c>
    </row>
    <row r="7979" customFormat="false" ht="15" hidden="false" customHeight="false" outlineLevel="0" collapsed="false">
      <c r="A7979" s="31" t="n">
        <v>43068.375</v>
      </c>
      <c r="B7979" s="32" t="n">
        <v>215.184</v>
      </c>
      <c r="D7979" s="33" t="n">
        <f aca="false">WEEKDAY(A7979,2)</f>
        <v>3</v>
      </c>
      <c r="E7979" s="33" t="n">
        <f aca="false">HOUR(A7979)+MINUTE(A7979)/60</f>
        <v>9</v>
      </c>
      <c r="F7979" s="33" t="n">
        <f aca="false">IF(OR(D7979&gt;5,E7979&lt;8,E7979&gt;=18,COUNTIF($K$2:$K$10,INT(A7979))&gt;0),1,0)</f>
        <v>0</v>
      </c>
      <c r="G7979" s="34" t="n">
        <f aca="false">B7979/1</f>
        <v>215.184</v>
      </c>
      <c r="H7979" s="34" t="str">
        <f aca="false">IF(F7979=1,G7979,"")</f>
        <v/>
      </c>
    </row>
    <row r="7980" customFormat="false" ht="15" hidden="false" customHeight="false" outlineLevel="0" collapsed="false">
      <c r="A7980" s="31" t="n">
        <v>43068.4166666667</v>
      </c>
      <c r="B7980" s="32" t="n">
        <v>240.399</v>
      </c>
      <c r="D7980" s="33" t="n">
        <f aca="false">WEEKDAY(A7980,2)</f>
        <v>3</v>
      </c>
      <c r="E7980" s="33" t="n">
        <f aca="false">HOUR(A7980)+MINUTE(A7980)/60</f>
        <v>10</v>
      </c>
      <c r="F7980" s="33" t="n">
        <f aca="false">IF(OR(D7980&gt;5,E7980&lt;8,E7980&gt;=18,COUNTIF($K$2:$K$10,INT(A7980))&gt;0),1,0)</f>
        <v>0</v>
      </c>
      <c r="G7980" s="34" t="n">
        <f aca="false">B7980/1</f>
        <v>240.399</v>
      </c>
      <c r="H7980" s="34" t="str">
        <f aca="false">IF(F7980=1,G7980,"")</f>
        <v/>
      </c>
    </row>
    <row r="7981" customFormat="false" ht="15" hidden="false" customHeight="false" outlineLevel="0" collapsed="false">
      <c r="A7981" s="31" t="n">
        <v>43068.4583333333</v>
      </c>
      <c r="B7981" s="32" t="n">
        <v>263.791</v>
      </c>
      <c r="D7981" s="33" t="n">
        <f aca="false">WEEKDAY(A7981,2)</f>
        <v>3</v>
      </c>
      <c r="E7981" s="33" t="n">
        <f aca="false">HOUR(A7981)+MINUTE(A7981)/60</f>
        <v>11</v>
      </c>
      <c r="F7981" s="33" t="n">
        <f aca="false">IF(OR(D7981&gt;5,E7981&lt;8,E7981&gt;=18,COUNTIF($K$2:$K$10,INT(A7981))&gt;0),1,0)</f>
        <v>0</v>
      </c>
      <c r="G7981" s="34" t="n">
        <f aca="false">B7981/1</f>
        <v>263.791</v>
      </c>
      <c r="H7981" s="34" t="str">
        <f aca="false">IF(F7981=1,G7981,"")</f>
        <v/>
      </c>
    </row>
    <row r="7982" customFormat="false" ht="15" hidden="false" customHeight="false" outlineLevel="0" collapsed="false">
      <c r="A7982" s="31" t="n">
        <v>43068.5</v>
      </c>
      <c r="B7982" s="32" t="n">
        <v>268.773</v>
      </c>
      <c r="D7982" s="33" t="n">
        <f aca="false">WEEKDAY(A7982,2)</f>
        <v>3</v>
      </c>
      <c r="E7982" s="33" t="n">
        <f aca="false">HOUR(A7982)+MINUTE(A7982)/60</f>
        <v>12</v>
      </c>
      <c r="F7982" s="33" t="n">
        <f aca="false">IF(OR(D7982&gt;5,E7982&lt;8,E7982&gt;=18,COUNTIF($K$2:$K$10,INT(A7982))&gt;0),1,0)</f>
        <v>0</v>
      </c>
      <c r="G7982" s="34" t="n">
        <f aca="false">B7982/1</f>
        <v>268.773</v>
      </c>
      <c r="H7982" s="34" t="str">
        <f aca="false">IF(F7982=1,G7982,"")</f>
        <v/>
      </c>
    </row>
    <row r="7983" customFormat="false" ht="15" hidden="false" customHeight="false" outlineLevel="0" collapsed="false">
      <c r="A7983" s="31" t="n">
        <v>43068.5416666667</v>
      </c>
      <c r="B7983" s="32" t="n">
        <v>269.391</v>
      </c>
      <c r="D7983" s="33" t="n">
        <f aca="false">WEEKDAY(A7983,2)</f>
        <v>3</v>
      </c>
      <c r="E7983" s="33" t="n">
        <f aca="false">HOUR(A7983)+MINUTE(A7983)/60</f>
        <v>13</v>
      </c>
      <c r="F7983" s="33" t="n">
        <f aca="false">IF(OR(D7983&gt;5,E7983&lt;8,E7983&gt;=18,COUNTIF($K$2:$K$10,INT(A7983))&gt;0),1,0)</f>
        <v>0</v>
      </c>
      <c r="G7983" s="34" t="n">
        <f aca="false">B7983/1</f>
        <v>269.391</v>
      </c>
      <c r="H7983" s="34" t="str">
        <f aca="false">IF(F7983=1,G7983,"")</f>
        <v/>
      </c>
    </row>
    <row r="7984" customFormat="false" ht="15" hidden="false" customHeight="false" outlineLevel="0" collapsed="false">
      <c r="A7984" s="31" t="n">
        <v>43068.5833333333</v>
      </c>
      <c r="B7984" s="32" t="n">
        <v>271.561</v>
      </c>
      <c r="D7984" s="33" t="n">
        <f aca="false">WEEKDAY(A7984,2)</f>
        <v>3</v>
      </c>
      <c r="E7984" s="33" t="n">
        <f aca="false">HOUR(A7984)+MINUTE(A7984)/60</f>
        <v>14</v>
      </c>
      <c r="F7984" s="33" t="n">
        <f aca="false">IF(OR(D7984&gt;5,E7984&lt;8,E7984&gt;=18,COUNTIF($K$2:$K$10,INT(A7984))&gt;0),1,0)</f>
        <v>0</v>
      </c>
      <c r="G7984" s="34" t="n">
        <f aca="false">B7984/1</f>
        <v>271.561</v>
      </c>
      <c r="H7984" s="34" t="str">
        <f aca="false">IF(F7984=1,G7984,"")</f>
        <v/>
      </c>
    </row>
    <row r="7985" customFormat="false" ht="15" hidden="false" customHeight="false" outlineLevel="0" collapsed="false">
      <c r="A7985" s="31" t="n">
        <v>43068.625</v>
      </c>
      <c r="B7985" s="32" t="n">
        <v>268.378</v>
      </c>
      <c r="D7985" s="33" t="n">
        <f aca="false">WEEKDAY(A7985,2)</f>
        <v>3</v>
      </c>
      <c r="E7985" s="33" t="n">
        <f aca="false">HOUR(A7985)+MINUTE(A7985)/60</f>
        <v>15</v>
      </c>
      <c r="F7985" s="33" t="n">
        <f aca="false">IF(OR(D7985&gt;5,E7985&lt;8,E7985&gt;=18,COUNTIF($K$2:$K$10,INT(A7985))&gt;0),1,0)</f>
        <v>0</v>
      </c>
      <c r="G7985" s="34" t="n">
        <f aca="false">B7985/1</f>
        <v>268.378</v>
      </c>
      <c r="H7985" s="34" t="str">
        <f aca="false">IF(F7985=1,G7985,"")</f>
        <v/>
      </c>
    </row>
    <row r="7986" customFormat="false" ht="15" hidden="false" customHeight="false" outlineLevel="0" collapsed="false">
      <c r="A7986" s="31" t="n">
        <v>43068.6666666667</v>
      </c>
      <c r="B7986" s="32" t="n">
        <v>270.899</v>
      </c>
      <c r="D7986" s="33" t="n">
        <f aca="false">WEEKDAY(A7986,2)</f>
        <v>3</v>
      </c>
      <c r="E7986" s="33" t="n">
        <f aca="false">HOUR(A7986)+MINUTE(A7986)/60</f>
        <v>16</v>
      </c>
      <c r="F7986" s="33" t="n">
        <f aca="false">IF(OR(D7986&gt;5,E7986&lt;8,E7986&gt;=18,COUNTIF($K$2:$K$10,INT(A7986))&gt;0),1,0)</f>
        <v>0</v>
      </c>
      <c r="G7986" s="34" t="n">
        <f aca="false">B7986/1</f>
        <v>270.899</v>
      </c>
      <c r="H7986" s="34" t="str">
        <f aca="false">IF(F7986=1,G7986,"")</f>
        <v/>
      </c>
    </row>
    <row r="7987" customFormat="false" ht="15" hidden="false" customHeight="false" outlineLevel="0" collapsed="false">
      <c r="A7987" s="31" t="n">
        <v>43068.7083333333</v>
      </c>
      <c r="B7987" s="32" t="n">
        <v>247.418</v>
      </c>
      <c r="D7987" s="33" t="n">
        <f aca="false">WEEKDAY(A7987,2)</f>
        <v>3</v>
      </c>
      <c r="E7987" s="33" t="n">
        <f aca="false">HOUR(A7987)+MINUTE(A7987)/60</f>
        <v>17</v>
      </c>
      <c r="F7987" s="33" t="n">
        <f aca="false">IF(OR(D7987&gt;5,E7987&lt;8,E7987&gt;=18,COUNTIF($K$2:$K$10,INT(A7987))&gt;0),1,0)</f>
        <v>0</v>
      </c>
      <c r="G7987" s="34" t="n">
        <f aca="false">B7987/1</f>
        <v>247.418</v>
      </c>
      <c r="H7987" s="34" t="str">
        <f aca="false">IF(F7987=1,G7987,"")</f>
        <v/>
      </c>
    </row>
    <row r="7988" customFormat="false" ht="15" hidden="false" customHeight="false" outlineLevel="0" collapsed="false">
      <c r="A7988" s="31" t="n">
        <v>43068.75</v>
      </c>
      <c r="B7988" s="32" t="n">
        <v>228.272</v>
      </c>
      <c r="D7988" s="33" t="n">
        <f aca="false">WEEKDAY(A7988,2)</f>
        <v>3</v>
      </c>
      <c r="E7988" s="33" t="n">
        <f aca="false">HOUR(A7988)+MINUTE(A7988)/60</f>
        <v>18</v>
      </c>
      <c r="F7988" s="33" t="n">
        <f aca="false">IF(OR(D7988&gt;5,E7988&lt;8,E7988&gt;=18,COUNTIF($K$2:$K$10,INT(A7988))&gt;0),1,0)</f>
        <v>1</v>
      </c>
      <c r="G7988" s="34" t="n">
        <f aca="false">B7988/1</f>
        <v>228.272</v>
      </c>
      <c r="H7988" s="34" t="n">
        <f aca="false">IF(F7988=1,G7988,"")</f>
        <v>228.272</v>
      </c>
    </row>
    <row r="7989" customFormat="false" ht="15" hidden="false" customHeight="false" outlineLevel="0" collapsed="false">
      <c r="A7989" s="31" t="n">
        <v>43068.7916666667</v>
      </c>
      <c r="B7989" s="32" t="n">
        <v>222.252</v>
      </c>
      <c r="D7989" s="33" t="n">
        <f aca="false">WEEKDAY(A7989,2)</f>
        <v>3</v>
      </c>
      <c r="E7989" s="33" t="n">
        <f aca="false">HOUR(A7989)+MINUTE(A7989)/60</f>
        <v>19</v>
      </c>
      <c r="F7989" s="33" t="n">
        <f aca="false">IF(OR(D7989&gt;5,E7989&lt;8,E7989&gt;=18,COUNTIF($K$2:$K$10,INT(A7989))&gt;0),1,0)</f>
        <v>1</v>
      </c>
      <c r="G7989" s="34" t="n">
        <f aca="false">B7989/1</f>
        <v>222.252</v>
      </c>
      <c r="H7989" s="34" t="n">
        <f aca="false">IF(F7989=1,G7989,"")</f>
        <v>222.252</v>
      </c>
    </row>
    <row r="7990" customFormat="false" ht="15" hidden="false" customHeight="false" outlineLevel="0" collapsed="false">
      <c r="A7990" s="31" t="n">
        <v>43068.8333333333</v>
      </c>
      <c r="B7990" s="32" t="n">
        <v>219.215</v>
      </c>
      <c r="D7990" s="33" t="n">
        <f aca="false">WEEKDAY(A7990,2)</f>
        <v>3</v>
      </c>
      <c r="E7990" s="33" t="n">
        <f aca="false">HOUR(A7990)+MINUTE(A7990)/60</f>
        <v>20</v>
      </c>
      <c r="F7990" s="33" t="n">
        <f aca="false">IF(OR(D7990&gt;5,E7990&lt;8,E7990&gt;=18,COUNTIF($K$2:$K$10,INT(A7990))&gt;0),1,0)</f>
        <v>1</v>
      </c>
      <c r="G7990" s="34" t="n">
        <f aca="false">B7990/1</f>
        <v>219.215</v>
      </c>
      <c r="H7990" s="34" t="n">
        <f aca="false">IF(F7990=1,G7990,"")</f>
        <v>219.215</v>
      </c>
    </row>
    <row r="7991" customFormat="false" ht="15" hidden="false" customHeight="false" outlineLevel="0" collapsed="false">
      <c r="A7991" s="31" t="n">
        <v>43068.875</v>
      </c>
      <c r="B7991" s="32" t="n">
        <v>196.874</v>
      </c>
      <c r="D7991" s="33" t="n">
        <f aca="false">WEEKDAY(A7991,2)</f>
        <v>3</v>
      </c>
      <c r="E7991" s="33" t="n">
        <f aca="false">HOUR(A7991)+MINUTE(A7991)/60</f>
        <v>21</v>
      </c>
      <c r="F7991" s="33" t="n">
        <f aca="false">IF(OR(D7991&gt;5,E7991&lt;8,E7991&gt;=18,COUNTIF($K$2:$K$10,INT(A7991))&gt;0),1,0)</f>
        <v>1</v>
      </c>
      <c r="G7991" s="34" t="n">
        <f aca="false">B7991/1</f>
        <v>196.874</v>
      </c>
      <c r="H7991" s="34" t="n">
        <f aca="false">IF(F7991=1,G7991,"")</f>
        <v>196.874</v>
      </c>
    </row>
    <row r="7992" customFormat="false" ht="15" hidden="false" customHeight="false" outlineLevel="0" collapsed="false">
      <c r="A7992" s="31" t="n">
        <v>43068.9166666667</v>
      </c>
      <c r="B7992" s="32" t="n">
        <v>139.187</v>
      </c>
      <c r="D7992" s="33" t="n">
        <f aca="false">WEEKDAY(A7992,2)</f>
        <v>3</v>
      </c>
      <c r="E7992" s="33" t="n">
        <f aca="false">HOUR(A7992)+MINUTE(A7992)/60</f>
        <v>22</v>
      </c>
      <c r="F7992" s="33" t="n">
        <f aca="false">IF(OR(D7992&gt;5,E7992&lt;8,E7992&gt;=18,COUNTIF($K$2:$K$10,INT(A7992))&gt;0),1,0)</f>
        <v>1</v>
      </c>
      <c r="G7992" s="34" t="n">
        <f aca="false">B7992/1</f>
        <v>139.187</v>
      </c>
      <c r="H7992" s="34" t="n">
        <f aca="false">IF(F7992=1,G7992,"")</f>
        <v>139.187</v>
      </c>
    </row>
    <row r="7993" customFormat="false" ht="15" hidden="false" customHeight="false" outlineLevel="0" collapsed="false">
      <c r="A7993" s="31" t="n">
        <v>43068.9583333333</v>
      </c>
      <c r="B7993" s="32" t="n">
        <v>74.95</v>
      </c>
      <c r="D7993" s="33" t="n">
        <f aca="false">WEEKDAY(A7993,2)</f>
        <v>3</v>
      </c>
      <c r="E7993" s="33" t="n">
        <f aca="false">HOUR(A7993)+MINUTE(A7993)/60</f>
        <v>23</v>
      </c>
      <c r="F7993" s="33" t="n">
        <f aca="false">IF(OR(D7993&gt;5,E7993&lt;8,E7993&gt;=18,COUNTIF($K$2:$K$10,INT(A7993))&gt;0),1,0)</f>
        <v>1</v>
      </c>
      <c r="G7993" s="34" t="n">
        <f aca="false">B7993/1</f>
        <v>74.95</v>
      </c>
      <c r="H7993" s="34" t="n">
        <f aca="false">IF(F7993=1,G7993,"")</f>
        <v>74.95</v>
      </c>
    </row>
    <row r="7994" customFormat="false" ht="15" hidden="false" customHeight="false" outlineLevel="0" collapsed="false">
      <c r="A7994" s="31" t="n">
        <v>43069</v>
      </c>
      <c r="B7994" s="32" t="n">
        <v>71.307</v>
      </c>
      <c r="D7994" s="33" t="n">
        <f aca="false">WEEKDAY(A7994,2)</f>
        <v>4</v>
      </c>
      <c r="E7994" s="33" t="n">
        <f aca="false">HOUR(A7994)+MINUTE(A7994)/60</f>
        <v>0</v>
      </c>
      <c r="F7994" s="33" t="n">
        <f aca="false">IF(OR(D7994&gt;5,E7994&lt;8,E7994&gt;=18,COUNTIF($K$2:$K$10,INT(A7994))&gt;0),1,0)</f>
        <v>1</v>
      </c>
      <c r="G7994" s="34" t="n">
        <f aca="false">B7994/1</f>
        <v>71.307</v>
      </c>
      <c r="H7994" s="34" t="n">
        <f aca="false">IF(F7994=1,G7994,"")</f>
        <v>71.307</v>
      </c>
    </row>
    <row r="7995" customFormat="false" ht="15" hidden="false" customHeight="false" outlineLevel="0" collapsed="false">
      <c r="A7995" s="31" t="n">
        <v>43069.0416666667</v>
      </c>
      <c r="B7995" s="32" t="n">
        <v>67.503</v>
      </c>
      <c r="D7995" s="33" t="n">
        <f aca="false">WEEKDAY(A7995,2)</f>
        <v>4</v>
      </c>
      <c r="E7995" s="33" t="n">
        <f aca="false">HOUR(A7995)+MINUTE(A7995)/60</f>
        <v>1</v>
      </c>
      <c r="F7995" s="33" t="n">
        <f aca="false">IF(OR(D7995&gt;5,E7995&lt;8,E7995&gt;=18,COUNTIF($K$2:$K$10,INT(A7995))&gt;0),1,0)</f>
        <v>1</v>
      </c>
      <c r="G7995" s="34" t="n">
        <f aca="false">B7995/1</f>
        <v>67.503</v>
      </c>
      <c r="H7995" s="34" t="n">
        <f aca="false">IF(F7995=1,G7995,"")</f>
        <v>67.503</v>
      </c>
    </row>
    <row r="7996" customFormat="false" ht="15" hidden="false" customHeight="false" outlineLevel="0" collapsed="false">
      <c r="A7996" s="31" t="n">
        <v>43069.0833333333</v>
      </c>
      <c r="B7996" s="32" t="n">
        <v>66.245</v>
      </c>
      <c r="D7996" s="33" t="n">
        <f aca="false">WEEKDAY(A7996,2)</f>
        <v>4</v>
      </c>
      <c r="E7996" s="33" t="n">
        <f aca="false">HOUR(A7996)+MINUTE(A7996)/60</f>
        <v>2</v>
      </c>
      <c r="F7996" s="33" t="n">
        <f aca="false">IF(OR(D7996&gt;5,E7996&lt;8,E7996&gt;=18,COUNTIF($K$2:$K$10,INT(A7996))&gt;0),1,0)</f>
        <v>1</v>
      </c>
      <c r="G7996" s="34" t="n">
        <f aca="false">B7996/1</f>
        <v>66.245</v>
      </c>
      <c r="H7996" s="34" t="n">
        <f aca="false">IF(F7996=1,G7996,"")</f>
        <v>66.245</v>
      </c>
    </row>
    <row r="7997" customFormat="false" ht="15" hidden="false" customHeight="false" outlineLevel="0" collapsed="false">
      <c r="A7997" s="31" t="n">
        <v>43069.125</v>
      </c>
      <c r="B7997" s="32" t="n">
        <v>66.631</v>
      </c>
      <c r="D7997" s="33" t="n">
        <f aca="false">WEEKDAY(A7997,2)</f>
        <v>4</v>
      </c>
      <c r="E7997" s="33" t="n">
        <f aca="false">HOUR(A7997)+MINUTE(A7997)/60</f>
        <v>3</v>
      </c>
      <c r="F7997" s="33" t="n">
        <f aca="false">IF(OR(D7997&gt;5,E7997&lt;8,E7997&gt;=18,COUNTIF($K$2:$K$10,INT(A7997))&gt;0),1,0)</f>
        <v>1</v>
      </c>
      <c r="G7997" s="34" t="n">
        <f aca="false">B7997/1</f>
        <v>66.631</v>
      </c>
      <c r="H7997" s="34" t="n">
        <f aca="false">IF(F7997=1,G7997,"")</f>
        <v>66.631</v>
      </c>
    </row>
    <row r="7998" customFormat="false" ht="15" hidden="false" customHeight="false" outlineLevel="0" collapsed="false">
      <c r="A7998" s="31" t="n">
        <v>43069.1666666667</v>
      </c>
      <c r="B7998" s="32" t="n">
        <v>65.881</v>
      </c>
      <c r="D7998" s="33" t="n">
        <f aca="false">WEEKDAY(A7998,2)</f>
        <v>4</v>
      </c>
      <c r="E7998" s="33" t="n">
        <f aca="false">HOUR(A7998)+MINUTE(A7998)/60</f>
        <v>4</v>
      </c>
      <c r="F7998" s="33" t="n">
        <f aca="false">IF(OR(D7998&gt;5,E7998&lt;8,E7998&gt;=18,COUNTIF($K$2:$K$10,INT(A7998))&gt;0),1,0)</f>
        <v>1</v>
      </c>
      <c r="G7998" s="34" t="n">
        <f aca="false">B7998/1</f>
        <v>65.881</v>
      </c>
      <c r="H7998" s="34" t="n">
        <f aca="false">IF(F7998=1,G7998,"")</f>
        <v>65.881</v>
      </c>
    </row>
    <row r="7999" customFormat="false" ht="15" hidden="false" customHeight="false" outlineLevel="0" collapsed="false">
      <c r="A7999" s="31" t="n">
        <v>43069.2083333333</v>
      </c>
      <c r="B7999" s="32" t="n">
        <v>65.739</v>
      </c>
      <c r="D7999" s="33" t="n">
        <f aca="false">WEEKDAY(A7999,2)</f>
        <v>4</v>
      </c>
      <c r="E7999" s="33" t="n">
        <f aca="false">HOUR(A7999)+MINUTE(A7999)/60</f>
        <v>5</v>
      </c>
      <c r="F7999" s="33" t="n">
        <f aca="false">IF(OR(D7999&gt;5,E7999&lt;8,E7999&gt;=18,COUNTIF($K$2:$K$10,INT(A7999))&gt;0),1,0)</f>
        <v>1</v>
      </c>
      <c r="G7999" s="34" t="n">
        <f aca="false">B7999/1</f>
        <v>65.739</v>
      </c>
      <c r="H7999" s="34" t="n">
        <f aca="false">IF(F7999=1,G7999,"")</f>
        <v>65.739</v>
      </c>
    </row>
    <row r="8000" customFormat="false" ht="15" hidden="false" customHeight="false" outlineLevel="0" collapsed="false">
      <c r="A8000" s="31" t="n">
        <v>43069.25</v>
      </c>
      <c r="B8000" s="32" t="n">
        <v>67.461</v>
      </c>
      <c r="D8000" s="33" t="n">
        <f aca="false">WEEKDAY(A8000,2)</f>
        <v>4</v>
      </c>
      <c r="E8000" s="33" t="n">
        <f aca="false">HOUR(A8000)+MINUTE(A8000)/60</f>
        <v>6</v>
      </c>
      <c r="F8000" s="33" t="n">
        <f aca="false">IF(OR(D8000&gt;5,E8000&lt;8,E8000&gt;=18,COUNTIF($K$2:$K$10,INT(A8000))&gt;0),1,0)</f>
        <v>1</v>
      </c>
      <c r="G8000" s="34" t="n">
        <f aca="false">B8000/1</f>
        <v>67.461</v>
      </c>
      <c r="H8000" s="34" t="n">
        <f aca="false">IF(F8000=1,G8000,"")</f>
        <v>67.461</v>
      </c>
    </row>
    <row r="8001" customFormat="false" ht="15" hidden="false" customHeight="false" outlineLevel="0" collapsed="false">
      <c r="A8001" s="31" t="n">
        <v>43069.2916666667</v>
      </c>
      <c r="B8001" s="32" t="n">
        <v>73.633</v>
      </c>
      <c r="D8001" s="33" t="n">
        <f aca="false">WEEKDAY(A8001,2)</f>
        <v>4</v>
      </c>
      <c r="E8001" s="33" t="n">
        <f aca="false">HOUR(A8001)+MINUTE(A8001)/60</f>
        <v>7</v>
      </c>
      <c r="F8001" s="33" t="n">
        <f aca="false">IF(OR(D8001&gt;5,E8001&lt;8,E8001&gt;=18,COUNTIF($K$2:$K$10,INT(A8001))&gt;0),1,0)</f>
        <v>1</v>
      </c>
      <c r="G8001" s="34" t="n">
        <f aca="false">B8001/1</f>
        <v>73.633</v>
      </c>
      <c r="H8001" s="34" t="n">
        <f aca="false">IF(F8001=1,G8001,"")</f>
        <v>73.633</v>
      </c>
    </row>
    <row r="8002" customFormat="false" ht="15" hidden="false" customHeight="false" outlineLevel="0" collapsed="false">
      <c r="A8002" s="31" t="n">
        <v>43069.3333333333</v>
      </c>
      <c r="B8002" s="32" t="n">
        <v>175.543</v>
      </c>
      <c r="D8002" s="33" t="n">
        <f aca="false">WEEKDAY(A8002,2)</f>
        <v>4</v>
      </c>
      <c r="E8002" s="33" t="n">
        <f aca="false">HOUR(A8002)+MINUTE(A8002)/60</f>
        <v>8</v>
      </c>
      <c r="F8002" s="33" t="n">
        <f aca="false">IF(OR(D8002&gt;5,E8002&lt;8,E8002&gt;=18,COUNTIF($K$2:$K$10,INT(A8002))&gt;0),1,0)</f>
        <v>0</v>
      </c>
      <c r="G8002" s="34" t="n">
        <f aca="false">B8002/1</f>
        <v>175.543</v>
      </c>
      <c r="H8002" s="34" t="str">
        <f aca="false">IF(F8002=1,G8002,"")</f>
        <v/>
      </c>
    </row>
    <row r="8003" customFormat="false" ht="15" hidden="false" customHeight="false" outlineLevel="0" collapsed="false">
      <c r="A8003" s="31" t="n">
        <v>43069.375</v>
      </c>
      <c r="B8003" s="32" t="n">
        <v>215.555</v>
      </c>
      <c r="D8003" s="33" t="n">
        <f aca="false">WEEKDAY(A8003,2)</f>
        <v>4</v>
      </c>
      <c r="E8003" s="33" t="n">
        <f aca="false">HOUR(A8003)+MINUTE(A8003)/60</f>
        <v>9</v>
      </c>
      <c r="F8003" s="33" t="n">
        <f aca="false">IF(OR(D8003&gt;5,E8003&lt;8,E8003&gt;=18,COUNTIF($K$2:$K$10,INT(A8003))&gt;0),1,0)</f>
        <v>0</v>
      </c>
      <c r="G8003" s="34" t="n">
        <f aca="false">B8003/1</f>
        <v>215.555</v>
      </c>
      <c r="H8003" s="34" t="str">
        <f aca="false">IF(F8003=1,G8003,"")</f>
        <v/>
      </c>
    </row>
    <row r="8004" customFormat="false" ht="15" hidden="false" customHeight="false" outlineLevel="0" collapsed="false">
      <c r="A8004" s="31" t="n">
        <v>43069.4166666667</v>
      </c>
      <c r="B8004" s="32" t="n">
        <v>236.941</v>
      </c>
      <c r="D8004" s="33" t="n">
        <f aca="false">WEEKDAY(A8004,2)</f>
        <v>4</v>
      </c>
      <c r="E8004" s="33" t="n">
        <f aca="false">HOUR(A8004)+MINUTE(A8004)/60</f>
        <v>10</v>
      </c>
      <c r="F8004" s="33" t="n">
        <f aca="false">IF(OR(D8004&gt;5,E8004&lt;8,E8004&gt;=18,COUNTIF($K$2:$K$10,INT(A8004))&gt;0),1,0)</f>
        <v>0</v>
      </c>
      <c r="G8004" s="34" t="n">
        <f aca="false">B8004/1</f>
        <v>236.941</v>
      </c>
      <c r="H8004" s="34" t="str">
        <f aca="false">IF(F8004=1,G8004,"")</f>
        <v/>
      </c>
    </row>
    <row r="8005" customFormat="false" ht="15" hidden="false" customHeight="false" outlineLevel="0" collapsed="false">
      <c r="A8005" s="31" t="n">
        <v>43069.4583333333</v>
      </c>
      <c r="B8005" s="32" t="n">
        <v>271.498</v>
      </c>
      <c r="D8005" s="33" t="n">
        <f aca="false">WEEKDAY(A8005,2)</f>
        <v>4</v>
      </c>
      <c r="E8005" s="33" t="n">
        <f aca="false">HOUR(A8005)+MINUTE(A8005)/60</f>
        <v>11</v>
      </c>
      <c r="F8005" s="33" t="n">
        <f aca="false">IF(OR(D8005&gt;5,E8005&lt;8,E8005&gt;=18,COUNTIF($K$2:$K$10,INT(A8005))&gt;0),1,0)</f>
        <v>0</v>
      </c>
      <c r="G8005" s="34" t="n">
        <f aca="false">B8005/1</f>
        <v>271.498</v>
      </c>
      <c r="H8005" s="34" t="str">
        <f aca="false">IF(F8005=1,G8005,"")</f>
        <v/>
      </c>
    </row>
    <row r="8006" customFormat="false" ht="15" hidden="false" customHeight="false" outlineLevel="0" collapsed="false">
      <c r="A8006" s="31" t="n">
        <v>43069.5</v>
      </c>
      <c r="B8006" s="32" t="n">
        <v>286.026</v>
      </c>
      <c r="D8006" s="33" t="n">
        <f aca="false">WEEKDAY(A8006,2)</f>
        <v>4</v>
      </c>
      <c r="E8006" s="33" t="n">
        <f aca="false">HOUR(A8006)+MINUTE(A8006)/60</f>
        <v>12</v>
      </c>
      <c r="F8006" s="33" t="n">
        <f aca="false">IF(OR(D8006&gt;5,E8006&lt;8,E8006&gt;=18,COUNTIF($K$2:$K$10,INT(A8006))&gt;0),1,0)</f>
        <v>0</v>
      </c>
      <c r="G8006" s="34" t="n">
        <f aca="false">B8006/1</f>
        <v>286.026</v>
      </c>
      <c r="H8006" s="34" t="str">
        <f aca="false">IF(F8006=1,G8006,"")</f>
        <v/>
      </c>
    </row>
    <row r="8007" customFormat="false" ht="15" hidden="false" customHeight="false" outlineLevel="0" collapsed="false">
      <c r="A8007" s="31" t="n">
        <v>43069.5416666667</v>
      </c>
      <c r="B8007" s="32" t="n">
        <v>271.804</v>
      </c>
      <c r="D8007" s="33" t="n">
        <f aca="false">WEEKDAY(A8007,2)</f>
        <v>4</v>
      </c>
      <c r="E8007" s="33" t="n">
        <f aca="false">HOUR(A8007)+MINUTE(A8007)/60</f>
        <v>13</v>
      </c>
      <c r="F8007" s="33" t="n">
        <f aca="false">IF(OR(D8007&gt;5,E8007&lt;8,E8007&gt;=18,COUNTIF($K$2:$K$10,INT(A8007))&gt;0),1,0)</f>
        <v>0</v>
      </c>
      <c r="G8007" s="34" t="n">
        <f aca="false">B8007/1</f>
        <v>271.804</v>
      </c>
      <c r="H8007" s="34" t="str">
        <f aca="false">IF(F8007=1,G8007,"")</f>
        <v/>
      </c>
    </row>
    <row r="8008" customFormat="false" ht="15" hidden="false" customHeight="false" outlineLevel="0" collapsed="false">
      <c r="A8008" s="31" t="n">
        <v>43069.5833333333</v>
      </c>
      <c r="B8008" s="32" t="n">
        <v>287.948</v>
      </c>
      <c r="D8008" s="33" t="n">
        <f aca="false">WEEKDAY(A8008,2)</f>
        <v>4</v>
      </c>
      <c r="E8008" s="33" t="n">
        <f aca="false">HOUR(A8008)+MINUTE(A8008)/60</f>
        <v>14</v>
      </c>
      <c r="F8008" s="33" t="n">
        <f aca="false">IF(OR(D8008&gt;5,E8008&lt;8,E8008&gt;=18,COUNTIF($K$2:$K$10,INT(A8008))&gt;0),1,0)</f>
        <v>0</v>
      </c>
      <c r="G8008" s="34" t="n">
        <f aca="false">B8008/1</f>
        <v>287.948</v>
      </c>
      <c r="H8008" s="34" t="str">
        <f aca="false">IF(F8008=1,G8008,"")</f>
        <v/>
      </c>
    </row>
    <row r="8009" customFormat="false" ht="15" hidden="false" customHeight="false" outlineLevel="0" collapsed="false">
      <c r="A8009" s="31" t="n">
        <v>43069.625</v>
      </c>
      <c r="B8009" s="32" t="n">
        <v>275.136</v>
      </c>
      <c r="D8009" s="33" t="n">
        <f aca="false">WEEKDAY(A8009,2)</f>
        <v>4</v>
      </c>
      <c r="E8009" s="33" t="n">
        <f aca="false">HOUR(A8009)+MINUTE(A8009)/60</f>
        <v>15</v>
      </c>
      <c r="F8009" s="33" t="n">
        <f aca="false">IF(OR(D8009&gt;5,E8009&lt;8,E8009&gt;=18,COUNTIF($K$2:$K$10,INT(A8009))&gt;0),1,0)</f>
        <v>0</v>
      </c>
      <c r="G8009" s="34" t="n">
        <f aca="false">B8009/1</f>
        <v>275.136</v>
      </c>
      <c r="H8009" s="34" t="str">
        <f aca="false">IF(F8009=1,G8009,"")</f>
        <v/>
      </c>
    </row>
    <row r="8010" customFormat="false" ht="15" hidden="false" customHeight="false" outlineLevel="0" collapsed="false">
      <c r="A8010" s="31" t="n">
        <v>43069.6666666667</v>
      </c>
      <c r="B8010" s="32" t="n">
        <v>262.596</v>
      </c>
      <c r="D8010" s="33" t="n">
        <f aca="false">WEEKDAY(A8010,2)</f>
        <v>4</v>
      </c>
      <c r="E8010" s="33" t="n">
        <f aca="false">HOUR(A8010)+MINUTE(A8010)/60</f>
        <v>16</v>
      </c>
      <c r="F8010" s="33" t="n">
        <f aca="false">IF(OR(D8010&gt;5,E8010&lt;8,E8010&gt;=18,COUNTIF($K$2:$K$10,INT(A8010))&gt;0),1,0)</f>
        <v>0</v>
      </c>
      <c r="G8010" s="34" t="n">
        <f aca="false">B8010/1</f>
        <v>262.596</v>
      </c>
      <c r="H8010" s="34" t="str">
        <f aca="false">IF(F8010=1,G8010,"")</f>
        <v/>
      </c>
    </row>
    <row r="8011" customFormat="false" ht="15" hidden="false" customHeight="false" outlineLevel="0" collapsed="false">
      <c r="A8011" s="31" t="n">
        <v>43069.7083333333</v>
      </c>
      <c r="B8011" s="32" t="n">
        <v>251.505</v>
      </c>
      <c r="D8011" s="33" t="n">
        <f aca="false">WEEKDAY(A8011,2)</f>
        <v>4</v>
      </c>
      <c r="E8011" s="33" t="n">
        <f aca="false">HOUR(A8011)+MINUTE(A8011)/60</f>
        <v>17</v>
      </c>
      <c r="F8011" s="33" t="n">
        <f aca="false">IF(OR(D8011&gt;5,E8011&lt;8,E8011&gt;=18,COUNTIF($K$2:$K$10,INT(A8011))&gt;0),1,0)</f>
        <v>0</v>
      </c>
      <c r="G8011" s="34" t="n">
        <f aca="false">B8011/1</f>
        <v>251.505</v>
      </c>
      <c r="H8011" s="34" t="str">
        <f aca="false">IF(F8011=1,G8011,"")</f>
        <v/>
      </c>
    </row>
    <row r="8012" customFormat="false" ht="15" hidden="false" customHeight="false" outlineLevel="0" collapsed="false">
      <c r="A8012" s="31" t="n">
        <v>43069.75</v>
      </c>
      <c r="B8012" s="32" t="n">
        <v>231.37</v>
      </c>
      <c r="D8012" s="33" t="n">
        <f aca="false">WEEKDAY(A8012,2)</f>
        <v>4</v>
      </c>
      <c r="E8012" s="33" t="n">
        <f aca="false">HOUR(A8012)+MINUTE(A8012)/60</f>
        <v>18</v>
      </c>
      <c r="F8012" s="33" t="n">
        <f aca="false">IF(OR(D8012&gt;5,E8012&lt;8,E8012&gt;=18,COUNTIF($K$2:$K$10,INT(A8012))&gt;0),1,0)</f>
        <v>1</v>
      </c>
      <c r="G8012" s="34" t="n">
        <f aca="false">B8012/1</f>
        <v>231.37</v>
      </c>
      <c r="H8012" s="34" t="n">
        <f aca="false">IF(F8012=1,G8012,"")</f>
        <v>231.37</v>
      </c>
    </row>
    <row r="8013" customFormat="false" ht="15" hidden="false" customHeight="false" outlineLevel="0" collapsed="false">
      <c r="A8013" s="31" t="n">
        <v>43069.7916666667</v>
      </c>
      <c r="B8013" s="32" t="n">
        <v>212.221</v>
      </c>
      <c r="D8013" s="33" t="n">
        <f aca="false">WEEKDAY(A8013,2)</f>
        <v>4</v>
      </c>
      <c r="E8013" s="33" t="n">
        <f aca="false">HOUR(A8013)+MINUTE(A8013)/60</f>
        <v>19</v>
      </c>
      <c r="F8013" s="33" t="n">
        <f aca="false">IF(OR(D8013&gt;5,E8013&lt;8,E8013&gt;=18,COUNTIF($K$2:$K$10,INT(A8013))&gt;0),1,0)</f>
        <v>1</v>
      </c>
      <c r="G8013" s="34" t="n">
        <f aca="false">B8013/1</f>
        <v>212.221</v>
      </c>
      <c r="H8013" s="34" t="n">
        <f aca="false">IF(F8013=1,G8013,"")</f>
        <v>212.221</v>
      </c>
    </row>
    <row r="8014" customFormat="false" ht="15" hidden="false" customHeight="false" outlineLevel="0" collapsed="false">
      <c r="A8014" s="31" t="n">
        <v>43069.8333333333</v>
      </c>
      <c r="B8014" s="32" t="n">
        <v>199.812</v>
      </c>
      <c r="D8014" s="33" t="n">
        <f aca="false">WEEKDAY(A8014,2)</f>
        <v>4</v>
      </c>
      <c r="E8014" s="33" t="n">
        <f aca="false">HOUR(A8014)+MINUTE(A8014)/60</f>
        <v>20</v>
      </c>
      <c r="F8014" s="33" t="n">
        <f aca="false">IF(OR(D8014&gt;5,E8014&lt;8,E8014&gt;=18,COUNTIF($K$2:$K$10,INT(A8014))&gt;0),1,0)</f>
        <v>1</v>
      </c>
      <c r="G8014" s="34" t="n">
        <f aca="false">B8014/1</f>
        <v>199.812</v>
      </c>
      <c r="H8014" s="34" t="n">
        <f aca="false">IF(F8014=1,G8014,"")</f>
        <v>199.812</v>
      </c>
    </row>
    <row r="8015" customFormat="false" ht="15" hidden="false" customHeight="false" outlineLevel="0" collapsed="false">
      <c r="A8015" s="31" t="n">
        <v>43069.875</v>
      </c>
      <c r="B8015" s="32" t="n">
        <v>191.997</v>
      </c>
      <c r="D8015" s="33" t="n">
        <f aca="false">WEEKDAY(A8015,2)</f>
        <v>4</v>
      </c>
      <c r="E8015" s="33" t="n">
        <f aca="false">HOUR(A8015)+MINUTE(A8015)/60</f>
        <v>21</v>
      </c>
      <c r="F8015" s="33" t="n">
        <f aca="false">IF(OR(D8015&gt;5,E8015&lt;8,E8015&gt;=18,COUNTIF($K$2:$K$10,INT(A8015))&gt;0),1,0)</f>
        <v>1</v>
      </c>
      <c r="G8015" s="34" t="n">
        <f aca="false">B8015/1</f>
        <v>191.997</v>
      </c>
      <c r="H8015" s="34" t="n">
        <f aca="false">IF(F8015=1,G8015,"")</f>
        <v>191.997</v>
      </c>
    </row>
    <row r="8016" customFormat="false" ht="15" hidden="false" customHeight="false" outlineLevel="0" collapsed="false">
      <c r="A8016" s="31" t="n">
        <v>43069.9166666667</v>
      </c>
      <c r="B8016" s="32" t="n">
        <v>141.052</v>
      </c>
      <c r="D8016" s="33" t="n">
        <f aca="false">WEEKDAY(A8016,2)</f>
        <v>4</v>
      </c>
      <c r="E8016" s="33" t="n">
        <f aca="false">HOUR(A8016)+MINUTE(A8016)/60</f>
        <v>22</v>
      </c>
      <c r="F8016" s="33" t="n">
        <f aca="false">IF(OR(D8016&gt;5,E8016&lt;8,E8016&gt;=18,COUNTIF($K$2:$K$10,INT(A8016))&gt;0),1,0)</f>
        <v>1</v>
      </c>
      <c r="G8016" s="34" t="n">
        <f aca="false">B8016/1</f>
        <v>141.052</v>
      </c>
      <c r="H8016" s="34" t="n">
        <f aca="false">IF(F8016=1,G8016,"")</f>
        <v>141.052</v>
      </c>
    </row>
    <row r="8017" customFormat="false" ht="15" hidden="false" customHeight="false" outlineLevel="0" collapsed="false">
      <c r="A8017" s="31" t="n">
        <v>43069.9583333333</v>
      </c>
      <c r="B8017" s="32" t="n">
        <v>76.692</v>
      </c>
      <c r="D8017" s="33" t="n">
        <f aca="false">WEEKDAY(A8017,2)</f>
        <v>4</v>
      </c>
      <c r="E8017" s="33" t="n">
        <f aca="false">HOUR(A8017)+MINUTE(A8017)/60</f>
        <v>23</v>
      </c>
      <c r="F8017" s="33" t="n">
        <f aca="false">IF(OR(D8017&gt;5,E8017&lt;8,E8017&gt;=18,COUNTIF($K$2:$K$10,INT(A8017))&gt;0),1,0)</f>
        <v>1</v>
      </c>
      <c r="G8017" s="34" t="n">
        <f aca="false">B8017/1</f>
        <v>76.692</v>
      </c>
      <c r="H8017" s="34" t="n">
        <f aca="false">IF(F8017=1,G8017,"")</f>
        <v>76.692</v>
      </c>
    </row>
    <row r="8018" customFormat="false" ht="15" hidden="false" customHeight="false" outlineLevel="0" collapsed="false">
      <c r="A8018" s="31" t="n">
        <v>43070</v>
      </c>
      <c r="B8018" s="32" t="n">
        <v>69.35</v>
      </c>
      <c r="D8018" s="33" t="n">
        <f aca="false">WEEKDAY(A8018,2)</f>
        <v>5</v>
      </c>
      <c r="E8018" s="33" t="n">
        <f aca="false">HOUR(A8018)+MINUTE(A8018)/60</f>
        <v>0</v>
      </c>
      <c r="F8018" s="33" t="n">
        <f aca="false">IF(OR(D8018&gt;5,E8018&lt;8,E8018&gt;=18,COUNTIF($K$2:$K$10,INT(A8018))&gt;0),1,0)</f>
        <v>1</v>
      </c>
      <c r="G8018" s="34" t="n">
        <f aca="false">B8018/1</f>
        <v>69.35</v>
      </c>
      <c r="H8018" s="34" t="n">
        <f aca="false">IF(F8018=1,G8018,"")</f>
        <v>69.35</v>
      </c>
    </row>
    <row r="8019" customFormat="false" ht="15" hidden="false" customHeight="false" outlineLevel="0" collapsed="false">
      <c r="A8019" s="31" t="n">
        <v>43070.0416666667</v>
      </c>
      <c r="B8019" s="32" t="n">
        <v>64.868</v>
      </c>
      <c r="D8019" s="33" t="n">
        <f aca="false">WEEKDAY(A8019,2)</f>
        <v>5</v>
      </c>
      <c r="E8019" s="33" t="n">
        <f aca="false">HOUR(A8019)+MINUTE(A8019)/60</f>
        <v>1</v>
      </c>
      <c r="F8019" s="33" t="n">
        <f aca="false">IF(OR(D8019&gt;5,E8019&lt;8,E8019&gt;=18,COUNTIF($K$2:$K$10,INT(A8019))&gt;0),1,0)</f>
        <v>1</v>
      </c>
      <c r="G8019" s="34" t="n">
        <f aca="false">B8019/1</f>
        <v>64.868</v>
      </c>
      <c r="H8019" s="34" t="n">
        <f aca="false">IF(F8019=1,G8019,"")</f>
        <v>64.868</v>
      </c>
    </row>
    <row r="8020" customFormat="false" ht="15" hidden="false" customHeight="false" outlineLevel="0" collapsed="false">
      <c r="A8020" s="31" t="n">
        <v>43070.0833333333</v>
      </c>
      <c r="B8020" s="32" t="n">
        <v>64.26</v>
      </c>
      <c r="D8020" s="33" t="n">
        <f aca="false">WEEKDAY(A8020,2)</f>
        <v>5</v>
      </c>
      <c r="E8020" s="33" t="n">
        <f aca="false">HOUR(A8020)+MINUTE(A8020)/60</f>
        <v>2</v>
      </c>
      <c r="F8020" s="33" t="n">
        <f aca="false">IF(OR(D8020&gt;5,E8020&lt;8,E8020&gt;=18,COUNTIF($K$2:$K$10,INT(A8020))&gt;0),1,0)</f>
        <v>1</v>
      </c>
      <c r="G8020" s="34" t="n">
        <f aca="false">B8020/1</f>
        <v>64.26</v>
      </c>
      <c r="H8020" s="34" t="n">
        <f aca="false">IF(F8020=1,G8020,"")</f>
        <v>64.26</v>
      </c>
    </row>
    <row r="8021" customFormat="false" ht="15" hidden="false" customHeight="false" outlineLevel="0" collapsed="false">
      <c r="A8021" s="31" t="n">
        <v>43070.125</v>
      </c>
      <c r="B8021" s="32" t="n">
        <v>64.64</v>
      </c>
      <c r="D8021" s="33" t="n">
        <f aca="false">WEEKDAY(A8021,2)</f>
        <v>5</v>
      </c>
      <c r="E8021" s="33" t="n">
        <f aca="false">HOUR(A8021)+MINUTE(A8021)/60</f>
        <v>3</v>
      </c>
      <c r="F8021" s="33" t="n">
        <f aca="false">IF(OR(D8021&gt;5,E8021&lt;8,E8021&gt;=18,COUNTIF($K$2:$K$10,INT(A8021))&gt;0),1,0)</f>
        <v>1</v>
      </c>
      <c r="G8021" s="34" t="n">
        <f aca="false">B8021/1</f>
        <v>64.64</v>
      </c>
      <c r="H8021" s="34" t="n">
        <f aca="false">IF(F8021=1,G8021,"")</f>
        <v>64.64</v>
      </c>
    </row>
    <row r="8022" customFormat="false" ht="15" hidden="false" customHeight="false" outlineLevel="0" collapsed="false">
      <c r="A8022" s="31" t="n">
        <v>43070.1666666667</v>
      </c>
      <c r="B8022" s="32" t="n">
        <v>64.57</v>
      </c>
      <c r="D8022" s="33" t="n">
        <f aca="false">WEEKDAY(A8022,2)</f>
        <v>5</v>
      </c>
      <c r="E8022" s="33" t="n">
        <f aca="false">HOUR(A8022)+MINUTE(A8022)/60</f>
        <v>4</v>
      </c>
      <c r="F8022" s="33" t="n">
        <f aca="false">IF(OR(D8022&gt;5,E8022&lt;8,E8022&gt;=18,COUNTIF($K$2:$K$10,INT(A8022))&gt;0),1,0)</f>
        <v>1</v>
      </c>
      <c r="G8022" s="34" t="n">
        <f aca="false">B8022/1</f>
        <v>64.57</v>
      </c>
      <c r="H8022" s="34" t="n">
        <f aca="false">IF(F8022=1,G8022,"")</f>
        <v>64.57</v>
      </c>
    </row>
    <row r="8023" customFormat="false" ht="15" hidden="false" customHeight="false" outlineLevel="0" collapsed="false">
      <c r="A8023" s="31" t="n">
        <v>43070.2083333333</v>
      </c>
      <c r="B8023" s="32" t="n">
        <v>64.098</v>
      </c>
      <c r="D8023" s="33" t="n">
        <f aca="false">WEEKDAY(A8023,2)</f>
        <v>5</v>
      </c>
      <c r="E8023" s="33" t="n">
        <f aca="false">HOUR(A8023)+MINUTE(A8023)/60</f>
        <v>5</v>
      </c>
      <c r="F8023" s="33" t="n">
        <f aca="false">IF(OR(D8023&gt;5,E8023&lt;8,E8023&gt;=18,COUNTIF($K$2:$K$10,INT(A8023))&gt;0),1,0)</f>
        <v>1</v>
      </c>
      <c r="G8023" s="34" t="n">
        <f aca="false">B8023/1</f>
        <v>64.098</v>
      </c>
      <c r="H8023" s="34" t="n">
        <f aca="false">IF(F8023=1,G8023,"")</f>
        <v>64.098</v>
      </c>
    </row>
    <row r="8024" customFormat="false" ht="15" hidden="false" customHeight="false" outlineLevel="0" collapsed="false">
      <c r="A8024" s="31" t="n">
        <v>43070.25</v>
      </c>
      <c r="B8024" s="32" t="n">
        <v>65.832</v>
      </c>
      <c r="D8024" s="33" t="n">
        <f aca="false">WEEKDAY(A8024,2)</f>
        <v>5</v>
      </c>
      <c r="E8024" s="33" t="n">
        <f aca="false">HOUR(A8024)+MINUTE(A8024)/60</f>
        <v>6</v>
      </c>
      <c r="F8024" s="33" t="n">
        <f aca="false">IF(OR(D8024&gt;5,E8024&lt;8,E8024&gt;=18,COUNTIF($K$2:$K$10,INT(A8024))&gt;0),1,0)</f>
        <v>1</v>
      </c>
      <c r="G8024" s="34" t="n">
        <f aca="false">B8024/1</f>
        <v>65.832</v>
      </c>
      <c r="H8024" s="34" t="n">
        <f aca="false">IF(F8024=1,G8024,"")</f>
        <v>65.832</v>
      </c>
    </row>
    <row r="8025" customFormat="false" ht="15" hidden="false" customHeight="false" outlineLevel="0" collapsed="false">
      <c r="A8025" s="31" t="n">
        <v>43070.2916666667</v>
      </c>
      <c r="B8025" s="32" t="n">
        <v>69.987</v>
      </c>
      <c r="D8025" s="33" t="n">
        <f aca="false">WEEKDAY(A8025,2)</f>
        <v>5</v>
      </c>
      <c r="E8025" s="33" t="n">
        <f aca="false">HOUR(A8025)+MINUTE(A8025)/60</f>
        <v>7</v>
      </c>
      <c r="F8025" s="33" t="n">
        <f aca="false">IF(OR(D8025&gt;5,E8025&lt;8,E8025&gt;=18,COUNTIF($K$2:$K$10,INT(A8025))&gt;0),1,0)</f>
        <v>1</v>
      </c>
      <c r="G8025" s="34" t="n">
        <f aca="false">B8025/1</f>
        <v>69.987</v>
      </c>
      <c r="H8025" s="34" t="n">
        <f aca="false">IF(F8025=1,G8025,"")</f>
        <v>69.987</v>
      </c>
    </row>
    <row r="8026" customFormat="false" ht="15" hidden="false" customHeight="false" outlineLevel="0" collapsed="false">
      <c r="A8026" s="31" t="n">
        <v>43070.3333333333</v>
      </c>
      <c r="B8026" s="32" t="n">
        <v>168.367</v>
      </c>
      <c r="D8026" s="33" t="n">
        <f aca="false">WEEKDAY(A8026,2)</f>
        <v>5</v>
      </c>
      <c r="E8026" s="33" t="n">
        <f aca="false">HOUR(A8026)+MINUTE(A8026)/60</f>
        <v>8</v>
      </c>
      <c r="F8026" s="33" t="n">
        <f aca="false">IF(OR(D8026&gt;5,E8026&lt;8,E8026&gt;=18,COUNTIF($K$2:$K$10,INT(A8026))&gt;0),1,0)</f>
        <v>0</v>
      </c>
      <c r="G8026" s="34" t="n">
        <f aca="false">B8026/1</f>
        <v>168.367</v>
      </c>
      <c r="H8026" s="34" t="str">
        <f aca="false">IF(F8026=1,G8026,"")</f>
        <v/>
      </c>
    </row>
    <row r="8027" customFormat="false" ht="15" hidden="false" customHeight="false" outlineLevel="0" collapsed="false">
      <c r="A8027" s="31" t="n">
        <v>43070.375</v>
      </c>
      <c r="B8027" s="32" t="n">
        <v>208.866</v>
      </c>
      <c r="D8027" s="33" t="n">
        <f aca="false">WEEKDAY(A8027,2)</f>
        <v>5</v>
      </c>
      <c r="E8027" s="33" t="n">
        <f aca="false">HOUR(A8027)+MINUTE(A8027)/60</f>
        <v>9</v>
      </c>
      <c r="F8027" s="33" t="n">
        <f aca="false">IF(OR(D8027&gt;5,E8027&lt;8,E8027&gt;=18,COUNTIF($K$2:$K$10,INT(A8027))&gt;0),1,0)</f>
        <v>0</v>
      </c>
      <c r="G8027" s="34" t="n">
        <f aca="false">B8027/1</f>
        <v>208.866</v>
      </c>
      <c r="H8027" s="34" t="str">
        <f aca="false">IF(F8027=1,G8027,"")</f>
        <v/>
      </c>
    </row>
    <row r="8028" customFormat="false" ht="15" hidden="false" customHeight="false" outlineLevel="0" collapsed="false">
      <c r="A8028" s="31" t="n">
        <v>43070.4166666667</v>
      </c>
      <c r="B8028" s="32" t="n">
        <v>228.395</v>
      </c>
      <c r="D8028" s="33" t="n">
        <f aca="false">WEEKDAY(A8028,2)</f>
        <v>5</v>
      </c>
      <c r="E8028" s="33" t="n">
        <f aca="false">HOUR(A8028)+MINUTE(A8028)/60</f>
        <v>10</v>
      </c>
      <c r="F8028" s="33" t="n">
        <f aca="false">IF(OR(D8028&gt;5,E8028&lt;8,E8028&gt;=18,COUNTIF($K$2:$K$10,INT(A8028))&gt;0),1,0)</f>
        <v>0</v>
      </c>
      <c r="G8028" s="34" t="n">
        <f aca="false">B8028/1</f>
        <v>228.395</v>
      </c>
      <c r="H8028" s="34" t="str">
        <f aca="false">IF(F8028=1,G8028,"")</f>
        <v/>
      </c>
    </row>
    <row r="8029" customFormat="false" ht="15" hidden="false" customHeight="false" outlineLevel="0" collapsed="false">
      <c r="A8029" s="31" t="n">
        <v>43070.4583333333</v>
      </c>
      <c r="B8029" s="32" t="n">
        <v>238.432</v>
      </c>
      <c r="D8029" s="33" t="n">
        <f aca="false">WEEKDAY(A8029,2)</f>
        <v>5</v>
      </c>
      <c r="E8029" s="33" t="n">
        <f aca="false">HOUR(A8029)+MINUTE(A8029)/60</f>
        <v>11</v>
      </c>
      <c r="F8029" s="33" t="n">
        <f aca="false">IF(OR(D8029&gt;5,E8029&lt;8,E8029&gt;=18,COUNTIF($K$2:$K$10,INT(A8029))&gt;0),1,0)</f>
        <v>0</v>
      </c>
      <c r="G8029" s="34" t="n">
        <f aca="false">B8029/1</f>
        <v>238.432</v>
      </c>
      <c r="H8029" s="34" t="str">
        <f aca="false">IF(F8029=1,G8029,"")</f>
        <v/>
      </c>
    </row>
    <row r="8030" customFormat="false" ht="15" hidden="false" customHeight="false" outlineLevel="0" collapsed="false">
      <c r="A8030" s="31" t="n">
        <v>43070.5</v>
      </c>
      <c r="B8030" s="32" t="n">
        <v>241.59</v>
      </c>
      <c r="D8030" s="33" t="n">
        <f aca="false">WEEKDAY(A8030,2)</f>
        <v>5</v>
      </c>
      <c r="E8030" s="33" t="n">
        <f aca="false">HOUR(A8030)+MINUTE(A8030)/60</f>
        <v>12</v>
      </c>
      <c r="F8030" s="33" t="n">
        <f aca="false">IF(OR(D8030&gt;5,E8030&lt;8,E8030&gt;=18,COUNTIF($K$2:$K$10,INT(A8030))&gt;0),1,0)</f>
        <v>0</v>
      </c>
      <c r="G8030" s="34" t="n">
        <f aca="false">B8030/1</f>
        <v>241.59</v>
      </c>
      <c r="H8030" s="34" t="str">
        <f aca="false">IF(F8030=1,G8030,"")</f>
        <v/>
      </c>
    </row>
    <row r="8031" customFormat="false" ht="15" hidden="false" customHeight="false" outlineLevel="0" collapsed="false">
      <c r="A8031" s="31" t="n">
        <v>43070.5416666667</v>
      </c>
      <c r="B8031" s="32" t="n">
        <v>248.121</v>
      </c>
      <c r="D8031" s="33" t="n">
        <f aca="false">WEEKDAY(A8031,2)</f>
        <v>5</v>
      </c>
      <c r="E8031" s="33" t="n">
        <f aca="false">HOUR(A8031)+MINUTE(A8031)/60</f>
        <v>13</v>
      </c>
      <c r="F8031" s="33" t="n">
        <f aca="false">IF(OR(D8031&gt;5,E8031&lt;8,E8031&gt;=18,COUNTIF($K$2:$K$10,INT(A8031))&gt;0),1,0)</f>
        <v>0</v>
      </c>
      <c r="G8031" s="34" t="n">
        <f aca="false">B8031/1</f>
        <v>248.121</v>
      </c>
      <c r="H8031" s="34" t="str">
        <f aca="false">IF(F8031=1,G8031,"")</f>
        <v/>
      </c>
    </row>
    <row r="8032" customFormat="false" ht="15" hidden="false" customHeight="false" outlineLevel="0" collapsed="false">
      <c r="A8032" s="31" t="n">
        <v>43070.5833333333</v>
      </c>
      <c r="B8032" s="32" t="n">
        <v>241.283</v>
      </c>
      <c r="D8032" s="33" t="n">
        <f aca="false">WEEKDAY(A8032,2)</f>
        <v>5</v>
      </c>
      <c r="E8032" s="33" t="n">
        <f aca="false">HOUR(A8032)+MINUTE(A8032)/60</f>
        <v>14</v>
      </c>
      <c r="F8032" s="33" t="n">
        <f aca="false">IF(OR(D8032&gt;5,E8032&lt;8,E8032&gt;=18,COUNTIF($K$2:$K$10,INT(A8032))&gt;0),1,0)</f>
        <v>0</v>
      </c>
      <c r="G8032" s="34" t="n">
        <f aca="false">B8032/1</f>
        <v>241.283</v>
      </c>
      <c r="H8032" s="34" t="str">
        <f aca="false">IF(F8032=1,G8032,"")</f>
        <v/>
      </c>
    </row>
    <row r="8033" customFormat="false" ht="15" hidden="false" customHeight="false" outlineLevel="0" collapsed="false">
      <c r="A8033" s="31" t="n">
        <v>43070.625</v>
      </c>
      <c r="B8033" s="32" t="n">
        <v>239.872</v>
      </c>
      <c r="D8033" s="33" t="n">
        <f aca="false">WEEKDAY(A8033,2)</f>
        <v>5</v>
      </c>
      <c r="E8033" s="33" t="n">
        <f aca="false">HOUR(A8033)+MINUTE(A8033)/60</f>
        <v>15</v>
      </c>
      <c r="F8033" s="33" t="n">
        <f aca="false">IF(OR(D8033&gt;5,E8033&lt;8,E8033&gt;=18,COUNTIF($K$2:$K$10,INT(A8033))&gt;0),1,0)</f>
        <v>0</v>
      </c>
      <c r="G8033" s="34" t="n">
        <f aca="false">B8033/1</f>
        <v>239.872</v>
      </c>
      <c r="H8033" s="34" t="str">
        <f aca="false">IF(F8033=1,G8033,"")</f>
        <v/>
      </c>
    </row>
    <row r="8034" customFormat="false" ht="15" hidden="false" customHeight="false" outlineLevel="0" collapsed="false">
      <c r="A8034" s="31" t="n">
        <v>43070.6666666667</v>
      </c>
      <c r="B8034" s="32" t="n">
        <v>225.142</v>
      </c>
      <c r="D8034" s="33" t="n">
        <f aca="false">WEEKDAY(A8034,2)</f>
        <v>5</v>
      </c>
      <c r="E8034" s="33" t="n">
        <f aca="false">HOUR(A8034)+MINUTE(A8034)/60</f>
        <v>16</v>
      </c>
      <c r="F8034" s="33" t="n">
        <f aca="false">IF(OR(D8034&gt;5,E8034&lt;8,E8034&gt;=18,COUNTIF($K$2:$K$10,INT(A8034))&gt;0),1,0)</f>
        <v>0</v>
      </c>
      <c r="G8034" s="34" t="n">
        <f aca="false">B8034/1</f>
        <v>225.142</v>
      </c>
      <c r="H8034" s="34" t="str">
        <f aca="false">IF(F8034=1,G8034,"")</f>
        <v/>
      </c>
    </row>
    <row r="8035" customFormat="false" ht="15" hidden="false" customHeight="false" outlineLevel="0" collapsed="false">
      <c r="A8035" s="31" t="n">
        <v>43070.7083333333</v>
      </c>
      <c r="B8035" s="32" t="n">
        <v>217.476</v>
      </c>
      <c r="D8035" s="33" t="n">
        <f aca="false">WEEKDAY(A8035,2)</f>
        <v>5</v>
      </c>
      <c r="E8035" s="33" t="n">
        <f aca="false">HOUR(A8035)+MINUTE(A8035)/60</f>
        <v>17</v>
      </c>
      <c r="F8035" s="33" t="n">
        <f aca="false">IF(OR(D8035&gt;5,E8035&lt;8,E8035&gt;=18,COUNTIF($K$2:$K$10,INT(A8035))&gt;0),1,0)</f>
        <v>0</v>
      </c>
      <c r="G8035" s="34" t="n">
        <f aca="false">B8035/1</f>
        <v>217.476</v>
      </c>
      <c r="H8035" s="34" t="str">
        <f aca="false">IF(F8035=1,G8035,"")</f>
        <v/>
      </c>
    </row>
    <row r="8036" customFormat="false" ht="15" hidden="false" customHeight="false" outlineLevel="0" collapsed="false">
      <c r="A8036" s="31" t="n">
        <v>43070.75</v>
      </c>
      <c r="B8036" s="32" t="n">
        <v>199.096</v>
      </c>
      <c r="D8036" s="33" t="n">
        <f aca="false">WEEKDAY(A8036,2)</f>
        <v>5</v>
      </c>
      <c r="E8036" s="33" t="n">
        <f aca="false">HOUR(A8036)+MINUTE(A8036)/60</f>
        <v>18</v>
      </c>
      <c r="F8036" s="33" t="n">
        <f aca="false">IF(OR(D8036&gt;5,E8036&lt;8,E8036&gt;=18,COUNTIF($K$2:$K$10,INT(A8036))&gt;0),1,0)</f>
        <v>1</v>
      </c>
      <c r="G8036" s="34" t="n">
        <f aca="false">B8036/1</f>
        <v>199.096</v>
      </c>
      <c r="H8036" s="34" t="n">
        <f aca="false">IF(F8036=1,G8036,"")</f>
        <v>199.096</v>
      </c>
    </row>
    <row r="8037" customFormat="false" ht="15" hidden="false" customHeight="false" outlineLevel="0" collapsed="false">
      <c r="A8037" s="31" t="n">
        <v>43070.7916666667</v>
      </c>
      <c r="B8037" s="32" t="n">
        <v>191.477</v>
      </c>
      <c r="D8037" s="33" t="n">
        <f aca="false">WEEKDAY(A8037,2)</f>
        <v>5</v>
      </c>
      <c r="E8037" s="33" t="n">
        <f aca="false">HOUR(A8037)+MINUTE(A8037)/60</f>
        <v>19</v>
      </c>
      <c r="F8037" s="33" t="n">
        <f aca="false">IF(OR(D8037&gt;5,E8037&lt;8,E8037&gt;=18,COUNTIF($K$2:$K$10,INT(A8037))&gt;0),1,0)</f>
        <v>1</v>
      </c>
      <c r="G8037" s="34" t="n">
        <f aca="false">B8037/1</f>
        <v>191.477</v>
      </c>
      <c r="H8037" s="34" t="n">
        <f aca="false">IF(F8037=1,G8037,"")</f>
        <v>191.477</v>
      </c>
    </row>
    <row r="8038" customFormat="false" ht="15" hidden="false" customHeight="false" outlineLevel="0" collapsed="false">
      <c r="A8038" s="31" t="n">
        <v>43070.8333333333</v>
      </c>
      <c r="B8038" s="32" t="n">
        <v>185.283</v>
      </c>
      <c r="D8038" s="33" t="n">
        <f aca="false">WEEKDAY(A8038,2)</f>
        <v>5</v>
      </c>
      <c r="E8038" s="33" t="n">
        <f aca="false">HOUR(A8038)+MINUTE(A8038)/60</f>
        <v>20</v>
      </c>
      <c r="F8038" s="33" t="n">
        <f aca="false">IF(OR(D8038&gt;5,E8038&lt;8,E8038&gt;=18,COUNTIF($K$2:$K$10,INT(A8038))&gt;0),1,0)</f>
        <v>1</v>
      </c>
      <c r="G8038" s="34" t="n">
        <f aca="false">B8038/1</f>
        <v>185.283</v>
      </c>
      <c r="H8038" s="34" t="n">
        <f aca="false">IF(F8038=1,G8038,"")</f>
        <v>185.283</v>
      </c>
    </row>
    <row r="8039" customFormat="false" ht="15" hidden="false" customHeight="false" outlineLevel="0" collapsed="false">
      <c r="A8039" s="31" t="n">
        <v>43070.875</v>
      </c>
      <c r="B8039" s="32" t="n">
        <v>180.269</v>
      </c>
      <c r="D8039" s="33" t="n">
        <f aca="false">WEEKDAY(A8039,2)</f>
        <v>5</v>
      </c>
      <c r="E8039" s="33" t="n">
        <f aca="false">HOUR(A8039)+MINUTE(A8039)/60</f>
        <v>21</v>
      </c>
      <c r="F8039" s="33" t="n">
        <f aca="false">IF(OR(D8039&gt;5,E8039&lt;8,E8039&gt;=18,COUNTIF($K$2:$K$10,INT(A8039))&gt;0),1,0)</f>
        <v>1</v>
      </c>
      <c r="G8039" s="34" t="n">
        <f aca="false">B8039/1</f>
        <v>180.269</v>
      </c>
      <c r="H8039" s="34" t="n">
        <f aca="false">IF(F8039=1,G8039,"")</f>
        <v>180.269</v>
      </c>
    </row>
    <row r="8040" customFormat="false" ht="15" hidden="false" customHeight="false" outlineLevel="0" collapsed="false">
      <c r="A8040" s="31" t="n">
        <v>43070.9166666667</v>
      </c>
      <c r="B8040" s="32" t="n">
        <v>128.285</v>
      </c>
      <c r="D8040" s="33" t="n">
        <f aca="false">WEEKDAY(A8040,2)</f>
        <v>5</v>
      </c>
      <c r="E8040" s="33" t="n">
        <f aca="false">HOUR(A8040)+MINUTE(A8040)/60</f>
        <v>22</v>
      </c>
      <c r="F8040" s="33" t="n">
        <f aca="false">IF(OR(D8040&gt;5,E8040&lt;8,E8040&gt;=18,COUNTIF($K$2:$K$10,INT(A8040))&gt;0),1,0)</f>
        <v>1</v>
      </c>
      <c r="G8040" s="34" t="n">
        <f aca="false">B8040/1</f>
        <v>128.285</v>
      </c>
      <c r="H8040" s="34" t="n">
        <f aca="false">IF(F8040=1,G8040,"")</f>
        <v>128.285</v>
      </c>
    </row>
    <row r="8041" customFormat="false" ht="15" hidden="false" customHeight="false" outlineLevel="0" collapsed="false">
      <c r="A8041" s="31" t="n">
        <v>43070.9583333333</v>
      </c>
      <c r="B8041" s="32" t="n">
        <v>69.463</v>
      </c>
      <c r="D8041" s="33" t="n">
        <f aca="false">WEEKDAY(A8041,2)</f>
        <v>5</v>
      </c>
      <c r="E8041" s="33" t="n">
        <f aca="false">HOUR(A8041)+MINUTE(A8041)/60</f>
        <v>23</v>
      </c>
      <c r="F8041" s="33" t="n">
        <f aca="false">IF(OR(D8041&gt;5,E8041&lt;8,E8041&gt;=18,COUNTIF($K$2:$K$10,INT(A8041))&gt;0),1,0)</f>
        <v>1</v>
      </c>
      <c r="G8041" s="34" t="n">
        <f aca="false">B8041/1</f>
        <v>69.463</v>
      </c>
      <c r="H8041" s="34" t="n">
        <f aca="false">IF(F8041=1,G8041,"")</f>
        <v>69.463</v>
      </c>
    </row>
    <row r="8042" customFormat="false" ht="15" hidden="false" customHeight="false" outlineLevel="0" collapsed="false">
      <c r="A8042" s="31" t="n">
        <v>43071</v>
      </c>
      <c r="B8042" s="32" t="n">
        <v>69.497</v>
      </c>
      <c r="D8042" s="33" t="n">
        <f aca="false">WEEKDAY(A8042,2)</f>
        <v>6</v>
      </c>
      <c r="E8042" s="33" t="n">
        <f aca="false">HOUR(A8042)+MINUTE(A8042)/60</f>
        <v>0</v>
      </c>
      <c r="F8042" s="33" t="n">
        <f aca="false">IF(OR(D8042&gt;5,E8042&lt;8,E8042&gt;=18,COUNTIF($K$2:$K$10,INT(A8042))&gt;0),1,0)</f>
        <v>1</v>
      </c>
      <c r="G8042" s="34" t="n">
        <f aca="false">B8042/1</f>
        <v>69.497</v>
      </c>
      <c r="H8042" s="34" t="n">
        <f aca="false">IF(F8042=1,G8042,"")</f>
        <v>69.497</v>
      </c>
    </row>
    <row r="8043" customFormat="false" ht="15" hidden="false" customHeight="false" outlineLevel="0" collapsed="false">
      <c r="A8043" s="31" t="n">
        <v>43071.0416666667</v>
      </c>
      <c r="B8043" s="32" t="n">
        <v>66.038</v>
      </c>
      <c r="D8043" s="33" t="n">
        <f aca="false">WEEKDAY(A8043,2)</f>
        <v>6</v>
      </c>
      <c r="E8043" s="33" t="n">
        <f aca="false">HOUR(A8043)+MINUTE(A8043)/60</f>
        <v>1</v>
      </c>
      <c r="F8043" s="33" t="n">
        <f aca="false">IF(OR(D8043&gt;5,E8043&lt;8,E8043&gt;=18,COUNTIF($K$2:$K$10,INT(A8043))&gt;0),1,0)</f>
        <v>1</v>
      </c>
      <c r="G8043" s="34" t="n">
        <f aca="false">B8043/1</f>
        <v>66.038</v>
      </c>
      <c r="H8043" s="34" t="n">
        <f aca="false">IF(F8043=1,G8043,"")</f>
        <v>66.038</v>
      </c>
    </row>
    <row r="8044" customFormat="false" ht="15" hidden="false" customHeight="false" outlineLevel="0" collapsed="false">
      <c r="A8044" s="31" t="n">
        <v>43071.0833333333</v>
      </c>
      <c r="B8044" s="32" t="n">
        <v>64.79</v>
      </c>
      <c r="D8044" s="33" t="n">
        <f aca="false">WEEKDAY(A8044,2)</f>
        <v>6</v>
      </c>
      <c r="E8044" s="33" t="n">
        <f aca="false">HOUR(A8044)+MINUTE(A8044)/60</f>
        <v>2</v>
      </c>
      <c r="F8044" s="33" t="n">
        <f aca="false">IF(OR(D8044&gt;5,E8044&lt;8,E8044&gt;=18,COUNTIF($K$2:$K$10,INT(A8044))&gt;0),1,0)</f>
        <v>1</v>
      </c>
      <c r="G8044" s="34" t="n">
        <f aca="false">B8044/1</f>
        <v>64.79</v>
      </c>
      <c r="H8044" s="34" t="n">
        <f aca="false">IF(F8044=1,G8044,"")</f>
        <v>64.79</v>
      </c>
    </row>
    <row r="8045" customFormat="false" ht="15" hidden="false" customHeight="false" outlineLevel="0" collapsed="false">
      <c r="A8045" s="31" t="n">
        <v>43071.125</v>
      </c>
      <c r="B8045" s="32" t="n">
        <v>63.578</v>
      </c>
      <c r="D8045" s="33" t="n">
        <f aca="false">WEEKDAY(A8045,2)</f>
        <v>6</v>
      </c>
      <c r="E8045" s="33" t="n">
        <f aca="false">HOUR(A8045)+MINUTE(A8045)/60</f>
        <v>3</v>
      </c>
      <c r="F8045" s="33" t="n">
        <f aca="false">IF(OR(D8045&gt;5,E8045&lt;8,E8045&gt;=18,COUNTIF($K$2:$K$10,INT(A8045))&gt;0),1,0)</f>
        <v>1</v>
      </c>
      <c r="G8045" s="34" t="n">
        <f aca="false">B8045/1</f>
        <v>63.578</v>
      </c>
      <c r="H8045" s="34" t="n">
        <f aca="false">IF(F8045=1,G8045,"")</f>
        <v>63.578</v>
      </c>
    </row>
    <row r="8046" customFormat="false" ht="15" hidden="false" customHeight="false" outlineLevel="0" collapsed="false">
      <c r="A8046" s="31" t="n">
        <v>43071.1666666667</v>
      </c>
      <c r="B8046" s="32" t="n">
        <v>62.811</v>
      </c>
      <c r="D8046" s="33" t="n">
        <f aca="false">WEEKDAY(A8046,2)</f>
        <v>6</v>
      </c>
      <c r="E8046" s="33" t="n">
        <f aca="false">HOUR(A8046)+MINUTE(A8046)/60</f>
        <v>4</v>
      </c>
      <c r="F8046" s="33" t="n">
        <f aca="false">IF(OR(D8046&gt;5,E8046&lt;8,E8046&gt;=18,COUNTIF($K$2:$K$10,INT(A8046))&gt;0),1,0)</f>
        <v>1</v>
      </c>
      <c r="G8046" s="34" t="n">
        <f aca="false">B8046/1</f>
        <v>62.811</v>
      </c>
      <c r="H8046" s="34" t="n">
        <f aca="false">IF(F8046=1,G8046,"")</f>
        <v>62.811</v>
      </c>
    </row>
    <row r="8047" customFormat="false" ht="15" hidden="false" customHeight="false" outlineLevel="0" collapsed="false">
      <c r="A8047" s="31" t="n">
        <v>43071.2083333333</v>
      </c>
      <c r="B8047" s="32" t="n">
        <v>62.943</v>
      </c>
      <c r="D8047" s="33" t="n">
        <f aca="false">WEEKDAY(A8047,2)</f>
        <v>6</v>
      </c>
      <c r="E8047" s="33" t="n">
        <f aca="false">HOUR(A8047)+MINUTE(A8047)/60</f>
        <v>5</v>
      </c>
      <c r="F8047" s="33" t="n">
        <f aca="false">IF(OR(D8047&gt;5,E8047&lt;8,E8047&gt;=18,COUNTIF($K$2:$K$10,INT(A8047))&gt;0),1,0)</f>
        <v>1</v>
      </c>
      <c r="G8047" s="34" t="n">
        <f aca="false">B8047/1</f>
        <v>62.943</v>
      </c>
      <c r="H8047" s="34" t="n">
        <f aca="false">IF(F8047=1,G8047,"")</f>
        <v>62.943</v>
      </c>
    </row>
    <row r="8048" customFormat="false" ht="15" hidden="false" customHeight="false" outlineLevel="0" collapsed="false">
      <c r="A8048" s="31" t="n">
        <v>43071.25</v>
      </c>
      <c r="B8048" s="32" t="n">
        <v>63.26</v>
      </c>
      <c r="D8048" s="33" t="n">
        <f aca="false">WEEKDAY(A8048,2)</f>
        <v>6</v>
      </c>
      <c r="E8048" s="33" t="n">
        <f aca="false">HOUR(A8048)+MINUTE(A8048)/60</f>
        <v>6</v>
      </c>
      <c r="F8048" s="33" t="n">
        <f aca="false">IF(OR(D8048&gt;5,E8048&lt;8,E8048&gt;=18,COUNTIF($K$2:$K$10,INT(A8048))&gt;0),1,0)</f>
        <v>1</v>
      </c>
      <c r="G8048" s="34" t="n">
        <f aca="false">B8048/1</f>
        <v>63.26</v>
      </c>
      <c r="H8048" s="34" t="n">
        <f aca="false">IF(F8048=1,G8048,"")</f>
        <v>63.26</v>
      </c>
    </row>
    <row r="8049" customFormat="false" ht="15" hidden="false" customHeight="false" outlineLevel="0" collapsed="false">
      <c r="A8049" s="31" t="n">
        <v>43071.2916666667</v>
      </c>
      <c r="B8049" s="32" t="n">
        <v>63.498</v>
      </c>
      <c r="D8049" s="33" t="n">
        <f aca="false">WEEKDAY(A8049,2)</f>
        <v>6</v>
      </c>
      <c r="E8049" s="33" t="n">
        <f aca="false">HOUR(A8049)+MINUTE(A8049)/60</f>
        <v>7</v>
      </c>
      <c r="F8049" s="33" t="n">
        <f aca="false">IF(OR(D8049&gt;5,E8049&lt;8,E8049&gt;=18,COUNTIF($K$2:$K$10,INT(A8049))&gt;0),1,0)</f>
        <v>1</v>
      </c>
      <c r="G8049" s="34" t="n">
        <f aca="false">B8049/1</f>
        <v>63.498</v>
      </c>
      <c r="H8049" s="34" t="n">
        <f aca="false">IF(F8049=1,G8049,"")</f>
        <v>63.498</v>
      </c>
    </row>
    <row r="8050" customFormat="false" ht="15" hidden="false" customHeight="false" outlineLevel="0" collapsed="false">
      <c r="A8050" s="31" t="n">
        <v>43071.3333333333</v>
      </c>
      <c r="B8050" s="32" t="n">
        <v>125.914</v>
      </c>
      <c r="D8050" s="33" t="n">
        <f aca="false">WEEKDAY(A8050,2)</f>
        <v>6</v>
      </c>
      <c r="E8050" s="33" t="n">
        <f aca="false">HOUR(A8050)+MINUTE(A8050)/60</f>
        <v>8</v>
      </c>
      <c r="F8050" s="33" t="n">
        <f aca="false">IF(OR(D8050&gt;5,E8050&lt;8,E8050&gt;=18,COUNTIF($K$2:$K$10,INT(A8050))&gt;0),1,0)</f>
        <v>1</v>
      </c>
      <c r="G8050" s="34" t="n">
        <f aca="false">B8050/1</f>
        <v>125.914</v>
      </c>
      <c r="H8050" s="34" t="n">
        <f aca="false">IF(F8050=1,G8050,"")</f>
        <v>125.914</v>
      </c>
    </row>
    <row r="8051" customFormat="false" ht="15" hidden="false" customHeight="false" outlineLevel="0" collapsed="false">
      <c r="A8051" s="31" t="n">
        <v>43071.375</v>
      </c>
      <c r="B8051" s="32" t="n">
        <v>162.219</v>
      </c>
      <c r="D8051" s="33" t="n">
        <f aca="false">WEEKDAY(A8051,2)</f>
        <v>6</v>
      </c>
      <c r="E8051" s="33" t="n">
        <f aca="false">HOUR(A8051)+MINUTE(A8051)/60</f>
        <v>9</v>
      </c>
      <c r="F8051" s="33" t="n">
        <f aca="false">IF(OR(D8051&gt;5,E8051&lt;8,E8051&gt;=18,COUNTIF($K$2:$K$10,INT(A8051))&gt;0),1,0)</f>
        <v>1</v>
      </c>
      <c r="G8051" s="34" t="n">
        <f aca="false">B8051/1</f>
        <v>162.219</v>
      </c>
      <c r="H8051" s="34" t="n">
        <f aca="false">IF(F8051=1,G8051,"")</f>
        <v>162.219</v>
      </c>
    </row>
    <row r="8052" customFormat="false" ht="15" hidden="false" customHeight="false" outlineLevel="0" collapsed="false">
      <c r="A8052" s="31" t="n">
        <v>43071.4166666667</v>
      </c>
      <c r="B8052" s="32" t="n">
        <v>164.844</v>
      </c>
      <c r="D8052" s="33" t="n">
        <f aca="false">WEEKDAY(A8052,2)</f>
        <v>6</v>
      </c>
      <c r="E8052" s="33" t="n">
        <f aca="false">HOUR(A8052)+MINUTE(A8052)/60</f>
        <v>10</v>
      </c>
      <c r="F8052" s="33" t="n">
        <f aca="false">IF(OR(D8052&gt;5,E8052&lt;8,E8052&gt;=18,COUNTIF($K$2:$K$10,INT(A8052))&gt;0),1,0)</f>
        <v>1</v>
      </c>
      <c r="G8052" s="34" t="n">
        <f aca="false">B8052/1</f>
        <v>164.844</v>
      </c>
      <c r="H8052" s="34" t="n">
        <f aca="false">IF(F8052=1,G8052,"")</f>
        <v>164.844</v>
      </c>
    </row>
    <row r="8053" customFormat="false" ht="15" hidden="false" customHeight="false" outlineLevel="0" collapsed="false">
      <c r="A8053" s="31" t="n">
        <v>43071.4583333333</v>
      </c>
      <c r="B8053" s="32" t="n">
        <v>169.118</v>
      </c>
      <c r="D8053" s="33" t="n">
        <f aca="false">WEEKDAY(A8053,2)</f>
        <v>6</v>
      </c>
      <c r="E8053" s="33" t="n">
        <f aca="false">HOUR(A8053)+MINUTE(A8053)/60</f>
        <v>11</v>
      </c>
      <c r="F8053" s="33" t="n">
        <f aca="false">IF(OR(D8053&gt;5,E8053&lt;8,E8053&gt;=18,COUNTIF($K$2:$K$10,INT(A8053))&gt;0),1,0)</f>
        <v>1</v>
      </c>
      <c r="G8053" s="34" t="n">
        <f aca="false">B8053/1</f>
        <v>169.118</v>
      </c>
      <c r="H8053" s="34" t="n">
        <f aca="false">IF(F8053=1,G8053,"")</f>
        <v>169.118</v>
      </c>
    </row>
    <row r="8054" customFormat="false" ht="15" hidden="false" customHeight="false" outlineLevel="0" collapsed="false">
      <c r="A8054" s="31" t="n">
        <v>43071.5</v>
      </c>
      <c r="B8054" s="32" t="n">
        <v>172.996</v>
      </c>
      <c r="D8054" s="33" t="n">
        <f aca="false">WEEKDAY(A8054,2)</f>
        <v>6</v>
      </c>
      <c r="E8054" s="33" t="n">
        <f aca="false">HOUR(A8054)+MINUTE(A8054)/60</f>
        <v>12</v>
      </c>
      <c r="F8054" s="33" t="n">
        <f aca="false">IF(OR(D8054&gt;5,E8054&lt;8,E8054&gt;=18,COUNTIF($K$2:$K$10,INT(A8054))&gt;0),1,0)</f>
        <v>1</v>
      </c>
      <c r="G8054" s="34" t="n">
        <f aca="false">B8054/1</f>
        <v>172.996</v>
      </c>
      <c r="H8054" s="34" t="n">
        <f aca="false">IF(F8054=1,G8054,"")</f>
        <v>172.996</v>
      </c>
    </row>
    <row r="8055" customFormat="false" ht="15" hidden="false" customHeight="false" outlineLevel="0" collapsed="false">
      <c r="A8055" s="31" t="n">
        <v>43071.5416666667</v>
      </c>
      <c r="B8055" s="32" t="n">
        <v>172.981</v>
      </c>
      <c r="D8055" s="33" t="n">
        <f aca="false">WEEKDAY(A8055,2)</f>
        <v>6</v>
      </c>
      <c r="E8055" s="33" t="n">
        <f aca="false">HOUR(A8055)+MINUTE(A8055)/60</f>
        <v>13</v>
      </c>
      <c r="F8055" s="33" t="n">
        <f aca="false">IF(OR(D8055&gt;5,E8055&lt;8,E8055&gt;=18,COUNTIF($K$2:$K$10,INT(A8055))&gt;0),1,0)</f>
        <v>1</v>
      </c>
      <c r="G8055" s="34" t="n">
        <f aca="false">B8055/1</f>
        <v>172.981</v>
      </c>
      <c r="H8055" s="34" t="n">
        <f aca="false">IF(F8055=1,G8055,"")</f>
        <v>172.981</v>
      </c>
    </row>
    <row r="8056" customFormat="false" ht="15" hidden="false" customHeight="false" outlineLevel="0" collapsed="false">
      <c r="A8056" s="31" t="n">
        <v>43071.5833333333</v>
      </c>
      <c r="B8056" s="32" t="n">
        <v>178.205</v>
      </c>
      <c r="D8056" s="33" t="n">
        <f aca="false">WEEKDAY(A8056,2)</f>
        <v>6</v>
      </c>
      <c r="E8056" s="33" t="n">
        <f aca="false">HOUR(A8056)+MINUTE(A8056)/60</f>
        <v>14</v>
      </c>
      <c r="F8056" s="33" t="n">
        <f aca="false">IF(OR(D8056&gt;5,E8056&lt;8,E8056&gt;=18,COUNTIF($K$2:$K$10,INT(A8056))&gt;0),1,0)</f>
        <v>1</v>
      </c>
      <c r="G8056" s="34" t="n">
        <f aca="false">B8056/1</f>
        <v>178.205</v>
      </c>
      <c r="H8056" s="34" t="n">
        <f aca="false">IF(F8056=1,G8056,"")</f>
        <v>178.205</v>
      </c>
    </row>
    <row r="8057" customFormat="false" ht="15" hidden="false" customHeight="false" outlineLevel="0" collapsed="false">
      <c r="A8057" s="31" t="n">
        <v>43071.625</v>
      </c>
      <c r="B8057" s="32" t="n">
        <v>176.658</v>
      </c>
      <c r="D8057" s="33" t="n">
        <f aca="false">WEEKDAY(A8057,2)</f>
        <v>6</v>
      </c>
      <c r="E8057" s="33" t="n">
        <f aca="false">HOUR(A8057)+MINUTE(A8057)/60</f>
        <v>15</v>
      </c>
      <c r="F8057" s="33" t="n">
        <f aca="false">IF(OR(D8057&gt;5,E8057&lt;8,E8057&gt;=18,COUNTIF($K$2:$K$10,INT(A8057))&gt;0),1,0)</f>
        <v>1</v>
      </c>
      <c r="G8057" s="34" t="n">
        <f aca="false">B8057/1</f>
        <v>176.658</v>
      </c>
      <c r="H8057" s="34" t="n">
        <f aca="false">IF(F8057=1,G8057,"")</f>
        <v>176.658</v>
      </c>
    </row>
    <row r="8058" customFormat="false" ht="15" hidden="false" customHeight="false" outlineLevel="0" collapsed="false">
      <c r="A8058" s="31" t="n">
        <v>43071.6666666667</v>
      </c>
      <c r="B8058" s="32" t="n">
        <v>176.871</v>
      </c>
      <c r="D8058" s="33" t="n">
        <f aca="false">WEEKDAY(A8058,2)</f>
        <v>6</v>
      </c>
      <c r="E8058" s="33" t="n">
        <f aca="false">HOUR(A8058)+MINUTE(A8058)/60</f>
        <v>16</v>
      </c>
      <c r="F8058" s="33" t="n">
        <f aca="false">IF(OR(D8058&gt;5,E8058&lt;8,E8058&gt;=18,COUNTIF($K$2:$K$10,INT(A8058))&gt;0),1,0)</f>
        <v>1</v>
      </c>
      <c r="G8058" s="34" t="n">
        <f aca="false">B8058/1</f>
        <v>176.871</v>
      </c>
      <c r="H8058" s="34" t="n">
        <f aca="false">IF(F8058=1,G8058,"")</f>
        <v>176.871</v>
      </c>
    </row>
    <row r="8059" customFormat="false" ht="15" hidden="false" customHeight="false" outlineLevel="0" collapsed="false">
      <c r="A8059" s="31" t="n">
        <v>43071.7083333333</v>
      </c>
      <c r="B8059" s="32" t="n">
        <v>170.543</v>
      </c>
      <c r="D8059" s="33" t="n">
        <f aca="false">WEEKDAY(A8059,2)</f>
        <v>6</v>
      </c>
      <c r="E8059" s="33" t="n">
        <f aca="false">HOUR(A8059)+MINUTE(A8059)/60</f>
        <v>17</v>
      </c>
      <c r="F8059" s="33" t="n">
        <f aca="false">IF(OR(D8059&gt;5,E8059&lt;8,E8059&gt;=18,COUNTIF($K$2:$K$10,INT(A8059))&gt;0),1,0)</f>
        <v>1</v>
      </c>
      <c r="G8059" s="34" t="n">
        <f aca="false">B8059/1</f>
        <v>170.543</v>
      </c>
      <c r="H8059" s="34" t="n">
        <f aca="false">IF(F8059=1,G8059,"")</f>
        <v>170.543</v>
      </c>
    </row>
    <row r="8060" customFormat="false" ht="15" hidden="false" customHeight="false" outlineLevel="0" collapsed="false">
      <c r="A8060" s="31" t="n">
        <v>43071.75</v>
      </c>
      <c r="B8060" s="32" t="n">
        <v>91.372</v>
      </c>
      <c r="D8060" s="33" t="n">
        <f aca="false">WEEKDAY(A8060,2)</f>
        <v>6</v>
      </c>
      <c r="E8060" s="33" t="n">
        <f aca="false">HOUR(A8060)+MINUTE(A8060)/60</f>
        <v>18</v>
      </c>
      <c r="F8060" s="33" t="n">
        <f aca="false">IF(OR(D8060&gt;5,E8060&lt;8,E8060&gt;=18,COUNTIF($K$2:$K$10,INT(A8060))&gt;0),1,0)</f>
        <v>1</v>
      </c>
      <c r="G8060" s="34" t="n">
        <f aca="false">B8060/1</f>
        <v>91.372</v>
      </c>
      <c r="H8060" s="34" t="n">
        <f aca="false">IF(F8060=1,G8060,"")</f>
        <v>91.372</v>
      </c>
    </row>
    <row r="8061" customFormat="false" ht="15" hidden="false" customHeight="false" outlineLevel="0" collapsed="false">
      <c r="A8061" s="31" t="n">
        <v>43071.7916666667</v>
      </c>
      <c r="B8061" s="32" t="n">
        <v>71.319</v>
      </c>
      <c r="D8061" s="33" t="n">
        <f aca="false">WEEKDAY(A8061,2)</f>
        <v>6</v>
      </c>
      <c r="E8061" s="33" t="n">
        <f aca="false">HOUR(A8061)+MINUTE(A8061)/60</f>
        <v>19</v>
      </c>
      <c r="F8061" s="33" t="n">
        <f aca="false">IF(OR(D8061&gt;5,E8061&lt;8,E8061&gt;=18,COUNTIF($K$2:$K$10,INT(A8061))&gt;0),1,0)</f>
        <v>1</v>
      </c>
      <c r="G8061" s="34" t="n">
        <f aca="false">B8061/1</f>
        <v>71.319</v>
      </c>
      <c r="H8061" s="34" t="n">
        <f aca="false">IF(F8061=1,G8061,"")</f>
        <v>71.319</v>
      </c>
    </row>
    <row r="8062" customFormat="false" ht="15" hidden="false" customHeight="false" outlineLevel="0" collapsed="false">
      <c r="A8062" s="31" t="n">
        <v>43071.8333333333</v>
      </c>
      <c r="B8062" s="32" t="n">
        <v>71.324</v>
      </c>
      <c r="D8062" s="33" t="n">
        <f aca="false">WEEKDAY(A8062,2)</f>
        <v>6</v>
      </c>
      <c r="E8062" s="33" t="n">
        <f aca="false">HOUR(A8062)+MINUTE(A8062)/60</f>
        <v>20</v>
      </c>
      <c r="F8062" s="33" t="n">
        <f aca="false">IF(OR(D8062&gt;5,E8062&lt;8,E8062&gt;=18,COUNTIF($K$2:$K$10,INT(A8062))&gt;0),1,0)</f>
        <v>1</v>
      </c>
      <c r="G8062" s="34" t="n">
        <f aca="false">B8062/1</f>
        <v>71.324</v>
      </c>
      <c r="H8062" s="34" t="n">
        <f aca="false">IF(F8062=1,G8062,"")</f>
        <v>71.324</v>
      </c>
    </row>
    <row r="8063" customFormat="false" ht="15" hidden="false" customHeight="false" outlineLevel="0" collapsed="false">
      <c r="A8063" s="31" t="n">
        <v>43071.875</v>
      </c>
      <c r="B8063" s="32" t="n">
        <v>72.197</v>
      </c>
      <c r="D8063" s="33" t="n">
        <f aca="false">WEEKDAY(A8063,2)</f>
        <v>6</v>
      </c>
      <c r="E8063" s="33" t="n">
        <f aca="false">HOUR(A8063)+MINUTE(A8063)/60</f>
        <v>21</v>
      </c>
      <c r="F8063" s="33" t="n">
        <f aca="false">IF(OR(D8063&gt;5,E8063&lt;8,E8063&gt;=18,COUNTIF($K$2:$K$10,INT(A8063))&gt;0),1,0)</f>
        <v>1</v>
      </c>
      <c r="G8063" s="34" t="n">
        <f aca="false">B8063/1</f>
        <v>72.197</v>
      </c>
      <c r="H8063" s="34" t="n">
        <f aca="false">IF(F8063=1,G8063,"")</f>
        <v>72.197</v>
      </c>
    </row>
    <row r="8064" customFormat="false" ht="15" hidden="false" customHeight="false" outlineLevel="0" collapsed="false">
      <c r="A8064" s="31" t="n">
        <v>43071.9166666667</v>
      </c>
      <c r="B8064" s="32" t="n">
        <v>73.363</v>
      </c>
      <c r="D8064" s="33" t="n">
        <f aca="false">WEEKDAY(A8064,2)</f>
        <v>6</v>
      </c>
      <c r="E8064" s="33" t="n">
        <f aca="false">HOUR(A8064)+MINUTE(A8064)/60</f>
        <v>22</v>
      </c>
      <c r="F8064" s="33" t="n">
        <f aca="false">IF(OR(D8064&gt;5,E8064&lt;8,E8064&gt;=18,COUNTIF($K$2:$K$10,INT(A8064))&gt;0),1,0)</f>
        <v>1</v>
      </c>
      <c r="G8064" s="34" t="n">
        <f aca="false">B8064/1</f>
        <v>73.363</v>
      </c>
      <c r="H8064" s="34" t="n">
        <f aca="false">IF(F8064=1,G8064,"")</f>
        <v>73.363</v>
      </c>
    </row>
    <row r="8065" customFormat="false" ht="15" hidden="false" customHeight="false" outlineLevel="0" collapsed="false">
      <c r="A8065" s="31" t="n">
        <v>43071.9583333333</v>
      </c>
      <c r="B8065" s="32" t="n">
        <v>72.338</v>
      </c>
      <c r="D8065" s="33" t="n">
        <f aca="false">WEEKDAY(A8065,2)</f>
        <v>6</v>
      </c>
      <c r="E8065" s="33" t="n">
        <f aca="false">HOUR(A8065)+MINUTE(A8065)/60</f>
        <v>23</v>
      </c>
      <c r="F8065" s="33" t="n">
        <f aca="false">IF(OR(D8065&gt;5,E8065&lt;8,E8065&gt;=18,COUNTIF($K$2:$K$10,INT(A8065))&gt;0),1,0)</f>
        <v>1</v>
      </c>
      <c r="G8065" s="34" t="n">
        <f aca="false">B8065/1</f>
        <v>72.338</v>
      </c>
      <c r="H8065" s="34" t="n">
        <f aca="false">IF(F8065=1,G8065,"")</f>
        <v>72.338</v>
      </c>
    </row>
    <row r="8066" customFormat="false" ht="15" hidden="false" customHeight="false" outlineLevel="0" collapsed="false">
      <c r="A8066" s="31" t="n">
        <v>43072</v>
      </c>
      <c r="B8066" s="32" t="n">
        <v>69.905</v>
      </c>
      <c r="D8066" s="33" t="n">
        <f aca="false">WEEKDAY(A8066,2)</f>
        <v>7</v>
      </c>
      <c r="E8066" s="33" t="n">
        <f aca="false">HOUR(A8066)+MINUTE(A8066)/60</f>
        <v>0</v>
      </c>
      <c r="F8066" s="33" t="n">
        <f aca="false">IF(OR(D8066&gt;5,E8066&lt;8,E8066&gt;=18,COUNTIF($K$2:$K$10,INT(A8066))&gt;0),1,0)</f>
        <v>1</v>
      </c>
      <c r="G8066" s="34" t="n">
        <f aca="false">B8066/1</f>
        <v>69.905</v>
      </c>
      <c r="H8066" s="34" t="n">
        <f aca="false">IF(F8066=1,G8066,"")</f>
        <v>69.905</v>
      </c>
    </row>
    <row r="8067" customFormat="false" ht="15" hidden="false" customHeight="false" outlineLevel="0" collapsed="false">
      <c r="A8067" s="31" t="n">
        <v>43072.0416666667</v>
      </c>
      <c r="B8067" s="32" t="n">
        <v>68.333</v>
      </c>
      <c r="D8067" s="33" t="n">
        <f aca="false">WEEKDAY(A8067,2)</f>
        <v>7</v>
      </c>
      <c r="E8067" s="33" t="n">
        <f aca="false">HOUR(A8067)+MINUTE(A8067)/60</f>
        <v>1</v>
      </c>
      <c r="F8067" s="33" t="n">
        <f aca="false">IF(OR(D8067&gt;5,E8067&lt;8,E8067&gt;=18,COUNTIF($K$2:$K$10,INT(A8067))&gt;0),1,0)</f>
        <v>1</v>
      </c>
      <c r="G8067" s="34" t="n">
        <f aca="false">B8067/1</f>
        <v>68.333</v>
      </c>
      <c r="H8067" s="34" t="n">
        <f aca="false">IF(F8067=1,G8067,"")</f>
        <v>68.333</v>
      </c>
    </row>
    <row r="8068" customFormat="false" ht="15" hidden="false" customHeight="false" outlineLevel="0" collapsed="false">
      <c r="A8068" s="31" t="n">
        <v>43072.0833333333</v>
      </c>
      <c r="B8068" s="32" t="n">
        <v>67.88</v>
      </c>
      <c r="D8068" s="33" t="n">
        <f aca="false">WEEKDAY(A8068,2)</f>
        <v>7</v>
      </c>
      <c r="E8068" s="33" t="n">
        <f aca="false">HOUR(A8068)+MINUTE(A8068)/60</f>
        <v>2</v>
      </c>
      <c r="F8068" s="33" t="n">
        <f aca="false">IF(OR(D8068&gt;5,E8068&lt;8,E8068&gt;=18,COUNTIF($K$2:$K$10,INT(A8068))&gt;0),1,0)</f>
        <v>1</v>
      </c>
      <c r="G8068" s="34" t="n">
        <f aca="false">B8068/1</f>
        <v>67.88</v>
      </c>
      <c r="H8068" s="34" t="n">
        <f aca="false">IF(F8068=1,G8068,"")</f>
        <v>67.88</v>
      </c>
    </row>
    <row r="8069" customFormat="false" ht="15" hidden="false" customHeight="false" outlineLevel="0" collapsed="false">
      <c r="A8069" s="31" t="n">
        <v>43072.125</v>
      </c>
      <c r="B8069" s="32" t="n">
        <v>65.986</v>
      </c>
      <c r="D8069" s="33" t="n">
        <f aca="false">WEEKDAY(A8069,2)</f>
        <v>7</v>
      </c>
      <c r="E8069" s="33" t="n">
        <f aca="false">HOUR(A8069)+MINUTE(A8069)/60</f>
        <v>3</v>
      </c>
      <c r="F8069" s="33" t="n">
        <f aca="false">IF(OR(D8069&gt;5,E8069&lt;8,E8069&gt;=18,COUNTIF($K$2:$K$10,INT(A8069))&gt;0),1,0)</f>
        <v>1</v>
      </c>
      <c r="G8069" s="34" t="n">
        <f aca="false">B8069/1</f>
        <v>65.986</v>
      </c>
      <c r="H8069" s="34" t="n">
        <f aca="false">IF(F8069=1,G8069,"")</f>
        <v>65.986</v>
      </c>
    </row>
    <row r="8070" customFormat="false" ht="15" hidden="false" customHeight="false" outlineLevel="0" collapsed="false">
      <c r="A8070" s="31" t="n">
        <v>43072.1666666667</v>
      </c>
      <c r="B8070" s="32" t="n">
        <v>65.469</v>
      </c>
      <c r="D8070" s="33" t="n">
        <f aca="false">WEEKDAY(A8070,2)</f>
        <v>7</v>
      </c>
      <c r="E8070" s="33" t="n">
        <f aca="false">HOUR(A8070)+MINUTE(A8070)/60</f>
        <v>4</v>
      </c>
      <c r="F8070" s="33" t="n">
        <f aca="false">IF(OR(D8070&gt;5,E8070&lt;8,E8070&gt;=18,COUNTIF($K$2:$K$10,INT(A8070))&gt;0),1,0)</f>
        <v>1</v>
      </c>
      <c r="G8070" s="34" t="n">
        <f aca="false">B8070/1</f>
        <v>65.469</v>
      </c>
      <c r="H8070" s="34" t="n">
        <f aca="false">IF(F8070=1,G8070,"")</f>
        <v>65.469</v>
      </c>
    </row>
    <row r="8071" customFormat="false" ht="15" hidden="false" customHeight="false" outlineLevel="0" collapsed="false">
      <c r="A8071" s="31" t="n">
        <v>43072.2083333333</v>
      </c>
      <c r="B8071" s="32" t="n">
        <v>66.23</v>
      </c>
      <c r="D8071" s="33" t="n">
        <f aca="false">WEEKDAY(A8071,2)</f>
        <v>7</v>
      </c>
      <c r="E8071" s="33" t="n">
        <f aca="false">HOUR(A8071)+MINUTE(A8071)/60</f>
        <v>5</v>
      </c>
      <c r="F8071" s="33" t="n">
        <f aca="false">IF(OR(D8071&gt;5,E8071&lt;8,E8071&gt;=18,COUNTIF($K$2:$K$10,INT(A8071))&gt;0),1,0)</f>
        <v>1</v>
      </c>
      <c r="G8071" s="34" t="n">
        <f aca="false">B8071/1</f>
        <v>66.23</v>
      </c>
      <c r="H8071" s="34" t="n">
        <f aca="false">IF(F8071=1,G8071,"")</f>
        <v>66.23</v>
      </c>
    </row>
    <row r="8072" customFormat="false" ht="15" hidden="false" customHeight="false" outlineLevel="0" collapsed="false">
      <c r="A8072" s="31" t="n">
        <v>43072.25</v>
      </c>
      <c r="B8072" s="32" t="n">
        <v>65.833</v>
      </c>
      <c r="D8072" s="33" t="n">
        <f aca="false">WEEKDAY(A8072,2)</f>
        <v>7</v>
      </c>
      <c r="E8072" s="33" t="n">
        <f aca="false">HOUR(A8072)+MINUTE(A8072)/60</f>
        <v>6</v>
      </c>
      <c r="F8072" s="33" t="n">
        <f aca="false">IF(OR(D8072&gt;5,E8072&lt;8,E8072&gt;=18,COUNTIF($K$2:$K$10,INT(A8072))&gt;0),1,0)</f>
        <v>1</v>
      </c>
      <c r="G8072" s="34" t="n">
        <f aca="false">B8072/1</f>
        <v>65.833</v>
      </c>
      <c r="H8072" s="34" t="n">
        <f aca="false">IF(F8072=1,G8072,"")</f>
        <v>65.833</v>
      </c>
    </row>
    <row r="8073" customFormat="false" ht="15" hidden="false" customHeight="false" outlineLevel="0" collapsed="false">
      <c r="A8073" s="31" t="n">
        <v>43072.2916666667</v>
      </c>
      <c r="B8073" s="32" t="n">
        <v>65.412</v>
      </c>
      <c r="D8073" s="33" t="n">
        <f aca="false">WEEKDAY(A8073,2)</f>
        <v>7</v>
      </c>
      <c r="E8073" s="33" t="n">
        <f aca="false">HOUR(A8073)+MINUTE(A8073)/60</f>
        <v>7</v>
      </c>
      <c r="F8073" s="33" t="n">
        <f aca="false">IF(OR(D8073&gt;5,E8073&lt;8,E8073&gt;=18,COUNTIF($K$2:$K$10,INT(A8073))&gt;0),1,0)</f>
        <v>1</v>
      </c>
      <c r="G8073" s="34" t="n">
        <f aca="false">B8073/1</f>
        <v>65.412</v>
      </c>
      <c r="H8073" s="34" t="n">
        <f aca="false">IF(F8073=1,G8073,"")</f>
        <v>65.412</v>
      </c>
    </row>
    <row r="8074" customFormat="false" ht="15" hidden="false" customHeight="false" outlineLevel="0" collapsed="false">
      <c r="A8074" s="31" t="n">
        <v>43072.3333333333</v>
      </c>
      <c r="B8074" s="32" t="n">
        <v>65.385</v>
      </c>
      <c r="D8074" s="33" t="n">
        <f aca="false">WEEKDAY(A8074,2)</f>
        <v>7</v>
      </c>
      <c r="E8074" s="33" t="n">
        <f aca="false">HOUR(A8074)+MINUTE(A8074)/60</f>
        <v>8</v>
      </c>
      <c r="F8074" s="33" t="n">
        <f aca="false">IF(OR(D8074&gt;5,E8074&lt;8,E8074&gt;=18,COUNTIF($K$2:$K$10,INT(A8074))&gt;0),1,0)</f>
        <v>1</v>
      </c>
      <c r="G8074" s="34" t="n">
        <f aca="false">B8074/1</f>
        <v>65.385</v>
      </c>
      <c r="H8074" s="34" t="n">
        <f aca="false">IF(F8074=1,G8074,"")</f>
        <v>65.385</v>
      </c>
    </row>
    <row r="8075" customFormat="false" ht="15" hidden="false" customHeight="false" outlineLevel="0" collapsed="false">
      <c r="A8075" s="31" t="n">
        <v>43072.375</v>
      </c>
      <c r="B8075" s="32" t="n">
        <v>62.957</v>
      </c>
      <c r="D8075" s="33" t="n">
        <f aca="false">WEEKDAY(A8075,2)</f>
        <v>7</v>
      </c>
      <c r="E8075" s="33" t="n">
        <f aca="false">HOUR(A8075)+MINUTE(A8075)/60</f>
        <v>9</v>
      </c>
      <c r="F8075" s="33" t="n">
        <f aca="false">IF(OR(D8075&gt;5,E8075&lt;8,E8075&gt;=18,COUNTIF($K$2:$K$10,INT(A8075))&gt;0),1,0)</f>
        <v>1</v>
      </c>
      <c r="G8075" s="34" t="n">
        <f aca="false">B8075/1</f>
        <v>62.957</v>
      </c>
      <c r="H8075" s="34" t="n">
        <f aca="false">IF(F8075=1,G8075,"")</f>
        <v>62.957</v>
      </c>
    </row>
    <row r="8076" customFormat="false" ht="15" hidden="false" customHeight="false" outlineLevel="0" collapsed="false">
      <c r="A8076" s="31" t="n">
        <v>43072.4166666667</v>
      </c>
      <c r="B8076" s="32" t="n">
        <v>64.205</v>
      </c>
      <c r="D8076" s="33" t="n">
        <f aca="false">WEEKDAY(A8076,2)</f>
        <v>7</v>
      </c>
      <c r="E8076" s="33" t="n">
        <f aca="false">HOUR(A8076)+MINUTE(A8076)/60</f>
        <v>10</v>
      </c>
      <c r="F8076" s="33" t="n">
        <f aca="false">IF(OR(D8076&gt;5,E8076&lt;8,E8076&gt;=18,COUNTIF($K$2:$K$10,INT(A8076))&gt;0),1,0)</f>
        <v>1</v>
      </c>
      <c r="G8076" s="34" t="n">
        <f aca="false">B8076/1</f>
        <v>64.205</v>
      </c>
      <c r="H8076" s="34" t="n">
        <f aca="false">IF(F8076=1,G8076,"")</f>
        <v>64.205</v>
      </c>
    </row>
    <row r="8077" customFormat="false" ht="15" hidden="false" customHeight="false" outlineLevel="0" collapsed="false">
      <c r="A8077" s="31" t="n">
        <v>43072.4583333333</v>
      </c>
      <c r="B8077" s="32" t="n">
        <v>66.335</v>
      </c>
      <c r="D8077" s="33" t="n">
        <f aca="false">WEEKDAY(A8077,2)</f>
        <v>7</v>
      </c>
      <c r="E8077" s="33" t="n">
        <f aca="false">HOUR(A8077)+MINUTE(A8077)/60</f>
        <v>11</v>
      </c>
      <c r="F8077" s="33" t="n">
        <f aca="false">IF(OR(D8077&gt;5,E8077&lt;8,E8077&gt;=18,COUNTIF($K$2:$K$10,INT(A8077))&gt;0),1,0)</f>
        <v>1</v>
      </c>
      <c r="G8077" s="34" t="n">
        <f aca="false">B8077/1</f>
        <v>66.335</v>
      </c>
      <c r="H8077" s="34" t="n">
        <f aca="false">IF(F8077=1,G8077,"")</f>
        <v>66.335</v>
      </c>
    </row>
    <row r="8078" customFormat="false" ht="15" hidden="false" customHeight="false" outlineLevel="0" collapsed="false">
      <c r="A8078" s="31" t="n">
        <v>43072.5</v>
      </c>
      <c r="B8078" s="32" t="n">
        <v>68.727</v>
      </c>
      <c r="D8078" s="33" t="n">
        <f aca="false">WEEKDAY(A8078,2)</f>
        <v>7</v>
      </c>
      <c r="E8078" s="33" t="n">
        <f aca="false">HOUR(A8078)+MINUTE(A8078)/60</f>
        <v>12</v>
      </c>
      <c r="F8078" s="33" t="n">
        <f aca="false">IF(OR(D8078&gt;5,E8078&lt;8,E8078&gt;=18,COUNTIF($K$2:$K$10,INT(A8078))&gt;0),1,0)</f>
        <v>1</v>
      </c>
      <c r="G8078" s="34" t="n">
        <f aca="false">B8078/1</f>
        <v>68.727</v>
      </c>
      <c r="H8078" s="34" t="n">
        <f aca="false">IF(F8078=1,G8078,"")</f>
        <v>68.727</v>
      </c>
    </row>
    <row r="8079" customFormat="false" ht="15" hidden="false" customHeight="false" outlineLevel="0" collapsed="false">
      <c r="A8079" s="31" t="n">
        <v>43072.5416666667</v>
      </c>
      <c r="B8079" s="32" t="n">
        <v>120.201</v>
      </c>
      <c r="D8079" s="33" t="n">
        <f aca="false">WEEKDAY(A8079,2)</f>
        <v>7</v>
      </c>
      <c r="E8079" s="33" t="n">
        <f aca="false">HOUR(A8079)+MINUTE(A8079)/60</f>
        <v>13</v>
      </c>
      <c r="F8079" s="33" t="n">
        <f aca="false">IF(OR(D8079&gt;5,E8079&lt;8,E8079&gt;=18,COUNTIF($K$2:$K$10,INT(A8079))&gt;0),1,0)</f>
        <v>1</v>
      </c>
      <c r="G8079" s="34" t="n">
        <f aca="false">B8079/1</f>
        <v>120.201</v>
      </c>
      <c r="H8079" s="34" t="n">
        <f aca="false">IF(F8079=1,G8079,"")</f>
        <v>120.201</v>
      </c>
    </row>
    <row r="8080" customFormat="false" ht="15" hidden="false" customHeight="false" outlineLevel="0" collapsed="false">
      <c r="A8080" s="31" t="n">
        <v>43072.5833333333</v>
      </c>
      <c r="B8080" s="32" t="n">
        <v>143.293</v>
      </c>
      <c r="D8080" s="33" t="n">
        <f aca="false">WEEKDAY(A8080,2)</f>
        <v>7</v>
      </c>
      <c r="E8080" s="33" t="n">
        <f aca="false">HOUR(A8080)+MINUTE(A8080)/60</f>
        <v>14</v>
      </c>
      <c r="F8080" s="33" t="n">
        <f aca="false">IF(OR(D8080&gt;5,E8080&lt;8,E8080&gt;=18,COUNTIF($K$2:$K$10,INT(A8080))&gt;0),1,0)</f>
        <v>1</v>
      </c>
      <c r="G8080" s="34" t="n">
        <f aca="false">B8080/1</f>
        <v>143.293</v>
      </c>
      <c r="H8080" s="34" t="n">
        <f aca="false">IF(F8080=1,G8080,"")</f>
        <v>143.293</v>
      </c>
    </row>
    <row r="8081" customFormat="false" ht="15" hidden="false" customHeight="false" outlineLevel="0" collapsed="false">
      <c r="A8081" s="31" t="n">
        <v>43072.625</v>
      </c>
      <c r="B8081" s="32" t="n">
        <v>147.945</v>
      </c>
      <c r="D8081" s="33" t="n">
        <f aca="false">WEEKDAY(A8081,2)</f>
        <v>7</v>
      </c>
      <c r="E8081" s="33" t="n">
        <f aca="false">HOUR(A8081)+MINUTE(A8081)/60</f>
        <v>15</v>
      </c>
      <c r="F8081" s="33" t="n">
        <f aca="false">IF(OR(D8081&gt;5,E8081&lt;8,E8081&gt;=18,COUNTIF($K$2:$K$10,INT(A8081))&gt;0),1,0)</f>
        <v>1</v>
      </c>
      <c r="G8081" s="34" t="n">
        <f aca="false">B8081/1</f>
        <v>147.945</v>
      </c>
      <c r="H8081" s="34" t="n">
        <f aca="false">IF(F8081=1,G8081,"")</f>
        <v>147.945</v>
      </c>
    </row>
    <row r="8082" customFormat="false" ht="15" hidden="false" customHeight="false" outlineLevel="0" collapsed="false">
      <c r="A8082" s="31" t="n">
        <v>43072.6666666667</v>
      </c>
      <c r="B8082" s="32" t="n">
        <v>151.776</v>
      </c>
      <c r="D8082" s="33" t="n">
        <f aca="false">WEEKDAY(A8082,2)</f>
        <v>7</v>
      </c>
      <c r="E8082" s="33" t="n">
        <f aca="false">HOUR(A8082)+MINUTE(A8082)/60</f>
        <v>16</v>
      </c>
      <c r="F8082" s="33" t="n">
        <f aca="false">IF(OR(D8082&gt;5,E8082&lt;8,E8082&gt;=18,COUNTIF($K$2:$K$10,INT(A8082))&gt;0),1,0)</f>
        <v>1</v>
      </c>
      <c r="G8082" s="34" t="n">
        <f aca="false">B8082/1</f>
        <v>151.776</v>
      </c>
      <c r="H8082" s="34" t="n">
        <f aca="false">IF(F8082=1,G8082,"")</f>
        <v>151.776</v>
      </c>
    </row>
    <row r="8083" customFormat="false" ht="15" hidden="false" customHeight="false" outlineLevel="0" collapsed="false">
      <c r="A8083" s="31" t="n">
        <v>43072.7083333333</v>
      </c>
      <c r="B8083" s="32" t="n">
        <v>152.679</v>
      </c>
      <c r="D8083" s="33" t="n">
        <f aca="false">WEEKDAY(A8083,2)</f>
        <v>7</v>
      </c>
      <c r="E8083" s="33" t="n">
        <f aca="false">HOUR(A8083)+MINUTE(A8083)/60</f>
        <v>17</v>
      </c>
      <c r="F8083" s="33" t="n">
        <f aca="false">IF(OR(D8083&gt;5,E8083&lt;8,E8083&gt;=18,COUNTIF($K$2:$K$10,INT(A8083))&gt;0),1,0)</f>
        <v>1</v>
      </c>
      <c r="G8083" s="34" t="n">
        <f aca="false">B8083/1</f>
        <v>152.679</v>
      </c>
      <c r="H8083" s="34" t="n">
        <f aca="false">IF(F8083=1,G8083,"")</f>
        <v>152.679</v>
      </c>
    </row>
    <row r="8084" customFormat="false" ht="15" hidden="false" customHeight="false" outlineLevel="0" collapsed="false">
      <c r="A8084" s="31" t="n">
        <v>43072.75</v>
      </c>
      <c r="B8084" s="32" t="n">
        <v>87.389</v>
      </c>
      <c r="D8084" s="33" t="n">
        <f aca="false">WEEKDAY(A8084,2)</f>
        <v>7</v>
      </c>
      <c r="E8084" s="33" t="n">
        <f aca="false">HOUR(A8084)+MINUTE(A8084)/60</f>
        <v>18</v>
      </c>
      <c r="F8084" s="33" t="n">
        <f aca="false">IF(OR(D8084&gt;5,E8084&lt;8,E8084&gt;=18,COUNTIF($K$2:$K$10,INT(A8084))&gt;0),1,0)</f>
        <v>1</v>
      </c>
      <c r="G8084" s="34" t="n">
        <f aca="false">B8084/1</f>
        <v>87.389</v>
      </c>
      <c r="H8084" s="34" t="n">
        <f aca="false">IF(F8084=1,G8084,"")</f>
        <v>87.389</v>
      </c>
    </row>
    <row r="8085" customFormat="false" ht="15" hidden="false" customHeight="false" outlineLevel="0" collapsed="false">
      <c r="A8085" s="31" t="n">
        <v>43072.7916666667</v>
      </c>
      <c r="B8085" s="32" t="n">
        <v>79.122</v>
      </c>
      <c r="D8085" s="33" t="n">
        <f aca="false">WEEKDAY(A8085,2)</f>
        <v>7</v>
      </c>
      <c r="E8085" s="33" t="n">
        <f aca="false">HOUR(A8085)+MINUTE(A8085)/60</f>
        <v>19</v>
      </c>
      <c r="F8085" s="33" t="n">
        <f aca="false">IF(OR(D8085&gt;5,E8085&lt;8,E8085&gt;=18,COUNTIF($K$2:$K$10,INT(A8085))&gt;0),1,0)</f>
        <v>1</v>
      </c>
      <c r="G8085" s="34" t="n">
        <f aca="false">B8085/1</f>
        <v>79.122</v>
      </c>
      <c r="H8085" s="34" t="n">
        <f aca="false">IF(F8085=1,G8085,"")</f>
        <v>79.122</v>
      </c>
    </row>
    <row r="8086" customFormat="false" ht="15" hidden="false" customHeight="false" outlineLevel="0" collapsed="false">
      <c r="A8086" s="31" t="n">
        <v>43072.8333333333</v>
      </c>
      <c r="B8086" s="32" t="n">
        <v>80.659</v>
      </c>
      <c r="D8086" s="33" t="n">
        <f aca="false">WEEKDAY(A8086,2)</f>
        <v>7</v>
      </c>
      <c r="E8086" s="33" t="n">
        <f aca="false">HOUR(A8086)+MINUTE(A8086)/60</f>
        <v>20</v>
      </c>
      <c r="F8086" s="33" t="n">
        <f aca="false">IF(OR(D8086&gt;5,E8086&lt;8,E8086&gt;=18,COUNTIF($K$2:$K$10,INT(A8086))&gt;0),1,0)</f>
        <v>1</v>
      </c>
      <c r="G8086" s="34" t="n">
        <f aca="false">B8086/1</f>
        <v>80.659</v>
      </c>
      <c r="H8086" s="34" t="n">
        <f aca="false">IF(F8086=1,G8086,"")</f>
        <v>80.659</v>
      </c>
    </row>
    <row r="8087" customFormat="false" ht="15" hidden="false" customHeight="false" outlineLevel="0" collapsed="false">
      <c r="A8087" s="31" t="n">
        <v>43072.875</v>
      </c>
      <c r="B8087" s="32" t="n">
        <v>78.436</v>
      </c>
      <c r="D8087" s="33" t="n">
        <f aca="false">WEEKDAY(A8087,2)</f>
        <v>7</v>
      </c>
      <c r="E8087" s="33" t="n">
        <f aca="false">HOUR(A8087)+MINUTE(A8087)/60</f>
        <v>21</v>
      </c>
      <c r="F8087" s="33" t="n">
        <f aca="false">IF(OR(D8087&gt;5,E8087&lt;8,E8087&gt;=18,COUNTIF($K$2:$K$10,INT(A8087))&gt;0),1,0)</f>
        <v>1</v>
      </c>
      <c r="G8087" s="34" t="n">
        <f aca="false">B8087/1</f>
        <v>78.436</v>
      </c>
      <c r="H8087" s="34" t="n">
        <f aca="false">IF(F8087=1,G8087,"")</f>
        <v>78.436</v>
      </c>
    </row>
    <row r="8088" customFormat="false" ht="15" hidden="false" customHeight="false" outlineLevel="0" collapsed="false">
      <c r="A8088" s="31" t="n">
        <v>43072.9166666667</v>
      </c>
      <c r="B8088" s="32" t="n">
        <v>74.812</v>
      </c>
      <c r="D8088" s="33" t="n">
        <f aca="false">WEEKDAY(A8088,2)</f>
        <v>7</v>
      </c>
      <c r="E8088" s="33" t="n">
        <f aca="false">HOUR(A8088)+MINUTE(A8088)/60</f>
        <v>22</v>
      </c>
      <c r="F8088" s="33" t="n">
        <f aca="false">IF(OR(D8088&gt;5,E8088&lt;8,E8088&gt;=18,COUNTIF($K$2:$K$10,INT(A8088))&gt;0),1,0)</f>
        <v>1</v>
      </c>
      <c r="G8088" s="34" t="n">
        <f aca="false">B8088/1</f>
        <v>74.812</v>
      </c>
      <c r="H8088" s="34" t="n">
        <f aca="false">IF(F8088=1,G8088,"")</f>
        <v>74.812</v>
      </c>
    </row>
    <row r="8089" customFormat="false" ht="15" hidden="false" customHeight="false" outlineLevel="0" collapsed="false">
      <c r="A8089" s="31" t="n">
        <v>43072.9583333333</v>
      </c>
      <c r="B8089" s="32" t="n">
        <v>71.947</v>
      </c>
      <c r="D8089" s="33" t="n">
        <f aca="false">WEEKDAY(A8089,2)</f>
        <v>7</v>
      </c>
      <c r="E8089" s="33" t="n">
        <f aca="false">HOUR(A8089)+MINUTE(A8089)/60</f>
        <v>23</v>
      </c>
      <c r="F8089" s="33" t="n">
        <f aca="false">IF(OR(D8089&gt;5,E8089&lt;8,E8089&gt;=18,COUNTIF($K$2:$K$10,INT(A8089))&gt;0),1,0)</f>
        <v>1</v>
      </c>
      <c r="G8089" s="34" t="n">
        <f aca="false">B8089/1</f>
        <v>71.947</v>
      </c>
      <c r="H8089" s="34" t="n">
        <f aca="false">IF(F8089=1,G8089,"")</f>
        <v>71.947</v>
      </c>
    </row>
    <row r="8090" customFormat="false" ht="15" hidden="false" customHeight="false" outlineLevel="0" collapsed="false">
      <c r="A8090" s="31" t="n">
        <v>43073</v>
      </c>
      <c r="B8090" s="32" t="n">
        <v>67.557</v>
      </c>
      <c r="D8090" s="33" t="n">
        <f aca="false">WEEKDAY(A8090,2)</f>
        <v>1</v>
      </c>
      <c r="E8090" s="33" t="n">
        <f aca="false">HOUR(A8090)+MINUTE(A8090)/60</f>
        <v>0</v>
      </c>
      <c r="F8090" s="33" t="n">
        <f aca="false">IF(OR(D8090&gt;5,E8090&lt;8,E8090&gt;=18,COUNTIF($K$2:$K$10,INT(A8090))&gt;0),1,0)</f>
        <v>1</v>
      </c>
      <c r="G8090" s="34" t="n">
        <f aca="false">B8090/1</f>
        <v>67.557</v>
      </c>
      <c r="H8090" s="34" t="n">
        <f aca="false">IF(F8090=1,G8090,"")</f>
        <v>67.557</v>
      </c>
    </row>
    <row r="8091" customFormat="false" ht="15" hidden="false" customHeight="false" outlineLevel="0" collapsed="false">
      <c r="A8091" s="31" t="n">
        <v>43073.0416666667</v>
      </c>
      <c r="B8091" s="32" t="n">
        <v>67.44</v>
      </c>
      <c r="D8091" s="33" t="n">
        <f aca="false">WEEKDAY(A8091,2)</f>
        <v>1</v>
      </c>
      <c r="E8091" s="33" t="n">
        <f aca="false">HOUR(A8091)+MINUTE(A8091)/60</f>
        <v>1</v>
      </c>
      <c r="F8091" s="33" t="n">
        <f aca="false">IF(OR(D8091&gt;5,E8091&lt;8,E8091&gt;=18,COUNTIF($K$2:$K$10,INT(A8091))&gt;0),1,0)</f>
        <v>1</v>
      </c>
      <c r="G8091" s="34" t="n">
        <f aca="false">B8091/1</f>
        <v>67.44</v>
      </c>
      <c r="H8091" s="34" t="n">
        <f aca="false">IF(F8091=1,G8091,"")</f>
        <v>67.44</v>
      </c>
    </row>
    <row r="8092" customFormat="false" ht="15" hidden="false" customHeight="false" outlineLevel="0" collapsed="false">
      <c r="A8092" s="31" t="n">
        <v>43073.0833333333</v>
      </c>
      <c r="B8092" s="32" t="n">
        <v>69.124</v>
      </c>
      <c r="D8092" s="33" t="n">
        <f aca="false">WEEKDAY(A8092,2)</f>
        <v>1</v>
      </c>
      <c r="E8092" s="33" t="n">
        <f aca="false">HOUR(A8092)+MINUTE(A8092)/60</f>
        <v>2</v>
      </c>
      <c r="F8092" s="33" t="n">
        <f aca="false">IF(OR(D8092&gt;5,E8092&lt;8,E8092&gt;=18,COUNTIF($K$2:$K$10,INT(A8092))&gt;0),1,0)</f>
        <v>1</v>
      </c>
      <c r="G8092" s="34" t="n">
        <f aca="false">B8092/1</f>
        <v>69.124</v>
      </c>
      <c r="H8092" s="34" t="n">
        <f aca="false">IF(F8092=1,G8092,"")</f>
        <v>69.124</v>
      </c>
    </row>
    <row r="8093" customFormat="false" ht="15" hidden="false" customHeight="false" outlineLevel="0" collapsed="false">
      <c r="A8093" s="31" t="n">
        <v>43073.125</v>
      </c>
      <c r="B8093" s="32" t="n">
        <v>65.068</v>
      </c>
      <c r="D8093" s="33" t="n">
        <f aca="false">WEEKDAY(A8093,2)</f>
        <v>1</v>
      </c>
      <c r="E8093" s="33" t="n">
        <f aca="false">HOUR(A8093)+MINUTE(A8093)/60</f>
        <v>3</v>
      </c>
      <c r="F8093" s="33" t="n">
        <f aca="false">IF(OR(D8093&gt;5,E8093&lt;8,E8093&gt;=18,COUNTIF($K$2:$K$10,INT(A8093))&gt;0),1,0)</f>
        <v>1</v>
      </c>
      <c r="G8093" s="34" t="n">
        <f aca="false">B8093/1</f>
        <v>65.068</v>
      </c>
      <c r="H8093" s="34" t="n">
        <f aca="false">IF(F8093=1,G8093,"")</f>
        <v>65.068</v>
      </c>
    </row>
    <row r="8094" customFormat="false" ht="15" hidden="false" customHeight="false" outlineLevel="0" collapsed="false">
      <c r="A8094" s="31" t="n">
        <v>43073.1666666667</v>
      </c>
      <c r="B8094" s="32" t="n">
        <v>61.598</v>
      </c>
      <c r="D8094" s="33" t="n">
        <f aca="false">WEEKDAY(A8094,2)</f>
        <v>1</v>
      </c>
      <c r="E8094" s="33" t="n">
        <f aca="false">HOUR(A8094)+MINUTE(A8094)/60</f>
        <v>4</v>
      </c>
      <c r="F8094" s="33" t="n">
        <f aca="false">IF(OR(D8094&gt;5,E8094&lt;8,E8094&gt;=18,COUNTIF($K$2:$K$10,INT(A8094))&gt;0),1,0)</f>
        <v>1</v>
      </c>
      <c r="G8094" s="34" t="n">
        <f aca="false">B8094/1</f>
        <v>61.598</v>
      </c>
      <c r="H8094" s="34" t="n">
        <f aca="false">IF(F8094=1,G8094,"")</f>
        <v>61.598</v>
      </c>
    </row>
    <row r="8095" customFormat="false" ht="15" hidden="false" customHeight="false" outlineLevel="0" collapsed="false">
      <c r="A8095" s="31" t="n">
        <v>43073.2083333333</v>
      </c>
      <c r="B8095" s="32" t="n">
        <v>61.503</v>
      </c>
      <c r="D8095" s="33" t="n">
        <f aca="false">WEEKDAY(A8095,2)</f>
        <v>1</v>
      </c>
      <c r="E8095" s="33" t="n">
        <f aca="false">HOUR(A8095)+MINUTE(A8095)/60</f>
        <v>5</v>
      </c>
      <c r="F8095" s="33" t="n">
        <f aca="false">IF(OR(D8095&gt;5,E8095&lt;8,E8095&gt;=18,COUNTIF($K$2:$K$10,INT(A8095))&gt;0),1,0)</f>
        <v>1</v>
      </c>
      <c r="G8095" s="34" t="n">
        <f aca="false">B8095/1</f>
        <v>61.503</v>
      </c>
      <c r="H8095" s="34" t="n">
        <f aca="false">IF(F8095=1,G8095,"")</f>
        <v>61.503</v>
      </c>
    </row>
    <row r="8096" customFormat="false" ht="15" hidden="false" customHeight="false" outlineLevel="0" collapsed="false">
      <c r="A8096" s="31" t="n">
        <v>43073.25</v>
      </c>
      <c r="B8096" s="32" t="n">
        <v>62.941</v>
      </c>
      <c r="D8096" s="33" t="n">
        <f aca="false">WEEKDAY(A8096,2)</f>
        <v>1</v>
      </c>
      <c r="E8096" s="33" t="n">
        <f aca="false">HOUR(A8096)+MINUTE(A8096)/60</f>
        <v>6</v>
      </c>
      <c r="F8096" s="33" t="n">
        <f aca="false">IF(OR(D8096&gt;5,E8096&lt;8,E8096&gt;=18,COUNTIF($K$2:$K$10,INT(A8096))&gt;0),1,0)</f>
        <v>1</v>
      </c>
      <c r="G8096" s="34" t="n">
        <f aca="false">B8096/1</f>
        <v>62.941</v>
      </c>
      <c r="H8096" s="34" t="n">
        <f aca="false">IF(F8096=1,G8096,"")</f>
        <v>62.941</v>
      </c>
    </row>
    <row r="8097" customFormat="false" ht="15" hidden="false" customHeight="false" outlineLevel="0" collapsed="false">
      <c r="A8097" s="31" t="n">
        <v>43073.2916666667</v>
      </c>
      <c r="B8097" s="32" t="n">
        <v>90.518</v>
      </c>
      <c r="D8097" s="33" t="n">
        <f aca="false">WEEKDAY(A8097,2)</f>
        <v>1</v>
      </c>
      <c r="E8097" s="33" t="n">
        <f aca="false">HOUR(A8097)+MINUTE(A8097)/60</f>
        <v>7</v>
      </c>
      <c r="F8097" s="33" t="n">
        <f aca="false">IF(OR(D8097&gt;5,E8097&lt;8,E8097&gt;=18,COUNTIF($K$2:$K$10,INT(A8097))&gt;0),1,0)</f>
        <v>1</v>
      </c>
      <c r="G8097" s="34" t="n">
        <f aca="false">B8097/1</f>
        <v>90.518</v>
      </c>
      <c r="H8097" s="34" t="n">
        <f aca="false">IF(F8097=1,G8097,"")</f>
        <v>90.518</v>
      </c>
    </row>
    <row r="8098" customFormat="false" ht="15" hidden="false" customHeight="false" outlineLevel="0" collapsed="false">
      <c r="A8098" s="31" t="n">
        <v>43073.3333333333</v>
      </c>
      <c r="B8098" s="32" t="n">
        <v>188.115</v>
      </c>
      <c r="D8098" s="33" t="n">
        <f aca="false">WEEKDAY(A8098,2)</f>
        <v>1</v>
      </c>
      <c r="E8098" s="33" t="n">
        <f aca="false">HOUR(A8098)+MINUTE(A8098)/60</f>
        <v>8</v>
      </c>
      <c r="F8098" s="33" t="n">
        <f aca="false">IF(OR(D8098&gt;5,E8098&lt;8,E8098&gt;=18,COUNTIF($K$2:$K$10,INT(A8098))&gt;0),1,0)</f>
        <v>0</v>
      </c>
      <c r="G8098" s="34" t="n">
        <f aca="false">B8098/1</f>
        <v>188.115</v>
      </c>
      <c r="H8098" s="34" t="str">
        <f aca="false">IF(F8098=1,G8098,"")</f>
        <v/>
      </c>
    </row>
    <row r="8099" customFormat="false" ht="15" hidden="false" customHeight="false" outlineLevel="0" collapsed="false">
      <c r="A8099" s="31" t="n">
        <v>43073.375</v>
      </c>
      <c r="B8099" s="32" t="n">
        <v>224.869</v>
      </c>
      <c r="D8099" s="33" t="n">
        <f aca="false">WEEKDAY(A8099,2)</f>
        <v>1</v>
      </c>
      <c r="E8099" s="33" t="n">
        <f aca="false">HOUR(A8099)+MINUTE(A8099)/60</f>
        <v>9</v>
      </c>
      <c r="F8099" s="33" t="n">
        <f aca="false">IF(OR(D8099&gt;5,E8099&lt;8,E8099&gt;=18,COUNTIF($K$2:$K$10,INT(A8099))&gt;0),1,0)</f>
        <v>0</v>
      </c>
      <c r="G8099" s="34" t="n">
        <f aca="false">B8099/1</f>
        <v>224.869</v>
      </c>
      <c r="H8099" s="34" t="str">
        <f aca="false">IF(F8099=1,G8099,"")</f>
        <v/>
      </c>
    </row>
    <row r="8100" customFormat="false" ht="15" hidden="false" customHeight="false" outlineLevel="0" collapsed="false">
      <c r="A8100" s="31" t="n">
        <v>43073.4166666667</v>
      </c>
      <c r="B8100" s="32" t="n">
        <v>253.931</v>
      </c>
      <c r="D8100" s="33" t="n">
        <f aca="false">WEEKDAY(A8100,2)</f>
        <v>1</v>
      </c>
      <c r="E8100" s="33" t="n">
        <f aca="false">HOUR(A8100)+MINUTE(A8100)/60</f>
        <v>10</v>
      </c>
      <c r="F8100" s="33" t="n">
        <f aca="false">IF(OR(D8100&gt;5,E8100&lt;8,E8100&gt;=18,COUNTIF($K$2:$K$10,INT(A8100))&gt;0),1,0)</f>
        <v>0</v>
      </c>
      <c r="G8100" s="34" t="n">
        <f aca="false">B8100/1</f>
        <v>253.931</v>
      </c>
      <c r="H8100" s="34" t="str">
        <f aca="false">IF(F8100=1,G8100,"")</f>
        <v/>
      </c>
    </row>
    <row r="8101" customFormat="false" ht="15" hidden="false" customHeight="false" outlineLevel="0" collapsed="false">
      <c r="A8101" s="31" t="n">
        <v>43073.4583333333</v>
      </c>
      <c r="B8101" s="32" t="n">
        <v>264.23</v>
      </c>
      <c r="D8101" s="33" t="n">
        <f aca="false">WEEKDAY(A8101,2)</f>
        <v>1</v>
      </c>
      <c r="E8101" s="33" t="n">
        <f aca="false">HOUR(A8101)+MINUTE(A8101)/60</f>
        <v>11</v>
      </c>
      <c r="F8101" s="33" t="n">
        <f aca="false">IF(OR(D8101&gt;5,E8101&lt;8,E8101&gt;=18,COUNTIF($K$2:$K$10,INT(A8101))&gt;0),1,0)</f>
        <v>0</v>
      </c>
      <c r="G8101" s="34" t="n">
        <f aca="false">B8101/1</f>
        <v>264.23</v>
      </c>
      <c r="H8101" s="34" t="str">
        <f aca="false">IF(F8101=1,G8101,"")</f>
        <v/>
      </c>
    </row>
    <row r="8102" customFormat="false" ht="15" hidden="false" customHeight="false" outlineLevel="0" collapsed="false">
      <c r="A8102" s="31" t="n">
        <v>43073.5</v>
      </c>
      <c r="B8102" s="32" t="n">
        <v>264.834</v>
      </c>
      <c r="D8102" s="33" t="n">
        <f aca="false">WEEKDAY(A8102,2)</f>
        <v>1</v>
      </c>
      <c r="E8102" s="33" t="n">
        <f aca="false">HOUR(A8102)+MINUTE(A8102)/60</f>
        <v>12</v>
      </c>
      <c r="F8102" s="33" t="n">
        <f aca="false">IF(OR(D8102&gt;5,E8102&lt;8,E8102&gt;=18,COUNTIF($K$2:$K$10,INT(A8102))&gt;0),1,0)</f>
        <v>0</v>
      </c>
      <c r="G8102" s="34" t="n">
        <f aca="false">B8102/1</f>
        <v>264.834</v>
      </c>
      <c r="H8102" s="34" t="str">
        <f aca="false">IF(F8102=1,G8102,"")</f>
        <v/>
      </c>
    </row>
    <row r="8103" customFormat="false" ht="15" hidden="false" customHeight="false" outlineLevel="0" collapsed="false">
      <c r="A8103" s="31" t="n">
        <v>43073.5416666667</v>
      </c>
      <c r="B8103" s="32" t="n">
        <v>234.818</v>
      </c>
      <c r="D8103" s="33" t="n">
        <f aca="false">WEEKDAY(A8103,2)</f>
        <v>1</v>
      </c>
      <c r="E8103" s="33" t="n">
        <f aca="false">HOUR(A8103)+MINUTE(A8103)/60</f>
        <v>13</v>
      </c>
      <c r="F8103" s="33" t="n">
        <f aca="false">IF(OR(D8103&gt;5,E8103&lt;8,E8103&gt;=18,COUNTIF($K$2:$K$10,INT(A8103))&gt;0),1,0)</f>
        <v>0</v>
      </c>
      <c r="G8103" s="34" t="n">
        <f aca="false">B8103/1</f>
        <v>234.818</v>
      </c>
      <c r="H8103" s="34" t="str">
        <f aca="false">IF(F8103=1,G8103,"")</f>
        <v/>
      </c>
    </row>
    <row r="8104" customFormat="false" ht="15" hidden="false" customHeight="false" outlineLevel="0" collapsed="false">
      <c r="A8104" s="31" t="n">
        <v>43073.5833333333</v>
      </c>
      <c r="B8104" s="32" t="n">
        <v>239.409</v>
      </c>
      <c r="D8104" s="33" t="n">
        <f aca="false">WEEKDAY(A8104,2)</f>
        <v>1</v>
      </c>
      <c r="E8104" s="33" t="n">
        <f aca="false">HOUR(A8104)+MINUTE(A8104)/60</f>
        <v>14</v>
      </c>
      <c r="F8104" s="33" t="n">
        <f aca="false">IF(OR(D8104&gt;5,E8104&lt;8,E8104&gt;=18,COUNTIF($K$2:$K$10,INT(A8104))&gt;0),1,0)</f>
        <v>0</v>
      </c>
      <c r="G8104" s="34" t="n">
        <f aca="false">B8104/1</f>
        <v>239.409</v>
      </c>
      <c r="H8104" s="34" t="str">
        <f aca="false">IF(F8104=1,G8104,"")</f>
        <v/>
      </c>
    </row>
    <row r="8105" customFormat="false" ht="15" hidden="false" customHeight="false" outlineLevel="0" collapsed="false">
      <c r="A8105" s="31" t="n">
        <v>43073.625</v>
      </c>
      <c r="B8105" s="32" t="n">
        <v>236.942</v>
      </c>
      <c r="D8105" s="33" t="n">
        <f aca="false">WEEKDAY(A8105,2)</f>
        <v>1</v>
      </c>
      <c r="E8105" s="33" t="n">
        <f aca="false">HOUR(A8105)+MINUTE(A8105)/60</f>
        <v>15</v>
      </c>
      <c r="F8105" s="33" t="n">
        <f aca="false">IF(OR(D8105&gt;5,E8105&lt;8,E8105&gt;=18,COUNTIF($K$2:$K$10,INT(A8105))&gt;0),1,0)</f>
        <v>0</v>
      </c>
      <c r="G8105" s="34" t="n">
        <f aca="false">B8105/1</f>
        <v>236.942</v>
      </c>
      <c r="H8105" s="34" t="str">
        <f aca="false">IF(F8105=1,G8105,"")</f>
        <v/>
      </c>
    </row>
    <row r="8106" customFormat="false" ht="15" hidden="false" customHeight="false" outlineLevel="0" collapsed="false">
      <c r="A8106" s="31" t="n">
        <v>43073.6666666667</v>
      </c>
      <c r="B8106" s="32" t="n">
        <v>267.055</v>
      </c>
      <c r="D8106" s="33" t="n">
        <f aca="false">WEEKDAY(A8106,2)</f>
        <v>1</v>
      </c>
      <c r="E8106" s="33" t="n">
        <f aca="false">HOUR(A8106)+MINUTE(A8106)/60</f>
        <v>16</v>
      </c>
      <c r="F8106" s="33" t="n">
        <f aca="false">IF(OR(D8106&gt;5,E8106&lt;8,E8106&gt;=18,COUNTIF($K$2:$K$10,INT(A8106))&gt;0),1,0)</f>
        <v>0</v>
      </c>
      <c r="G8106" s="34" t="n">
        <f aca="false">B8106/1</f>
        <v>267.055</v>
      </c>
      <c r="H8106" s="34" t="str">
        <f aca="false">IF(F8106=1,G8106,"")</f>
        <v/>
      </c>
    </row>
    <row r="8107" customFormat="false" ht="15" hidden="false" customHeight="false" outlineLevel="0" collapsed="false">
      <c r="A8107" s="31" t="n">
        <v>43073.7083333333</v>
      </c>
      <c r="B8107" s="32" t="n">
        <v>262.909</v>
      </c>
      <c r="D8107" s="33" t="n">
        <f aca="false">WEEKDAY(A8107,2)</f>
        <v>1</v>
      </c>
      <c r="E8107" s="33" t="n">
        <f aca="false">HOUR(A8107)+MINUTE(A8107)/60</f>
        <v>17</v>
      </c>
      <c r="F8107" s="33" t="n">
        <f aca="false">IF(OR(D8107&gt;5,E8107&lt;8,E8107&gt;=18,COUNTIF($K$2:$K$10,INT(A8107))&gt;0),1,0)</f>
        <v>0</v>
      </c>
      <c r="G8107" s="34" t="n">
        <f aca="false">B8107/1</f>
        <v>262.909</v>
      </c>
      <c r="H8107" s="34" t="str">
        <f aca="false">IF(F8107=1,G8107,"")</f>
        <v/>
      </c>
    </row>
    <row r="8108" customFormat="false" ht="15" hidden="false" customHeight="false" outlineLevel="0" collapsed="false">
      <c r="A8108" s="31" t="n">
        <v>43073.75</v>
      </c>
      <c r="B8108" s="32" t="n">
        <v>236.949</v>
      </c>
      <c r="D8108" s="33" t="n">
        <f aca="false">WEEKDAY(A8108,2)</f>
        <v>1</v>
      </c>
      <c r="E8108" s="33" t="n">
        <f aca="false">HOUR(A8108)+MINUTE(A8108)/60</f>
        <v>18</v>
      </c>
      <c r="F8108" s="33" t="n">
        <f aca="false">IF(OR(D8108&gt;5,E8108&lt;8,E8108&gt;=18,COUNTIF($K$2:$K$10,INT(A8108))&gt;0),1,0)</f>
        <v>1</v>
      </c>
      <c r="G8108" s="34" t="n">
        <f aca="false">B8108/1</f>
        <v>236.949</v>
      </c>
      <c r="H8108" s="34" t="n">
        <f aca="false">IF(F8108=1,G8108,"")</f>
        <v>236.949</v>
      </c>
    </row>
    <row r="8109" customFormat="false" ht="15" hidden="false" customHeight="false" outlineLevel="0" collapsed="false">
      <c r="A8109" s="31" t="n">
        <v>43073.7916666667</v>
      </c>
      <c r="B8109" s="32" t="n">
        <v>212.611</v>
      </c>
      <c r="D8109" s="33" t="n">
        <f aca="false">WEEKDAY(A8109,2)</f>
        <v>1</v>
      </c>
      <c r="E8109" s="33" t="n">
        <f aca="false">HOUR(A8109)+MINUTE(A8109)/60</f>
        <v>19</v>
      </c>
      <c r="F8109" s="33" t="n">
        <f aca="false">IF(OR(D8109&gt;5,E8109&lt;8,E8109&gt;=18,COUNTIF($K$2:$K$10,INT(A8109))&gt;0),1,0)</f>
        <v>1</v>
      </c>
      <c r="G8109" s="34" t="n">
        <f aca="false">B8109/1</f>
        <v>212.611</v>
      </c>
      <c r="H8109" s="34" t="n">
        <f aca="false">IF(F8109=1,G8109,"")</f>
        <v>212.611</v>
      </c>
    </row>
    <row r="8110" customFormat="false" ht="15" hidden="false" customHeight="false" outlineLevel="0" collapsed="false">
      <c r="A8110" s="31" t="n">
        <v>43073.8333333333</v>
      </c>
      <c r="B8110" s="32" t="n">
        <v>200.454</v>
      </c>
      <c r="D8110" s="33" t="n">
        <f aca="false">WEEKDAY(A8110,2)</f>
        <v>1</v>
      </c>
      <c r="E8110" s="33" t="n">
        <f aca="false">HOUR(A8110)+MINUTE(A8110)/60</f>
        <v>20</v>
      </c>
      <c r="F8110" s="33" t="n">
        <f aca="false">IF(OR(D8110&gt;5,E8110&lt;8,E8110&gt;=18,COUNTIF($K$2:$K$10,INT(A8110))&gt;0),1,0)</f>
        <v>1</v>
      </c>
      <c r="G8110" s="34" t="n">
        <f aca="false">B8110/1</f>
        <v>200.454</v>
      </c>
      <c r="H8110" s="34" t="n">
        <f aca="false">IF(F8110=1,G8110,"")</f>
        <v>200.454</v>
      </c>
    </row>
    <row r="8111" customFormat="false" ht="15" hidden="false" customHeight="false" outlineLevel="0" collapsed="false">
      <c r="A8111" s="31" t="n">
        <v>43073.875</v>
      </c>
      <c r="B8111" s="32" t="n">
        <v>189.327</v>
      </c>
      <c r="D8111" s="33" t="n">
        <f aca="false">WEEKDAY(A8111,2)</f>
        <v>1</v>
      </c>
      <c r="E8111" s="33" t="n">
        <f aca="false">HOUR(A8111)+MINUTE(A8111)/60</f>
        <v>21</v>
      </c>
      <c r="F8111" s="33" t="n">
        <f aca="false">IF(OR(D8111&gt;5,E8111&lt;8,E8111&gt;=18,COUNTIF($K$2:$K$10,INT(A8111))&gt;0),1,0)</f>
        <v>1</v>
      </c>
      <c r="G8111" s="34" t="n">
        <f aca="false">B8111/1</f>
        <v>189.327</v>
      </c>
      <c r="H8111" s="34" t="n">
        <f aca="false">IF(F8111=1,G8111,"")</f>
        <v>189.327</v>
      </c>
    </row>
    <row r="8112" customFormat="false" ht="15" hidden="false" customHeight="false" outlineLevel="0" collapsed="false">
      <c r="A8112" s="31" t="n">
        <v>43073.9166666667</v>
      </c>
      <c r="B8112" s="32" t="n">
        <v>141.538</v>
      </c>
      <c r="D8112" s="33" t="n">
        <f aca="false">WEEKDAY(A8112,2)</f>
        <v>1</v>
      </c>
      <c r="E8112" s="33" t="n">
        <f aca="false">HOUR(A8112)+MINUTE(A8112)/60</f>
        <v>22</v>
      </c>
      <c r="F8112" s="33" t="n">
        <f aca="false">IF(OR(D8112&gt;5,E8112&lt;8,E8112&gt;=18,COUNTIF($K$2:$K$10,INT(A8112))&gt;0),1,0)</f>
        <v>1</v>
      </c>
      <c r="G8112" s="34" t="n">
        <f aca="false">B8112/1</f>
        <v>141.538</v>
      </c>
      <c r="H8112" s="34" t="n">
        <f aca="false">IF(F8112=1,G8112,"")</f>
        <v>141.538</v>
      </c>
    </row>
    <row r="8113" customFormat="false" ht="15" hidden="false" customHeight="false" outlineLevel="0" collapsed="false">
      <c r="A8113" s="31" t="n">
        <v>43073.9583333333</v>
      </c>
      <c r="B8113" s="32" t="n">
        <v>79.478</v>
      </c>
      <c r="D8113" s="33" t="n">
        <f aca="false">WEEKDAY(A8113,2)</f>
        <v>1</v>
      </c>
      <c r="E8113" s="33" t="n">
        <f aca="false">HOUR(A8113)+MINUTE(A8113)/60</f>
        <v>23</v>
      </c>
      <c r="F8113" s="33" t="n">
        <f aca="false">IF(OR(D8113&gt;5,E8113&lt;8,E8113&gt;=18,COUNTIF($K$2:$K$10,INT(A8113))&gt;0),1,0)</f>
        <v>1</v>
      </c>
      <c r="G8113" s="34" t="n">
        <f aca="false">B8113/1</f>
        <v>79.478</v>
      </c>
      <c r="H8113" s="34" t="n">
        <f aca="false">IF(F8113=1,G8113,"")</f>
        <v>79.478</v>
      </c>
    </row>
    <row r="8114" customFormat="false" ht="15" hidden="false" customHeight="false" outlineLevel="0" collapsed="false">
      <c r="A8114" s="31" t="n">
        <v>43074</v>
      </c>
      <c r="B8114" s="32" t="n">
        <v>71.671</v>
      </c>
      <c r="D8114" s="33" t="n">
        <f aca="false">WEEKDAY(A8114,2)</f>
        <v>2</v>
      </c>
      <c r="E8114" s="33" t="n">
        <f aca="false">HOUR(A8114)+MINUTE(A8114)/60</f>
        <v>0</v>
      </c>
      <c r="F8114" s="33" t="n">
        <f aca="false">IF(OR(D8114&gt;5,E8114&lt;8,E8114&gt;=18,COUNTIF($K$2:$K$10,INT(A8114))&gt;0),1,0)</f>
        <v>1</v>
      </c>
      <c r="G8114" s="34" t="n">
        <f aca="false">B8114/1</f>
        <v>71.671</v>
      </c>
      <c r="H8114" s="34" t="n">
        <f aca="false">IF(F8114=1,G8114,"")</f>
        <v>71.671</v>
      </c>
    </row>
    <row r="8115" customFormat="false" ht="15" hidden="false" customHeight="false" outlineLevel="0" collapsed="false">
      <c r="A8115" s="31" t="n">
        <v>43074.0416666667</v>
      </c>
      <c r="B8115" s="32" t="n">
        <v>65.164</v>
      </c>
      <c r="D8115" s="33" t="n">
        <f aca="false">WEEKDAY(A8115,2)</f>
        <v>2</v>
      </c>
      <c r="E8115" s="33" t="n">
        <f aca="false">HOUR(A8115)+MINUTE(A8115)/60</f>
        <v>1</v>
      </c>
      <c r="F8115" s="33" t="n">
        <f aca="false">IF(OR(D8115&gt;5,E8115&lt;8,E8115&gt;=18,COUNTIF($K$2:$K$10,INT(A8115))&gt;0),1,0)</f>
        <v>1</v>
      </c>
      <c r="G8115" s="34" t="n">
        <f aca="false">B8115/1</f>
        <v>65.164</v>
      </c>
      <c r="H8115" s="34" t="n">
        <f aca="false">IF(F8115=1,G8115,"")</f>
        <v>65.164</v>
      </c>
    </row>
    <row r="8116" customFormat="false" ht="15" hidden="false" customHeight="false" outlineLevel="0" collapsed="false">
      <c r="A8116" s="31" t="n">
        <v>43074.0833333333</v>
      </c>
      <c r="B8116" s="32" t="n">
        <v>64.366</v>
      </c>
      <c r="D8116" s="33" t="n">
        <f aca="false">WEEKDAY(A8116,2)</f>
        <v>2</v>
      </c>
      <c r="E8116" s="33" t="n">
        <f aca="false">HOUR(A8116)+MINUTE(A8116)/60</f>
        <v>2</v>
      </c>
      <c r="F8116" s="33" t="n">
        <f aca="false">IF(OR(D8116&gt;5,E8116&lt;8,E8116&gt;=18,COUNTIF($K$2:$K$10,INT(A8116))&gt;0),1,0)</f>
        <v>1</v>
      </c>
      <c r="G8116" s="34" t="n">
        <f aca="false">B8116/1</f>
        <v>64.366</v>
      </c>
      <c r="H8116" s="34" t="n">
        <f aca="false">IF(F8116=1,G8116,"")</f>
        <v>64.366</v>
      </c>
    </row>
    <row r="8117" customFormat="false" ht="15" hidden="false" customHeight="false" outlineLevel="0" collapsed="false">
      <c r="A8117" s="31" t="n">
        <v>43074.125</v>
      </c>
      <c r="B8117" s="32" t="n">
        <v>64.236</v>
      </c>
      <c r="D8117" s="33" t="n">
        <f aca="false">WEEKDAY(A8117,2)</f>
        <v>2</v>
      </c>
      <c r="E8117" s="33" t="n">
        <f aca="false">HOUR(A8117)+MINUTE(A8117)/60</f>
        <v>3</v>
      </c>
      <c r="F8117" s="33" t="n">
        <f aca="false">IF(OR(D8117&gt;5,E8117&lt;8,E8117&gt;=18,COUNTIF($K$2:$K$10,INT(A8117))&gt;0),1,0)</f>
        <v>1</v>
      </c>
      <c r="G8117" s="34" t="n">
        <f aca="false">B8117/1</f>
        <v>64.236</v>
      </c>
      <c r="H8117" s="34" t="n">
        <f aca="false">IF(F8117=1,G8117,"")</f>
        <v>64.236</v>
      </c>
    </row>
    <row r="8118" customFormat="false" ht="15" hidden="false" customHeight="false" outlineLevel="0" collapsed="false">
      <c r="A8118" s="31" t="n">
        <v>43074.1666666667</v>
      </c>
      <c r="B8118" s="32" t="n">
        <v>65.382</v>
      </c>
      <c r="D8118" s="33" t="n">
        <f aca="false">WEEKDAY(A8118,2)</f>
        <v>2</v>
      </c>
      <c r="E8118" s="33" t="n">
        <f aca="false">HOUR(A8118)+MINUTE(A8118)/60</f>
        <v>4</v>
      </c>
      <c r="F8118" s="33" t="n">
        <f aca="false">IF(OR(D8118&gt;5,E8118&lt;8,E8118&gt;=18,COUNTIF($K$2:$K$10,INT(A8118))&gt;0),1,0)</f>
        <v>1</v>
      </c>
      <c r="G8118" s="34" t="n">
        <f aca="false">B8118/1</f>
        <v>65.382</v>
      </c>
      <c r="H8118" s="34" t="n">
        <f aca="false">IF(F8118=1,G8118,"")</f>
        <v>65.382</v>
      </c>
    </row>
    <row r="8119" customFormat="false" ht="15" hidden="false" customHeight="false" outlineLevel="0" collapsed="false">
      <c r="A8119" s="31" t="n">
        <v>43074.2083333333</v>
      </c>
      <c r="B8119" s="32" t="n">
        <v>65.935</v>
      </c>
      <c r="D8119" s="33" t="n">
        <f aca="false">WEEKDAY(A8119,2)</f>
        <v>2</v>
      </c>
      <c r="E8119" s="33" t="n">
        <f aca="false">HOUR(A8119)+MINUTE(A8119)/60</f>
        <v>5</v>
      </c>
      <c r="F8119" s="33" t="n">
        <f aca="false">IF(OR(D8119&gt;5,E8119&lt;8,E8119&gt;=18,COUNTIF($K$2:$K$10,INT(A8119))&gt;0),1,0)</f>
        <v>1</v>
      </c>
      <c r="G8119" s="34" t="n">
        <f aca="false">B8119/1</f>
        <v>65.935</v>
      </c>
      <c r="H8119" s="34" t="n">
        <f aca="false">IF(F8119=1,G8119,"")</f>
        <v>65.935</v>
      </c>
    </row>
    <row r="8120" customFormat="false" ht="15" hidden="false" customHeight="false" outlineLevel="0" collapsed="false">
      <c r="A8120" s="31" t="n">
        <v>43074.25</v>
      </c>
      <c r="B8120" s="32" t="n">
        <v>64.659</v>
      </c>
      <c r="D8120" s="33" t="n">
        <f aca="false">WEEKDAY(A8120,2)</f>
        <v>2</v>
      </c>
      <c r="E8120" s="33" t="n">
        <f aca="false">HOUR(A8120)+MINUTE(A8120)/60</f>
        <v>6</v>
      </c>
      <c r="F8120" s="33" t="n">
        <f aca="false">IF(OR(D8120&gt;5,E8120&lt;8,E8120&gt;=18,COUNTIF($K$2:$K$10,INT(A8120))&gt;0),1,0)</f>
        <v>1</v>
      </c>
      <c r="G8120" s="34" t="n">
        <f aca="false">B8120/1</f>
        <v>64.659</v>
      </c>
      <c r="H8120" s="34" t="n">
        <f aca="false">IF(F8120=1,G8120,"")</f>
        <v>64.659</v>
      </c>
    </row>
    <row r="8121" customFormat="false" ht="15" hidden="false" customHeight="false" outlineLevel="0" collapsed="false">
      <c r="A8121" s="31" t="n">
        <v>43074.2916666667</v>
      </c>
      <c r="B8121" s="32" t="n">
        <v>66.875</v>
      </c>
      <c r="D8121" s="33" t="n">
        <f aca="false">WEEKDAY(A8121,2)</f>
        <v>2</v>
      </c>
      <c r="E8121" s="33" t="n">
        <f aca="false">HOUR(A8121)+MINUTE(A8121)/60</f>
        <v>7</v>
      </c>
      <c r="F8121" s="33" t="n">
        <f aca="false">IF(OR(D8121&gt;5,E8121&lt;8,E8121&gt;=18,COUNTIF($K$2:$K$10,INT(A8121))&gt;0),1,0)</f>
        <v>1</v>
      </c>
      <c r="G8121" s="34" t="n">
        <f aca="false">B8121/1</f>
        <v>66.875</v>
      </c>
      <c r="H8121" s="34" t="n">
        <f aca="false">IF(F8121=1,G8121,"")</f>
        <v>66.875</v>
      </c>
    </row>
    <row r="8122" customFormat="false" ht="15" hidden="false" customHeight="false" outlineLevel="0" collapsed="false">
      <c r="A8122" s="31" t="n">
        <v>43074.3333333333</v>
      </c>
      <c r="B8122" s="32" t="n">
        <v>166.526</v>
      </c>
      <c r="D8122" s="33" t="n">
        <f aca="false">WEEKDAY(A8122,2)</f>
        <v>2</v>
      </c>
      <c r="E8122" s="33" t="n">
        <f aca="false">HOUR(A8122)+MINUTE(A8122)/60</f>
        <v>8</v>
      </c>
      <c r="F8122" s="33" t="n">
        <f aca="false">IF(OR(D8122&gt;5,E8122&lt;8,E8122&gt;=18,COUNTIF($K$2:$K$10,INT(A8122))&gt;0),1,0)</f>
        <v>0</v>
      </c>
      <c r="G8122" s="34" t="n">
        <f aca="false">B8122/1</f>
        <v>166.526</v>
      </c>
      <c r="H8122" s="34" t="str">
        <f aca="false">IF(F8122=1,G8122,"")</f>
        <v/>
      </c>
    </row>
    <row r="8123" customFormat="false" ht="15" hidden="false" customHeight="false" outlineLevel="0" collapsed="false">
      <c r="A8123" s="31" t="n">
        <v>43074.375</v>
      </c>
      <c r="B8123" s="32" t="n">
        <v>197.083</v>
      </c>
      <c r="D8123" s="33" t="n">
        <f aca="false">WEEKDAY(A8123,2)</f>
        <v>2</v>
      </c>
      <c r="E8123" s="33" t="n">
        <f aca="false">HOUR(A8123)+MINUTE(A8123)/60</f>
        <v>9</v>
      </c>
      <c r="F8123" s="33" t="n">
        <f aca="false">IF(OR(D8123&gt;5,E8123&lt;8,E8123&gt;=18,COUNTIF($K$2:$K$10,INT(A8123))&gt;0),1,0)</f>
        <v>0</v>
      </c>
      <c r="G8123" s="34" t="n">
        <f aca="false">B8123/1</f>
        <v>197.083</v>
      </c>
      <c r="H8123" s="34" t="str">
        <f aca="false">IF(F8123=1,G8123,"")</f>
        <v/>
      </c>
    </row>
    <row r="8124" customFormat="false" ht="15" hidden="false" customHeight="false" outlineLevel="0" collapsed="false">
      <c r="A8124" s="31" t="n">
        <v>43074.4166666667</v>
      </c>
      <c r="B8124" s="32" t="n">
        <v>219.429</v>
      </c>
      <c r="D8124" s="33" t="n">
        <f aca="false">WEEKDAY(A8124,2)</f>
        <v>2</v>
      </c>
      <c r="E8124" s="33" t="n">
        <f aca="false">HOUR(A8124)+MINUTE(A8124)/60</f>
        <v>10</v>
      </c>
      <c r="F8124" s="33" t="n">
        <f aca="false">IF(OR(D8124&gt;5,E8124&lt;8,E8124&gt;=18,COUNTIF($K$2:$K$10,INT(A8124))&gt;0),1,0)</f>
        <v>0</v>
      </c>
      <c r="G8124" s="34" t="n">
        <f aca="false">B8124/1</f>
        <v>219.429</v>
      </c>
      <c r="H8124" s="34" t="str">
        <f aca="false">IF(F8124=1,G8124,"")</f>
        <v/>
      </c>
    </row>
    <row r="8125" customFormat="false" ht="15" hidden="false" customHeight="false" outlineLevel="0" collapsed="false">
      <c r="A8125" s="31" t="n">
        <v>43074.4583333333</v>
      </c>
      <c r="B8125" s="32" t="n">
        <v>255.062</v>
      </c>
      <c r="D8125" s="33" t="n">
        <f aca="false">WEEKDAY(A8125,2)</f>
        <v>2</v>
      </c>
      <c r="E8125" s="33" t="n">
        <f aca="false">HOUR(A8125)+MINUTE(A8125)/60</f>
        <v>11</v>
      </c>
      <c r="F8125" s="33" t="n">
        <f aca="false">IF(OR(D8125&gt;5,E8125&lt;8,E8125&gt;=18,COUNTIF($K$2:$K$10,INT(A8125))&gt;0),1,0)</f>
        <v>0</v>
      </c>
      <c r="G8125" s="34" t="n">
        <f aca="false">B8125/1</f>
        <v>255.062</v>
      </c>
      <c r="H8125" s="34" t="str">
        <f aca="false">IF(F8125=1,G8125,"")</f>
        <v/>
      </c>
    </row>
    <row r="8126" customFormat="false" ht="15" hidden="false" customHeight="false" outlineLevel="0" collapsed="false">
      <c r="A8126" s="31" t="n">
        <v>43074.5</v>
      </c>
      <c r="B8126" s="32" t="n">
        <v>262.879</v>
      </c>
      <c r="D8126" s="33" t="n">
        <f aca="false">WEEKDAY(A8126,2)</f>
        <v>2</v>
      </c>
      <c r="E8126" s="33" t="n">
        <f aca="false">HOUR(A8126)+MINUTE(A8126)/60</f>
        <v>12</v>
      </c>
      <c r="F8126" s="33" t="n">
        <f aca="false">IF(OR(D8126&gt;5,E8126&lt;8,E8126&gt;=18,COUNTIF($K$2:$K$10,INT(A8126))&gt;0),1,0)</f>
        <v>0</v>
      </c>
      <c r="G8126" s="34" t="n">
        <f aca="false">B8126/1</f>
        <v>262.879</v>
      </c>
      <c r="H8126" s="34" t="str">
        <f aca="false">IF(F8126=1,G8126,"")</f>
        <v/>
      </c>
    </row>
    <row r="8127" customFormat="false" ht="15" hidden="false" customHeight="false" outlineLevel="0" collapsed="false">
      <c r="A8127" s="31" t="n">
        <v>43074.5416666667</v>
      </c>
      <c r="B8127" s="32" t="n">
        <v>257.354</v>
      </c>
      <c r="D8127" s="33" t="n">
        <f aca="false">WEEKDAY(A8127,2)</f>
        <v>2</v>
      </c>
      <c r="E8127" s="33" t="n">
        <f aca="false">HOUR(A8127)+MINUTE(A8127)/60</f>
        <v>13</v>
      </c>
      <c r="F8127" s="33" t="n">
        <f aca="false">IF(OR(D8127&gt;5,E8127&lt;8,E8127&gt;=18,COUNTIF($K$2:$K$10,INT(A8127))&gt;0),1,0)</f>
        <v>0</v>
      </c>
      <c r="G8127" s="34" t="n">
        <f aca="false">B8127/1</f>
        <v>257.354</v>
      </c>
      <c r="H8127" s="34" t="str">
        <f aca="false">IF(F8127=1,G8127,"")</f>
        <v/>
      </c>
    </row>
    <row r="8128" customFormat="false" ht="15" hidden="false" customHeight="false" outlineLevel="0" collapsed="false">
      <c r="A8128" s="31" t="n">
        <v>43074.5833333333</v>
      </c>
      <c r="B8128" s="32" t="n">
        <v>278.579</v>
      </c>
      <c r="D8128" s="33" t="n">
        <f aca="false">WEEKDAY(A8128,2)</f>
        <v>2</v>
      </c>
      <c r="E8128" s="33" t="n">
        <f aca="false">HOUR(A8128)+MINUTE(A8128)/60</f>
        <v>14</v>
      </c>
      <c r="F8128" s="33" t="n">
        <f aca="false">IF(OR(D8128&gt;5,E8128&lt;8,E8128&gt;=18,COUNTIF($K$2:$K$10,INT(A8128))&gt;0),1,0)</f>
        <v>0</v>
      </c>
      <c r="G8128" s="34" t="n">
        <f aca="false">B8128/1</f>
        <v>278.579</v>
      </c>
      <c r="H8128" s="34" t="str">
        <f aca="false">IF(F8128=1,G8128,"")</f>
        <v/>
      </c>
    </row>
    <row r="8129" customFormat="false" ht="15" hidden="false" customHeight="false" outlineLevel="0" collapsed="false">
      <c r="A8129" s="31" t="n">
        <v>43074.625</v>
      </c>
      <c r="B8129" s="32" t="n">
        <v>252.837</v>
      </c>
      <c r="D8129" s="33" t="n">
        <f aca="false">WEEKDAY(A8129,2)</f>
        <v>2</v>
      </c>
      <c r="E8129" s="33" t="n">
        <f aca="false">HOUR(A8129)+MINUTE(A8129)/60</f>
        <v>15</v>
      </c>
      <c r="F8129" s="33" t="n">
        <f aca="false">IF(OR(D8129&gt;5,E8129&lt;8,E8129&gt;=18,COUNTIF($K$2:$K$10,INT(A8129))&gt;0),1,0)</f>
        <v>0</v>
      </c>
      <c r="G8129" s="34" t="n">
        <f aca="false">B8129/1</f>
        <v>252.837</v>
      </c>
      <c r="H8129" s="34" t="str">
        <f aca="false">IF(F8129=1,G8129,"")</f>
        <v/>
      </c>
    </row>
    <row r="8130" customFormat="false" ht="15" hidden="false" customHeight="false" outlineLevel="0" collapsed="false">
      <c r="A8130" s="31" t="n">
        <v>43074.6666666667</v>
      </c>
      <c r="B8130" s="32" t="n">
        <v>249.375</v>
      </c>
      <c r="D8130" s="33" t="n">
        <f aca="false">WEEKDAY(A8130,2)</f>
        <v>2</v>
      </c>
      <c r="E8130" s="33" t="n">
        <f aca="false">HOUR(A8130)+MINUTE(A8130)/60</f>
        <v>16</v>
      </c>
      <c r="F8130" s="33" t="n">
        <f aca="false">IF(OR(D8130&gt;5,E8130&lt;8,E8130&gt;=18,COUNTIF($K$2:$K$10,INT(A8130))&gt;0),1,0)</f>
        <v>0</v>
      </c>
      <c r="G8130" s="34" t="n">
        <f aca="false">B8130/1</f>
        <v>249.375</v>
      </c>
      <c r="H8130" s="34" t="str">
        <f aca="false">IF(F8130=1,G8130,"")</f>
        <v/>
      </c>
    </row>
    <row r="8131" customFormat="false" ht="15" hidden="false" customHeight="false" outlineLevel="0" collapsed="false">
      <c r="A8131" s="31" t="n">
        <v>43074.7083333333</v>
      </c>
      <c r="B8131" s="32" t="n">
        <v>243.807</v>
      </c>
      <c r="D8131" s="33" t="n">
        <f aca="false">WEEKDAY(A8131,2)</f>
        <v>2</v>
      </c>
      <c r="E8131" s="33" t="n">
        <f aca="false">HOUR(A8131)+MINUTE(A8131)/60</f>
        <v>17</v>
      </c>
      <c r="F8131" s="33" t="n">
        <f aca="false">IF(OR(D8131&gt;5,E8131&lt;8,E8131&gt;=18,COUNTIF($K$2:$K$10,INT(A8131))&gt;0),1,0)</f>
        <v>0</v>
      </c>
      <c r="G8131" s="34" t="n">
        <f aca="false">B8131/1</f>
        <v>243.807</v>
      </c>
      <c r="H8131" s="34" t="str">
        <f aca="false">IF(F8131=1,G8131,"")</f>
        <v/>
      </c>
    </row>
    <row r="8132" customFormat="false" ht="15" hidden="false" customHeight="false" outlineLevel="0" collapsed="false">
      <c r="A8132" s="31" t="n">
        <v>43074.75</v>
      </c>
      <c r="B8132" s="32" t="n">
        <v>221.232</v>
      </c>
      <c r="D8132" s="33" t="n">
        <f aca="false">WEEKDAY(A8132,2)</f>
        <v>2</v>
      </c>
      <c r="E8132" s="33" t="n">
        <f aca="false">HOUR(A8132)+MINUTE(A8132)/60</f>
        <v>18</v>
      </c>
      <c r="F8132" s="33" t="n">
        <f aca="false">IF(OR(D8132&gt;5,E8132&lt;8,E8132&gt;=18,COUNTIF($K$2:$K$10,INT(A8132))&gt;0),1,0)</f>
        <v>1</v>
      </c>
      <c r="G8132" s="34" t="n">
        <f aca="false">B8132/1</f>
        <v>221.232</v>
      </c>
      <c r="H8132" s="34" t="n">
        <f aca="false">IF(F8132=1,G8132,"")</f>
        <v>221.232</v>
      </c>
    </row>
    <row r="8133" customFormat="false" ht="15" hidden="false" customHeight="false" outlineLevel="0" collapsed="false">
      <c r="A8133" s="31" t="n">
        <v>43074.7916666667</v>
      </c>
      <c r="B8133" s="32" t="n">
        <v>210.435</v>
      </c>
      <c r="D8133" s="33" t="n">
        <f aca="false">WEEKDAY(A8133,2)</f>
        <v>2</v>
      </c>
      <c r="E8133" s="33" t="n">
        <f aca="false">HOUR(A8133)+MINUTE(A8133)/60</f>
        <v>19</v>
      </c>
      <c r="F8133" s="33" t="n">
        <f aca="false">IF(OR(D8133&gt;5,E8133&lt;8,E8133&gt;=18,COUNTIF($K$2:$K$10,INT(A8133))&gt;0),1,0)</f>
        <v>1</v>
      </c>
      <c r="G8133" s="34" t="n">
        <f aca="false">B8133/1</f>
        <v>210.435</v>
      </c>
      <c r="H8133" s="34" t="n">
        <f aca="false">IF(F8133=1,G8133,"")</f>
        <v>210.435</v>
      </c>
    </row>
    <row r="8134" customFormat="false" ht="15" hidden="false" customHeight="false" outlineLevel="0" collapsed="false">
      <c r="A8134" s="31" t="n">
        <v>43074.8333333333</v>
      </c>
      <c r="B8134" s="32" t="n">
        <v>201.058</v>
      </c>
      <c r="D8134" s="33" t="n">
        <f aca="false">WEEKDAY(A8134,2)</f>
        <v>2</v>
      </c>
      <c r="E8134" s="33" t="n">
        <f aca="false">HOUR(A8134)+MINUTE(A8134)/60</f>
        <v>20</v>
      </c>
      <c r="F8134" s="33" t="n">
        <f aca="false">IF(OR(D8134&gt;5,E8134&lt;8,E8134&gt;=18,COUNTIF($K$2:$K$10,INT(A8134))&gt;0),1,0)</f>
        <v>1</v>
      </c>
      <c r="G8134" s="34" t="n">
        <f aca="false">B8134/1</f>
        <v>201.058</v>
      </c>
      <c r="H8134" s="34" t="n">
        <f aca="false">IF(F8134=1,G8134,"")</f>
        <v>201.058</v>
      </c>
    </row>
    <row r="8135" customFormat="false" ht="15" hidden="false" customHeight="false" outlineLevel="0" collapsed="false">
      <c r="A8135" s="31" t="n">
        <v>43074.875</v>
      </c>
      <c r="B8135" s="32" t="n">
        <v>193.987</v>
      </c>
      <c r="D8135" s="33" t="n">
        <f aca="false">WEEKDAY(A8135,2)</f>
        <v>2</v>
      </c>
      <c r="E8135" s="33" t="n">
        <f aca="false">HOUR(A8135)+MINUTE(A8135)/60</f>
        <v>21</v>
      </c>
      <c r="F8135" s="33" t="n">
        <f aca="false">IF(OR(D8135&gt;5,E8135&lt;8,E8135&gt;=18,COUNTIF($K$2:$K$10,INT(A8135))&gt;0),1,0)</f>
        <v>1</v>
      </c>
      <c r="G8135" s="34" t="n">
        <f aca="false">B8135/1</f>
        <v>193.987</v>
      </c>
      <c r="H8135" s="34" t="n">
        <f aca="false">IF(F8135=1,G8135,"")</f>
        <v>193.987</v>
      </c>
    </row>
    <row r="8136" customFormat="false" ht="15" hidden="false" customHeight="false" outlineLevel="0" collapsed="false">
      <c r="A8136" s="31" t="n">
        <v>43074.9166666667</v>
      </c>
      <c r="B8136" s="32" t="n">
        <v>140.426</v>
      </c>
      <c r="D8136" s="33" t="n">
        <f aca="false">WEEKDAY(A8136,2)</f>
        <v>2</v>
      </c>
      <c r="E8136" s="33" t="n">
        <f aca="false">HOUR(A8136)+MINUTE(A8136)/60</f>
        <v>22</v>
      </c>
      <c r="F8136" s="33" t="n">
        <f aca="false">IF(OR(D8136&gt;5,E8136&lt;8,E8136&gt;=18,COUNTIF($K$2:$K$10,INT(A8136))&gt;0),1,0)</f>
        <v>1</v>
      </c>
      <c r="G8136" s="34" t="n">
        <f aca="false">B8136/1</f>
        <v>140.426</v>
      </c>
      <c r="H8136" s="34" t="n">
        <f aca="false">IF(F8136=1,G8136,"")</f>
        <v>140.426</v>
      </c>
    </row>
    <row r="8137" customFormat="false" ht="15" hidden="false" customHeight="false" outlineLevel="0" collapsed="false">
      <c r="A8137" s="31" t="n">
        <v>43074.9583333333</v>
      </c>
      <c r="B8137" s="32" t="n">
        <v>82.567</v>
      </c>
      <c r="D8137" s="33" t="n">
        <f aca="false">WEEKDAY(A8137,2)</f>
        <v>2</v>
      </c>
      <c r="E8137" s="33" t="n">
        <f aca="false">HOUR(A8137)+MINUTE(A8137)/60</f>
        <v>23</v>
      </c>
      <c r="F8137" s="33" t="n">
        <f aca="false">IF(OR(D8137&gt;5,E8137&lt;8,E8137&gt;=18,COUNTIF($K$2:$K$10,INT(A8137))&gt;0),1,0)</f>
        <v>1</v>
      </c>
      <c r="G8137" s="34" t="n">
        <f aca="false">B8137/1</f>
        <v>82.567</v>
      </c>
      <c r="H8137" s="34" t="n">
        <f aca="false">IF(F8137=1,G8137,"")</f>
        <v>82.567</v>
      </c>
    </row>
    <row r="8138" customFormat="false" ht="15" hidden="false" customHeight="false" outlineLevel="0" collapsed="false">
      <c r="A8138" s="31" t="n">
        <v>43075</v>
      </c>
      <c r="B8138" s="32" t="n">
        <v>78.607</v>
      </c>
      <c r="D8138" s="33" t="n">
        <f aca="false">WEEKDAY(A8138,2)</f>
        <v>3</v>
      </c>
      <c r="E8138" s="33" t="n">
        <f aca="false">HOUR(A8138)+MINUTE(A8138)/60</f>
        <v>0</v>
      </c>
      <c r="F8138" s="33" t="n">
        <f aca="false">IF(OR(D8138&gt;5,E8138&lt;8,E8138&gt;=18,COUNTIF($K$2:$K$10,INT(A8138))&gt;0),1,0)</f>
        <v>1</v>
      </c>
      <c r="G8138" s="34" t="n">
        <f aca="false">B8138/1</f>
        <v>78.607</v>
      </c>
      <c r="H8138" s="34" t="n">
        <f aca="false">IF(F8138=1,G8138,"")</f>
        <v>78.607</v>
      </c>
    </row>
    <row r="8139" customFormat="false" ht="15" hidden="false" customHeight="false" outlineLevel="0" collapsed="false">
      <c r="A8139" s="31" t="n">
        <v>43075.0416666667</v>
      </c>
      <c r="B8139" s="32" t="n">
        <v>69.958</v>
      </c>
      <c r="D8139" s="33" t="n">
        <f aca="false">WEEKDAY(A8139,2)</f>
        <v>3</v>
      </c>
      <c r="E8139" s="33" t="n">
        <f aca="false">HOUR(A8139)+MINUTE(A8139)/60</f>
        <v>1</v>
      </c>
      <c r="F8139" s="33" t="n">
        <f aca="false">IF(OR(D8139&gt;5,E8139&lt;8,E8139&gt;=18,COUNTIF($K$2:$K$10,INT(A8139))&gt;0),1,0)</f>
        <v>1</v>
      </c>
      <c r="G8139" s="34" t="n">
        <f aca="false">B8139/1</f>
        <v>69.958</v>
      </c>
      <c r="H8139" s="34" t="n">
        <f aca="false">IF(F8139=1,G8139,"")</f>
        <v>69.958</v>
      </c>
    </row>
    <row r="8140" customFormat="false" ht="15" hidden="false" customHeight="false" outlineLevel="0" collapsed="false">
      <c r="A8140" s="31" t="n">
        <v>43075.0833333333</v>
      </c>
      <c r="B8140" s="32" t="n">
        <v>70.694</v>
      </c>
      <c r="D8140" s="33" t="n">
        <f aca="false">WEEKDAY(A8140,2)</f>
        <v>3</v>
      </c>
      <c r="E8140" s="33" t="n">
        <f aca="false">HOUR(A8140)+MINUTE(A8140)/60</f>
        <v>2</v>
      </c>
      <c r="F8140" s="33" t="n">
        <f aca="false">IF(OR(D8140&gt;5,E8140&lt;8,E8140&gt;=18,COUNTIF($K$2:$K$10,INT(A8140))&gt;0),1,0)</f>
        <v>1</v>
      </c>
      <c r="G8140" s="34" t="n">
        <f aca="false">B8140/1</f>
        <v>70.694</v>
      </c>
      <c r="H8140" s="34" t="n">
        <f aca="false">IF(F8140=1,G8140,"")</f>
        <v>70.694</v>
      </c>
    </row>
    <row r="8141" customFormat="false" ht="15" hidden="false" customHeight="false" outlineLevel="0" collapsed="false">
      <c r="A8141" s="31" t="n">
        <v>43075.125</v>
      </c>
      <c r="B8141" s="32" t="n">
        <v>72.088</v>
      </c>
      <c r="D8141" s="33" t="n">
        <f aca="false">WEEKDAY(A8141,2)</f>
        <v>3</v>
      </c>
      <c r="E8141" s="33" t="n">
        <f aca="false">HOUR(A8141)+MINUTE(A8141)/60</f>
        <v>3</v>
      </c>
      <c r="F8141" s="33" t="n">
        <f aca="false">IF(OR(D8141&gt;5,E8141&lt;8,E8141&gt;=18,COUNTIF($K$2:$K$10,INT(A8141))&gt;0),1,0)</f>
        <v>1</v>
      </c>
      <c r="G8141" s="34" t="n">
        <f aca="false">B8141/1</f>
        <v>72.088</v>
      </c>
      <c r="H8141" s="34" t="n">
        <f aca="false">IF(F8141=1,G8141,"")</f>
        <v>72.088</v>
      </c>
    </row>
    <row r="8142" customFormat="false" ht="15" hidden="false" customHeight="false" outlineLevel="0" collapsed="false">
      <c r="A8142" s="31" t="n">
        <v>43075.1666666667</v>
      </c>
      <c r="B8142" s="32" t="n">
        <v>71.397</v>
      </c>
      <c r="D8142" s="33" t="n">
        <f aca="false">WEEKDAY(A8142,2)</f>
        <v>3</v>
      </c>
      <c r="E8142" s="33" t="n">
        <f aca="false">HOUR(A8142)+MINUTE(A8142)/60</f>
        <v>4</v>
      </c>
      <c r="F8142" s="33" t="n">
        <f aca="false">IF(OR(D8142&gt;5,E8142&lt;8,E8142&gt;=18,COUNTIF($K$2:$K$10,INT(A8142))&gt;0),1,0)</f>
        <v>1</v>
      </c>
      <c r="G8142" s="34" t="n">
        <f aca="false">B8142/1</f>
        <v>71.397</v>
      </c>
      <c r="H8142" s="34" t="n">
        <f aca="false">IF(F8142=1,G8142,"")</f>
        <v>71.397</v>
      </c>
    </row>
    <row r="8143" customFormat="false" ht="15" hidden="false" customHeight="false" outlineLevel="0" collapsed="false">
      <c r="A8143" s="31" t="n">
        <v>43075.2083333333</v>
      </c>
      <c r="B8143" s="32" t="n">
        <v>70.793</v>
      </c>
      <c r="D8143" s="33" t="n">
        <f aca="false">WEEKDAY(A8143,2)</f>
        <v>3</v>
      </c>
      <c r="E8143" s="33" t="n">
        <f aca="false">HOUR(A8143)+MINUTE(A8143)/60</f>
        <v>5</v>
      </c>
      <c r="F8143" s="33" t="n">
        <f aca="false">IF(OR(D8143&gt;5,E8143&lt;8,E8143&gt;=18,COUNTIF($K$2:$K$10,INT(A8143))&gt;0),1,0)</f>
        <v>1</v>
      </c>
      <c r="G8143" s="34" t="n">
        <f aca="false">B8143/1</f>
        <v>70.793</v>
      </c>
      <c r="H8143" s="34" t="n">
        <f aca="false">IF(F8143=1,G8143,"")</f>
        <v>70.793</v>
      </c>
    </row>
    <row r="8144" customFormat="false" ht="15" hidden="false" customHeight="false" outlineLevel="0" collapsed="false">
      <c r="A8144" s="31" t="n">
        <v>43075.25</v>
      </c>
      <c r="B8144" s="32" t="n">
        <v>72.343</v>
      </c>
      <c r="D8144" s="33" t="n">
        <f aca="false">WEEKDAY(A8144,2)</f>
        <v>3</v>
      </c>
      <c r="E8144" s="33" t="n">
        <f aca="false">HOUR(A8144)+MINUTE(A8144)/60</f>
        <v>6</v>
      </c>
      <c r="F8144" s="33" t="n">
        <f aca="false">IF(OR(D8144&gt;5,E8144&lt;8,E8144&gt;=18,COUNTIF($K$2:$K$10,INT(A8144))&gt;0),1,0)</f>
        <v>1</v>
      </c>
      <c r="G8144" s="34" t="n">
        <f aca="false">B8144/1</f>
        <v>72.343</v>
      </c>
      <c r="H8144" s="34" t="n">
        <f aca="false">IF(F8144=1,G8144,"")</f>
        <v>72.343</v>
      </c>
    </row>
    <row r="8145" customFormat="false" ht="15" hidden="false" customHeight="false" outlineLevel="0" collapsed="false">
      <c r="A8145" s="31" t="n">
        <v>43075.2916666667</v>
      </c>
      <c r="B8145" s="32" t="n">
        <v>76.564</v>
      </c>
      <c r="D8145" s="33" t="n">
        <f aca="false">WEEKDAY(A8145,2)</f>
        <v>3</v>
      </c>
      <c r="E8145" s="33" t="n">
        <f aca="false">HOUR(A8145)+MINUTE(A8145)/60</f>
        <v>7</v>
      </c>
      <c r="F8145" s="33" t="n">
        <f aca="false">IF(OR(D8145&gt;5,E8145&lt;8,E8145&gt;=18,COUNTIF($K$2:$K$10,INT(A8145))&gt;0),1,0)</f>
        <v>1</v>
      </c>
      <c r="G8145" s="34" t="n">
        <f aca="false">B8145/1</f>
        <v>76.564</v>
      </c>
      <c r="H8145" s="34" t="n">
        <f aca="false">IF(F8145=1,G8145,"")</f>
        <v>76.564</v>
      </c>
    </row>
    <row r="8146" customFormat="false" ht="15" hidden="false" customHeight="false" outlineLevel="0" collapsed="false">
      <c r="A8146" s="31" t="n">
        <v>43075.3333333333</v>
      </c>
      <c r="B8146" s="32" t="n">
        <v>177.341</v>
      </c>
      <c r="D8146" s="33" t="n">
        <f aca="false">WEEKDAY(A8146,2)</f>
        <v>3</v>
      </c>
      <c r="E8146" s="33" t="n">
        <f aca="false">HOUR(A8146)+MINUTE(A8146)/60</f>
        <v>8</v>
      </c>
      <c r="F8146" s="33" t="n">
        <f aca="false">IF(OR(D8146&gt;5,E8146&lt;8,E8146&gt;=18,COUNTIF($K$2:$K$10,INT(A8146))&gt;0),1,0)</f>
        <v>0</v>
      </c>
      <c r="G8146" s="34" t="n">
        <f aca="false">B8146/1</f>
        <v>177.341</v>
      </c>
      <c r="H8146" s="34" t="str">
        <f aca="false">IF(F8146=1,G8146,"")</f>
        <v/>
      </c>
    </row>
    <row r="8147" customFormat="false" ht="15" hidden="false" customHeight="false" outlineLevel="0" collapsed="false">
      <c r="A8147" s="31" t="n">
        <v>43075.375</v>
      </c>
      <c r="B8147" s="32" t="n">
        <v>215.231</v>
      </c>
      <c r="D8147" s="33" t="n">
        <f aca="false">WEEKDAY(A8147,2)</f>
        <v>3</v>
      </c>
      <c r="E8147" s="33" t="n">
        <f aca="false">HOUR(A8147)+MINUTE(A8147)/60</f>
        <v>9</v>
      </c>
      <c r="F8147" s="33" t="n">
        <f aca="false">IF(OR(D8147&gt;5,E8147&lt;8,E8147&gt;=18,COUNTIF($K$2:$K$10,INT(A8147))&gt;0),1,0)</f>
        <v>0</v>
      </c>
      <c r="G8147" s="34" t="n">
        <f aca="false">B8147/1</f>
        <v>215.231</v>
      </c>
      <c r="H8147" s="34" t="str">
        <f aca="false">IF(F8147=1,G8147,"")</f>
        <v/>
      </c>
    </row>
    <row r="8148" customFormat="false" ht="15" hidden="false" customHeight="false" outlineLevel="0" collapsed="false">
      <c r="A8148" s="31" t="n">
        <v>43075.4166666667</v>
      </c>
      <c r="B8148" s="32" t="n">
        <v>245.601</v>
      </c>
      <c r="D8148" s="33" t="n">
        <f aca="false">WEEKDAY(A8148,2)</f>
        <v>3</v>
      </c>
      <c r="E8148" s="33" t="n">
        <f aca="false">HOUR(A8148)+MINUTE(A8148)/60</f>
        <v>10</v>
      </c>
      <c r="F8148" s="33" t="n">
        <f aca="false">IF(OR(D8148&gt;5,E8148&lt;8,E8148&gt;=18,COUNTIF($K$2:$K$10,INT(A8148))&gt;0),1,0)</f>
        <v>0</v>
      </c>
      <c r="G8148" s="34" t="n">
        <f aca="false">B8148/1</f>
        <v>245.601</v>
      </c>
      <c r="H8148" s="34" t="str">
        <f aca="false">IF(F8148=1,G8148,"")</f>
        <v/>
      </c>
    </row>
    <row r="8149" customFormat="false" ht="15" hidden="false" customHeight="false" outlineLevel="0" collapsed="false">
      <c r="A8149" s="31" t="n">
        <v>43075.4583333333</v>
      </c>
      <c r="B8149" s="32" t="n">
        <v>255.71</v>
      </c>
      <c r="D8149" s="33" t="n">
        <f aca="false">WEEKDAY(A8149,2)</f>
        <v>3</v>
      </c>
      <c r="E8149" s="33" t="n">
        <f aca="false">HOUR(A8149)+MINUTE(A8149)/60</f>
        <v>11</v>
      </c>
      <c r="F8149" s="33" t="n">
        <f aca="false">IF(OR(D8149&gt;5,E8149&lt;8,E8149&gt;=18,COUNTIF($K$2:$K$10,INT(A8149))&gt;0),1,0)</f>
        <v>0</v>
      </c>
      <c r="G8149" s="34" t="n">
        <f aca="false">B8149/1</f>
        <v>255.71</v>
      </c>
      <c r="H8149" s="34" t="str">
        <f aca="false">IF(F8149=1,G8149,"")</f>
        <v/>
      </c>
    </row>
    <row r="8150" customFormat="false" ht="15" hidden="false" customHeight="false" outlineLevel="0" collapsed="false">
      <c r="A8150" s="31" t="n">
        <v>43075.5</v>
      </c>
      <c r="B8150" s="32" t="n">
        <v>258.348</v>
      </c>
      <c r="D8150" s="33" t="n">
        <f aca="false">WEEKDAY(A8150,2)</f>
        <v>3</v>
      </c>
      <c r="E8150" s="33" t="n">
        <f aca="false">HOUR(A8150)+MINUTE(A8150)/60</f>
        <v>12</v>
      </c>
      <c r="F8150" s="33" t="n">
        <f aca="false">IF(OR(D8150&gt;5,E8150&lt;8,E8150&gt;=18,COUNTIF($K$2:$K$10,INT(A8150))&gt;0),1,0)</f>
        <v>0</v>
      </c>
      <c r="G8150" s="34" t="n">
        <f aca="false">B8150/1</f>
        <v>258.348</v>
      </c>
      <c r="H8150" s="34" t="str">
        <f aca="false">IF(F8150=1,G8150,"")</f>
        <v/>
      </c>
    </row>
    <row r="8151" customFormat="false" ht="15" hidden="false" customHeight="false" outlineLevel="0" collapsed="false">
      <c r="A8151" s="31" t="n">
        <v>43075.5416666667</v>
      </c>
      <c r="B8151" s="32" t="n">
        <v>262.464</v>
      </c>
      <c r="D8151" s="33" t="n">
        <f aca="false">WEEKDAY(A8151,2)</f>
        <v>3</v>
      </c>
      <c r="E8151" s="33" t="n">
        <f aca="false">HOUR(A8151)+MINUTE(A8151)/60</f>
        <v>13</v>
      </c>
      <c r="F8151" s="33" t="n">
        <f aca="false">IF(OR(D8151&gt;5,E8151&lt;8,E8151&gt;=18,COUNTIF($K$2:$K$10,INT(A8151))&gt;0),1,0)</f>
        <v>0</v>
      </c>
      <c r="G8151" s="34" t="n">
        <f aca="false">B8151/1</f>
        <v>262.464</v>
      </c>
      <c r="H8151" s="34" t="str">
        <f aca="false">IF(F8151=1,G8151,"")</f>
        <v/>
      </c>
    </row>
    <row r="8152" customFormat="false" ht="15" hidden="false" customHeight="false" outlineLevel="0" collapsed="false">
      <c r="A8152" s="31" t="n">
        <v>43075.5833333333</v>
      </c>
      <c r="B8152" s="32" t="n">
        <v>277.252</v>
      </c>
      <c r="D8152" s="33" t="n">
        <f aca="false">WEEKDAY(A8152,2)</f>
        <v>3</v>
      </c>
      <c r="E8152" s="33" t="n">
        <f aca="false">HOUR(A8152)+MINUTE(A8152)/60</f>
        <v>14</v>
      </c>
      <c r="F8152" s="33" t="n">
        <f aca="false">IF(OR(D8152&gt;5,E8152&lt;8,E8152&gt;=18,COUNTIF($K$2:$K$10,INT(A8152))&gt;0),1,0)</f>
        <v>0</v>
      </c>
      <c r="G8152" s="34" t="n">
        <f aca="false">B8152/1</f>
        <v>277.252</v>
      </c>
      <c r="H8152" s="34" t="str">
        <f aca="false">IF(F8152=1,G8152,"")</f>
        <v/>
      </c>
    </row>
    <row r="8153" customFormat="false" ht="15" hidden="false" customHeight="false" outlineLevel="0" collapsed="false">
      <c r="A8153" s="31" t="n">
        <v>43075.625</v>
      </c>
      <c r="B8153" s="32" t="n">
        <v>267.336</v>
      </c>
      <c r="D8153" s="33" t="n">
        <f aca="false">WEEKDAY(A8153,2)</f>
        <v>3</v>
      </c>
      <c r="E8153" s="33" t="n">
        <f aca="false">HOUR(A8153)+MINUTE(A8153)/60</f>
        <v>15</v>
      </c>
      <c r="F8153" s="33" t="n">
        <f aca="false">IF(OR(D8153&gt;5,E8153&lt;8,E8153&gt;=18,COUNTIF($K$2:$K$10,INT(A8153))&gt;0),1,0)</f>
        <v>0</v>
      </c>
      <c r="G8153" s="34" t="n">
        <f aca="false">B8153/1</f>
        <v>267.336</v>
      </c>
      <c r="H8153" s="34" t="str">
        <f aca="false">IF(F8153=1,G8153,"")</f>
        <v/>
      </c>
    </row>
    <row r="8154" customFormat="false" ht="15" hidden="false" customHeight="false" outlineLevel="0" collapsed="false">
      <c r="A8154" s="31" t="n">
        <v>43075.6666666667</v>
      </c>
      <c r="B8154" s="32" t="n">
        <v>261.707</v>
      </c>
      <c r="D8154" s="33" t="n">
        <f aca="false">WEEKDAY(A8154,2)</f>
        <v>3</v>
      </c>
      <c r="E8154" s="33" t="n">
        <f aca="false">HOUR(A8154)+MINUTE(A8154)/60</f>
        <v>16</v>
      </c>
      <c r="F8154" s="33" t="n">
        <f aca="false">IF(OR(D8154&gt;5,E8154&lt;8,E8154&gt;=18,COUNTIF($K$2:$K$10,INT(A8154))&gt;0),1,0)</f>
        <v>0</v>
      </c>
      <c r="G8154" s="34" t="n">
        <f aca="false">B8154/1</f>
        <v>261.707</v>
      </c>
      <c r="H8154" s="34" t="str">
        <f aca="false">IF(F8154=1,G8154,"")</f>
        <v/>
      </c>
    </row>
    <row r="8155" customFormat="false" ht="15" hidden="false" customHeight="false" outlineLevel="0" collapsed="false">
      <c r="A8155" s="31" t="n">
        <v>43075.7083333333</v>
      </c>
      <c r="B8155" s="32" t="n">
        <v>249.194</v>
      </c>
      <c r="D8155" s="33" t="n">
        <f aca="false">WEEKDAY(A8155,2)</f>
        <v>3</v>
      </c>
      <c r="E8155" s="33" t="n">
        <f aca="false">HOUR(A8155)+MINUTE(A8155)/60</f>
        <v>17</v>
      </c>
      <c r="F8155" s="33" t="n">
        <f aca="false">IF(OR(D8155&gt;5,E8155&lt;8,E8155&gt;=18,COUNTIF($K$2:$K$10,INT(A8155))&gt;0),1,0)</f>
        <v>0</v>
      </c>
      <c r="G8155" s="34" t="n">
        <f aca="false">B8155/1</f>
        <v>249.194</v>
      </c>
      <c r="H8155" s="34" t="str">
        <f aca="false">IF(F8155=1,G8155,"")</f>
        <v/>
      </c>
    </row>
    <row r="8156" customFormat="false" ht="15" hidden="false" customHeight="false" outlineLevel="0" collapsed="false">
      <c r="A8156" s="31" t="n">
        <v>43075.75</v>
      </c>
      <c r="B8156" s="32" t="n">
        <v>229.155</v>
      </c>
      <c r="D8156" s="33" t="n">
        <f aca="false">WEEKDAY(A8156,2)</f>
        <v>3</v>
      </c>
      <c r="E8156" s="33" t="n">
        <f aca="false">HOUR(A8156)+MINUTE(A8156)/60</f>
        <v>18</v>
      </c>
      <c r="F8156" s="33" t="n">
        <f aca="false">IF(OR(D8156&gt;5,E8156&lt;8,E8156&gt;=18,COUNTIF($K$2:$K$10,INT(A8156))&gt;0),1,0)</f>
        <v>1</v>
      </c>
      <c r="G8156" s="34" t="n">
        <f aca="false">B8156/1</f>
        <v>229.155</v>
      </c>
      <c r="H8156" s="34" t="n">
        <f aca="false">IF(F8156=1,G8156,"")</f>
        <v>229.155</v>
      </c>
    </row>
    <row r="8157" customFormat="false" ht="15" hidden="false" customHeight="false" outlineLevel="0" collapsed="false">
      <c r="A8157" s="31" t="n">
        <v>43075.7916666667</v>
      </c>
      <c r="B8157" s="32" t="n">
        <v>217.746</v>
      </c>
      <c r="D8157" s="33" t="n">
        <f aca="false">WEEKDAY(A8157,2)</f>
        <v>3</v>
      </c>
      <c r="E8157" s="33" t="n">
        <f aca="false">HOUR(A8157)+MINUTE(A8157)/60</f>
        <v>19</v>
      </c>
      <c r="F8157" s="33" t="n">
        <f aca="false">IF(OR(D8157&gt;5,E8157&lt;8,E8157&gt;=18,COUNTIF($K$2:$K$10,INT(A8157))&gt;0),1,0)</f>
        <v>1</v>
      </c>
      <c r="G8157" s="34" t="n">
        <f aca="false">B8157/1</f>
        <v>217.746</v>
      </c>
      <c r="H8157" s="34" t="n">
        <f aca="false">IF(F8157=1,G8157,"")</f>
        <v>217.746</v>
      </c>
    </row>
    <row r="8158" customFormat="false" ht="15" hidden="false" customHeight="false" outlineLevel="0" collapsed="false">
      <c r="A8158" s="31" t="n">
        <v>43075.8333333333</v>
      </c>
      <c r="B8158" s="32" t="n">
        <v>209.701</v>
      </c>
      <c r="D8158" s="33" t="n">
        <f aca="false">WEEKDAY(A8158,2)</f>
        <v>3</v>
      </c>
      <c r="E8158" s="33" t="n">
        <f aca="false">HOUR(A8158)+MINUTE(A8158)/60</f>
        <v>20</v>
      </c>
      <c r="F8158" s="33" t="n">
        <f aca="false">IF(OR(D8158&gt;5,E8158&lt;8,E8158&gt;=18,COUNTIF($K$2:$K$10,INT(A8158))&gt;0),1,0)</f>
        <v>1</v>
      </c>
      <c r="G8158" s="34" t="n">
        <f aca="false">B8158/1</f>
        <v>209.701</v>
      </c>
      <c r="H8158" s="34" t="n">
        <f aca="false">IF(F8158=1,G8158,"")</f>
        <v>209.701</v>
      </c>
    </row>
    <row r="8159" customFormat="false" ht="15" hidden="false" customHeight="false" outlineLevel="0" collapsed="false">
      <c r="A8159" s="31" t="n">
        <v>43075.875</v>
      </c>
      <c r="B8159" s="32" t="n">
        <v>196.237</v>
      </c>
      <c r="D8159" s="33" t="n">
        <f aca="false">WEEKDAY(A8159,2)</f>
        <v>3</v>
      </c>
      <c r="E8159" s="33" t="n">
        <f aca="false">HOUR(A8159)+MINUTE(A8159)/60</f>
        <v>21</v>
      </c>
      <c r="F8159" s="33" t="n">
        <f aca="false">IF(OR(D8159&gt;5,E8159&lt;8,E8159&gt;=18,COUNTIF($K$2:$K$10,INT(A8159))&gt;0),1,0)</f>
        <v>1</v>
      </c>
      <c r="G8159" s="34" t="n">
        <f aca="false">B8159/1</f>
        <v>196.237</v>
      </c>
      <c r="H8159" s="34" t="n">
        <f aca="false">IF(F8159=1,G8159,"")</f>
        <v>196.237</v>
      </c>
    </row>
    <row r="8160" customFormat="false" ht="15" hidden="false" customHeight="false" outlineLevel="0" collapsed="false">
      <c r="A8160" s="31" t="n">
        <v>43075.9166666667</v>
      </c>
      <c r="B8160" s="32" t="n">
        <v>141.397</v>
      </c>
      <c r="D8160" s="33" t="n">
        <f aca="false">WEEKDAY(A8160,2)</f>
        <v>3</v>
      </c>
      <c r="E8160" s="33" t="n">
        <f aca="false">HOUR(A8160)+MINUTE(A8160)/60</f>
        <v>22</v>
      </c>
      <c r="F8160" s="33" t="n">
        <f aca="false">IF(OR(D8160&gt;5,E8160&lt;8,E8160&gt;=18,COUNTIF($K$2:$K$10,INT(A8160))&gt;0),1,0)</f>
        <v>1</v>
      </c>
      <c r="G8160" s="34" t="n">
        <f aca="false">B8160/1</f>
        <v>141.397</v>
      </c>
      <c r="H8160" s="34" t="n">
        <f aca="false">IF(F8160=1,G8160,"")</f>
        <v>141.397</v>
      </c>
    </row>
    <row r="8161" customFormat="false" ht="15" hidden="false" customHeight="false" outlineLevel="0" collapsed="false">
      <c r="A8161" s="31" t="n">
        <v>43075.9583333333</v>
      </c>
      <c r="B8161" s="32" t="n">
        <v>79.507</v>
      </c>
      <c r="D8161" s="33" t="n">
        <f aca="false">WEEKDAY(A8161,2)</f>
        <v>3</v>
      </c>
      <c r="E8161" s="33" t="n">
        <f aca="false">HOUR(A8161)+MINUTE(A8161)/60</f>
        <v>23</v>
      </c>
      <c r="F8161" s="33" t="n">
        <f aca="false">IF(OR(D8161&gt;5,E8161&lt;8,E8161&gt;=18,COUNTIF($K$2:$K$10,INT(A8161))&gt;0),1,0)</f>
        <v>1</v>
      </c>
      <c r="G8161" s="34" t="n">
        <f aca="false">B8161/1</f>
        <v>79.507</v>
      </c>
      <c r="H8161" s="34" t="n">
        <f aca="false">IF(F8161=1,G8161,"")</f>
        <v>79.507</v>
      </c>
    </row>
    <row r="8162" customFormat="false" ht="15" hidden="false" customHeight="false" outlineLevel="0" collapsed="false">
      <c r="A8162" s="31" t="n">
        <v>43076</v>
      </c>
      <c r="B8162" s="32" t="n">
        <v>75.353</v>
      </c>
      <c r="D8162" s="33" t="n">
        <f aca="false">WEEKDAY(A8162,2)</f>
        <v>4</v>
      </c>
      <c r="E8162" s="33" t="n">
        <f aca="false">HOUR(A8162)+MINUTE(A8162)/60</f>
        <v>0</v>
      </c>
      <c r="F8162" s="33" t="n">
        <f aca="false">IF(OR(D8162&gt;5,E8162&lt;8,E8162&gt;=18,COUNTIF($K$2:$K$10,INT(A8162))&gt;0),1,0)</f>
        <v>1</v>
      </c>
      <c r="G8162" s="34" t="n">
        <f aca="false">B8162/1</f>
        <v>75.353</v>
      </c>
      <c r="H8162" s="34" t="n">
        <f aca="false">IF(F8162=1,G8162,"")</f>
        <v>75.353</v>
      </c>
    </row>
    <row r="8163" customFormat="false" ht="15" hidden="false" customHeight="false" outlineLevel="0" collapsed="false">
      <c r="A8163" s="31" t="n">
        <v>43076.0416666667</v>
      </c>
      <c r="B8163" s="32" t="n">
        <v>70.988</v>
      </c>
      <c r="D8163" s="33" t="n">
        <f aca="false">WEEKDAY(A8163,2)</f>
        <v>4</v>
      </c>
      <c r="E8163" s="33" t="n">
        <f aca="false">HOUR(A8163)+MINUTE(A8163)/60</f>
        <v>1</v>
      </c>
      <c r="F8163" s="33" t="n">
        <f aca="false">IF(OR(D8163&gt;5,E8163&lt;8,E8163&gt;=18,COUNTIF($K$2:$K$10,INT(A8163))&gt;0),1,0)</f>
        <v>1</v>
      </c>
      <c r="G8163" s="34" t="n">
        <f aca="false">B8163/1</f>
        <v>70.988</v>
      </c>
      <c r="H8163" s="34" t="n">
        <f aca="false">IF(F8163=1,G8163,"")</f>
        <v>70.988</v>
      </c>
    </row>
    <row r="8164" customFormat="false" ht="15" hidden="false" customHeight="false" outlineLevel="0" collapsed="false">
      <c r="A8164" s="31" t="n">
        <v>43076.0833333333</v>
      </c>
      <c r="B8164" s="32" t="n">
        <v>68.253</v>
      </c>
      <c r="D8164" s="33" t="n">
        <f aca="false">WEEKDAY(A8164,2)</f>
        <v>4</v>
      </c>
      <c r="E8164" s="33" t="n">
        <f aca="false">HOUR(A8164)+MINUTE(A8164)/60</f>
        <v>2</v>
      </c>
      <c r="F8164" s="33" t="n">
        <f aca="false">IF(OR(D8164&gt;5,E8164&lt;8,E8164&gt;=18,COUNTIF($K$2:$K$10,INT(A8164))&gt;0),1,0)</f>
        <v>1</v>
      </c>
      <c r="G8164" s="34" t="n">
        <f aca="false">B8164/1</f>
        <v>68.253</v>
      </c>
      <c r="H8164" s="34" t="n">
        <f aca="false">IF(F8164=1,G8164,"")</f>
        <v>68.253</v>
      </c>
    </row>
    <row r="8165" customFormat="false" ht="15" hidden="false" customHeight="false" outlineLevel="0" collapsed="false">
      <c r="A8165" s="31" t="n">
        <v>43076.125</v>
      </c>
      <c r="B8165" s="32" t="n">
        <v>68.511</v>
      </c>
      <c r="D8165" s="33" t="n">
        <f aca="false">WEEKDAY(A8165,2)</f>
        <v>4</v>
      </c>
      <c r="E8165" s="33" t="n">
        <f aca="false">HOUR(A8165)+MINUTE(A8165)/60</f>
        <v>3</v>
      </c>
      <c r="F8165" s="33" t="n">
        <f aca="false">IF(OR(D8165&gt;5,E8165&lt;8,E8165&gt;=18,COUNTIF($K$2:$K$10,INT(A8165))&gt;0),1,0)</f>
        <v>1</v>
      </c>
      <c r="G8165" s="34" t="n">
        <f aca="false">B8165/1</f>
        <v>68.511</v>
      </c>
      <c r="H8165" s="34" t="n">
        <f aca="false">IF(F8165=1,G8165,"")</f>
        <v>68.511</v>
      </c>
    </row>
    <row r="8166" customFormat="false" ht="15" hidden="false" customHeight="false" outlineLevel="0" collapsed="false">
      <c r="A8166" s="31" t="n">
        <v>43076.1666666667</v>
      </c>
      <c r="B8166" s="32" t="n">
        <v>68.015</v>
      </c>
      <c r="D8166" s="33" t="n">
        <f aca="false">WEEKDAY(A8166,2)</f>
        <v>4</v>
      </c>
      <c r="E8166" s="33" t="n">
        <f aca="false">HOUR(A8166)+MINUTE(A8166)/60</f>
        <v>4</v>
      </c>
      <c r="F8166" s="33" t="n">
        <f aca="false">IF(OR(D8166&gt;5,E8166&lt;8,E8166&gt;=18,COUNTIF($K$2:$K$10,INT(A8166))&gt;0),1,0)</f>
        <v>1</v>
      </c>
      <c r="G8166" s="34" t="n">
        <f aca="false">B8166/1</f>
        <v>68.015</v>
      </c>
      <c r="H8166" s="34" t="n">
        <f aca="false">IF(F8166=1,G8166,"")</f>
        <v>68.015</v>
      </c>
    </row>
    <row r="8167" customFormat="false" ht="15" hidden="false" customHeight="false" outlineLevel="0" collapsed="false">
      <c r="A8167" s="31" t="n">
        <v>43076.2083333333</v>
      </c>
      <c r="B8167" s="32" t="n">
        <v>65.376</v>
      </c>
      <c r="D8167" s="33" t="n">
        <f aca="false">WEEKDAY(A8167,2)</f>
        <v>4</v>
      </c>
      <c r="E8167" s="33" t="n">
        <f aca="false">HOUR(A8167)+MINUTE(A8167)/60</f>
        <v>5</v>
      </c>
      <c r="F8167" s="33" t="n">
        <f aca="false">IF(OR(D8167&gt;5,E8167&lt;8,E8167&gt;=18,COUNTIF($K$2:$K$10,INT(A8167))&gt;0),1,0)</f>
        <v>1</v>
      </c>
      <c r="G8167" s="34" t="n">
        <f aca="false">B8167/1</f>
        <v>65.376</v>
      </c>
      <c r="H8167" s="34" t="n">
        <f aca="false">IF(F8167=1,G8167,"")</f>
        <v>65.376</v>
      </c>
    </row>
    <row r="8168" customFormat="false" ht="15" hidden="false" customHeight="false" outlineLevel="0" collapsed="false">
      <c r="A8168" s="31" t="n">
        <v>43076.25</v>
      </c>
      <c r="B8168" s="32" t="n">
        <v>65.991</v>
      </c>
      <c r="D8168" s="33" t="n">
        <f aca="false">WEEKDAY(A8168,2)</f>
        <v>4</v>
      </c>
      <c r="E8168" s="33" t="n">
        <f aca="false">HOUR(A8168)+MINUTE(A8168)/60</f>
        <v>6</v>
      </c>
      <c r="F8168" s="33" t="n">
        <f aca="false">IF(OR(D8168&gt;5,E8168&lt;8,E8168&gt;=18,COUNTIF($K$2:$K$10,INT(A8168))&gt;0),1,0)</f>
        <v>1</v>
      </c>
      <c r="G8168" s="34" t="n">
        <f aca="false">B8168/1</f>
        <v>65.991</v>
      </c>
      <c r="H8168" s="34" t="n">
        <f aca="false">IF(F8168=1,G8168,"")</f>
        <v>65.991</v>
      </c>
    </row>
    <row r="8169" customFormat="false" ht="15" hidden="false" customHeight="false" outlineLevel="0" collapsed="false">
      <c r="A8169" s="31" t="n">
        <v>43076.2916666667</v>
      </c>
      <c r="B8169" s="32" t="n">
        <v>70.842</v>
      </c>
      <c r="D8169" s="33" t="n">
        <f aca="false">WEEKDAY(A8169,2)</f>
        <v>4</v>
      </c>
      <c r="E8169" s="33" t="n">
        <f aca="false">HOUR(A8169)+MINUTE(A8169)/60</f>
        <v>7</v>
      </c>
      <c r="F8169" s="33" t="n">
        <f aca="false">IF(OR(D8169&gt;5,E8169&lt;8,E8169&gt;=18,COUNTIF($K$2:$K$10,INT(A8169))&gt;0),1,0)</f>
        <v>1</v>
      </c>
      <c r="G8169" s="34" t="n">
        <f aca="false">B8169/1</f>
        <v>70.842</v>
      </c>
      <c r="H8169" s="34" t="n">
        <f aca="false">IF(F8169=1,G8169,"")</f>
        <v>70.842</v>
      </c>
    </row>
    <row r="8170" customFormat="false" ht="15" hidden="false" customHeight="false" outlineLevel="0" collapsed="false">
      <c r="A8170" s="31" t="n">
        <v>43076.3333333333</v>
      </c>
      <c r="B8170" s="32" t="n">
        <v>167.461</v>
      </c>
      <c r="D8170" s="33" t="n">
        <f aca="false">WEEKDAY(A8170,2)</f>
        <v>4</v>
      </c>
      <c r="E8170" s="33" t="n">
        <f aca="false">HOUR(A8170)+MINUTE(A8170)/60</f>
        <v>8</v>
      </c>
      <c r="F8170" s="33" t="n">
        <f aca="false">IF(OR(D8170&gt;5,E8170&lt;8,E8170&gt;=18,COUNTIF($K$2:$K$10,INT(A8170))&gt;0),1,0)</f>
        <v>0</v>
      </c>
      <c r="G8170" s="34" t="n">
        <f aca="false">B8170/1</f>
        <v>167.461</v>
      </c>
      <c r="H8170" s="34" t="str">
        <f aca="false">IF(F8170=1,G8170,"")</f>
        <v/>
      </c>
    </row>
    <row r="8171" customFormat="false" ht="15" hidden="false" customHeight="false" outlineLevel="0" collapsed="false">
      <c r="A8171" s="31" t="n">
        <v>43076.375</v>
      </c>
      <c r="B8171" s="32" t="n">
        <v>209.458</v>
      </c>
      <c r="D8171" s="33" t="n">
        <f aca="false">WEEKDAY(A8171,2)</f>
        <v>4</v>
      </c>
      <c r="E8171" s="33" t="n">
        <f aca="false">HOUR(A8171)+MINUTE(A8171)/60</f>
        <v>9</v>
      </c>
      <c r="F8171" s="33" t="n">
        <f aca="false">IF(OR(D8171&gt;5,E8171&lt;8,E8171&gt;=18,COUNTIF($K$2:$K$10,INT(A8171))&gt;0),1,0)</f>
        <v>0</v>
      </c>
      <c r="G8171" s="34" t="n">
        <f aca="false">B8171/1</f>
        <v>209.458</v>
      </c>
      <c r="H8171" s="34" t="str">
        <f aca="false">IF(F8171=1,G8171,"")</f>
        <v/>
      </c>
    </row>
    <row r="8172" customFormat="false" ht="15" hidden="false" customHeight="false" outlineLevel="0" collapsed="false">
      <c r="A8172" s="31" t="n">
        <v>43076.4166666667</v>
      </c>
      <c r="B8172" s="32" t="n">
        <v>235.085</v>
      </c>
      <c r="D8172" s="33" t="n">
        <f aca="false">WEEKDAY(A8172,2)</f>
        <v>4</v>
      </c>
      <c r="E8172" s="33" t="n">
        <f aca="false">HOUR(A8172)+MINUTE(A8172)/60</f>
        <v>10</v>
      </c>
      <c r="F8172" s="33" t="n">
        <f aca="false">IF(OR(D8172&gt;5,E8172&lt;8,E8172&gt;=18,COUNTIF($K$2:$K$10,INT(A8172))&gt;0),1,0)</f>
        <v>0</v>
      </c>
      <c r="G8172" s="34" t="n">
        <f aca="false">B8172/1</f>
        <v>235.085</v>
      </c>
      <c r="H8172" s="34" t="str">
        <f aca="false">IF(F8172=1,G8172,"")</f>
        <v/>
      </c>
    </row>
    <row r="8173" customFormat="false" ht="15" hidden="false" customHeight="false" outlineLevel="0" collapsed="false">
      <c r="A8173" s="31" t="n">
        <v>43076.4583333333</v>
      </c>
      <c r="B8173" s="32" t="n">
        <v>268.116</v>
      </c>
      <c r="D8173" s="33" t="n">
        <f aca="false">WEEKDAY(A8173,2)</f>
        <v>4</v>
      </c>
      <c r="E8173" s="33" t="n">
        <f aca="false">HOUR(A8173)+MINUTE(A8173)/60</f>
        <v>11</v>
      </c>
      <c r="F8173" s="33" t="n">
        <f aca="false">IF(OR(D8173&gt;5,E8173&lt;8,E8173&gt;=18,COUNTIF($K$2:$K$10,INT(A8173))&gt;0),1,0)</f>
        <v>0</v>
      </c>
      <c r="G8173" s="34" t="n">
        <f aca="false">B8173/1</f>
        <v>268.116</v>
      </c>
      <c r="H8173" s="34" t="str">
        <f aca="false">IF(F8173=1,G8173,"")</f>
        <v/>
      </c>
    </row>
    <row r="8174" customFormat="false" ht="15" hidden="false" customHeight="false" outlineLevel="0" collapsed="false">
      <c r="A8174" s="31" t="n">
        <v>43076.5</v>
      </c>
      <c r="B8174" s="32" t="n">
        <v>270.002</v>
      </c>
      <c r="D8174" s="33" t="n">
        <f aca="false">WEEKDAY(A8174,2)</f>
        <v>4</v>
      </c>
      <c r="E8174" s="33" t="n">
        <f aca="false">HOUR(A8174)+MINUTE(A8174)/60</f>
        <v>12</v>
      </c>
      <c r="F8174" s="33" t="n">
        <f aca="false">IF(OR(D8174&gt;5,E8174&lt;8,E8174&gt;=18,COUNTIF($K$2:$K$10,INT(A8174))&gt;0),1,0)</f>
        <v>0</v>
      </c>
      <c r="G8174" s="34" t="n">
        <f aca="false">B8174/1</f>
        <v>270.002</v>
      </c>
      <c r="H8174" s="34" t="str">
        <f aca="false">IF(F8174=1,G8174,"")</f>
        <v/>
      </c>
    </row>
    <row r="8175" customFormat="false" ht="15" hidden="false" customHeight="false" outlineLevel="0" collapsed="false">
      <c r="A8175" s="31" t="n">
        <v>43076.5416666667</v>
      </c>
      <c r="B8175" s="32" t="n">
        <v>252.474</v>
      </c>
      <c r="D8175" s="33" t="n">
        <f aca="false">WEEKDAY(A8175,2)</f>
        <v>4</v>
      </c>
      <c r="E8175" s="33" t="n">
        <f aca="false">HOUR(A8175)+MINUTE(A8175)/60</f>
        <v>13</v>
      </c>
      <c r="F8175" s="33" t="n">
        <f aca="false">IF(OR(D8175&gt;5,E8175&lt;8,E8175&gt;=18,COUNTIF($K$2:$K$10,INT(A8175))&gt;0),1,0)</f>
        <v>0</v>
      </c>
      <c r="G8175" s="34" t="n">
        <f aca="false">B8175/1</f>
        <v>252.474</v>
      </c>
      <c r="H8175" s="34" t="str">
        <f aca="false">IF(F8175=1,G8175,"")</f>
        <v/>
      </c>
    </row>
    <row r="8176" customFormat="false" ht="15" hidden="false" customHeight="false" outlineLevel="0" collapsed="false">
      <c r="A8176" s="31" t="n">
        <v>43076.5833333333</v>
      </c>
      <c r="B8176" s="32" t="n">
        <v>273.426</v>
      </c>
      <c r="D8176" s="33" t="n">
        <f aca="false">WEEKDAY(A8176,2)</f>
        <v>4</v>
      </c>
      <c r="E8176" s="33" t="n">
        <f aca="false">HOUR(A8176)+MINUTE(A8176)/60</f>
        <v>14</v>
      </c>
      <c r="F8176" s="33" t="n">
        <f aca="false">IF(OR(D8176&gt;5,E8176&lt;8,E8176&gt;=18,COUNTIF($K$2:$K$10,INT(A8176))&gt;0),1,0)</f>
        <v>0</v>
      </c>
      <c r="G8176" s="34" t="n">
        <f aca="false">B8176/1</f>
        <v>273.426</v>
      </c>
      <c r="H8176" s="34" t="str">
        <f aca="false">IF(F8176=1,G8176,"")</f>
        <v/>
      </c>
    </row>
    <row r="8177" customFormat="false" ht="15" hidden="false" customHeight="false" outlineLevel="0" collapsed="false">
      <c r="A8177" s="31" t="n">
        <v>43076.625</v>
      </c>
      <c r="B8177" s="32" t="n">
        <v>252.346</v>
      </c>
      <c r="D8177" s="33" t="n">
        <f aca="false">WEEKDAY(A8177,2)</f>
        <v>4</v>
      </c>
      <c r="E8177" s="33" t="n">
        <f aca="false">HOUR(A8177)+MINUTE(A8177)/60</f>
        <v>15</v>
      </c>
      <c r="F8177" s="33" t="n">
        <f aca="false">IF(OR(D8177&gt;5,E8177&lt;8,E8177&gt;=18,COUNTIF($K$2:$K$10,INT(A8177))&gt;0),1,0)</f>
        <v>0</v>
      </c>
      <c r="G8177" s="34" t="n">
        <f aca="false">B8177/1</f>
        <v>252.346</v>
      </c>
      <c r="H8177" s="34" t="str">
        <f aca="false">IF(F8177=1,G8177,"")</f>
        <v/>
      </c>
    </row>
    <row r="8178" customFormat="false" ht="15" hidden="false" customHeight="false" outlineLevel="0" collapsed="false">
      <c r="A8178" s="31" t="n">
        <v>43076.6666666667</v>
      </c>
      <c r="B8178" s="32" t="n">
        <v>242.638</v>
      </c>
      <c r="D8178" s="33" t="n">
        <f aca="false">WEEKDAY(A8178,2)</f>
        <v>4</v>
      </c>
      <c r="E8178" s="33" t="n">
        <f aca="false">HOUR(A8178)+MINUTE(A8178)/60</f>
        <v>16</v>
      </c>
      <c r="F8178" s="33" t="n">
        <f aca="false">IF(OR(D8178&gt;5,E8178&lt;8,E8178&gt;=18,COUNTIF($K$2:$K$10,INT(A8178))&gt;0),1,0)</f>
        <v>0</v>
      </c>
      <c r="G8178" s="34" t="n">
        <f aca="false">B8178/1</f>
        <v>242.638</v>
      </c>
      <c r="H8178" s="34" t="str">
        <f aca="false">IF(F8178=1,G8178,"")</f>
        <v/>
      </c>
    </row>
    <row r="8179" customFormat="false" ht="15" hidden="false" customHeight="false" outlineLevel="0" collapsed="false">
      <c r="A8179" s="31" t="n">
        <v>43076.7083333333</v>
      </c>
      <c r="B8179" s="32" t="n">
        <v>228.416</v>
      </c>
      <c r="D8179" s="33" t="n">
        <f aca="false">WEEKDAY(A8179,2)</f>
        <v>4</v>
      </c>
      <c r="E8179" s="33" t="n">
        <f aca="false">HOUR(A8179)+MINUTE(A8179)/60</f>
        <v>17</v>
      </c>
      <c r="F8179" s="33" t="n">
        <f aca="false">IF(OR(D8179&gt;5,E8179&lt;8,E8179&gt;=18,COUNTIF($K$2:$K$10,INT(A8179))&gt;0),1,0)</f>
        <v>0</v>
      </c>
      <c r="G8179" s="34" t="n">
        <f aca="false">B8179/1</f>
        <v>228.416</v>
      </c>
      <c r="H8179" s="34" t="str">
        <f aca="false">IF(F8179=1,G8179,"")</f>
        <v/>
      </c>
    </row>
    <row r="8180" customFormat="false" ht="15" hidden="false" customHeight="false" outlineLevel="0" collapsed="false">
      <c r="A8180" s="31" t="n">
        <v>43076.75</v>
      </c>
      <c r="B8180" s="32" t="n">
        <v>206.448</v>
      </c>
      <c r="D8180" s="33" t="n">
        <f aca="false">WEEKDAY(A8180,2)</f>
        <v>4</v>
      </c>
      <c r="E8180" s="33" t="n">
        <f aca="false">HOUR(A8180)+MINUTE(A8180)/60</f>
        <v>18</v>
      </c>
      <c r="F8180" s="33" t="n">
        <f aca="false">IF(OR(D8180&gt;5,E8180&lt;8,E8180&gt;=18,COUNTIF($K$2:$K$10,INT(A8180))&gt;0),1,0)</f>
        <v>1</v>
      </c>
      <c r="G8180" s="34" t="n">
        <f aca="false">B8180/1</f>
        <v>206.448</v>
      </c>
      <c r="H8180" s="34" t="n">
        <f aca="false">IF(F8180=1,G8180,"")</f>
        <v>206.448</v>
      </c>
    </row>
    <row r="8181" customFormat="false" ht="15" hidden="false" customHeight="false" outlineLevel="0" collapsed="false">
      <c r="A8181" s="31" t="n">
        <v>43076.7916666667</v>
      </c>
      <c r="B8181" s="32" t="n">
        <v>195.145</v>
      </c>
      <c r="D8181" s="33" t="n">
        <f aca="false">WEEKDAY(A8181,2)</f>
        <v>4</v>
      </c>
      <c r="E8181" s="33" t="n">
        <f aca="false">HOUR(A8181)+MINUTE(A8181)/60</f>
        <v>19</v>
      </c>
      <c r="F8181" s="33" t="n">
        <f aca="false">IF(OR(D8181&gt;5,E8181&lt;8,E8181&gt;=18,COUNTIF($K$2:$K$10,INT(A8181))&gt;0),1,0)</f>
        <v>1</v>
      </c>
      <c r="G8181" s="34" t="n">
        <f aca="false">B8181/1</f>
        <v>195.145</v>
      </c>
      <c r="H8181" s="34" t="n">
        <f aca="false">IF(F8181=1,G8181,"")</f>
        <v>195.145</v>
      </c>
    </row>
    <row r="8182" customFormat="false" ht="15" hidden="false" customHeight="false" outlineLevel="0" collapsed="false">
      <c r="A8182" s="31" t="n">
        <v>43076.8333333333</v>
      </c>
      <c r="B8182" s="32" t="n">
        <v>188.459</v>
      </c>
      <c r="D8182" s="33" t="n">
        <f aca="false">WEEKDAY(A8182,2)</f>
        <v>4</v>
      </c>
      <c r="E8182" s="33" t="n">
        <f aca="false">HOUR(A8182)+MINUTE(A8182)/60</f>
        <v>20</v>
      </c>
      <c r="F8182" s="33" t="n">
        <f aca="false">IF(OR(D8182&gt;5,E8182&lt;8,E8182&gt;=18,COUNTIF($K$2:$K$10,INT(A8182))&gt;0),1,0)</f>
        <v>1</v>
      </c>
      <c r="G8182" s="34" t="n">
        <f aca="false">B8182/1</f>
        <v>188.459</v>
      </c>
      <c r="H8182" s="34" t="n">
        <f aca="false">IF(F8182=1,G8182,"")</f>
        <v>188.459</v>
      </c>
    </row>
    <row r="8183" customFormat="false" ht="15" hidden="false" customHeight="false" outlineLevel="0" collapsed="false">
      <c r="A8183" s="31" t="n">
        <v>43076.875</v>
      </c>
      <c r="B8183" s="32" t="n">
        <v>182.593</v>
      </c>
      <c r="D8183" s="33" t="n">
        <f aca="false">WEEKDAY(A8183,2)</f>
        <v>4</v>
      </c>
      <c r="E8183" s="33" t="n">
        <f aca="false">HOUR(A8183)+MINUTE(A8183)/60</f>
        <v>21</v>
      </c>
      <c r="F8183" s="33" t="n">
        <f aca="false">IF(OR(D8183&gt;5,E8183&lt;8,E8183&gt;=18,COUNTIF($K$2:$K$10,INT(A8183))&gt;0),1,0)</f>
        <v>1</v>
      </c>
      <c r="G8183" s="34" t="n">
        <f aca="false">B8183/1</f>
        <v>182.593</v>
      </c>
      <c r="H8183" s="34" t="n">
        <f aca="false">IF(F8183=1,G8183,"")</f>
        <v>182.593</v>
      </c>
    </row>
    <row r="8184" customFormat="false" ht="15" hidden="false" customHeight="false" outlineLevel="0" collapsed="false">
      <c r="A8184" s="31" t="n">
        <v>43076.9166666667</v>
      </c>
      <c r="B8184" s="32" t="n">
        <v>135.668</v>
      </c>
      <c r="D8184" s="33" t="n">
        <f aca="false">WEEKDAY(A8184,2)</f>
        <v>4</v>
      </c>
      <c r="E8184" s="33" t="n">
        <f aca="false">HOUR(A8184)+MINUTE(A8184)/60</f>
        <v>22</v>
      </c>
      <c r="F8184" s="33" t="n">
        <f aca="false">IF(OR(D8184&gt;5,E8184&lt;8,E8184&gt;=18,COUNTIF($K$2:$K$10,INT(A8184))&gt;0),1,0)</f>
        <v>1</v>
      </c>
      <c r="G8184" s="34" t="n">
        <f aca="false">B8184/1</f>
        <v>135.668</v>
      </c>
      <c r="H8184" s="34" t="n">
        <f aca="false">IF(F8184=1,G8184,"")</f>
        <v>135.668</v>
      </c>
    </row>
    <row r="8185" customFormat="false" ht="15" hidden="false" customHeight="false" outlineLevel="0" collapsed="false">
      <c r="A8185" s="31" t="n">
        <v>43076.9583333333</v>
      </c>
      <c r="B8185" s="32" t="n">
        <v>79.561</v>
      </c>
      <c r="D8185" s="33" t="n">
        <f aca="false">WEEKDAY(A8185,2)</f>
        <v>4</v>
      </c>
      <c r="E8185" s="33" t="n">
        <f aca="false">HOUR(A8185)+MINUTE(A8185)/60</f>
        <v>23</v>
      </c>
      <c r="F8185" s="33" t="n">
        <f aca="false">IF(OR(D8185&gt;5,E8185&lt;8,E8185&gt;=18,COUNTIF($K$2:$K$10,INT(A8185))&gt;0),1,0)</f>
        <v>1</v>
      </c>
      <c r="G8185" s="34" t="n">
        <f aca="false">B8185/1</f>
        <v>79.561</v>
      </c>
      <c r="H8185" s="34" t="n">
        <f aca="false">IF(F8185=1,G8185,"")</f>
        <v>79.561</v>
      </c>
    </row>
    <row r="8186" customFormat="false" ht="15" hidden="false" customHeight="false" outlineLevel="0" collapsed="false">
      <c r="A8186" s="31" t="n">
        <v>43077</v>
      </c>
      <c r="B8186" s="32" t="n">
        <v>73.937</v>
      </c>
      <c r="D8186" s="33" t="n">
        <f aca="false">WEEKDAY(A8186,2)</f>
        <v>5</v>
      </c>
      <c r="E8186" s="33" t="n">
        <f aca="false">HOUR(A8186)+MINUTE(A8186)/60</f>
        <v>0</v>
      </c>
      <c r="F8186" s="33" t="n">
        <f aca="false">IF(OR(D8186&gt;5,E8186&lt;8,E8186&gt;=18,COUNTIF($K$2:$K$10,INT(A8186))&gt;0),1,0)</f>
        <v>1</v>
      </c>
      <c r="G8186" s="34" t="n">
        <f aca="false">B8186/1</f>
        <v>73.937</v>
      </c>
      <c r="H8186" s="34" t="n">
        <f aca="false">IF(F8186=1,G8186,"")</f>
        <v>73.937</v>
      </c>
    </row>
    <row r="8187" customFormat="false" ht="15" hidden="false" customHeight="false" outlineLevel="0" collapsed="false">
      <c r="A8187" s="31" t="n">
        <v>43077.0416666667</v>
      </c>
      <c r="B8187" s="32" t="n">
        <v>68.465</v>
      </c>
      <c r="D8187" s="33" t="n">
        <f aca="false">WEEKDAY(A8187,2)</f>
        <v>5</v>
      </c>
      <c r="E8187" s="33" t="n">
        <f aca="false">HOUR(A8187)+MINUTE(A8187)/60</f>
        <v>1</v>
      </c>
      <c r="F8187" s="33" t="n">
        <f aca="false">IF(OR(D8187&gt;5,E8187&lt;8,E8187&gt;=18,COUNTIF($K$2:$K$10,INT(A8187))&gt;0),1,0)</f>
        <v>1</v>
      </c>
      <c r="G8187" s="34" t="n">
        <f aca="false">B8187/1</f>
        <v>68.465</v>
      </c>
      <c r="H8187" s="34" t="n">
        <f aca="false">IF(F8187=1,G8187,"")</f>
        <v>68.465</v>
      </c>
    </row>
    <row r="8188" customFormat="false" ht="15" hidden="false" customHeight="false" outlineLevel="0" collapsed="false">
      <c r="A8188" s="31" t="n">
        <v>43077.0833333333</v>
      </c>
      <c r="B8188" s="32" t="n">
        <v>64.158</v>
      </c>
      <c r="D8188" s="33" t="n">
        <f aca="false">WEEKDAY(A8188,2)</f>
        <v>5</v>
      </c>
      <c r="E8188" s="33" t="n">
        <f aca="false">HOUR(A8188)+MINUTE(A8188)/60</f>
        <v>2</v>
      </c>
      <c r="F8188" s="33" t="n">
        <f aca="false">IF(OR(D8188&gt;5,E8188&lt;8,E8188&gt;=18,COUNTIF($K$2:$K$10,INT(A8188))&gt;0),1,0)</f>
        <v>1</v>
      </c>
      <c r="G8188" s="34" t="n">
        <f aca="false">B8188/1</f>
        <v>64.158</v>
      </c>
      <c r="H8188" s="34" t="n">
        <f aca="false">IF(F8188=1,G8188,"")</f>
        <v>64.158</v>
      </c>
    </row>
    <row r="8189" customFormat="false" ht="15" hidden="false" customHeight="false" outlineLevel="0" collapsed="false">
      <c r="A8189" s="31" t="n">
        <v>43077.125</v>
      </c>
      <c r="B8189" s="32" t="n">
        <v>63.67</v>
      </c>
      <c r="D8189" s="33" t="n">
        <f aca="false">WEEKDAY(A8189,2)</f>
        <v>5</v>
      </c>
      <c r="E8189" s="33" t="n">
        <f aca="false">HOUR(A8189)+MINUTE(A8189)/60</f>
        <v>3</v>
      </c>
      <c r="F8189" s="33" t="n">
        <f aca="false">IF(OR(D8189&gt;5,E8189&lt;8,E8189&gt;=18,COUNTIF($K$2:$K$10,INT(A8189))&gt;0),1,0)</f>
        <v>1</v>
      </c>
      <c r="G8189" s="34" t="n">
        <f aca="false">B8189/1</f>
        <v>63.67</v>
      </c>
      <c r="H8189" s="34" t="n">
        <f aca="false">IF(F8189=1,G8189,"")</f>
        <v>63.67</v>
      </c>
    </row>
    <row r="8190" customFormat="false" ht="15" hidden="false" customHeight="false" outlineLevel="0" collapsed="false">
      <c r="A8190" s="31" t="n">
        <v>43077.1666666667</v>
      </c>
      <c r="B8190" s="32" t="n">
        <v>63.202</v>
      </c>
      <c r="D8190" s="33" t="n">
        <f aca="false">WEEKDAY(A8190,2)</f>
        <v>5</v>
      </c>
      <c r="E8190" s="33" t="n">
        <f aca="false">HOUR(A8190)+MINUTE(A8190)/60</f>
        <v>4</v>
      </c>
      <c r="F8190" s="33" t="n">
        <f aca="false">IF(OR(D8190&gt;5,E8190&lt;8,E8190&gt;=18,COUNTIF($K$2:$K$10,INT(A8190))&gt;0),1,0)</f>
        <v>1</v>
      </c>
      <c r="G8190" s="34" t="n">
        <f aca="false">B8190/1</f>
        <v>63.202</v>
      </c>
      <c r="H8190" s="34" t="n">
        <f aca="false">IF(F8190=1,G8190,"")</f>
        <v>63.202</v>
      </c>
    </row>
    <row r="8191" customFormat="false" ht="15" hidden="false" customHeight="false" outlineLevel="0" collapsed="false">
      <c r="A8191" s="31" t="n">
        <v>43077.2083333333</v>
      </c>
      <c r="B8191" s="32" t="n">
        <v>65.964</v>
      </c>
      <c r="D8191" s="33" t="n">
        <f aca="false">WEEKDAY(A8191,2)</f>
        <v>5</v>
      </c>
      <c r="E8191" s="33" t="n">
        <f aca="false">HOUR(A8191)+MINUTE(A8191)/60</f>
        <v>5</v>
      </c>
      <c r="F8191" s="33" t="n">
        <f aca="false">IF(OR(D8191&gt;5,E8191&lt;8,E8191&gt;=18,COUNTIF($K$2:$K$10,INT(A8191))&gt;0),1,0)</f>
        <v>1</v>
      </c>
      <c r="G8191" s="34" t="n">
        <f aca="false">B8191/1</f>
        <v>65.964</v>
      </c>
      <c r="H8191" s="34" t="n">
        <f aca="false">IF(F8191=1,G8191,"")</f>
        <v>65.964</v>
      </c>
    </row>
    <row r="8192" customFormat="false" ht="15" hidden="false" customHeight="false" outlineLevel="0" collapsed="false">
      <c r="A8192" s="31" t="n">
        <v>43077.25</v>
      </c>
      <c r="B8192" s="32" t="n">
        <v>69.213</v>
      </c>
      <c r="D8192" s="33" t="n">
        <f aca="false">WEEKDAY(A8192,2)</f>
        <v>5</v>
      </c>
      <c r="E8192" s="33" t="n">
        <f aca="false">HOUR(A8192)+MINUTE(A8192)/60</f>
        <v>6</v>
      </c>
      <c r="F8192" s="33" t="n">
        <f aca="false">IF(OR(D8192&gt;5,E8192&lt;8,E8192&gt;=18,COUNTIF($K$2:$K$10,INT(A8192))&gt;0),1,0)</f>
        <v>1</v>
      </c>
      <c r="G8192" s="34" t="n">
        <f aca="false">B8192/1</f>
        <v>69.213</v>
      </c>
      <c r="H8192" s="34" t="n">
        <f aca="false">IF(F8192=1,G8192,"")</f>
        <v>69.213</v>
      </c>
    </row>
    <row r="8193" customFormat="false" ht="15" hidden="false" customHeight="false" outlineLevel="0" collapsed="false">
      <c r="A8193" s="31" t="n">
        <v>43077.2916666667</v>
      </c>
      <c r="B8193" s="32" t="n">
        <v>73.301</v>
      </c>
      <c r="D8193" s="33" t="n">
        <f aca="false">WEEKDAY(A8193,2)</f>
        <v>5</v>
      </c>
      <c r="E8193" s="33" t="n">
        <f aca="false">HOUR(A8193)+MINUTE(A8193)/60</f>
        <v>7</v>
      </c>
      <c r="F8193" s="33" t="n">
        <f aca="false">IF(OR(D8193&gt;5,E8193&lt;8,E8193&gt;=18,COUNTIF($K$2:$K$10,INT(A8193))&gt;0),1,0)</f>
        <v>1</v>
      </c>
      <c r="G8193" s="34" t="n">
        <f aca="false">B8193/1</f>
        <v>73.301</v>
      </c>
      <c r="H8193" s="34" t="n">
        <f aca="false">IF(F8193=1,G8193,"")</f>
        <v>73.301</v>
      </c>
    </row>
    <row r="8194" customFormat="false" ht="15" hidden="false" customHeight="false" outlineLevel="0" collapsed="false">
      <c r="A8194" s="31" t="n">
        <v>43077.3333333333</v>
      </c>
      <c r="B8194" s="32" t="n">
        <v>169.888</v>
      </c>
      <c r="D8194" s="33" t="n">
        <f aca="false">WEEKDAY(A8194,2)</f>
        <v>5</v>
      </c>
      <c r="E8194" s="33" t="n">
        <f aca="false">HOUR(A8194)+MINUTE(A8194)/60</f>
        <v>8</v>
      </c>
      <c r="F8194" s="33" t="n">
        <f aca="false">IF(OR(D8194&gt;5,E8194&lt;8,E8194&gt;=18,COUNTIF($K$2:$K$10,INT(A8194))&gt;0),1,0)</f>
        <v>0</v>
      </c>
      <c r="G8194" s="34" t="n">
        <f aca="false">B8194/1</f>
        <v>169.888</v>
      </c>
      <c r="H8194" s="34" t="str">
        <f aca="false">IF(F8194=1,G8194,"")</f>
        <v/>
      </c>
    </row>
    <row r="8195" customFormat="false" ht="15" hidden="false" customHeight="false" outlineLevel="0" collapsed="false">
      <c r="A8195" s="31" t="n">
        <v>43077.375</v>
      </c>
      <c r="B8195" s="32" t="n">
        <v>206.994</v>
      </c>
      <c r="D8195" s="33" t="n">
        <f aca="false">WEEKDAY(A8195,2)</f>
        <v>5</v>
      </c>
      <c r="E8195" s="33" t="n">
        <f aca="false">HOUR(A8195)+MINUTE(A8195)/60</f>
        <v>9</v>
      </c>
      <c r="F8195" s="33" t="n">
        <f aca="false">IF(OR(D8195&gt;5,E8195&lt;8,E8195&gt;=18,COUNTIF($K$2:$K$10,INT(A8195))&gt;0),1,0)</f>
        <v>0</v>
      </c>
      <c r="G8195" s="34" t="n">
        <f aca="false">B8195/1</f>
        <v>206.994</v>
      </c>
      <c r="H8195" s="34" t="str">
        <f aca="false">IF(F8195=1,G8195,"")</f>
        <v/>
      </c>
    </row>
    <row r="8196" customFormat="false" ht="15" hidden="false" customHeight="false" outlineLevel="0" collapsed="false">
      <c r="A8196" s="31" t="n">
        <v>43077.4166666667</v>
      </c>
      <c r="B8196" s="32" t="n">
        <v>218.903</v>
      </c>
      <c r="D8196" s="33" t="n">
        <f aca="false">WEEKDAY(A8196,2)</f>
        <v>5</v>
      </c>
      <c r="E8196" s="33" t="n">
        <f aca="false">HOUR(A8196)+MINUTE(A8196)/60</f>
        <v>10</v>
      </c>
      <c r="F8196" s="33" t="n">
        <f aca="false">IF(OR(D8196&gt;5,E8196&lt;8,E8196&gt;=18,COUNTIF($K$2:$K$10,INT(A8196))&gt;0),1,0)</f>
        <v>0</v>
      </c>
      <c r="G8196" s="34" t="n">
        <f aca="false">B8196/1</f>
        <v>218.903</v>
      </c>
      <c r="H8196" s="34" t="str">
        <f aca="false">IF(F8196=1,G8196,"")</f>
        <v/>
      </c>
    </row>
    <row r="8197" customFormat="false" ht="15" hidden="false" customHeight="false" outlineLevel="0" collapsed="false">
      <c r="A8197" s="31" t="n">
        <v>43077.4583333333</v>
      </c>
      <c r="B8197" s="32" t="n">
        <v>221.061</v>
      </c>
      <c r="D8197" s="33" t="n">
        <f aca="false">WEEKDAY(A8197,2)</f>
        <v>5</v>
      </c>
      <c r="E8197" s="33" t="n">
        <f aca="false">HOUR(A8197)+MINUTE(A8197)/60</f>
        <v>11</v>
      </c>
      <c r="F8197" s="33" t="n">
        <f aca="false">IF(OR(D8197&gt;5,E8197&lt;8,E8197&gt;=18,COUNTIF($K$2:$K$10,INT(A8197))&gt;0),1,0)</f>
        <v>0</v>
      </c>
      <c r="G8197" s="34" t="n">
        <f aca="false">B8197/1</f>
        <v>221.061</v>
      </c>
      <c r="H8197" s="34" t="str">
        <f aca="false">IF(F8197=1,G8197,"")</f>
        <v/>
      </c>
    </row>
    <row r="8198" customFormat="false" ht="15" hidden="false" customHeight="false" outlineLevel="0" collapsed="false">
      <c r="A8198" s="31" t="n">
        <v>43077.5</v>
      </c>
      <c r="B8198" s="32" t="n">
        <v>226.795</v>
      </c>
      <c r="D8198" s="33" t="n">
        <f aca="false">WEEKDAY(A8198,2)</f>
        <v>5</v>
      </c>
      <c r="E8198" s="33" t="n">
        <f aca="false">HOUR(A8198)+MINUTE(A8198)/60</f>
        <v>12</v>
      </c>
      <c r="F8198" s="33" t="n">
        <f aca="false">IF(OR(D8198&gt;5,E8198&lt;8,E8198&gt;=18,COUNTIF($K$2:$K$10,INT(A8198))&gt;0),1,0)</f>
        <v>0</v>
      </c>
      <c r="G8198" s="34" t="n">
        <f aca="false">B8198/1</f>
        <v>226.795</v>
      </c>
      <c r="H8198" s="34" t="str">
        <f aca="false">IF(F8198=1,G8198,"")</f>
        <v/>
      </c>
    </row>
    <row r="8199" customFormat="false" ht="15" hidden="false" customHeight="false" outlineLevel="0" collapsed="false">
      <c r="A8199" s="31" t="n">
        <v>43077.5416666667</v>
      </c>
      <c r="B8199" s="32" t="n">
        <v>232.123</v>
      </c>
      <c r="D8199" s="33" t="n">
        <f aca="false">WEEKDAY(A8199,2)</f>
        <v>5</v>
      </c>
      <c r="E8199" s="33" t="n">
        <f aca="false">HOUR(A8199)+MINUTE(A8199)/60</f>
        <v>13</v>
      </c>
      <c r="F8199" s="33" t="n">
        <f aca="false">IF(OR(D8199&gt;5,E8199&lt;8,E8199&gt;=18,COUNTIF($K$2:$K$10,INT(A8199))&gt;0),1,0)</f>
        <v>0</v>
      </c>
      <c r="G8199" s="34" t="n">
        <f aca="false">B8199/1</f>
        <v>232.123</v>
      </c>
      <c r="H8199" s="34" t="str">
        <f aca="false">IF(F8199=1,G8199,"")</f>
        <v/>
      </c>
    </row>
    <row r="8200" customFormat="false" ht="15" hidden="false" customHeight="false" outlineLevel="0" collapsed="false">
      <c r="A8200" s="31" t="n">
        <v>43077.5833333333</v>
      </c>
      <c r="B8200" s="32" t="n">
        <v>217.734</v>
      </c>
      <c r="D8200" s="33" t="n">
        <f aca="false">WEEKDAY(A8200,2)</f>
        <v>5</v>
      </c>
      <c r="E8200" s="33" t="n">
        <f aca="false">HOUR(A8200)+MINUTE(A8200)/60</f>
        <v>14</v>
      </c>
      <c r="F8200" s="33" t="n">
        <f aca="false">IF(OR(D8200&gt;5,E8200&lt;8,E8200&gt;=18,COUNTIF($K$2:$K$10,INT(A8200))&gt;0),1,0)</f>
        <v>0</v>
      </c>
      <c r="G8200" s="34" t="n">
        <f aca="false">B8200/1</f>
        <v>217.734</v>
      </c>
      <c r="H8200" s="34" t="str">
        <f aca="false">IF(F8200=1,G8200,"")</f>
        <v/>
      </c>
    </row>
    <row r="8201" customFormat="false" ht="15" hidden="false" customHeight="false" outlineLevel="0" collapsed="false">
      <c r="A8201" s="31" t="n">
        <v>43077.625</v>
      </c>
      <c r="B8201" s="32" t="n">
        <v>211.189</v>
      </c>
      <c r="D8201" s="33" t="n">
        <f aca="false">WEEKDAY(A8201,2)</f>
        <v>5</v>
      </c>
      <c r="E8201" s="33" t="n">
        <f aca="false">HOUR(A8201)+MINUTE(A8201)/60</f>
        <v>15</v>
      </c>
      <c r="F8201" s="33" t="n">
        <f aca="false">IF(OR(D8201&gt;5,E8201&lt;8,E8201&gt;=18,COUNTIF($K$2:$K$10,INT(A8201))&gt;0),1,0)</f>
        <v>0</v>
      </c>
      <c r="G8201" s="34" t="n">
        <f aca="false">B8201/1</f>
        <v>211.189</v>
      </c>
      <c r="H8201" s="34" t="str">
        <f aca="false">IF(F8201=1,G8201,"")</f>
        <v/>
      </c>
    </row>
    <row r="8202" customFormat="false" ht="15" hidden="false" customHeight="false" outlineLevel="0" collapsed="false">
      <c r="A8202" s="31" t="n">
        <v>43077.6666666667</v>
      </c>
      <c r="B8202" s="32" t="n">
        <v>211.419</v>
      </c>
      <c r="D8202" s="33" t="n">
        <f aca="false">WEEKDAY(A8202,2)</f>
        <v>5</v>
      </c>
      <c r="E8202" s="33" t="n">
        <f aca="false">HOUR(A8202)+MINUTE(A8202)/60</f>
        <v>16</v>
      </c>
      <c r="F8202" s="33" t="n">
        <f aca="false">IF(OR(D8202&gt;5,E8202&lt;8,E8202&gt;=18,COUNTIF($K$2:$K$10,INT(A8202))&gt;0),1,0)</f>
        <v>0</v>
      </c>
      <c r="G8202" s="34" t="n">
        <f aca="false">B8202/1</f>
        <v>211.419</v>
      </c>
      <c r="H8202" s="34" t="str">
        <f aca="false">IF(F8202=1,G8202,"")</f>
        <v/>
      </c>
    </row>
    <row r="8203" customFormat="false" ht="15" hidden="false" customHeight="false" outlineLevel="0" collapsed="false">
      <c r="A8203" s="31" t="n">
        <v>43077.7083333333</v>
      </c>
      <c r="B8203" s="32" t="n">
        <v>197.422</v>
      </c>
      <c r="D8203" s="33" t="n">
        <f aca="false">WEEKDAY(A8203,2)</f>
        <v>5</v>
      </c>
      <c r="E8203" s="33" t="n">
        <f aca="false">HOUR(A8203)+MINUTE(A8203)/60</f>
        <v>17</v>
      </c>
      <c r="F8203" s="33" t="n">
        <f aca="false">IF(OR(D8203&gt;5,E8203&lt;8,E8203&gt;=18,COUNTIF($K$2:$K$10,INT(A8203))&gt;0),1,0)</f>
        <v>0</v>
      </c>
      <c r="G8203" s="34" t="n">
        <f aca="false">B8203/1</f>
        <v>197.422</v>
      </c>
      <c r="H8203" s="34" t="str">
        <f aca="false">IF(F8203=1,G8203,"")</f>
        <v/>
      </c>
    </row>
    <row r="8204" customFormat="false" ht="15" hidden="false" customHeight="false" outlineLevel="0" collapsed="false">
      <c r="A8204" s="31" t="n">
        <v>43077.75</v>
      </c>
      <c r="B8204" s="32" t="n">
        <v>178.274</v>
      </c>
      <c r="D8204" s="33" t="n">
        <f aca="false">WEEKDAY(A8204,2)</f>
        <v>5</v>
      </c>
      <c r="E8204" s="33" t="n">
        <f aca="false">HOUR(A8204)+MINUTE(A8204)/60</f>
        <v>18</v>
      </c>
      <c r="F8204" s="33" t="n">
        <f aca="false">IF(OR(D8204&gt;5,E8204&lt;8,E8204&gt;=18,COUNTIF($K$2:$K$10,INT(A8204))&gt;0),1,0)</f>
        <v>1</v>
      </c>
      <c r="G8204" s="34" t="n">
        <f aca="false">B8204/1</f>
        <v>178.274</v>
      </c>
      <c r="H8204" s="34" t="n">
        <f aca="false">IF(F8204=1,G8204,"")</f>
        <v>178.274</v>
      </c>
    </row>
    <row r="8205" customFormat="false" ht="15" hidden="false" customHeight="false" outlineLevel="0" collapsed="false">
      <c r="A8205" s="31" t="n">
        <v>43077.7916666667</v>
      </c>
      <c r="B8205" s="32" t="n">
        <v>172.38</v>
      </c>
      <c r="D8205" s="33" t="n">
        <f aca="false">WEEKDAY(A8205,2)</f>
        <v>5</v>
      </c>
      <c r="E8205" s="33" t="n">
        <f aca="false">HOUR(A8205)+MINUTE(A8205)/60</f>
        <v>19</v>
      </c>
      <c r="F8205" s="33" t="n">
        <f aca="false">IF(OR(D8205&gt;5,E8205&lt;8,E8205&gt;=18,COUNTIF($K$2:$K$10,INT(A8205))&gt;0),1,0)</f>
        <v>1</v>
      </c>
      <c r="G8205" s="34" t="n">
        <f aca="false">B8205/1</f>
        <v>172.38</v>
      </c>
      <c r="H8205" s="34" t="n">
        <f aca="false">IF(F8205=1,G8205,"")</f>
        <v>172.38</v>
      </c>
    </row>
    <row r="8206" customFormat="false" ht="15" hidden="false" customHeight="false" outlineLevel="0" collapsed="false">
      <c r="A8206" s="31" t="n">
        <v>43077.8333333333</v>
      </c>
      <c r="B8206" s="32" t="n">
        <v>171.935</v>
      </c>
      <c r="D8206" s="33" t="n">
        <f aca="false">WEEKDAY(A8206,2)</f>
        <v>5</v>
      </c>
      <c r="E8206" s="33" t="n">
        <f aca="false">HOUR(A8206)+MINUTE(A8206)/60</f>
        <v>20</v>
      </c>
      <c r="F8206" s="33" t="n">
        <f aca="false">IF(OR(D8206&gt;5,E8206&lt;8,E8206&gt;=18,COUNTIF($K$2:$K$10,INT(A8206))&gt;0),1,0)</f>
        <v>1</v>
      </c>
      <c r="G8206" s="34" t="n">
        <f aca="false">B8206/1</f>
        <v>171.935</v>
      </c>
      <c r="H8206" s="34" t="n">
        <f aca="false">IF(F8206=1,G8206,"")</f>
        <v>171.935</v>
      </c>
    </row>
    <row r="8207" customFormat="false" ht="15" hidden="false" customHeight="false" outlineLevel="0" collapsed="false">
      <c r="A8207" s="31" t="n">
        <v>43077.875</v>
      </c>
      <c r="B8207" s="32" t="n">
        <v>170.031</v>
      </c>
      <c r="D8207" s="33" t="n">
        <f aca="false">WEEKDAY(A8207,2)</f>
        <v>5</v>
      </c>
      <c r="E8207" s="33" t="n">
        <f aca="false">HOUR(A8207)+MINUTE(A8207)/60</f>
        <v>21</v>
      </c>
      <c r="F8207" s="33" t="n">
        <f aca="false">IF(OR(D8207&gt;5,E8207&lt;8,E8207&gt;=18,COUNTIF($K$2:$K$10,INT(A8207))&gt;0),1,0)</f>
        <v>1</v>
      </c>
      <c r="G8207" s="34" t="n">
        <f aca="false">B8207/1</f>
        <v>170.031</v>
      </c>
      <c r="H8207" s="34" t="n">
        <f aca="false">IF(F8207=1,G8207,"")</f>
        <v>170.031</v>
      </c>
    </row>
    <row r="8208" customFormat="false" ht="15" hidden="false" customHeight="false" outlineLevel="0" collapsed="false">
      <c r="A8208" s="31" t="n">
        <v>43077.9166666667</v>
      </c>
      <c r="B8208" s="32" t="n">
        <v>124.392</v>
      </c>
      <c r="D8208" s="33" t="n">
        <f aca="false">WEEKDAY(A8208,2)</f>
        <v>5</v>
      </c>
      <c r="E8208" s="33" t="n">
        <f aca="false">HOUR(A8208)+MINUTE(A8208)/60</f>
        <v>22</v>
      </c>
      <c r="F8208" s="33" t="n">
        <f aca="false">IF(OR(D8208&gt;5,E8208&lt;8,E8208&gt;=18,COUNTIF($K$2:$K$10,INT(A8208))&gt;0),1,0)</f>
        <v>1</v>
      </c>
      <c r="G8208" s="34" t="n">
        <f aca="false">B8208/1</f>
        <v>124.392</v>
      </c>
      <c r="H8208" s="34" t="n">
        <f aca="false">IF(F8208=1,G8208,"")</f>
        <v>124.392</v>
      </c>
    </row>
    <row r="8209" customFormat="false" ht="15" hidden="false" customHeight="false" outlineLevel="0" collapsed="false">
      <c r="A8209" s="31" t="n">
        <v>43077.9583333333</v>
      </c>
      <c r="B8209" s="32" t="n">
        <v>66.82</v>
      </c>
      <c r="D8209" s="33" t="n">
        <f aca="false">WEEKDAY(A8209,2)</f>
        <v>5</v>
      </c>
      <c r="E8209" s="33" t="n">
        <f aca="false">HOUR(A8209)+MINUTE(A8209)/60</f>
        <v>23</v>
      </c>
      <c r="F8209" s="33" t="n">
        <f aca="false">IF(OR(D8209&gt;5,E8209&lt;8,E8209&gt;=18,COUNTIF($K$2:$K$10,INT(A8209))&gt;0),1,0)</f>
        <v>1</v>
      </c>
      <c r="G8209" s="34" t="n">
        <f aca="false">B8209/1</f>
        <v>66.82</v>
      </c>
      <c r="H8209" s="34" t="n">
        <f aca="false">IF(F8209=1,G8209,"")</f>
        <v>66.82</v>
      </c>
    </row>
    <row r="8210" customFormat="false" ht="15" hidden="false" customHeight="false" outlineLevel="0" collapsed="false">
      <c r="A8210" s="31" t="n">
        <v>43078</v>
      </c>
      <c r="B8210" s="32" t="n">
        <v>64.072</v>
      </c>
      <c r="D8210" s="33" t="n">
        <f aca="false">WEEKDAY(A8210,2)</f>
        <v>6</v>
      </c>
      <c r="E8210" s="33" t="n">
        <f aca="false">HOUR(A8210)+MINUTE(A8210)/60</f>
        <v>0</v>
      </c>
      <c r="F8210" s="33" t="n">
        <f aca="false">IF(OR(D8210&gt;5,E8210&lt;8,E8210&gt;=18,COUNTIF($K$2:$K$10,INT(A8210))&gt;0),1,0)</f>
        <v>1</v>
      </c>
      <c r="G8210" s="34" t="n">
        <f aca="false">B8210/1</f>
        <v>64.072</v>
      </c>
      <c r="H8210" s="34" t="n">
        <f aca="false">IF(F8210=1,G8210,"")</f>
        <v>64.072</v>
      </c>
    </row>
    <row r="8211" customFormat="false" ht="15" hidden="false" customHeight="false" outlineLevel="0" collapsed="false">
      <c r="A8211" s="31" t="n">
        <v>43078.0416666667</v>
      </c>
      <c r="B8211" s="32" t="n">
        <v>61.502</v>
      </c>
      <c r="D8211" s="33" t="n">
        <f aca="false">WEEKDAY(A8211,2)</f>
        <v>6</v>
      </c>
      <c r="E8211" s="33" t="n">
        <f aca="false">HOUR(A8211)+MINUTE(A8211)/60</f>
        <v>1</v>
      </c>
      <c r="F8211" s="33" t="n">
        <f aca="false">IF(OR(D8211&gt;5,E8211&lt;8,E8211&gt;=18,COUNTIF($K$2:$K$10,INT(A8211))&gt;0),1,0)</f>
        <v>1</v>
      </c>
      <c r="G8211" s="34" t="n">
        <f aca="false">B8211/1</f>
        <v>61.502</v>
      </c>
      <c r="H8211" s="34" t="n">
        <f aca="false">IF(F8211=1,G8211,"")</f>
        <v>61.502</v>
      </c>
    </row>
    <row r="8212" customFormat="false" ht="15" hidden="false" customHeight="false" outlineLevel="0" collapsed="false">
      <c r="A8212" s="31" t="n">
        <v>43078.0833333333</v>
      </c>
      <c r="B8212" s="32" t="n">
        <v>58.403</v>
      </c>
      <c r="D8212" s="33" t="n">
        <f aca="false">WEEKDAY(A8212,2)</f>
        <v>6</v>
      </c>
      <c r="E8212" s="33" t="n">
        <f aca="false">HOUR(A8212)+MINUTE(A8212)/60</f>
        <v>2</v>
      </c>
      <c r="F8212" s="33" t="n">
        <f aca="false">IF(OR(D8212&gt;5,E8212&lt;8,E8212&gt;=18,COUNTIF($K$2:$K$10,INT(A8212))&gt;0),1,0)</f>
        <v>1</v>
      </c>
      <c r="G8212" s="34" t="n">
        <f aca="false">B8212/1</f>
        <v>58.403</v>
      </c>
      <c r="H8212" s="34" t="n">
        <f aca="false">IF(F8212=1,G8212,"")</f>
        <v>58.403</v>
      </c>
    </row>
    <row r="8213" customFormat="false" ht="15" hidden="false" customHeight="false" outlineLevel="0" collapsed="false">
      <c r="A8213" s="31" t="n">
        <v>43078.125</v>
      </c>
      <c r="B8213" s="32" t="n">
        <v>59.567</v>
      </c>
      <c r="D8213" s="33" t="n">
        <f aca="false">WEEKDAY(A8213,2)</f>
        <v>6</v>
      </c>
      <c r="E8213" s="33" t="n">
        <f aca="false">HOUR(A8213)+MINUTE(A8213)/60</f>
        <v>3</v>
      </c>
      <c r="F8213" s="33" t="n">
        <f aca="false">IF(OR(D8213&gt;5,E8213&lt;8,E8213&gt;=18,COUNTIF($K$2:$K$10,INT(A8213))&gt;0),1,0)</f>
        <v>1</v>
      </c>
      <c r="G8213" s="34" t="n">
        <f aca="false">B8213/1</f>
        <v>59.567</v>
      </c>
      <c r="H8213" s="34" t="n">
        <f aca="false">IF(F8213=1,G8213,"")</f>
        <v>59.567</v>
      </c>
    </row>
    <row r="8214" customFormat="false" ht="15" hidden="false" customHeight="false" outlineLevel="0" collapsed="false">
      <c r="A8214" s="31" t="n">
        <v>43078.1666666667</v>
      </c>
      <c r="B8214" s="32" t="n">
        <v>58.079</v>
      </c>
      <c r="D8214" s="33" t="n">
        <f aca="false">WEEKDAY(A8214,2)</f>
        <v>6</v>
      </c>
      <c r="E8214" s="33" t="n">
        <f aca="false">HOUR(A8214)+MINUTE(A8214)/60</f>
        <v>4</v>
      </c>
      <c r="F8214" s="33" t="n">
        <f aca="false">IF(OR(D8214&gt;5,E8214&lt;8,E8214&gt;=18,COUNTIF($K$2:$K$10,INT(A8214))&gt;0),1,0)</f>
        <v>1</v>
      </c>
      <c r="G8214" s="34" t="n">
        <f aca="false">B8214/1</f>
        <v>58.079</v>
      </c>
      <c r="H8214" s="34" t="n">
        <f aca="false">IF(F8214=1,G8214,"")</f>
        <v>58.079</v>
      </c>
    </row>
    <row r="8215" customFormat="false" ht="15" hidden="false" customHeight="false" outlineLevel="0" collapsed="false">
      <c r="A8215" s="31" t="n">
        <v>43078.2083333333</v>
      </c>
      <c r="B8215" s="32" t="n">
        <v>58.987</v>
      </c>
      <c r="D8215" s="33" t="n">
        <f aca="false">WEEKDAY(A8215,2)</f>
        <v>6</v>
      </c>
      <c r="E8215" s="33" t="n">
        <f aca="false">HOUR(A8215)+MINUTE(A8215)/60</f>
        <v>5</v>
      </c>
      <c r="F8215" s="33" t="n">
        <f aca="false">IF(OR(D8215&gt;5,E8215&lt;8,E8215&gt;=18,COUNTIF($K$2:$K$10,INT(A8215))&gt;0),1,0)</f>
        <v>1</v>
      </c>
      <c r="G8215" s="34" t="n">
        <f aca="false">B8215/1</f>
        <v>58.987</v>
      </c>
      <c r="H8215" s="34" t="n">
        <f aca="false">IF(F8215=1,G8215,"")</f>
        <v>58.987</v>
      </c>
    </row>
    <row r="8216" customFormat="false" ht="15" hidden="false" customHeight="false" outlineLevel="0" collapsed="false">
      <c r="A8216" s="31" t="n">
        <v>43078.25</v>
      </c>
      <c r="B8216" s="32" t="n">
        <v>58.689</v>
      </c>
      <c r="D8216" s="33" t="n">
        <f aca="false">WEEKDAY(A8216,2)</f>
        <v>6</v>
      </c>
      <c r="E8216" s="33" t="n">
        <f aca="false">HOUR(A8216)+MINUTE(A8216)/60</f>
        <v>6</v>
      </c>
      <c r="F8216" s="33" t="n">
        <f aca="false">IF(OR(D8216&gt;5,E8216&lt;8,E8216&gt;=18,COUNTIF($K$2:$K$10,INT(A8216))&gt;0),1,0)</f>
        <v>1</v>
      </c>
      <c r="G8216" s="34" t="n">
        <f aca="false">B8216/1</f>
        <v>58.689</v>
      </c>
      <c r="H8216" s="34" t="n">
        <f aca="false">IF(F8216=1,G8216,"")</f>
        <v>58.689</v>
      </c>
    </row>
    <row r="8217" customFormat="false" ht="15" hidden="false" customHeight="false" outlineLevel="0" collapsed="false">
      <c r="A8217" s="31" t="n">
        <v>43078.2916666667</v>
      </c>
      <c r="B8217" s="32" t="n">
        <v>58.317</v>
      </c>
      <c r="D8217" s="33" t="n">
        <f aca="false">WEEKDAY(A8217,2)</f>
        <v>6</v>
      </c>
      <c r="E8217" s="33" t="n">
        <f aca="false">HOUR(A8217)+MINUTE(A8217)/60</f>
        <v>7</v>
      </c>
      <c r="F8217" s="33" t="n">
        <f aca="false">IF(OR(D8217&gt;5,E8217&lt;8,E8217&gt;=18,COUNTIF($K$2:$K$10,INT(A8217))&gt;0),1,0)</f>
        <v>1</v>
      </c>
      <c r="G8217" s="34" t="n">
        <f aca="false">B8217/1</f>
        <v>58.317</v>
      </c>
      <c r="H8217" s="34" t="n">
        <f aca="false">IF(F8217=1,G8217,"")</f>
        <v>58.317</v>
      </c>
    </row>
    <row r="8218" customFormat="false" ht="15" hidden="false" customHeight="false" outlineLevel="0" collapsed="false">
      <c r="A8218" s="31" t="n">
        <v>43078.3333333333</v>
      </c>
      <c r="B8218" s="32" t="n">
        <v>117.181</v>
      </c>
      <c r="D8218" s="33" t="n">
        <f aca="false">WEEKDAY(A8218,2)</f>
        <v>6</v>
      </c>
      <c r="E8218" s="33" t="n">
        <f aca="false">HOUR(A8218)+MINUTE(A8218)/60</f>
        <v>8</v>
      </c>
      <c r="F8218" s="33" t="n">
        <f aca="false">IF(OR(D8218&gt;5,E8218&lt;8,E8218&gt;=18,COUNTIF($K$2:$K$10,INT(A8218))&gt;0),1,0)</f>
        <v>1</v>
      </c>
      <c r="G8218" s="34" t="n">
        <f aca="false">B8218/1</f>
        <v>117.181</v>
      </c>
      <c r="H8218" s="34" t="n">
        <f aca="false">IF(F8218=1,G8218,"")</f>
        <v>117.181</v>
      </c>
    </row>
    <row r="8219" customFormat="false" ht="15" hidden="false" customHeight="false" outlineLevel="0" collapsed="false">
      <c r="A8219" s="31" t="n">
        <v>43078.375</v>
      </c>
      <c r="B8219" s="32" t="n">
        <v>151.916</v>
      </c>
      <c r="D8219" s="33" t="n">
        <f aca="false">WEEKDAY(A8219,2)</f>
        <v>6</v>
      </c>
      <c r="E8219" s="33" t="n">
        <f aca="false">HOUR(A8219)+MINUTE(A8219)/60</f>
        <v>9</v>
      </c>
      <c r="F8219" s="33" t="n">
        <f aca="false">IF(OR(D8219&gt;5,E8219&lt;8,E8219&gt;=18,COUNTIF($K$2:$K$10,INT(A8219))&gt;0),1,0)</f>
        <v>1</v>
      </c>
      <c r="G8219" s="34" t="n">
        <f aca="false">B8219/1</f>
        <v>151.916</v>
      </c>
      <c r="H8219" s="34" t="n">
        <f aca="false">IF(F8219=1,G8219,"")</f>
        <v>151.916</v>
      </c>
    </row>
    <row r="8220" customFormat="false" ht="15" hidden="false" customHeight="false" outlineLevel="0" collapsed="false">
      <c r="A8220" s="31" t="n">
        <v>43078.4166666667</v>
      </c>
      <c r="B8220" s="32" t="n">
        <v>155.443</v>
      </c>
      <c r="D8220" s="33" t="n">
        <f aca="false">WEEKDAY(A8220,2)</f>
        <v>6</v>
      </c>
      <c r="E8220" s="33" t="n">
        <f aca="false">HOUR(A8220)+MINUTE(A8220)/60</f>
        <v>10</v>
      </c>
      <c r="F8220" s="33" t="n">
        <f aca="false">IF(OR(D8220&gt;5,E8220&lt;8,E8220&gt;=18,COUNTIF($K$2:$K$10,INT(A8220))&gt;0),1,0)</f>
        <v>1</v>
      </c>
      <c r="G8220" s="34" t="n">
        <f aca="false">B8220/1</f>
        <v>155.443</v>
      </c>
      <c r="H8220" s="34" t="n">
        <f aca="false">IF(F8220=1,G8220,"")</f>
        <v>155.443</v>
      </c>
    </row>
    <row r="8221" customFormat="false" ht="15" hidden="false" customHeight="false" outlineLevel="0" collapsed="false">
      <c r="A8221" s="31" t="n">
        <v>43078.4583333333</v>
      </c>
      <c r="B8221" s="32" t="n">
        <v>158.318</v>
      </c>
      <c r="D8221" s="33" t="n">
        <f aca="false">WEEKDAY(A8221,2)</f>
        <v>6</v>
      </c>
      <c r="E8221" s="33" t="n">
        <f aca="false">HOUR(A8221)+MINUTE(A8221)/60</f>
        <v>11</v>
      </c>
      <c r="F8221" s="33" t="n">
        <f aca="false">IF(OR(D8221&gt;5,E8221&lt;8,E8221&gt;=18,COUNTIF($K$2:$K$10,INT(A8221))&gt;0),1,0)</f>
        <v>1</v>
      </c>
      <c r="G8221" s="34" t="n">
        <f aca="false">B8221/1</f>
        <v>158.318</v>
      </c>
      <c r="H8221" s="34" t="n">
        <f aca="false">IF(F8221=1,G8221,"")</f>
        <v>158.318</v>
      </c>
    </row>
    <row r="8222" customFormat="false" ht="15" hidden="false" customHeight="false" outlineLevel="0" collapsed="false">
      <c r="A8222" s="31" t="n">
        <v>43078.5</v>
      </c>
      <c r="B8222" s="32" t="n">
        <v>160.247</v>
      </c>
      <c r="D8222" s="33" t="n">
        <f aca="false">WEEKDAY(A8222,2)</f>
        <v>6</v>
      </c>
      <c r="E8222" s="33" t="n">
        <f aca="false">HOUR(A8222)+MINUTE(A8222)/60</f>
        <v>12</v>
      </c>
      <c r="F8222" s="33" t="n">
        <f aca="false">IF(OR(D8222&gt;5,E8222&lt;8,E8222&gt;=18,COUNTIF($K$2:$K$10,INT(A8222))&gt;0),1,0)</f>
        <v>1</v>
      </c>
      <c r="G8222" s="34" t="n">
        <f aca="false">B8222/1</f>
        <v>160.247</v>
      </c>
      <c r="H8222" s="34" t="n">
        <f aca="false">IF(F8222=1,G8222,"")</f>
        <v>160.247</v>
      </c>
    </row>
    <row r="8223" customFormat="false" ht="15" hidden="false" customHeight="false" outlineLevel="0" collapsed="false">
      <c r="A8223" s="31" t="n">
        <v>43078.5416666667</v>
      </c>
      <c r="B8223" s="32" t="n">
        <v>164.766</v>
      </c>
      <c r="D8223" s="33" t="n">
        <f aca="false">WEEKDAY(A8223,2)</f>
        <v>6</v>
      </c>
      <c r="E8223" s="33" t="n">
        <f aca="false">HOUR(A8223)+MINUTE(A8223)/60</f>
        <v>13</v>
      </c>
      <c r="F8223" s="33" t="n">
        <f aca="false">IF(OR(D8223&gt;5,E8223&lt;8,E8223&gt;=18,COUNTIF($K$2:$K$10,INT(A8223))&gt;0),1,0)</f>
        <v>1</v>
      </c>
      <c r="G8223" s="34" t="n">
        <f aca="false">B8223/1</f>
        <v>164.766</v>
      </c>
      <c r="H8223" s="34" t="n">
        <f aca="false">IF(F8223=1,G8223,"")</f>
        <v>164.766</v>
      </c>
    </row>
    <row r="8224" customFormat="false" ht="15" hidden="false" customHeight="false" outlineLevel="0" collapsed="false">
      <c r="A8224" s="31" t="n">
        <v>43078.5833333333</v>
      </c>
      <c r="B8224" s="32" t="n">
        <v>169.806</v>
      </c>
      <c r="D8224" s="33" t="n">
        <f aca="false">WEEKDAY(A8224,2)</f>
        <v>6</v>
      </c>
      <c r="E8224" s="33" t="n">
        <f aca="false">HOUR(A8224)+MINUTE(A8224)/60</f>
        <v>14</v>
      </c>
      <c r="F8224" s="33" t="n">
        <f aca="false">IF(OR(D8224&gt;5,E8224&lt;8,E8224&gt;=18,COUNTIF($K$2:$K$10,INT(A8224))&gt;0),1,0)</f>
        <v>1</v>
      </c>
      <c r="G8224" s="34" t="n">
        <f aca="false">B8224/1</f>
        <v>169.806</v>
      </c>
      <c r="H8224" s="34" t="n">
        <f aca="false">IF(F8224=1,G8224,"")</f>
        <v>169.806</v>
      </c>
    </row>
    <row r="8225" customFormat="false" ht="15" hidden="false" customHeight="false" outlineLevel="0" collapsed="false">
      <c r="A8225" s="31" t="n">
        <v>43078.625</v>
      </c>
      <c r="B8225" s="32" t="n">
        <v>171.703</v>
      </c>
      <c r="D8225" s="33" t="n">
        <f aca="false">WEEKDAY(A8225,2)</f>
        <v>6</v>
      </c>
      <c r="E8225" s="33" t="n">
        <f aca="false">HOUR(A8225)+MINUTE(A8225)/60</f>
        <v>15</v>
      </c>
      <c r="F8225" s="33" t="n">
        <f aca="false">IF(OR(D8225&gt;5,E8225&lt;8,E8225&gt;=18,COUNTIF($K$2:$K$10,INT(A8225))&gt;0),1,0)</f>
        <v>1</v>
      </c>
      <c r="G8225" s="34" t="n">
        <f aca="false">B8225/1</f>
        <v>171.703</v>
      </c>
      <c r="H8225" s="34" t="n">
        <f aca="false">IF(F8225=1,G8225,"")</f>
        <v>171.703</v>
      </c>
    </row>
    <row r="8226" customFormat="false" ht="15" hidden="false" customHeight="false" outlineLevel="0" collapsed="false">
      <c r="A8226" s="31" t="n">
        <v>43078.6666666667</v>
      </c>
      <c r="B8226" s="32" t="n">
        <v>171.915</v>
      </c>
      <c r="D8226" s="33" t="n">
        <f aca="false">WEEKDAY(A8226,2)</f>
        <v>6</v>
      </c>
      <c r="E8226" s="33" t="n">
        <f aca="false">HOUR(A8226)+MINUTE(A8226)/60</f>
        <v>16</v>
      </c>
      <c r="F8226" s="33" t="n">
        <f aca="false">IF(OR(D8226&gt;5,E8226&lt;8,E8226&gt;=18,COUNTIF($K$2:$K$10,INT(A8226))&gt;0),1,0)</f>
        <v>1</v>
      </c>
      <c r="G8226" s="34" t="n">
        <f aca="false">B8226/1</f>
        <v>171.915</v>
      </c>
      <c r="H8226" s="34" t="n">
        <f aca="false">IF(F8226=1,G8226,"")</f>
        <v>171.915</v>
      </c>
    </row>
    <row r="8227" customFormat="false" ht="15" hidden="false" customHeight="false" outlineLevel="0" collapsed="false">
      <c r="A8227" s="31" t="n">
        <v>43078.7083333333</v>
      </c>
      <c r="B8227" s="32" t="n">
        <v>168.92</v>
      </c>
      <c r="D8227" s="33" t="n">
        <f aca="false">WEEKDAY(A8227,2)</f>
        <v>6</v>
      </c>
      <c r="E8227" s="33" t="n">
        <f aca="false">HOUR(A8227)+MINUTE(A8227)/60</f>
        <v>17</v>
      </c>
      <c r="F8227" s="33" t="n">
        <f aca="false">IF(OR(D8227&gt;5,E8227&lt;8,E8227&gt;=18,COUNTIF($K$2:$K$10,INT(A8227))&gt;0),1,0)</f>
        <v>1</v>
      </c>
      <c r="G8227" s="34" t="n">
        <f aca="false">B8227/1</f>
        <v>168.92</v>
      </c>
      <c r="H8227" s="34" t="n">
        <f aca="false">IF(F8227=1,G8227,"")</f>
        <v>168.92</v>
      </c>
    </row>
    <row r="8228" customFormat="false" ht="15" hidden="false" customHeight="false" outlineLevel="0" collapsed="false">
      <c r="A8228" s="31" t="n">
        <v>43078.75</v>
      </c>
      <c r="B8228" s="32" t="n">
        <v>92.802</v>
      </c>
      <c r="D8228" s="33" t="n">
        <f aca="false">WEEKDAY(A8228,2)</f>
        <v>6</v>
      </c>
      <c r="E8228" s="33" t="n">
        <f aca="false">HOUR(A8228)+MINUTE(A8228)/60</f>
        <v>18</v>
      </c>
      <c r="F8228" s="33" t="n">
        <f aca="false">IF(OR(D8228&gt;5,E8228&lt;8,E8228&gt;=18,COUNTIF($K$2:$K$10,INT(A8228))&gt;0),1,0)</f>
        <v>1</v>
      </c>
      <c r="G8228" s="34" t="n">
        <f aca="false">B8228/1</f>
        <v>92.802</v>
      </c>
      <c r="H8228" s="34" t="n">
        <f aca="false">IF(F8228=1,G8228,"")</f>
        <v>92.802</v>
      </c>
    </row>
    <row r="8229" customFormat="false" ht="15" hidden="false" customHeight="false" outlineLevel="0" collapsed="false">
      <c r="A8229" s="31" t="n">
        <v>43078.7916666667</v>
      </c>
      <c r="B8229" s="32" t="n">
        <v>75.459</v>
      </c>
      <c r="D8229" s="33" t="n">
        <f aca="false">WEEKDAY(A8229,2)</f>
        <v>6</v>
      </c>
      <c r="E8229" s="33" t="n">
        <f aca="false">HOUR(A8229)+MINUTE(A8229)/60</f>
        <v>19</v>
      </c>
      <c r="F8229" s="33" t="n">
        <f aca="false">IF(OR(D8229&gt;5,E8229&lt;8,E8229&gt;=18,COUNTIF($K$2:$K$10,INT(A8229))&gt;0),1,0)</f>
        <v>1</v>
      </c>
      <c r="G8229" s="34" t="n">
        <f aca="false">B8229/1</f>
        <v>75.459</v>
      </c>
      <c r="H8229" s="34" t="n">
        <f aca="false">IF(F8229=1,G8229,"")</f>
        <v>75.459</v>
      </c>
    </row>
    <row r="8230" customFormat="false" ht="15" hidden="false" customHeight="false" outlineLevel="0" collapsed="false">
      <c r="A8230" s="31" t="n">
        <v>43078.8333333333</v>
      </c>
      <c r="B8230" s="32" t="n">
        <v>75.654</v>
      </c>
      <c r="D8230" s="33" t="n">
        <f aca="false">WEEKDAY(A8230,2)</f>
        <v>6</v>
      </c>
      <c r="E8230" s="33" t="n">
        <f aca="false">HOUR(A8230)+MINUTE(A8230)/60</f>
        <v>20</v>
      </c>
      <c r="F8230" s="33" t="n">
        <f aca="false">IF(OR(D8230&gt;5,E8230&lt;8,E8230&gt;=18,COUNTIF($K$2:$K$10,INT(A8230))&gt;0),1,0)</f>
        <v>1</v>
      </c>
      <c r="G8230" s="34" t="n">
        <f aca="false">B8230/1</f>
        <v>75.654</v>
      </c>
      <c r="H8230" s="34" t="n">
        <f aca="false">IF(F8230=1,G8230,"")</f>
        <v>75.654</v>
      </c>
    </row>
    <row r="8231" customFormat="false" ht="15" hidden="false" customHeight="false" outlineLevel="0" collapsed="false">
      <c r="A8231" s="31" t="n">
        <v>43078.875</v>
      </c>
      <c r="B8231" s="32" t="n">
        <v>75.486</v>
      </c>
      <c r="D8231" s="33" t="n">
        <f aca="false">WEEKDAY(A8231,2)</f>
        <v>6</v>
      </c>
      <c r="E8231" s="33" t="n">
        <f aca="false">HOUR(A8231)+MINUTE(A8231)/60</f>
        <v>21</v>
      </c>
      <c r="F8231" s="33" t="n">
        <f aca="false">IF(OR(D8231&gt;5,E8231&lt;8,E8231&gt;=18,COUNTIF($K$2:$K$10,INT(A8231))&gt;0),1,0)</f>
        <v>1</v>
      </c>
      <c r="G8231" s="34" t="n">
        <f aca="false">B8231/1</f>
        <v>75.486</v>
      </c>
      <c r="H8231" s="34" t="n">
        <f aca="false">IF(F8231=1,G8231,"")</f>
        <v>75.486</v>
      </c>
    </row>
    <row r="8232" customFormat="false" ht="15" hidden="false" customHeight="false" outlineLevel="0" collapsed="false">
      <c r="A8232" s="31" t="n">
        <v>43078.9166666667</v>
      </c>
      <c r="B8232" s="32" t="n">
        <v>74.177</v>
      </c>
      <c r="D8232" s="33" t="n">
        <f aca="false">WEEKDAY(A8232,2)</f>
        <v>6</v>
      </c>
      <c r="E8232" s="33" t="n">
        <f aca="false">HOUR(A8232)+MINUTE(A8232)/60</f>
        <v>22</v>
      </c>
      <c r="F8232" s="33" t="n">
        <f aca="false">IF(OR(D8232&gt;5,E8232&lt;8,E8232&gt;=18,COUNTIF($K$2:$K$10,INT(A8232))&gt;0),1,0)</f>
        <v>1</v>
      </c>
      <c r="G8232" s="34" t="n">
        <f aca="false">B8232/1</f>
        <v>74.177</v>
      </c>
      <c r="H8232" s="34" t="n">
        <f aca="false">IF(F8232=1,G8232,"")</f>
        <v>74.177</v>
      </c>
    </row>
    <row r="8233" customFormat="false" ht="15" hidden="false" customHeight="false" outlineLevel="0" collapsed="false">
      <c r="A8233" s="31" t="n">
        <v>43078.9583333333</v>
      </c>
      <c r="B8233" s="32" t="n">
        <v>73.15</v>
      </c>
      <c r="D8233" s="33" t="n">
        <f aca="false">WEEKDAY(A8233,2)</f>
        <v>6</v>
      </c>
      <c r="E8233" s="33" t="n">
        <f aca="false">HOUR(A8233)+MINUTE(A8233)/60</f>
        <v>23</v>
      </c>
      <c r="F8233" s="33" t="n">
        <f aca="false">IF(OR(D8233&gt;5,E8233&lt;8,E8233&gt;=18,COUNTIF($K$2:$K$10,INT(A8233))&gt;0),1,0)</f>
        <v>1</v>
      </c>
      <c r="G8233" s="34" t="n">
        <f aca="false">B8233/1</f>
        <v>73.15</v>
      </c>
      <c r="H8233" s="34" t="n">
        <f aca="false">IF(F8233=1,G8233,"")</f>
        <v>73.15</v>
      </c>
    </row>
    <row r="8234" customFormat="false" ht="15" hidden="false" customHeight="false" outlineLevel="0" collapsed="false">
      <c r="A8234" s="31" t="n">
        <v>43079</v>
      </c>
      <c r="B8234" s="32" t="n">
        <v>69.635</v>
      </c>
      <c r="D8234" s="33" t="n">
        <f aca="false">WEEKDAY(A8234,2)</f>
        <v>7</v>
      </c>
      <c r="E8234" s="33" t="n">
        <f aca="false">HOUR(A8234)+MINUTE(A8234)/60</f>
        <v>0</v>
      </c>
      <c r="F8234" s="33" t="n">
        <f aca="false">IF(OR(D8234&gt;5,E8234&lt;8,E8234&gt;=18,COUNTIF($K$2:$K$10,INT(A8234))&gt;0),1,0)</f>
        <v>1</v>
      </c>
      <c r="G8234" s="34" t="n">
        <f aca="false">B8234/1</f>
        <v>69.635</v>
      </c>
      <c r="H8234" s="34" t="n">
        <f aca="false">IF(F8234=1,G8234,"")</f>
        <v>69.635</v>
      </c>
    </row>
    <row r="8235" customFormat="false" ht="15" hidden="false" customHeight="false" outlineLevel="0" collapsed="false">
      <c r="A8235" s="31" t="n">
        <v>43079.0416666667</v>
      </c>
      <c r="B8235" s="32" t="n">
        <v>66.32</v>
      </c>
      <c r="D8235" s="33" t="n">
        <f aca="false">WEEKDAY(A8235,2)</f>
        <v>7</v>
      </c>
      <c r="E8235" s="33" t="n">
        <f aca="false">HOUR(A8235)+MINUTE(A8235)/60</f>
        <v>1</v>
      </c>
      <c r="F8235" s="33" t="n">
        <f aca="false">IF(OR(D8235&gt;5,E8235&lt;8,E8235&gt;=18,COUNTIF($K$2:$K$10,INT(A8235))&gt;0),1,0)</f>
        <v>1</v>
      </c>
      <c r="G8235" s="34" t="n">
        <f aca="false">B8235/1</f>
        <v>66.32</v>
      </c>
      <c r="H8235" s="34" t="n">
        <f aca="false">IF(F8235=1,G8235,"")</f>
        <v>66.32</v>
      </c>
    </row>
    <row r="8236" customFormat="false" ht="15" hidden="false" customHeight="false" outlineLevel="0" collapsed="false">
      <c r="A8236" s="31" t="n">
        <v>43079.0833333333</v>
      </c>
      <c r="B8236" s="32" t="n">
        <v>62.05</v>
      </c>
      <c r="D8236" s="33" t="n">
        <f aca="false">WEEKDAY(A8236,2)</f>
        <v>7</v>
      </c>
      <c r="E8236" s="33" t="n">
        <f aca="false">HOUR(A8236)+MINUTE(A8236)/60</f>
        <v>2</v>
      </c>
      <c r="F8236" s="33" t="n">
        <f aca="false">IF(OR(D8236&gt;5,E8236&lt;8,E8236&gt;=18,COUNTIF($K$2:$K$10,INT(A8236))&gt;0),1,0)</f>
        <v>1</v>
      </c>
      <c r="G8236" s="34" t="n">
        <f aca="false">B8236/1</f>
        <v>62.05</v>
      </c>
      <c r="H8236" s="34" t="n">
        <f aca="false">IF(F8236=1,G8236,"")</f>
        <v>62.05</v>
      </c>
    </row>
    <row r="8237" customFormat="false" ht="15" hidden="false" customHeight="false" outlineLevel="0" collapsed="false">
      <c r="A8237" s="31" t="n">
        <v>43079.125</v>
      </c>
      <c r="B8237" s="32" t="n">
        <v>61.312</v>
      </c>
      <c r="D8237" s="33" t="n">
        <f aca="false">WEEKDAY(A8237,2)</f>
        <v>7</v>
      </c>
      <c r="E8237" s="33" t="n">
        <f aca="false">HOUR(A8237)+MINUTE(A8237)/60</f>
        <v>3</v>
      </c>
      <c r="F8237" s="33" t="n">
        <f aca="false">IF(OR(D8237&gt;5,E8237&lt;8,E8237&gt;=18,COUNTIF($K$2:$K$10,INT(A8237))&gt;0),1,0)</f>
        <v>1</v>
      </c>
      <c r="G8237" s="34" t="n">
        <f aca="false">B8237/1</f>
        <v>61.312</v>
      </c>
      <c r="H8237" s="34" t="n">
        <f aca="false">IF(F8237=1,G8237,"")</f>
        <v>61.312</v>
      </c>
    </row>
    <row r="8238" customFormat="false" ht="15" hidden="false" customHeight="false" outlineLevel="0" collapsed="false">
      <c r="A8238" s="31" t="n">
        <v>43079.1666666667</v>
      </c>
      <c r="B8238" s="32" t="n">
        <v>58.718</v>
      </c>
      <c r="D8238" s="33" t="n">
        <f aca="false">WEEKDAY(A8238,2)</f>
        <v>7</v>
      </c>
      <c r="E8238" s="33" t="n">
        <f aca="false">HOUR(A8238)+MINUTE(A8238)/60</f>
        <v>4</v>
      </c>
      <c r="F8238" s="33" t="n">
        <f aca="false">IF(OR(D8238&gt;5,E8238&lt;8,E8238&gt;=18,COUNTIF($K$2:$K$10,INT(A8238))&gt;0),1,0)</f>
        <v>1</v>
      </c>
      <c r="G8238" s="34" t="n">
        <f aca="false">B8238/1</f>
        <v>58.718</v>
      </c>
      <c r="H8238" s="34" t="n">
        <f aca="false">IF(F8238=1,G8238,"")</f>
        <v>58.718</v>
      </c>
    </row>
    <row r="8239" customFormat="false" ht="15" hidden="false" customHeight="false" outlineLevel="0" collapsed="false">
      <c r="A8239" s="31" t="n">
        <v>43079.2083333333</v>
      </c>
      <c r="B8239" s="32" t="n">
        <v>58.887</v>
      </c>
      <c r="D8239" s="33" t="n">
        <f aca="false">WEEKDAY(A8239,2)</f>
        <v>7</v>
      </c>
      <c r="E8239" s="33" t="n">
        <f aca="false">HOUR(A8239)+MINUTE(A8239)/60</f>
        <v>5</v>
      </c>
      <c r="F8239" s="33" t="n">
        <f aca="false">IF(OR(D8239&gt;5,E8239&lt;8,E8239&gt;=18,COUNTIF($K$2:$K$10,INT(A8239))&gt;0),1,0)</f>
        <v>1</v>
      </c>
      <c r="G8239" s="34" t="n">
        <f aca="false">B8239/1</f>
        <v>58.887</v>
      </c>
      <c r="H8239" s="34" t="n">
        <f aca="false">IF(F8239=1,G8239,"")</f>
        <v>58.887</v>
      </c>
    </row>
    <row r="8240" customFormat="false" ht="15" hidden="false" customHeight="false" outlineLevel="0" collapsed="false">
      <c r="A8240" s="31" t="n">
        <v>43079.25</v>
      </c>
      <c r="B8240" s="32" t="n">
        <v>58.422</v>
      </c>
      <c r="D8240" s="33" t="n">
        <f aca="false">WEEKDAY(A8240,2)</f>
        <v>7</v>
      </c>
      <c r="E8240" s="33" t="n">
        <f aca="false">HOUR(A8240)+MINUTE(A8240)/60</f>
        <v>6</v>
      </c>
      <c r="F8240" s="33" t="n">
        <f aca="false">IF(OR(D8240&gt;5,E8240&lt;8,E8240&gt;=18,COUNTIF($K$2:$K$10,INT(A8240))&gt;0),1,0)</f>
        <v>1</v>
      </c>
      <c r="G8240" s="34" t="n">
        <f aca="false">B8240/1</f>
        <v>58.422</v>
      </c>
      <c r="H8240" s="34" t="n">
        <f aca="false">IF(F8240=1,G8240,"")</f>
        <v>58.422</v>
      </c>
    </row>
    <row r="8241" customFormat="false" ht="15" hidden="false" customHeight="false" outlineLevel="0" collapsed="false">
      <c r="A8241" s="31" t="n">
        <v>43079.2916666667</v>
      </c>
      <c r="B8241" s="32" t="n">
        <v>59.261</v>
      </c>
      <c r="D8241" s="33" t="n">
        <f aca="false">WEEKDAY(A8241,2)</f>
        <v>7</v>
      </c>
      <c r="E8241" s="33" t="n">
        <f aca="false">HOUR(A8241)+MINUTE(A8241)/60</f>
        <v>7</v>
      </c>
      <c r="F8241" s="33" t="n">
        <f aca="false">IF(OR(D8241&gt;5,E8241&lt;8,E8241&gt;=18,COUNTIF($K$2:$K$10,INT(A8241))&gt;0),1,0)</f>
        <v>1</v>
      </c>
      <c r="G8241" s="34" t="n">
        <f aca="false">B8241/1</f>
        <v>59.261</v>
      </c>
      <c r="H8241" s="34" t="n">
        <f aca="false">IF(F8241=1,G8241,"")</f>
        <v>59.261</v>
      </c>
    </row>
    <row r="8242" customFormat="false" ht="15" hidden="false" customHeight="false" outlineLevel="0" collapsed="false">
      <c r="A8242" s="31" t="n">
        <v>43079.3333333333</v>
      </c>
      <c r="B8242" s="32" t="n">
        <v>61.168</v>
      </c>
      <c r="D8242" s="33" t="n">
        <f aca="false">WEEKDAY(A8242,2)</f>
        <v>7</v>
      </c>
      <c r="E8242" s="33" t="n">
        <f aca="false">HOUR(A8242)+MINUTE(A8242)/60</f>
        <v>8</v>
      </c>
      <c r="F8242" s="33" t="n">
        <f aca="false">IF(OR(D8242&gt;5,E8242&lt;8,E8242&gt;=18,COUNTIF($K$2:$K$10,INT(A8242))&gt;0),1,0)</f>
        <v>1</v>
      </c>
      <c r="G8242" s="34" t="n">
        <f aca="false">B8242/1</f>
        <v>61.168</v>
      </c>
      <c r="H8242" s="34" t="n">
        <f aca="false">IF(F8242=1,G8242,"")</f>
        <v>61.168</v>
      </c>
    </row>
    <row r="8243" customFormat="false" ht="15" hidden="false" customHeight="false" outlineLevel="0" collapsed="false">
      <c r="A8243" s="31" t="n">
        <v>43079.375</v>
      </c>
      <c r="B8243" s="32" t="n">
        <v>62.317</v>
      </c>
      <c r="D8243" s="33" t="n">
        <f aca="false">WEEKDAY(A8243,2)</f>
        <v>7</v>
      </c>
      <c r="E8243" s="33" t="n">
        <f aca="false">HOUR(A8243)+MINUTE(A8243)/60</f>
        <v>9</v>
      </c>
      <c r="F8243" s="33" t="n">
        <f aca="false">IF(OR(D8243&gt;5,E8243&lt;8,E8243&gt;=18,COUNTIF($K$2:$K$10,INT(A8243))&gt;0),1,0)</f>
        <v>1</v>
      </c>
      <c r="G8243" s="34" t="n">
        <f aca="false">B8243/1</f>
        <v>62.317</v>
      </c>
      <c r="H8243" s="34" t="n">
        <f aca="false">IF(F8243=1,G8243,"")</f>
        <v>62.317</v>
      </c>
    </row>
    <row r="8244" customFormat="false" ht="15" hidden="false" customHeight="false" outlineLevel="0" collapsed="false">
      <c r="A8244" s="31" t="n">
        <v>43079.4166666667</v>
      </c>
      <c r="B8244" s="32" t="n">
        <v>59.865</v>
      </c>
      <c r="D8244" s="33" t="n">
        <f aca="false">WEEKDAY(A8244,2)</f>
        <v>7</v>
      </c>
      <c r="E8244" s="33" t="n">
        <f aca="false">HOUR(A8244)+MINUTE(A8244)/60</f>
        <v>10</v>
      </c>
      <c r="F8244" s="33" t="n">
        <f aca="false">IF(OR(D8244&gt;5,E8244&lt;8,E8244&gt;=18,COUNTIF($K$2:$K$10,INT(A8244))&gt;0),1,0)</f>
        <v>1</v>
      </c>
      <c r="G8244" s="34" t="n">
        <f aca="false">B8244/1</f>
        <v>59.865</v>
      </c>
      <c r="H8244" s="34" t="n">
        <f aca="false">IF(F8244=1,G8244,"")</f>
        <v>59.865</v>
      </c>
    </row>
    <row r="8245" customFormat="false" ht="15" hidden="false" customHeight="false" outlineLevel="0" collapsed="false">
      <c r="A8245" s="31" t="n">
        <v>43079.4583333333</v>
      </c>
      <c r="B8245" s="32" t="n">
        <v>59.95</v>
      </c>
      <c r="D8245" s="33" t="n">
        <f aca="false">WEEKDAY(A8245,2)</f>
        <v>7</v>
      </c>
      <c r="E8245" s="33" t="n">
        <f aca="false">HOUR(A8245)+MINUTE(A8245)/60</f>
        <v>11</v>
      </c>
      <c r="F8245" s="33" t="n">
        <f aca="false">IF(OR(D8245&gt;5,E8245&lt;8,E8245&gt;=18,COUNTIF($K$2:$K$10,INT(A8245))&gt;0),1,0)</f>
        <v>1</v>
      </c>
      <c r="G8245" s="34" t="n">
        <f aca="false">B8245/1</f>
        <v>59.95</v>
      </c>
      <c r="H8245" s="34" t="n">
        <f aca="false">IF(F8245=1,G8245,"")</f>
        <v>59.95</v>
      </c>
    </row>
    <row r="8246" customFormat="false" ht="15" hidden="false" customHeight="false" outlineLevel="0" collapsed="false">
      <c r="A8246" s="31" t="n">
        <v>43079.5</v>
      </c>
      <c r="B8246" s="32" t="n">
        <v>65.763</v>
      </c>
      <c r="D8246" s="33" t="n">
        <f aca="false">WEEKDAY(A8246,2)</f>
        <v>7</v>
      </c>
      <c r="E8246" s="33" t="n">
        <f aca="false">HOUR(A8246)+MINUTE(A8246)/60</f>
        <v>12</v>
      </c>
      <c r="F8246" s="33" t="n">
        <f aca="false">IF(OR(D8246&gt;5,E8246&lt;8,E8246&gt;=18,COUNTIF($K$2:$K$10,INT(A8246))&gt;0),1,0)</f>
        <v>1</v>
      </c>
      <c r="G8246" s="34" t="n">
        <f aca="false">B8246/1</f>
        <v>65.763</v>
      </c>
      <c r="H8246" s="34" t="n">
        <f aca="false">IF(F8246=1,G8246,"")</f>
        <v>65.763</v>
      </c>
    </row>
    <row r="8247" customFormat="false" ht="15" hidden="false" customHeight="false" outlineLevel="0" collapsed="false">
      <c r="A8247" s="31" t="n">
        <v>43079.5416666667</v>
      </c>
      <c r="B8247" s="32" t="n">
        <v>107.944</v>
      </c>
      <c r="D8247" s="33" t="n">
        <f aca="false">WEEKDAY(A8247,2)</f>
        <v>7</v>
      </c>
      <c r="E8247" s="33" t="n">
        <f aca="false">HOUR(A8247)+MINUTE(A8247)/60</f>
        <v>13</v>
      </c>
      <c r="F8247" s="33" t="n">
        <f aca="false">IF(OR(D8247&gt;5,E8247&lt;8,E8247&gt;=18,COUNTIF($K$2:$K$10,INT(A8247))&gt;0),1,0)</f>
        <v>1</v>
      </c>
      <c r="G8247" s="34" t="n">
        <f aca="false">B8247/1</f>
        <v>107.944</v>
      </c>
      <c r="H8247" s="34" t="n">
        <f aca="false">IF(F8247=1,G8247,"")</f>
        <v>107.944</v>
      </c>
    </row>
    <row r="8248" customFormat="false" ht="15" hidden="false" customHeight="false" outlineLevel="0" collapsed="false">
      <c r="A8248" s="31" t="n">
        <v>43079.5833333333</v>
      </c>
      <c r="B8248" s="32" t="n">
        <v>132.094</v>
      </c>
      <c r="D8248" s="33" t="n">
        <f aca="false">WEEKDAY(A8248,2)</f>
        <v>7</v>
      </c>
      <c r="E8248" s="33" t="n">
        <f aca="false">HOUR(A8248)+MINUTE(A8248)/60</f>
        <v>14</v>
      </c>
      <c r="F8248" s="33" t="n">
        <f aca="false">IF(OR(D8248&gt;5,E8248&lt;8,E8248&gt;=18,COUNTIF($K$2:$K$10,INT(A8248))&gt;0),1,0)</f>
        <v>1</v>
      </c>
      <c r="G8248" s="34" t="n">
        <f aca="false">B8248/1</f>
        <v>132.094</v>
      </c>
      <c r="H8248" s="34" t="n">
        <f aca="false">IF(F8248=1,G8248,"")</f>
        <v>132.094</v>
      </c>
    </row>
    <row r="8249" customFormat="false" ht="15" hidden="false" customHeight="false" outlineLevel="0" collapsed="false">
      <c r="A8249" s="31" t="n">
        <v>43079.625</v>
      </c>
      <c r="B8249" s="32" t="n">
        <v>133.328</v>
      </c>
      <c r="D8249" s="33" t="n">
        <f aca="false">WEEKDAY(A8249,2)</f>
        <v>7</v>
      </c>
      <c r="E8249" s="33" t="n">
        <f aca="false">HOUR(A8249)+MINUTE(A8249)/60</f>
        <v>15</v>
      </c>
      <c r="F8249" s="33" t="n">
        <f aca="false">IF(OR(D8249&gt;5,E8249&lt;8,E8249&gt;=18,COUNTIF($K$2:$K$10,INT(A8249))&gt;0),1,0)</f>
        <v>1</v>
      </c>
      <c r="G8249" s="34" t="n">
        <f aca="false">B8249/1</f>
        <v>133.328</v>
      </c>
      <c r="H8249" s="34" t="n">
        <f aca="false">IF(F8249=1,G8249,"")</f>
        <v>133.328</v>
      </c>
    </row>
    <row r="8250" customFormat="false" ht="15" hidden="false" customHeight="false" outlineLevel="0" collapsed="false">
      <c r="A8250" s="31" t="n">
        <v>43079.6666666667</v>
      </c>
      <c r="B8250" s="32" t="n">
        <v>137.498</v>
      </c>
      <c r="D8250" s="33" t="n">
        <f aca="false">WEEKDAY(A8250,2)</f>
        <v>7</v>
      </c>
      <c r="E8250" s="33" t="n">
        <f aca="false">HOUR(A8250)+MINUTE(A8250)/60</f>
        <v>16</v>
      </c>
      <c r="F8250" s="33" t="n">
        <f aca="false">IF(OR(D8250&gt;5,E8250&lt;8,E8250&gt;=18,COUNTIF($K$2:$K$10,INT(A8250))&gt;0),1,0)</f>
        <v>1</v>
      </c>
      <c r="G8250" s="34" t="n">
        <f aca="false">B8250/1</f>
        <v>137.498</v>
      </c>
      <c r="H8250" s="34" t="n">
        <f aca="false">IF(F8250=1,G8250,"")</f>
        <v>137.498</v>
      </c>
    </row>
    <row r="8251" customFormat="false" ht="15" hidden="false" customHeight="false" outlineLevel="0" collapsed="false">
      <c r="A8251" s="31" t="n">
        <v>43079.7083333333</v>
      </c>
      <c r="B8251" s="32" t="n">
        <v>140.578</v>
      </c>
      <c r="D8251" s="33" t="n">
        <f aca="false">WEEKDAY(A8251,2)</f>
        <v>7</v>
      </c>
      <c r="E8251" s="33" t="n">
        <f aca="false">HOUR(A8251)+MINUTE(A8251)/60</f>
        <v>17</v>
      </c>
      <c r="F8251" s="33" t="n">
        <f aca="false">IF(OR(D8251&gt;5,E8251&lt;8,E8251&gt;=18,COUNTIF($K$2:$K$10,INT(A8251))&gt;0),1,0)</f>
        <v>1</v>
      </c>
      <c r="G8251" s="34" t="n">
        <f aca="false">B8251/1</f>
        <v>140.578</v>
      </c>
      <c r="H8251" s="34" t="n">
        <f aca="false">IF(F8251=1,G8251,"")</f>
        <v>140.578</v>
      </c>
    </row>
    <row r="8252" customFormat="false" ht="15" hidden="false" customHeight="false" outlineLevel="0" collapsed="false">
      <c r="A8252" s="31" t="n">
        <v>43079.75</v>
      </c>
      <c r="B8252" s="32" t="n">
        <v>82.283</v>
      </c>
      <c r="D8252" s="33" t="n">
        <f aca="false">WEEKDAY(A8252,2)</f>
        <v>7</v>
      </c>
      <c r="E8252" s="33" t="n">
        <f aca="false">HOUR(A8252)+MINUTE(A8252)/60</f>
        <v>18</v>
      </c>
      <c r="F8252" s="33" t="n">
        <f aca="false">IF(OR(D8252&gt;5,E8252&lt;8,E8252&gt;=18,COUNTIF($K$2:$K$10,INT(A8252))&gt;0),1,0)</f>
        <v>1</v>
      </c>
      <c r="G8252" s="34" t="n">
        <f aca="false">B8252/1</f>
        <v>82.283</v>
      </c>
      <c r="H8252" s="34" t="n">
        <f aca="false">IF(F8252=1,G8252,"")</f>
        <v>82.283</v>
      </c>
    </row>
    <row r="8253" customFormat="false" ht="15" hidden="false" customHeight="false" outlineLevel="0" collapsed="false">
      <c r="A8253" s="31" t="n">
        <v>43079.7916666667</v>
      </c>
      <c r="B8253" s="32" t="n">
        <v>75.97</v>
      </c>
      <c r="D8253" s="33" t="n">
        <f aca="false">WEEKDAY(A8253,2)</f>
        <v>7</v>
      </c>
      <c r="E8253" s="33" t="n">
        <f aca="false">HOUR(A8253)+MINUTE(A8253)/60</f>
        <v>19</v>
      </c>
      <c r="F8253" s="33" t="n">
        <f aca="false">IF(OR(D8253&gt;5,E8253&lt;8,E8253&gt;=18,COUNTIF($K$2:$K$10,INT(A8253))&gt;0),1,0)</f>
        <v>1</v>
      </c>
      <c r="G8253" s="34" t="n">
        <f aca="false">B8253/1</f>
        <v>75.97</v>
      </c>
      <c r="H8253" s="34" t="n">
        <f aca="false">IF(F8253=1,G8253,"")</f>
        <v>75.97</v>
      </c>
    </row>
    <row r="8254" customFormat="false" ht="15" hidden="false" customHeight="false" outlineLevel="0" collapsed="false">
      <c r="A8254" s="31" t="n">
        <v>43079.8333333333</v>
      </c>
      <c r="B8254" s="32" t="n">
        <v>75.36</v>
      </c>
      <c r="D8254" s="33" t="n">
        <f aca="false">WEEKDAY(A8254,2)</f>
        <v>7</v>
      </c>
      <c r="E8254" s="33" t="n">
        <f aca="false">HOUR(A8254)+MINUTE(A8254)/60</f>
        <v>20</v>
      </c>
      <c r="F8254" s="33" t="n">
        <f aca="false">IF(OR(D8254&gt;5,E8254&lt;8,E8254&gt;=18,COUNTIF($K$2:$K$10,INT(A8254))&gt;0),1,0)</f>
        <v>1</v>
      </c>
      <c r="G8254" s="34" t="n">
        <f aca="false">B8254/1</f>
        <v>75.36</v>
      </c>
      <c r="H8254" s="34" t="n">
        <f aca="false">IF(F8254=1,G8254,"")</f>
        <v>75.36</v>
      </c>
    </row>
    <row r="8255" customFormat="false" ht="15" hidden="false" customHeight="false" outlineLevel="0" collapsed="false">
      <c r="A8255" s="31" t="n">
        <v>43079.875</v>
      </c>
      <c r="B8255" s="32" t="n">
        <v>75.051</v>
      </c>
      <c r="D8255" s="33" t="n">
        <f aca="false">WEEKDAY(A8255,2)</f>
        <v>7</v>
      </c>
      <c r="E8255" s="33" t="n">
        <f aca="false">HOUR(A8255)+MINUTE(A8255)/60</f>
        <v>21</v>
      </c>
      <c r="F8255" s="33" t="n">
        <f aca="false">IF(OR(D8255&gt;5,E8255&lt;8,E8255&gt;=18,COUNTIF($K$2:$K$10,INT(A8255))&gt;0),1,0)</f>
        <v>1</v>
      </c>
      <c r="G8255" s="34" t="n">
        <f aca="false">B8255/1</f>
        <v>75.051</v>
      </c>
      <c r="H8255" s="34" t="n">
        <f aca="false">IF(F8255=1,G8255,"")</f>
        <v>75.051</v>
      </c>
    </row>
    <row r="8256" customFormat="false" ht="15" hidden="false" customHeight="false" outlineLevel="0" collapsed="false">
      <c r="A8256" s="31" t="n">
        <v>43079.9166666667</v>
      </c>
      <c r="B8256" s="32" t="n">
        <v>73.983</v>
      </c>
      <c r="D8256" s="33" t="n">
        <f aca="false">WEEKDAY(A8256,2)</f>
        <v>7</v>
      </c>
      <c r="E8256" s="33" t="n">
        <f aca="false">HOUR(A8256)+MINUTE(A8256)/60</f>
        <v>22</v>
      </c>
      <c r="F8256" s="33" t="n">
        <f aca="false">IF(OR(D8256&gt;5,E8256&lt;8,E8256&gt;=18,COUNTIF($K$2:$K$10,INT(A8256))&gt;0),1,0)</f>
        <v>1</v>
      </c>
      <c r="G8256" s="34" t="n">
        <f aca="false">B8256/1</f>
        <v>73.983</v>
      </c>
      <c r="H8256" s="34" t="n">
        <f aca="false">IF(F8256=1,G8256,"")</f>
        <v>73.983</v>
      </c>
    </row>
    <row r="8257" customFormat="false" ht="15" hidden="false" customHeight="false" outlineLevel="0" collapsed="false">
      <c r="A8257" s="31" t="n">
        <v>43079.9583333333</v>
      </c>
      <c r="B8257" s="32" t="n">
        <v>69.437</v>
      </c>
      <c r="D8257" s="33" t="n">
        <f aca="false">WEEKDAY(A8257,2)</f>
        <v>7</v>
      </c>
      <c r="E8257" s="33" t="n">
        <f aca="false">HOUR(A8257)+MINUTE(A8257)/60</f>
        <v>23</v>
      </c>
      <c r="F8257" s="33" t="n">
        <f aca="false">IF(OR(D8257&gt;5,E8257&lt;8,E8257&gt;=18,COUNTIF($K$2:$K$10,INT(A8257))&gt;0),1,0)</f>
        <v>1</v>
      </c>
      <c r="G8257" s="34" t="n">
        <f aca="false">B8257/1</f>
        <v>69.437</v>
      </c>
      <c r="H8257" s="34" t="n">
        <f aca="false">IF(F8257=1,G8257,"")</f>
        <v>69.437</v>
      </c>
    </row>
    <row r="8258" customFormat="false" ht="15" hidden="false" customHeight="false" outlineLevel="0" collapsed="false">
      <c r="A8258" s="31" t="n">
        <v>43080</v>
      </c>
      <c r="B8258" s="32" t="n">
        <v>67.524</v>
      </c>
      <c r="D8258" s="33" t="n">
        <f aca="false">WEEKDAY(A8258,2)</f>
        <v>1</v>
      </c>
      <c r="E8258" s="33" t="n">
        <f aca="false">HOUR(A8258)+MINUTE(A8258)/60</f>
        <v>0</v>
      </c>
      <c r="F8258" s="33" t="n">
        <f aca="false">IF(OR(D8258&gt;5,E8258&lt;8,E8258&gt;=18,COUNTIF($K$2:$K$10,INT(A8258))&gt;0),1,0)</f>
        <v>1</v>
      </c>
      <c r="G8258" s="34" t="n">
        <f aca="false">B8258/1</f>
        <v>67.524</v>
      </c>
      <c r="H8258" s="34" t="n">
        <f aca="false">IF(F8258=1,G8258,"")</f>
        <v>67.524</v>
      </c>
    </row>
    <row r="8259" customFormat="false" ht="15" hidden="false" customHeight="false" outlineLevel="0" collapsed="false">
      <c r="A8259" s="31" t="n">
        <v>43080.0416666667</v>
      </c>
      <c r="B8259" s="32" t="n">
        <v>67.126</v>
      </c>
      <c r="D8259" s="33" t="n">
        <f aca="false">WEEKDAY(A8259,2)</f>
        <v>1</v>
      </c>
      <c r="E8259" s="33" t="n">
        <f aca="false">HOUR(A8259)+MINUTE(A8259)/60</f>
        <v>1</v>
      </c>
      <c r="F8259" s="33" t="n">
        <f aca="false">IF(OR(D8259&gt;5,E8259&lt;8,E8259&gt;=18,COUNTIF($K$2:$K$10,INT(A8259))&gt;0),1,0)</f>
        <v>1</v>
      </c>
      <c r="G8259" s="34" t="n">
        <f aca="false">B8259/1</f>
        <v>67.126</v>
      </c>
      <c r="H8259" s="34" t="n">
        <f aca="false">IF(F8259=1,G8259,"")</f>
        <v>67.126</v>
      </c>
    </row>
    <row r="8260" customFormat="false" ht="15" hidden="false" customHeight="false" outlineLevel="0" collapsed="false">
      <c r="A8260" s="31" t="n">
        <v>43080.0833333333</v>
      </c>
      <c r="B8260" s="32" t="n">
        <v>64.915</v>
      </c>
      <c r="D8260" s="33" t="n">
        <f aca="false">WEEKDAY(A8260,2)</f>
        <v>1</v>
      </c>
      <c r="E8260" s="33" t="n">
        <f aca="false">HOUR(A8260)+MINUTE(A8260)/60</f>
        <v>2</v>
      </c>
      <c r="F8260" s="33" t="n">
        <f aca="false">IF(OR(D8260&gt;5,E8260&lt;8,E8260&gt;=18,COUNTIF($K$2:$K$10,INT(A8260))&gt;0),1,0)</f>
        <v>1</v>
      </c>
      <c r="G8260" s="34" t="n">
        <f aca="false">B8260/1</f>
        <v>64.915</v>
      </c>
      <c r="H8260" s="34" t="n">
        <f aca="false">IF(F8260=1,G8260,"")</f>
        <v>64.915</v>
      </c>
    </row>
    <row r="8261" customFormat="false" ht="15" hidden="false" customHeight="false" outlineLevel="0" collapsed="false">
      <c r="A8261" s="31" t="n">
        <v>43080.125</v>
      </c>
      <c r="B8261" s="32" t="n">
        <v>65.062</v>
      </c>
      <c r="D8261" s="33" t="n">
        <f aca="false">WEEKDAY(A8261,2)</f>
        <v>1</v>
      </c>
      <c r="E8261" s="33" t="n">
        <f aca="false">HOUR(A8261)+MINUTE(A8261)/60</f>
        <v>3</v>
      </c>
      <c r="F8261" s="33" t="n">
        <f aca="false">IF(OR(D8261&gt;5,E8261&lt;8,E8261&gt;=18,COUNTIF($K$2:$K$10,INT(A8261))&gt;0),1,0)</f>
        <v>1</v>
      </c>
      <c r="G8261" s="34" t="n">
        <f aca="false">B8261/1</f>
        <v>65.062</v>
      </c>
      <c r="H8261" s="34" t="n">
        <f aca="false">IF(F8261=1,G8261,"")</f>
        <v>65.062</v>
      </c>
    </row>
    <row r="8262" customFormat="false" ht="15" hidden="false" customHeight="false" outlineLevel="0" collapsed="false">
      <c r="A8262" s="31" t="n">
        <v>43080.1666666667</v>
      </c>
      <c r="B8262" s="32" t="n">
        <v>64.353</v>
      </c>
      <c r="D8262" s="33" t="n">
        <f aca="false">WEEKDAY(A8262,2)</f>
        <v>1</v>
      </c>
      <c r="E8262" s="33" t="n">
        <f aca="false">HOUR(A8262)+MINUTE(A8262)/60</f>
        <v>4</v>
      </c>
      <c r="F8262" s="33" t="n">
        <f aca="false">IF(OR(D8262&gt;5,E8262&lt;8,E8262&gt;=18,COUNTIF($K$2:$K$10,INT(A8262))&gt;0),1,0)</f>
        <v>1</v>
      </c>
      <c r="G8262" s="34" t="n">
        <f aca="false">B8262/1</f>
        <v>64.353</v>
      </c>
      <c r="H8262" s="34" t="n">
        <f aca="false">IF(F8262=1,G8262,"")</f>
        <v>64.353</v>
      </c>
    </row>
    <row r="8263" customFormat="false" ht="15" hidden="false" customHeight="false" outlineLevel="0" collapsed="false">
      <c r="A8263" s="31" t="n">
        <v>43080.2083333333</v>
      </c>
      <c r="B8263" s="32" t="n">
        <v>63.116</v>
      </c>
      <c r="D8263" s="33" t="n">
        <f aca="false">WEEKDAY(A8263,2)</f>
        <v>1</v>
      </c>
      <c r="E8263" s="33" t="n">
        <f aca="false">HOUR(A8263)+MINUTE(A8263)/60</f>
        <v>5</v>
      </c>
      <c r="F8263" s="33" t="n">
        <f aca="false">IF(OR(D8263&gt;5,E8263&lt;8,E8263&gt;=18,COUNTIF($K$2:$K$10,INT(A8263))&gt;0),1,0)</f>
        <v>1</v>
      </c>
      <c r="G8263" s="34" t="n">
        <f aca="false">B8263/1</f>
        <v>63.116</v>
      </c>
      <c r="H8263" s="34" t="n">
        <f aca="false">IF(F8263=1,G8263,"")</f>
        <v>63.116</v>
      </c>
    </row>
    <row r="8264" customFormat="false" ht="15" hidden="false" customHeight="false" outlineLevel="0" collapsed="false">
      <c r="A8264" s="31" t="n">
        <v>43080.25</v>
      </c>
      <c r="B8264" s="32" t="n">
        <v>63.837</v>
      </c>
      <c r="D8264" s="33" t="n">
        <f aca="false">WEEKDAY(A8264,2)</f>
        <v>1</v>
      </c>
      <c r="E8264" s="33" t="n">
        <f aca="false">HOUR(A8264)+MINUTE(A8264)/60</f>
        <v>6</v>
      </c>
      <c r="F8264" s="33" t="n">
        <f aca="false">IF(OR(D8264&gt;5,E8264&lt;8,E8264&gt;=18,COUNTIF($K$2:$K$10,INT(A8264))&gt;0),1,0)</f>
        <v>1</v>
      </c>
      <c r="G8264" s="34" t="n">
        <f aca="false">B8264/1</f>
        <v>63.837</v>
      </c>
      <c r="H8264" s="34" t="n">
        <f aca="false">IF(F8264=1,G8264,"")</f>
        <v>63.837</v>
      </c>
    </row>
    <row r="8265" customFormat="false" ht="15" hidden="false" customHeight="false" outlineLevel="0" collapsed="false">
      <c r="A8265" s="31" t="n">
        <v>43080.2916666667</v>
      </c>
      <c r="B8265" s="32" t="n">
        <v>83.584</v>
      </c>
      <c r="D8265" s="33" t="n">
        <f aca="false">WEEKDAY(A8265,2)</f>
        <v>1</v>
      </c>
      <c r="E8265" s="33" t="n">
        <f aca="false">HOUR(A8265)+MINUTE(A8265)/60</f>
        <v>7</v>
      </c>
      <c r="F8265" s="33" t="n">
        <f aca="false">IF(OR(D8265&gt;5,E8265&lt;8,E8265&gt;=18,COUNTIF($K$2:$K$10,INT(A8265))&gt;0),1,0)</f>
        <v>1</v>
      </c>
      <c r="G8265" s="34" t="n">
        <f aca="false">B8265/1</f>
        <v>83.584</v>
      </c>
      <c r="H8265" s="34" t="n">
        <f aca="false">IF(F8265=1,G8265,"")</f>
        <v>83.584</v>
      </c>
    </row>
    <row r="8266" customFormat="false" ht="15" hidden="false" customHeight="false" outlineLevel="0" collapsed="false">
      <c r="A8266" s="31" t="n">
        <v>43080.3333333333</v>
      </c>
      <c r="B8266" s="32" t="n">
        <v>164.481</v>
      </c>
      <c r="D8266" s="33" t="n">
        <f aca="false">WEEKDAY(A8266,2)</f>
        <v>1</v>
      </c>
      <c r="E8266" s="33" t="n">
        <f aca="false">HOUR(A8266)+MINUTE(A8266)/60</f>
        <v>8</v>
      </c>
      <c r="F8266" s="33" t="n">
        <f aca="false">IF(OR(D8266&gt;5,E8266&lt;8,E8266&gt;=18,COUNTIF($K$2:$K$10,INT(A8266))&gt;0),1,0)</f>
        <v>0</v>
      </c>
      <c r="G8266" s="34" t="n">
        <f aca="false">B8266/1</f>
        <v>164.481</v>
      </c>
      <c r="H8266" s="34" t="str">
        <f aca="false">IF(F8266=1,G8266,"")</f>
        <v/>
      </c>
    </row>
    <row r="8267" customFormat="false" ht="15" hidden="false" customHeight="false" outlineLevel="0" collapsed="false">
      <c r="A8267" s="31" t="n">
        <v>43080.375</v>
      </c>
      <c r="B8267" s="32" t="n">
        <v>197.111</v>
      </c>
      <c r="D8267" s="33" t="n">
        <f aca="false">WEEKDAY(A8267,2)</f>
        <v>1</v>
      </c>
      <c r="E8267" s="33" t="n">
        <f aca="false">HOUR(A8267)+MINUTE(A8267)/60</f>
        <v>9</v>
      </c>
      <c r="F8267" s="33" t="n">
        <f aca="false">IF(OR(D8267&gt;5,E8267&lt;8,E8267&gt;=18,COUNTIF($K$2:$K$10,INT(A8267))&gt;0),1,0)</f>
        <v>0</v>
      </c>
      <c r="G8267" s="34" t="n">
        <f aca="false">B8267/1</f>
        <v>197.111</v>
      </c>
      <c r="H8267" s="34" t="str">
        <f aca="false">IF(F8267=1,G8267,"")</f>
        <v/>
      </c>
    </row>
    <row r="8268" customFormat="false" ht="15" hidden="false" customHeight="false" outlineLevel="0" collapsed="false">
      <c r="A8268" s="31" t="n">
        <v>43080.4166666667</v>
      </c>
      <c r="B8268" s="32" t="n">
        <v>223.529</v>
      </c>
      <c r="D8268" s="33" t="n">
        <f aca="false">WEEKDAY(A8268,2)</f>
        <v>1</v>
      </c>
      <c r="E8268" s="33" t="n">
        <f aca="false">HOUR(A8268)+MINUTE(A8268)/60</f>
        <v>10</v>
      </c>
      <c r="F8268" s="33" t="n">
        <f aca="false">IF(OR(D8268&gt;5,E8268&lt;8,E8268&gt;=18,COUNTIF($K$2:$K$10,INT(A8268))&gt;0),1,0)</f>
        <v>0</v>
      </c>
      <c r="G8268" s="34" t="n">
        <f aca="false">B8268/1</f>
        <v>223.529</v>
      </c>
      <c r="H8268" s="34" t="str">
        <f aca="false">IF(F8268=1,G8268,"")</f>
        <v/>
      </c>
    </row>
    <row r="8269" customFormat="false" ht="15" hidden="false" customHeight="false" outlineLevel="0" collapsed="false">
      <c r="A8269" s="31" t="n">
        <v>43080.4583333333</v>
      </c>
      <c r="B8269" s="32" t="n">
        <v>236.193</v>
      </c>
      <c r="D8269" s="33" t="n">
        <f aca="false">WEEKDAY(A8269,2)</f>
        <v>1</v>
      </c>
      <c r="E8269" s="33" t="n">
        <f aca="false">HOUR(A8269)+MINUTE(A8269)/60</f>
        <v>11</v>
      </c>
      <c r="F8269" s="33" t="n">
        <f aca="false">IF(OR(D8269&gt;5,E8269&lt;8,E8269&gt;=18,COUNTIF($K$2:$K$10,INT(A8269))&gt;0),1,0)</f>
        <v>0</v>
      </c>
      <c r="G8269" s="34" t="n">
        <f aca="false">B8269/1</f>
        <v>236.193</v>
      </c>
      <c r="H8269" s="34" t="str">
        <f aca="false">IF(F8269=1,G8269,"")</f>
        <v/>
      </c>
    </row>
    <row r="8270" customFormat="false" ht="15" hidden="false" customHeight="false" outlineLevel="0" collapsed="false">
      <c r="A8270" s="31" t="n">
        <v>43080.5</v>
      </c>
      <c r="B8270" s="32" t="n">
        <v>248.276</v>
      </c>
      <c r="D8270" s="33" t="n">
        <f aca="false">WEEKDAY(A8270,2)</f>
        <v>1</v>
      </c>
      <c r="E8270" s="33" t="n">
        <f aca="false">HOUR(A8270)+MINUTE(A8270)/60</f>
        <v>12</v>
      </c>
      <c r="F8270" s="33" t="n">
        <f aca="false">IF(OR(D8270&gt;5,E8270&lt;8,E8270&gt;=18,COUNTIF($K$2:$K$10,INT(A8270))&gt;0),1,0)</f>
        <v>0</v>
      </c>
      <c r="G8270" s="34" t="n">
        <f aca="false">B8270/1</f>
        <v>248.276</v>
      </c>
      <c r="H8270" s="34" t="str">
        <f aca="false">IF(F8270=1,G8270,"")</f>
        <v/>
      </c>
    </row>
    <row r="8271" customFormat="false" ht="15" hidden="false" customHeight="false" outlineLevel="0" collapsed="false">
      <c r="A8271" s="31" t="n">
        <v>43080.5416666667</v>
      </c>
      <c r="B8271" s="32" t="n">
        <v>245.096</v>
      </c>
      <c r="D8271" s="33" t="n">
        <f aca="false">WEEKDAY(A8271,2)</f>
        <v>1</v>
      </c>
      <c r="E8271" s="33" t="n">
        <f aca="false">HOUR(A8271)+MINUTE(A8271)/60</f>
        <v>13</v>
      </c>
      <c r="F8271" s="33" t="n">
        <f aca="false">IF(OR(D8271&gt;5,E8271&lt;8,E8271&gt;=18,COUNTIF($K$2:$K$10,INT(A8271))&gt;0),1,0)</f>
        <v>0</v>
      </c>
      <c r="G8271" s="34" t="n">
        <f aca="false">B8271/1</f>
        <v>245.096</v>
      </c>
      <c r="H8271" s="34" t="str">
        <f aca="false">IF(F8271=1,G8271,"")</f>
        <v/>
      </c>
    </row>
    <row r="8272" customFormat="false" ht="15" hidden="false" customHeight="false" outlineLevel="0" collapsed="false">
      <c r="A8272" s="31" t="n">
        <v>43080.5833333333</v>
      </c>
      <c r="B8272" s="32" t="n">
        <v>252.917</v>
      </c>
      <c r="D8272" s="33" t="n">
        <f aca="false">WEEKDAY(A8272,2)</f>
        <v>1</v>
      </c>
      <c r="E8272" s="33" t="n">
        <f aca="false">HOUR(A8272)+MINUTE(A8272)/60</f>
        <v>14</v>
      </c>
      <c r="F8272" s="33" t="n">
        <f aca="false">IF(OR(D8272&gt;5,E8272&lt;8,E8272&gt;=18,COUNTIF($K$2:$K$10,INT(A8272))&gt;0),1,0)</f>
        <v>0</v>
      </c>
      <c r="G8272" s="34" t="n">
        <f aca="false">B8272/1</f>
        <v>252.917</v>
      </c>
      <c r="H8272" s="34" t="str">
        <f aca="false">IF(F8272=1,G8272,"")</f>
        <v/>
      </c>
    </row>
    <row r="8273" customFormat="false" ht="15" hidden="false" customHeight="false" outlineLevel="0" collapsed="false">
      <c r="A8273" s="31" t="n">
        <v>43080.625</v>
      </c>
      <c r="B8273" s="32" t="n">
        <v>250.718</v>
      </c>
      <c r="D8273" s="33" t="n">
        <f aca="false">WEEKDAY(A8273,2)</f>
        <v>1</v>
      </c>
      <c r="E8273" s="33" t="n">
        <f aca="false">HOUR(A8273)+MINUTE(A8273)/60</f>
        <v>15</v>
      </c>
      <c r="F8273" s="33" t="n">
        <f aca="false">IF(OR(D8273&gt;5,E8273&lt;8,E8273&gt;=18,COUNTIF($K$2:$K$10,INT(A8273))&gt;0),1,0)</f>
        <v>0</v>
      </c>
      <c r="G8273" s="34" t="n">
        <f aca="false">B8273/1</f>
        <v>250.718</v>
      </c>
      <c r="H8273" s="34" t="str">
        <f aca="false">IF(F8273=1,G8273,"")</f>
        <v/>
      </c>
    </row>
    <row r="8274" customFormat="false" ht="15" hidden="false" customHeight="false" outlineLevel="0" collapsed="false">
      <c r="A8274" s="31" t="n">
        <v>43080.6666666667</v>
      </c>
      <c r="B8274" s="32" t="n">
        <v>253.596</v>
      </c>
      <c r="D8274" s="33" t="n">
        <f aca="false">WEEKDAY(A8274,2)</f>
        <v>1</v>
      </c>
      <c r="E8274" s="33" t="n">
        <f aca="false">HOUR(A8274)+MINUTE(A8274)/60</f>
        <v>16</v>
      </c>
      <c r="F8274" s="33" t="n">
        <f aca="false">IF(OR(D8274&gt;5,E8274&lt;8,E8274&gt;=18,COUNTIF($K$2:$K$10,INT(A8274))&gt;0),1,0)</f>
        <v>0</v>
      </c>
      <c r="G8274" s="34" t="n">
        <f aca="false">B8274/1</f>
        <v>253.596</v>
      </c>
      <c r="H8274" s="34" t="str">
        <f aca="false">IF(F8274=1,G8274,"")</f>
        <v/>
      </c>
    </row>
    <row r="8275" customFormat="false" ht="15" hidden="false" customHeight="false" outlineLevel="0" collapsed="false">
      <c r="A8275" s="31" t="n">
        <v>43080.7083333333</v>
      </c>
      <c r="B8275" s="32" t="n">
        <v>242.74</v>
      </c>
      <c r="D8275" s="33" t="n">
        <f aca="false">WEEKDAY(A8275,2)</f>
        <v>1</v>
      </c>
      <c r="E8275" s="33" t="n">
        <f aca="false">HOUR(A8275)+MINUTE(A8275)/60</f>
        <v>17</v>
      </c>
      <c r="F8275" s="33" t="n">
        <f aca="false">IF(OR(D8275&gt;5,E8275&lt;8,E8275&gt;=18,COUNTIF($K$2:$K$10,INT(A8275))&gt;0),1,0)</f>
        <v>0</v>
      </c>
      <c r="G8275" s="34" t="n">
        <f aca="false">B8275/1</f>
        <v>242.74</v>
      </c>
      <c r="H8275" s="34" t="str">
        <f aca="false">IF(F8275=1,G8275,"")</f>
        <v/>
      </c>
    </row>
    <row r="8276" customFormat="false" ht="15" hidden="false" customHeight="false" outlineLevel="0" collapsed="false">
      <c r="A8276" s="31" t="n">
        <v>43080.75</v>
      </c>
      <c r="B8276" s="32" t="n">
        <v>219.941</v>
      </c>
      <c r="D8276" s="33" t="n">
        <f aca="false">WEEKDAY(A8276,2)</f>
        <v>1</v>
      </c>
      <c r="E8276" s="33" t="n">
        <f aca="false">HOUR(A8276)+MINUTE(A8276)/60</f>
        <v>18</v>
      </c>
      <c r="F8276" s="33" t="n">
        <f aca="false">IF(OR(D8276&gt;5,E8276&lt;8,E8276&gt;=18,COUNTIF($K$2:$K$10,INT(A8276))&gt;0),1,0)</f>
        <v>1</v>
      </c>
      <c r="G8276" s="34" t="n">
        <f aca="false">B8276/1</f>
        <v>219.941</v>
      </c>
      <c r="H8276" s="34" t="n">
        <f aca="false">IF(F8276=1,G8276,"")</f>
        <v>219.941</v>
      </c>
    </row>
    <row r="8277" customFormat="false" ht="15" hidden="false" customHeight="false" outlineLevel="0" collapsed="false">
      <c r="A8277" s="31" t="n">
        <v>43080.7916666667</v>
      </c>
      <c r="B8277" s="32" t="n">
        <v>207.394</v>
      </c>
      <c r="D8277" s="33" t="n">
        <f aca="false">WEEKDAY(A8277,2)</f>
        <v>1</v>
      </c>
      <c r="E8277" s="33" t="n">
        <f aca="false">HOUR(A8277)+MINUTE(A8277)/60</f>
        <v>19</v>
      </c>
      <c r="F8277" s="33" t="n">
        <f aca="false">IF(OR(D8277&gt;5,E8277&lt;8,E8277&gt;=18,COUNTIF($K$2:$K$10,INT(A8277))&gt;0),1,0)</f>
        <v>1</v>
      </c>
      <c r="G8277" s="34" t="n">
        <f aca="false">B8277/1</f>
        <v>207.394</v>
      </c>
      <c r="H8277" s="34" t="n">
        <f aca="false">IF(F8277=1,G8277,"")</f>
        <v>207.394</v>
      </c>
    </row>
    <row r="8278" customFormat="false" ht="15" hidden="false" customHeight="false" outlineLevel="0" collapsed="false">
      <c r="A8278" s="31" t="n">
        <v>43080.8333333333</v>
      </c>
      <c r="B8278" s="32" t="n">
        <v>202.982</v>
      </c>
      <c r="D8278" s="33" t="n">
        <f aca="false">WEEKDAY(A8278,2)</f>
        <v>1</v>
      </c>
      <c r="E8278" s="33" t="n">
        <f aca="false">HOUR(A8278)+MINUTE(A8278)/60</f>
        <v>20</v>
      </c>
      <c r="F8278" s="33" t="n">
        <f aca="false">IF(OR(D8278&gt;5,E8278&lt;8,E8278&gt;=18,COUNTIF($K$2:$K$10,INT(A8278))&gt;0),1,0)</f>
        <v>1</v>
      </c>
      <c r="G8278" s="34" t="n">
        <f aca="false">B8278/1</f>
        <v>202.982</v>
      </c>
      <c r="H8278" s="34" t="n">
        <f aca="false">IF(F8278=1,G8278,"")</f>
        <v>202.982</v>
      </c>
    </row>
    <row r="8279" customFormat="false" ht="15" hidden="false" customHeight="false" outlineLevel="0" collapsed="false">
      <c r="A8279" s="31" t="n">
        <v>43080.875</v>
      </c>
      <c r="B8279" s="32" t="n">
        <v>197.68</v>
      </c>
      <c r="D8279" s="33" t="n">
        <f aca="false">WEEKDAY(A8279,2)</f>
        <v>1</v>
      </c>
      <c r="E8279" s="33" t="n">
        <f aca="false">HOUR(A8279)+MINUTE(A8279)/60</f>
        <v>21</v>
      </c>
      <c r="F8279" s="33" t="n">
        <f aca="false">IF(OR(D8279&gt;5,E8279&lt;8,E8279&gt;=18,COUNTIF($K$2:$K$10,INT(A8279))&gt;0),1,0)</f>
        <v>1</v>
      </c>
      <c r="G8279" s="34" t="n">
        <f aca="false">B8279/1</f>
        <v>197.68</v>
      </c>
      <c r="H8279" s="34" t="n">
        <f aca="false">IF(F8279=1,G8279,"")</f>
        <v>197.68</v>
      </c>
    </row>
    <row r="8280" customFormat="false" ht="15" hidden="false" customHeight="false" outlineLevel="0" collapsed="false">
      <c r="A8280" s="31" t="n">
        <v>43080.9166666667</v>
      </c>
      <c r="B8280" s="32" t="n">
        <v>144.664</v>
      </c>
      <c r="D8280" s="33" t="n">
        <f aca="false">WEEKDAY(A8280,2)</f>
        <v>1</v>
      </c>
      <c r="E8280" s="33" t="n">
        <f aca="false">HOUR(A8280)+MINUTE(A8280)/60</f>
        <v>22</v>
      </c>
      <c r="F8280" s="33" t="n">
        <f aca="false">IF(OR(D8280&gt;5,E8280&lt;8,E8280&gt;=18,COUNTIF($K$2:$K$10,INT(A8280))&gt;0),1,0)</f>
        <v>1</v>
      </c>
      <c r="G8280" s="34" t="n">
        <f aca="false">B8280/1</f>
        <v>144.664</v>
      </c>
      <c r="H8280" s="34" t="n">
        <f aca="false">IF(F8280=1,G8280,"")</f>
        <v>144.664</v>
      </c>
    </row>
    <row r="8281" customFormat="false" ht="15" hidden="false" customHeight="false" outlineLevel="0" collapsed="false">
      <c r="A8281" s="31" t="n">
        <v>43080.9583333333</v>
      </c>
      <c r="B8281" s="32" t="n">
        <v>84.555</v>
      </c>
      <c r="D8281" s="33" t="n">
        <f aca="false">WEEKDAY(A8281,2)</f>
        <v>1</v>
      </c>
      <c r="E8281" s="33" t="n">
        <f aca="false">HOUR(A8281)+MINUTE(A8281)/60</f>
        <v>23</v>
      </c>
      <c r="F8281" s="33" t="n">
        <f aca="false">IF(OR(D8281&gt;5,E8281&lt;8,E8281&gt;=18,COUNTIF($K$2:$K$10,INT(A8281))&gt;0),1,0)</f>
        <v>1</v>
      </c>
      <c r="G8281" s="34" t="n">
        <f aca="false">B8281/1</f>
        <v>84.555</v>
      </c>
      <c r="H8281" s="34" t="n">
        <f aca="false">IF(F8281=1,G8281,"")</f>
        <v>84.555</v>
      </c>
    </row>
    <row r="8282" customFormat="false" ht="15" hidden="false" customHeight="false" outlineLevel="0" collapsed="false">
      <c r="A8282" s="31" t="n">
        <v>43081</v>
      </c>
      <c r="B8282" s="32" t="n">
        <v>79.166</v>
      </c>
      <c r="D8282" s="33" t="n">
        <f aca="false">WEEKDAY(A8282,2)</f>
        <v>2</v>
      </c>
      <c r="E8282" s="33" t="n">
        <f aca="false">HOUR(A8282)+MINUTE(A8282)/60</f>
        <v>0</v>
      </c>
      <c r="F8282" s="33" t="n">
        <f aca="false">IF(OR(D8282&gt;5,E8282&lt;8,E8282&gt;=18,COUNTIF($K$2:$K$10,INT(A8282))&gt;0),1,0)</f>
        <v>1</v>
      </c>
      <c r="G8282" s="34" t="n">
        <f aca="false">B8282/1</f>
        <v>79.166</v>
      </c>
      <c r="H8282" s="34" t="n">
        <f aca="false">IF(F8282=1,G8282,"")</f>
        <v>79.166</v>
      </c>
    </row>
    <row r="8283" customFormat="false" ht="15" hidden="false" customHeight="false" outlineLevel="0" collapsed="false">
      <c r="A8283" s="31" t="n">
        <v>43081.0416666667</v>
      </c>
      <c r="B8283" s="32" t="n">
        <v>75.979</v>
      </c>
      <c r="D8283" s="33" t="n">
        <f aca="false">WEEKDAY(A8283,2)</f>
        <v>2</v>
      </c>
      <c r="E8283" s="33" t="n">
        <f aca="false">HOUR(A8283)+MINUTE(A8283)/60</f>
        <v>1</v>
      </c>
      <c r="F8283" s="33" t="n">
        <f aca="false">IF(OR(D8283&gt;5,E8283&lt;8,E8283&gt;=18,COUNTIF($K$2:$K$10,INT(A8283))&gt;0),1,0)</f>
        <v>1</v>
      </c>
      <c r="G8283" s="34" t="n">
        <f aca="false">B8283/1</f>
        <v>75.979</v>
      </c>
      <c r="H8283" s="34" t="n">
        <f aca="false">IF(F8283=1,G8283,"")</f>
        <v>75.979</v>
      </c>
    </row>
    <row r="8284" customFormat="false" ht="15" hidden="false" customHeight="false" outlineLevel="0" collapsed="false">
      <c r="A8284" s="31" t="n">
        <v>43081.0833333333</v>
      </c>
      <c r="B8284" s="32" t="n">
        <v>73.906</v>
      </c>
      <c r="D8284" s="33" t="n">
        <f aca="false">WEEKDAY(A8284,2)</f>
        <v>2</v>
      </c>
      <c r="E8284" s="33" t="n">
        <f aca="false">HOUR(A8284)+MINUTE(A8284)/60</f>
        <v>2</v>
      </c>
      <c r="F8284" s="33" t="n">
        <f aca="false">IF(OR(D8284&gt;5,E8284&lt;8,E8284&gt;=18,COUNTIF($K$2:$K$10,INT(A8284))&gt;0),1,0)</f>
        <v>1</v>
      </c>
      <c r="G8284" s="34" t="n">
        <f aca="false">B8284/1</f>
        <v>73.906</v>
      </c>
      <c r="H8284" s="34" t="n">
        <f aca="false">IF(F8284=1,G8284,"")</f>
        <v>73.906</v>
      </c>
    </row>
    <row r="8285" customFormat="false" ht="15" hidden="false" customHeight="false" outlineLevel="0" collapsed="false">
      <c r="A8285" s="31" t="n">
        <v>43081.125</v>
      </c>
      <c r="B8285" s="32" t="n">
        <v>72.964</v>
      </c>
      <c r="D8285" s="33" t="n">
        <f aca="false">WEEKDAY(A8285,2)</f>
        <v>2</v>
      </c>
      <c r="E8285" s="33" t="n">
        <f aca="false">HOUR(A8285)+MINUTE(A8285)/60</f>
        <v>3</v>
      </c>
      <c r="F8285" s="33" t="n">
        <f aca="false">IF(OR(D8285&gt;5,E8285&lt;8,E8285&gt;=18,COUNTIF($K$2:$K$10,INT(A8285))&gt;0),1,0)</f>
        <v>1</v>
      </c>
      <c r="G8285" s="34" t="n">
        <f aca="false">B8285/1</f>
        <v>72.964</v>
      </c>
      <c r="H8285" s="34" t="n">
        <f aca="false">IF(F8285=1,G8285,"")</f>
        <v>72.964</v>
      </c>
    </row>
    <row r="8286" customFormat="false" ht="15" hidden="false" customHeight="false" outlineLevel="0" collapsed="false">
      <c r="A8286" s="31" t="n">
        <v>43081.1666666667</v>
      </c>
      <c r="B8286" s="32" t="n">
        <v>71.528</v>
      </c>
      <c r="D8286" s="33" t="n">
        <f aca="false">WEEKDAY(A8286,2)</f>
        <v>2</v>
      </c>
      <c r="E8286" s="33" t="n">
        <f aca="false">HOUR(A8286)+MINUTE(A8286)/60</f>
        <v>4</v>
      </c>
      <c r="F8286" s="33" t="n">
        <f aca="false">IF(OR(D8286&gt;5,E8286&lt;8,E8286&gt;=18,COUNTIF($K$2:$K$10,INT(A8286))&gt;0),1,0)</f>
        <v>1</v>
      </c>
      <c r="G8286" s="34" t="n">
        <f aca="false">B8286/1</f>
        <v>71.528</v>
      </c>
      <c r="H8286" s="34" t="n">
        <f aca="false">IF(F8286=1,G8286,"")</f>
        <v>71.528</v>
      </c>
    </row>
    <row r="8287" customFormat="false" ht="15" hidden="false" customHeight="false" outlineLevel="0" collapsed="false">
      <c r="A8287" s="31" t="n">
        <v>43081.2083333333</v>
      </c>
      <c r="B8287" s="32" t="n">
        <v>70.42</v>
      </c>
      <c r="D8287" s="33" t="n">
        <f aca="false">WEEKDAY(A8287,2)</f>
        <v>2</v>
      </c>
      <c r="E8287" s="33" t="n">
        <f aca="false">HOUR(A8287)+MINUTE(A8287)/60</f>
        <v>5</v>
      </c>
      <c r="F8287" s="33" t="n">
        <f aca="false">IF(OR(D8287&gt;5,E8287&lt;8,E8287&gt;=18,COUNTIF($K$2:$K$10,INT(A8287))&gt;0),1,0)</f>
        <v>1</v>
      </c>
      <c r="G8287" s="34" t="n">
        <f aca="false">B8287/1</f>
        <v>70.42</v>
      </c>
      <c r="H8287" s="34" t="n">
        <f aca="false">IF(F8287=1,G8287,"")</f>
        <v>70.42</v>
      </c>
    </row>
    <row r="8288" customFormat="false" ht="15" hidden="false" customHeight="false" outlineLevel="0" collapsed="false">
      <c r="A8288" s="31" t="n">
        <v>43081.25</v>
      </c>
      <c r="B8288" s="32" t="n">
        <v>71.672</v>
      </c>
      <c r="D8288" s="33" t="n">
        <f aca="false">WEEKDAY(A8288,2)</f>
        <v>2</v>
      </c>
      <c r="E8288" s="33" t="n">
        <f aca="false">HOUR(A8288)+MINUTE(A8288)/60</f>
        <v>6</v>
      </c>
      <c r="F8288" s="33" t="n">
        <f aca="false">IF(OR(D8288&gt;5,E8288&lt;8,E8288&gt;=18,COUNTIF($K$2:$K$10,INT(A8288))&gt;0),1,0)</f>
        <v>1</v>
      </c>
      <c r="G8288" s="34" t="n">
        <f aca="false">B8288/1</f>
        <v>71.672</v>
      </c>
      <c r="H8288" s="34" t="n">
        <f aca="false">IF(F8288=1,G8288,"")</f>
        <v>71.672</v>
      </c>
    </row>
    <row r="8289" customFormat="false" ht="15" hidden="false" customHeight="false" outlineLevel="0" collapsed="false">
      <c r="A8289" s="31" t="n">
        <v>43081.2916666667</v>
      </c>
      <c r="B8289" s="32" t="n">
        <v>78.386</v>
      </c>
      <c r="D8289" s="33" t="n">
        <f aca="false">WEEKDAY(A8289,2)</f>
        <v>2</v>
      </c>
      <c r="E8289" s="33" t="n">
        <f aca="false">HOUR(A8289)+MINUTE(A8289)/60</f>
        <v>7</v>
      </c>
      <c r="F8289" s="33" t="n">
        <f aca="false">IF(OR(D8289&gt;5,E8289&lt;8,E8289&gt;=18,COUNTIF($K$2:$K$10,INT(A8289))&gt;0),1,0)</f>
        <v>1</v>
      </c>
      <c r="G8289" s="34" t="n">
        <f aca="false">B8289/1</f>
        <v>78.386</v>
      </c>
      <c r="H8289" s="34" t="n">
        <f aca="false">IF(F8289=1,G8289,"")</f>
        <v>78.386</v>
      </c>
    </row>
    <row r="8290" customFormat="false" ht="15" hidden="false" customHeight="false" outlineLevel="0" collapsed="false">
      <c r="A8290" s="31" t="n">
        <v>43081.3333333333</v>
      </c>
      <c r="B8290" s="32" t="n">
        <v>174.459</v>
      </c>
      <c r="D8290" s="33" t="n">
        <f aca="false">WEEKDAY(A8290,2)</f>
        <v>2</v>
      </c>
      <c r="E8290" s="33" t="n">
        <f aca="false">HOUR(A8290)+MINUTE(A8290)/60</f>
        <v>8</v>
      </c>
      <c r="F8290" s="33" t="n">
        <f aca="false">IF(OR(D8290&gt;5,E8290&lt;8,E8290&gt;=18,COUNTIF($K$2:$K$10,INT(A8290))&gt;0),1,0)</f>
        <v>0</v>
      </c>
      <c r="G8290" s="34" t="n">
        <f aca="false">B8290/1</f>
        <v>174.459</v>
      </c>
      <c r="H8290" s="34" t="str">
        <f aca="false">IF(F8290=1,G8290,"")</f>
        <v/>
      </c>
    </row>
    <row r="8291" customFormat="false" ht="15" hidden="false" customHeight="false" outlineLevel="0" collapsed="false">
      <c r="A8291" s="31" t="n">
        <v>43081.375</v>
      </c>
      <c r="B8291" s="32" t="n">
        <v>209.374</v>
      </c>
      <c r="D8291" s="33" t="n">
        <f aca="false">WEEKDAY(A8291,2)</f>
        <v>2</v>
      </c>
      <c r="E8291" s="33" t="n">
        <f aca="false">HOUR(A8291)+MINUTE(A8291)/60</f>
        <v>9</v>
      </c>
      <c r="F8291" s="33" t="n">
        <f aca="false">IF(OR(D8291&gt;5,E8291&lt;8,E8291&gt;=18,COUNTIF($K$2:$K$10,INT(A8291))&gt;0),1,0)</f>
        <v>0</v>
      </c>
      <c r="G8291" s="34" t="n">
        <f aca="false">B8291/1</f>
        <v>209.374</v>
      </c>
      <c r="H8291" s="34" t="str">
        <f aca="false">IF(F8291=1,G8291,"")</f>
        <v/>
      </c>
    </row>
    <row r="8292" customFormat="false" ht="15" hidden="false" customHeight="false" outlineLevel="0" collapsed="false">
      <c r="A8292" s="31" t="n">
        <v>43081.4166666667</v>
      </c>
      <c r="B8292" s="32" t="n">
        <v>230.948</v>
      </c>
      <c r="D8292" s="33" t="n">
        <f aca="false">WEEKDAY(A8292,2)</f>
        <v>2</v>
      </c>
      <c r="E8292" s="33" t="n">
        <f aca="false">HOUR(A8292)+MINUTE(A8292)/60</f>
        <v>10</v>
      </c>
      <c r="F8292" s="33" t="n">
        <f aca="false">IF(OR(D8292&gt;5,E8292&lt;8,E8292&gt;=18,COUNTIF($K$2:$K$10,INT(A8292))&gt;0),1,0)</f>
        <v>0</v>
      </c>
      <c r="G8292" s="34" t="n">
        <f aca="false">B8292/1</f>
        <v>230.948</v>
      </c>
      <c r="H8292" s="34" t="str">
        <f aca="false">IF(F8292=1,G8292,"")</f>
        <v/>
      </c>
    </row>
    <row r="8293" customFormat="false" ht="15" hidden="false" customHeight="false" outlineLevel="0" collapsed="false">
      <c r="A8293" s="31" t="n">
        <v>43081.4583333333</v>
      </c>
      <c r="B8293" s="32" t="n">
        <v>246.443</v>
      </c>
      <c r="D8293" s="33" t="n">
        <f aca="false">WEEKDAY(A8293,2)</f>
        <v>2</v>
      </c>
      <c r="E8293" s="33" t="n">
        <f aca="false">HOUR(A8293)+MINUTE(A8293)/60</f>
        <v>11</v>
      </c>
      <c r="F8293" s="33" t="n">
        <f aca="false">IF(OR(D8293&gt;5,E8293&lt;8,E8293&gt;=18,COUNTIF($K$2:$K$10,INT(A8293))&gt;0),1,0)</f>
        <v>0</v>
      </c>
      <c r="G8293" s="34" t="n">
        <f aca="false">B8293/1</f>
        <v>246.443</v>
      </c>
      <c r="H8293" s="34" t="str">
        <f aca="false">IF(F8293=1,G8293,"")</f>
        <v/>
      </c>
    </row>
    <row r="8294" customFormat="false" ht="15" hidden="false" customHeight="false" outlineLevel="0" collapsed="false">
      <c r="A8294" s="31" t="n">
        <v>43081.5</v>
      </c>
      <c r="B8294" s="32" t="n">
        <v>251.251</v>
      </c>
      <c r="D8294" s="33" t="n">
        <f aca="false">WEEKDAY(A8294,2)</f>
        <v>2</v>
      </c>
      <c r="E8294" s="33" t="n">
        <f aca="false">HOUR(A8294)+MINUTE(A8294)/60</f>
        <v>12</v>
      </c>
      <c r="F8294" s="33" t="n">
        <f aca="false">IF(OR(D8294&gt;5,E8294&lt;8,E8294&gt;=18,COUNTIF($K$2:$K$10,INT(A8294))&gt;0),1,0)</f>
        <v>0</v>
      </c>
      <c r="G8294" s="34" t="n">
        <f aca="false">B8294/1</f>
        <v>251.251</v>
      </c>
      <c r="H8294" s="34" t="str">
        <f aca="false">IF(F8294=1,G8294,"")</f>
        <v/>
      </c>
    </row>
    <row r="8295" customFormat="false" ht="15" hidden="false" customHeight="false" outlineLevel="0" collapsed="false">
      <c r="A8295" s="31" t="n">
        <v>43081.5416666667</v>
      </c>
      <c r="B8295" s="32" t="n">
        <v>253.604</v>
      </c>
      <c r="D8295" s="33" t="n">
        <f aca="false">WEEKDAY(A8295,2)</f>
        <v>2</v>
      </c>
      <c r="E8295" s="33" t="n">
        <f aca="false">HOUR(A8295)+MINUTE(A8295)/60</f>
        <v>13</v>
      </c>
      <c r="F8295" s="33" t="n">
        <f aca="false">IF(OR(D8295&gt;5,E8295&lt;8,E8295&gt;=18,COUNTIF($K$2:$K$10,INT(A8295))&gt;0),1,0)</f>
        <v>0</v>
      </c>
      <c r="G8295" s="34" t="n">
        <f aca="false">B8295/1</f>
        <v>253.604</v>
      </c>
      <c r="H8295" s="34" t="str">
        <f aca="false">IF(F8295=1,G8295,"")</f>
        <v/>
      </c>
    </row>
    <row r="8296" customFormat="false" ht="15" hidden="false" customHeight="false" outlineLevel="0" collapsed="false">
      <c r="A8296" s="31" t="n">
        <v>43081.5833333333</v>
      </c>
      <c r="B8296" s="32" t="n">
        <v>256.699</v>
      </c>
      <c r="D8296" s="33" t="n">
        <f aca="false">WEEKDAY(A8296,2)</f>
        <v>2</v>
      </c>
      <c r="E8296" s="33" t="n">
        <f aca="false">HOUR(A8296)+MINUTE(A8296)/60</f>
        <v>14</v>
      </c>
      <c r="F8296" s="33" t="n">
        <f aca="false">IF(OR(D8296&gt;5,E8296&lt;8,E8296&gt;=18,COUNTIF($K$2:$K$10,INT(A8296))&gt;0),1,0)</f>
        <v>0</v>
      </c>
      <c r="G8296" s="34" t="n">
        <f aca="false">B8296/1</f>
        <v>256.699</v>
      </c>
      <c r="H8296" s="34" t="str">
        <f aca="false">IF(F8296=1,G8296,"")</f>
        <v/>
      </c>
    </row>
    <row r="8297" customFormat="false" ht="15" hidden="false" customHeight="false" outlineLevel="0" collapsed="false">
      <c r="A8297" s="31" t="n">
        <v>43081.625</v>
      </c>
      <c r="B8297" s="32" t="n">
        <v>258.898</v>
      </c>
      <c r="D8297" s="33" t="n">
        <f aca="false">WEEKDAY(A8297,2)</f>
        <v>2</v>
      </c>
      <c r="E8297" s="33" t="n">
        <f aca="false">HOUR(A8297)+MINUTE(A8297)/60</f>
        <v>15</v>
      </c>
      <c r="F8297" s="33" t="n">
        <f aca="false">IF(OR(D8297&gt;5,E8297&lt;8,E8297&gt;=18,COUNTIF($K$2:$K$10,INT(A8297))&gt;0),1,0)</f>
        <v>0</v>
      </c>
      <c r="G8297" s="34" t="n">
        <f aca="false">B8297/1</f>
        <v>258.898</v>
      </c>
      <c r="H8297" s="34" t="str">
        <f aca="false">IF(F8297=1,G8297,"")</f>
        <v/>
      </c>
    </row>
    <row r="8298" customFormat="false" ht="15" hidden="false" customHeight="false" outlineLevel="0" collapsed="false">
      <c r="A8298" s="31" t="n">
        <v>43081.6666666667</v>
      </c>
      <c r="B8298" s="32" t="n">
        <v>255.534</v>
      </c>
      <c r="D8298" s="33" t="n">
        <f aca="false">WEEKDAY(A8298,2)</f>
        <v>2</v>
      </c>
      <c r="E8298" s="33" t="n">
        <f aca="false">HOUR(A8298)+MINUTE(A8298)/60</f>
        <v>16</v>
      </c>
      <c r="F8298" s="33" t="n">
        <f aca="false">IF(OR(D8298&gt;5,E8298&lt;8,E8298&gt;=18,COUNTIF($K$2:$K$10,INT(A8298))&gt;0),1,0)</f>
        <v>0</v>
      </c>
      <c r="G8298" s="34" t="n">
        <f aca="false">B8298/1</f>
        <v>255.534</v>
      </c>
      <c r="H8298" s="34" t="str">
        <f aca="false">IF(F8298=1,G8298,"")</f>
        <v/>
      </c>
    </row>
    <row r="8299" customFormat="false" ht="15" hidden="false" customHeight="false" outlineLevel="0" collapsed="false">
      <c r="A8299" s="31" t="n">
        <v>43081.7083333333</v>
      </c>
      <c r="B8299" s="32" t="n">
        <v>235.67</v>
      </c>
      <c r="D8299" s="33" t="n">
        <f aca="false">WEEKDAY(A8299,2)</f>
        <v>2</v>
      </c>
      <c r="E8299" s="33" t="n">
        <f aca="false">HOUR(A8299)+MINUTE(A8299)/60</f>
        <v>17</v>
      </c>
      <c r="F8299" s="33" t="n">
        <f aca="false">IF(OR(D8299&gt;5,E8299&lt;8,E8299&gt;=18,COUNTIF($K$2:$K$10,INT(A8299))&gt;0),1,0)</f>
        <v>0</v>
      </c>
      <c r="G8299" s="34" t="n">
        <f aca="false">B8299/1</f>
        <v>235.67</v>
      </c>
      <c r="H8299" s="34" t="str">
        <f aca="false">IF(F8299=1,G8299,"")</f>
        <v/>
      </c>
    </row>
    <row r="8300" customFormat="false" ht="15" hidden="false" customHeight="false" outlineLevel="0" collapsed="false">
      <c r="A8300" s="31" t="n">
        <v>43081.75</v>
      </c>
      <c r="B8300" s="32" t="n">
        <v>219.275</v>
      </c>
      <c r="D8300" s="33" t="n">
        <f aca="false">WEEKDAY(A8300,2)</f>
        <v>2</v>
      </c>
      <c r="E8300" s="33" t="n">
        <f aca="false">HOUR(A8300)+MINUTE(A8300)/60</f>
        <v>18</v>
      </c>
      <c r="F8300" s="33" t="n">
        <f aca="false">IF(OR(D8300&gt;5,E8300&lt;8,E8300&gt;=18,COUNTIF($K$2:$K$10,INT(A8300))&gt;0),1,0)</f>
        <v>1</v>
      </c>
      <c r="G8300" s="34" t="n">
        <f aca="false">B8300/1</f>
        <v>219.275</v>
      </c>
      <c r="H8300" s="34" t="n">
        <f aca="false">IF(F8300=1,G8300,"")</f>
        <v>219.275</v>
      </c>
    </row>
    <row r="8301" customFormat="false" ht="15" hidden="false" customHeight="false" outlineLevel="0" collapsed="false">
      <c r="A8301" s="31" t="n">
        <v>43081.7916666667</v>
      </c>
      <c r="B8301" s="32" t="n">
        <v>213.888</v>
      </c>
      <c r="D8301" s="33" t="n">
        <f aca="false">WEEKDAY(A8301,2)</f>
        <v>2</v>
      </c>
      <c r="E8301" s="33" t="n">
        <f aca="false">HOUR(A8301)+MINUTE(A8301)/60</f>
        <v>19</v>
      </c>
      <c r="F8301" s="33" t="n">
        <f aca="false">IF(OR(D8301&gt;5,E8301&lt;8,E8301&gt;=18,COUNTIF($K$2:$K$10,INT(A8301))&gt;0),1,0)</f>
        <v>1</v>
      </c>
      <c r="G8301" s="34" t="n">
        <f aca="false">B8301/1</f>
        <v>213.888</v>
      </c>
      <c r="H8301" s="34" t="n">
        <f aca="false">IF(F8301=1,G8301,"")</f>
        <v>213.888</v>
      </c>
    </row>
    <row r="8302" customFormat="false" ht="15" hidden="false" customHeight="false" outlineLevel="0" collapsed="false">
      <c r="A8302" s="31" t="n">
        <v>43081.8333333333</v>
      </c>
      <c r="B8302" s="32" t="n">
        <v>208.863</v>
      </c>
      <c r="D8302" s="33" t="n">
        <f aca="false">WEEKDAY(A8302,2)</f>
        <v>2</v>
      </c>
      <c r="E8302" s="33" t="n">
        <f aca="false">HOUR(A8302)+MINUTE(A8302)/60</f>
        <v>20</v>
      </c>
      <c r="F8302" s="33" t="n">
        <f aca="false">IF(OR(D8302&gt;5,E8302&lt;8,E8302&gt;=18,COUNTIF($K$2:$K$10,INT(A8302))&gt;0),1,0)</f>
        <v>1</v>
      </c>
      <c r="G8302" s="34" t="n">
        <f aca="false">B8302/1</f>
        <v>208.863</v>
      </c>
      <c r="H8302" s="34" t="n">
        <f aca="false">IF(F8302=1,G8302,"")</f>
        <v>208.863</v>
      </c>
    </row>
    <row r="8303" customFormat="false" ht="15" hidden="false" customHeight="false" outlineLevel="0" collapsed="false">
      <c r="A8303" s="31" t="n">
        <v>43081.875</v>
      </c>
      <c r="B8303" s="32" t="n">
        <v>201.096</v>
      </c>
      <c r="D8303" s="33" t="n">
        <f aca="false">WEEKDAY(A8303,2)</f>
        <v>2</v>
      </c>
      <c r="E8303" s="33" t="n">
        <f aca="false">HOUR(A8303)+MINUTE(A8303)/60</f>
        <v>21</v>
      </c>
      <c r="F8303" s="33" t="n">
        <f aca="false">IF(OR(D8303&gt;5,E8303&lt;8,E8303&gt;=18,COUNTIF($K$2:$K$10,INT(A8303))&gt;0),1,0)</f>
        <v>1</v>
      </c>
      <c r="G8303" s="34" t="n">
        <f aca="false">B8303/1</f>
        <v>201.096</v>
      </c>
      <c r="H8303" s="34" t="n">
        <f aca="false">IF(F8303=1,G8303,"")</f>
        <v>201.096</v>
      </c>
    </row>
    <row r="8304" customFormat="false" ht="15" hidden="false" customHeight="false" outlineLevel="0" collapsed="false">
      <c r="A8304" s="31" t="n">
        <v>43081.9166666667</v>
      </c>
      <c r="B8304" s="32" t="n">
        <v>151.756</v>
      </c>
      <c r="D8304" s="33" t="n">
        <f aca="false">WEEKDAY(A8304,2)</f>
        <v>2</v>
      </c>
      <c r="E8304" s="33" t="n">
        <f aca="false">HOUR(A8304)+MINUTE(A8304)/60</f>
        <v>22</v>
      </c>
      <c r="F8304" s="33" t="n">
        <f aca="false">IF(OR(D8304&gt;5,E8304&lt;8,E8304&gt;=18,COUNTIF($K$2:$K$10,INT(A8304))&gt;0),1,0)</f>
        <v>1</v>
      </c>
      <c r="G8304" s="34" t="n">
        <f aca="false">B8304/1</f>
        <v>151.756</v>
      </c>
      <c r="H8304" s="34" t="n">
        <f aca="false">IF(F8304=1,G8304,"")</f>
        <v>151.756</v>
      </c>
    </row>
    <row r="8305" customFormat="false" ht="15" hidden="false" customHeight="false" outlineLevel="0" collapsed="false">
      <c r="A8305" s="31" t="n">
        <v>43081.9583333333</v>
      </c>
      <c r="B8305" s="32" t="n">
        <v>89.614</v>
      </c>
      <c r="D8305" s="33" t="n">
        <f aca="false">WEEKDAY(A8305,2)</f>
        <v>2</v>
      </c>
      <c r="E8305" s="33" t="n">
        <f aca="false">HOUR(A8305)+MINUTE(A8305)/60</f>
        <v>23</v>
      </c>
      <c r="F8305" s="33" t="n">
        <f aca="false">IF(OR(D8305&gt;5,E8305&lt;8,E8305&gt;=18,COUNTIF($K$2:$K$10,INT(A8305))&gt;0),1,0)</f>
        <v>1</v>
      </c>
      <c r="G8305" s="34" t="n">
        <f aca="false">B8305/1</f>
        <v>89.614</v>
      </c>
      <c r="H8305" s="34" t="n">
        <f aca="false">IF(F8305=1,G8305,"")</f>
        <v>89.614</v>
      </c>
    </row>
    <row r="8306" customFormat="false" ht="15" hidden="false" customHeight="false" outlineLevel="0" collapsed="false">
      <c r="A8306" s="31" t="n">
        <v>43082</v>
      </c>
      <c r="B8306" s="32" t="n">
        <v>84.779</v>
      </c>
      <c r="D8306" s="33" t="n">
        <f aca="false">WEEKDAY(A8306,2)</f>
        <v>3</v>
      </c>
      <c r="E8306" s="33" t="n">
        <f aca="false">HOUR(A8306)+MINUTE(A8306)/60</f>
        <v>0</v>
      </c>
      <c r="F8306" s="33" t="n">
        <f aca="false">IF(OR(D8306&gt;5,E8306&lt;8,E8306&gt;=18,COUNTIF($K$2:$K$10,INT(A8306))&gt;0),1,0)</f>
        <v>1</v>
      </c>
      <c r="G8306" s="34" t="n">
        <f aca="false">B8306/1</f>
        <v>84.779</v>
      </c>
      <c r="H8306" s="34" t="n">
        <f aca="false">IF(F8306=1,G8306,"")</f>
        <v>84.779</v>
      </c>
    </row>
    <row r="8307" customFormat="false" ht="15" hidden="false" customHeight="false" outlineLevel="0" collapsed="false">
      <c r="A8307" s="31" t="n">
        <v>43082.0416666667</v>
      </c>
      <c r="B8307" s="32" t="n">
        <v>83.286</v>
      </c>
      <c r="D8307" s="33" t="n">
        <f aca="false">WEEKDAY(A8307,2)</f>
        <v>3</v>
      </c>
      <c r="E8307" s="33" t="n">
        <f aca="false">HOUR(A8307)+MINUTE(A8307)/60</f>
        <v>1</v>
      </c>
      <c r="F8307" s="33" t="n">
        <f aca="false">IF(OR(D8307&gt;5,E8307&lt;8,E8307&gt;=18,COUNTIF($K$2:$K$10,INT(A8307))&gt;0),1,0)</f>
        <v>1</v>
      </c>
      <c r="G8307" s="34" t="n">
        <f aca="false">B8307/1</f>
        <v>83.286</v>
      </c>
      <c r="H8307" s="34" t="n">
        <f aca="false">IF(F8307=1,G8307,"")</f>
        <v>83.286</v>
      </c>
    </row>
    <row r="8308" customFormat="false" ht="15" hidden="false" customHeight="false" outlineLevel="0" collapsed="false">
      <c r="A8308" s="31" t="n">
        <v>43082.0833333333</v>
      </c>
      <c r="B8308" s="32" t="n">
        <v>83.726</v>
      </c>
      <c r="D8308" s="33" t="n">
        <f aca="false">WEEKDAY(A8308,2)</f>
        <v>3</v>
      </c>
      <c r="E8308" s="33" t="n">
        <f aca="false">HOUR(A8308)+MINUTE(A8308)/60</f>
        <v>2</v>
      </c>
      <c r="F8308" s="33" t="n">
        <f aca="false">IF(OR(D8308&gt;5,E8308&lt;8,E8308&gt;=18,COUNTIF($K$2:$K$10,INT(A8308))&gt;0),1,0)</f>
        <v>1</v>
      </c>
      <c r="G8308" s="34" t="n">
        <f aca="false">B8308/1</f>
        <v>83.726</v>
      </c>
      <c r="H8308" s="34" t="n">
        <f aca="false">IF(F8308=1,G8308,"")</f>
        <v>83.726</v>
      </c>
    </row>
    <row r="8309" customFormat="false" ht="15" hidden="false" customHeight="false" outlineLevel="0" collapsed="false">
      <c r="A8309" s="31" t="n">
        <v>43082.125</v>
      </c>
      <c r="B8309" s="32" t="n">
        <v>81.081</v>
      </c>
      <c r="D8309" s="33" t="n">
        <f aca="false">WEEKDAY(A8309,2)</f>
        <v>3</v>
      </c>
      <c r="E8309" s="33" t="n">
        <f aca="false">HOUR(A8309)+MINUTE(A8309)/60</f>
        <v>3</v>
      </c>
      <c r="F8309" s="33" t="n">
        <f aca="false">IF(OR(D8309&gt;5,E8309&lt;8,E8309&gt;=18,COUNTIF($K$2:$K$10,INT(A8309))&gt;0),1,0)</f>
        <v>1</v>
      </c>
      <c r="G8309" s="34" t="n">
        <f aca="false">B8309/1</f>
        <v>81.081</v>
      </c>
      <c r="H8309" s="34" t="n">
        <f aca="false">IF(F8309=1,G8309,"")</f>
        <v>81.081</v>
      </c>
    </row>
    <row r="8310" customFormat="false" ht="15" hidden="false" customHeight="false" outlineLevel="0" collapsed="false">
      <c r="A8310" s="31" t="n">
        <v>43082.1666666667</v>
      </c>
      <c r="B8310" s="32" t="n">
        <v>79.612</v>
      </c>
      <c r="D8310" s="33" t="n">
        <f aca="false">WEEKDAY(A8310,2)</f>
        <v>3</v>
      </c>
      <c r="E8310" s="33" t="n">
        <f aca="false">HOUR(A8310)+MINUTE(A8310)/60</f>
        <v>4</v>
      </c>
      <c r="F8310" s="33" t="n">
        <f aca="false">IF(OR(D8310&gt;5,E8310&lt;8,E8310&gt;=18,COUNTIF($K$2:$K$10,INT(A8310))&gt;0),1,0)</f>
        <v>1</v>
      </c>
      <c r="G8310" s="34" t="n">
        <f aca="false">B8310/1</f>
        <v>79.612</v>
      </c>
      <c r="H8310" s="34" t="n">
        <f aca="false">IF(F8310=1,G8310,"")</f>
        <v>79.612</v>
      </c>
    </row>
    <row r="8311" customFormat="false" ht="15" hidden="false" customHeight="false" outlineLevel="0" collapsed="false">
      <c r="A8311" s="31" t="n">
        <v>43082.2083333333</v>
      </c>
      <c r="B8311" s="32" t="n">
        <v>75.969</v>
      </c>
      <c r="D8311" s="33" t="n">
        <f aca="false">WEEKDAY(A8311,2)</f>
        <v>3</v>
      </c>
      <c r="E8311" s="33" t="n">
        <f aca="false">HOUR(A8311)+MINUTE(A8311)/60</f>
        <v>5</v>
      </c>
      <c r="F8311" s="33" t="n">
        <f aca="false">IF(OR(D8311&gt;5,E8311&lt;8,E8311&gt;=18,COUNTIF($K$2:$K$10,INT(A8311))&gt;0),1,0)</f>
        <v>1</v>
      </c>
      <c r="G8311" s="34" t="n">
        <f aca="false">B8311/1</f>
        <v>75.969</v>
      </c>
      <c r="H8311" s="34" t="n">
        <f aca="false">IF(F8311=1,G8311,"")</f>
        <v>75.969</v>
      </c>
    </row>
    <row r="8312" customFormat="false" ht="15" hidden="false" customHeight="false" outlineLevel="0" collapsed="false">
      <c r="A8312" s="31" t="n">
        <v>43082.25</v>
      </c>
      <c r="B8312" s="32" t="n">
        <v>77.595</v>
      </c>
      <c r="D8312" s="33" t="n">
        <f aca="false">WEEKDAY(A8312,2)</f>
        <v>3</v>
      </c>
      <c r="E8312" s="33" t="n">
        <f aca="false">HOUR(A8312)+MINUTE(A8312)/60</f>
        <v>6</v>
      </c>
      <c r="F8312" s="33" t="n">
        <f aca="false">IF(OR(D8312&gt;5,E8312&lt;8,E8312&gt;=18,COUNTIF($K$2:$K$10,INT(A8312))&gt;0),1,0)</f>
        <v>1</v>
      </c>
      <c r="G8312" s="34" t="n">
        <f aca="false">B8312/1</f>
        <v>77.595</v>
      </c>
      <c r="H8312" s="34" t="n">
        <f aca="false">IF(F8312=1,G8312,"")</f>
        <v>77.595</v>
      </c>
    </row>
    <row r="8313" customFormat="false" ht="15" hidden="false" customHeight="false" outlineLevel="0" collapsed="false">
      <c r="A8313" s="31" t="n">
        <v>43082.2916666667</v>
      </c>
      <c r="B8313" s="32" t="n">
        <v>85.98</v>
      </c>
      <c r="D8313" s="33" t="n">
        <f aca="false">WEEKDAY(A8313,2)</f>
        <v>3</v>
      </c>
      <c r="E8313" s="33" t="n">
        <f aca="false">HOUR(A8313)+MINUTE(A8313)/60</f>
        <v>7</v>
      </c>
      <c r="F8313" s="33" t="n">
        <f aca="false">IF(OR(D8313&gt;5,E8313&lt;8,E8313&gt;=18,COUNTIF($K$2:$K$10,INT(A8313))&gt;0),1,0)</f>
        <v>1</v>
      </c>
      <c r="G8313" s="34" t="n">
        <f aca="false">B8313/1</f>
        <v>85.98</v>
      </c>
      <c r="H8313" s="34" t="n">
        <f aca="false">IF(F8313=1,G8313,"")</f>
        <v>85.98</v>
      </c>
    </row>
    <row r="8314" customFormat="false" ht="15" hidden="false" customHeight="false" outlineLevel="0" collapsed="false">
      <c r="A8314" s="31" t="n">
        <v>43082.3333333333</v>
      </c>
      <c r="B8314" s="32" t="n">
        <v>183.589</v>
      </c>
      <c r="D8314" s="33" t="n">
        <f aca="false">WEEKDAY(A8314,2)</f>
        <v>3</v>
      </c>
      <c r="E8314" s="33" t="n">
        <f aca="false">HOUR(A8314)+MINUTE(A8314)/60</f>
        <v>8</v>
      </c>
      <c r="F8314" s="33" t="n">
        <f aca="false">IF(OR(D8314&gt;5,E8314&lt;8,E8314&gt;=18,COUNTIF($K$2:$K$10,INT(A8314))&gt;0),1,0)</f>
        <v>0</v>
      </c>
      <c r="G8314" s="34" t="n">
        <f aca="false">B8314/1</f>
        <v>183.589</v>
      </c>
      <c r="H8314" s="34" t="str">
        <f aca="false">IF(F8314=1,G8314,"")</f>
        <v/>
      </c>
    </row>
    <row r="8315" customFormat="false" ht="15" hidden="false" customHeight="false" outlineLevel="0" collapsed="false">
      <c r="A8315" s="31" t="n">
        <v>43082.375</v>
      </c>
      <c r="B8315" s="32" t="n">
        <v>217.692</v>
      </c>
      <c r="D8315" s="33" t="n">
        <f aca="false">WEEKDAY(A8315,2)</f>
        <v>3</v>
      </c>
      <c r="E8315" s="33" t="n">
        <f aca="false">HOUR(A8315)+MINUTE(A8315)/60</f>
        <v>9</v>
      </c>
      <c r="F8315" s="33" t="n">
        <f aca="false">IF(OR(D8315&gt;5,E8315&lt;8,E8315&gt;=18,COUNTIF($K$2:$K$10,INT(A8315))&gt;0),1,0)</f>
        <v>0</v>
      </c>
      <c r="G8315" s="34" t="n">
        <f aca="false">B8315/1</f>
        <v>217.692</v>
      </c>
      <c r="H8315" s="34" t="str">
        <f aca="false">IF(F8315=1,G8315,"")</f>
        <v/>
      </c>
    </row>
    <row r="8316" customFormat="false" ht="15" hidden="false" customHeight="false" outlineLevel="0" collapsed="false">
      <c r="A8316" s="31" t="n">
        <v>43082.4166666667</v>
      </c>
      <c r="B8316" s="32" t="n">
        <v>237.59</v>
      </c>
      <c r="D8316" s="33" t="n">
        <f aca="false">WEEKDAY(A8316,2)</f>
        <v>3</v>
      </c>
      <c r="E8316" s="33" t="n">
        <f aca="false">HOUR(A8316)+MINUTE(A8316)/60</f>
        <v>10</v>
      </c>
      <c r="F8316" s="33" t="n">
        <f aca="false">IF(OR(D8316&gt;5,E8316&lt;8,E8316&gt;=18,COUNTIF($K$2:$K$10,INT(A8316))&gt;0),1,0)</f>
        <v>0</v>
      </c>
      <c r="G8316" s="34" t="n">
        <f aca="false">B8316/1</f>
        <v>237.59</v>
      </c>
      <c r="H8316" s="34" t="str">
        <f aca="false">IF(F8316=1,G8316,"")</f>
        <v/>
      </c>
    </row>
    <row r="8317" customFormat="false" ht="15" hidden="false" customHeight="false" outlineLevel="0" collapsed="false">
      <c r="A8317" s="31" t="n">
        <v>43082.4583333333</v>
      </c>
      <c r="B8317" s="32" t="n">
        <v>251.422</v>
      </c>
      <c r="D8317" s="33" t="n">
        <f aca="false">WEEKDAY(A8317,2)</f>
        <v>3</v>
      </c>
      <c r="E8317" s="33" t="n">
        <f aca="false">HOUR(A8317)+MINUTE(A8317)/60</f>
        <v>11</v>
      </c>
      <c r="F8317" s="33" t="n">
        <f aca="false">IF(OR(D8317&gt;5,E8317&lt;8,E8317&gt;=18,COUNTIF($K$2:$K$10,INT(A8317))&gt;0),1,0)</f>
        <v>0</v>
      </c>
      <c r="G8317" s="34" t="n">
        <f aca="false">B8317/1</f>
        <v>251.422</v>
      </c>
      <c r="H8317" s="34" t="str">
        <f aca="false">IF(F8317=1,G8317,"")</f>
        <v/>
      </c>
    </row>
    <row r="8318" customFormat="false" ht="15" hidden="false" customHeight="false" outlineLevel="0" collapsed="false">
      <c r="A8318" s="31" t="n">
        <v>43082.5</v>
      </c>
      <c r="B8318" s="32" t="n">
        <v>253.747</v>
      </c>
      <c r="D8318" s="33" t="n">
        <f aca="false">WEEKDAY(A8318,2)</f>
        <v>3</v>
      </c>
      <c r="E8318" s="33" t="n">
        <f aca="false">HOUR(A8318)+MINUTE(A8318)/60</f>
        <v>12</v>
      </c>
      <c r="F8318" s="33" t="n">
        <f aca="false">IF(OR(D8318&gt;5,E8318&lt;8,E8318&gt;=18,COUNTIF($K$2:$K$10,INT(A8318))&gt;0),1,0)</f>
        <v>0</v>
      </c>
      <c r="G8318" s="34" t="n">
        <f aca="false">B8318/1</f>
        <v>253.747</v>
      </c>
      <c r="H8318" s="34" t="str">
        <f aca="false">IF(F8318=1,G8318,"")</f>
        <v/>
      </c>
    </row>
    <row r="8319" customFormat="false" ht="15" hidden="false" customHeight="false" outlineLevel="0" collapsed="false">
      <c r="A8319" s="31" t="n">
        <v>43082.5416666667</v>
      </c>
      <c r="B8319" s="32" t="n">
        <v>256.416</v>
      </c>
      <c r="D8319" s="33" t="n">
        <f aca="false">WEEKDAY(A8319,2)</f>
        <v>3</v>
      </c>
      <c r="E8319" s="33" t="n">
        <f aca="false">HOUR(A8319)+MINUTE(A8319)/60</f>
        <v>13</v>
      </c>
      <c r="F8319" s="33" t="n">
        <f aca="false">IF(OR(D8319&gt;5,E8319&lt;8,E8319&gt;=18,COUNTIF($K$2:$K$10,INT(A8319))&gt;0),1,0)</f>
        <v>0</v>
      </c>
      <c r="G8319" s="34" t="n">
        <f aca="false">B8319/1</f>
        <v>256.416</v>
      </c>
      <c r="H8319" s="34" t="str">
        <f aca="false">IF(F8319=1,G8319,"")</f>
        <v/>
      </c>
    </row>
    <row r="8320" customFormat="false" ht="15" hidden="false" customHeight="false" outlineLevel="0" collapsed="false">
      <c r="A8320" s="31" t="n">
        <v>43082.5833333333</v>
      </c>
      <c r="B8320" s="32" t="n">
        <v>260.027</v>
      </c>
      <c r="D8320" s="33" t="n">
        <f aca="false">WEEKDAY(A8320,2)</f>
        <v>3</v>
      </c>
      <c r="E8320" s="33" t="n">
        <f aca="false">HOUR(A8320)+MINUTE(A8320)/60</f>
        <v>14</v>
      </c>
      <c r="F8320" s="33" t="n">
        <f aca="false">IF(OR(D8320&gt;5,E8320&lt;8,E8320&gt;=18,COUNTIF($K$2:$K$10,INT(A8320))&gt;0),1,0)</f>
        <v>0</v>
      </c>
      <c r="G8320" s="34" t="n">
        <f aca="false">B8320/1</f>
        <v>260.027</v>
      </c>
      <c r="H8320" s="34" t="str">
        <f aca="false">IF(F8320=1,G8320,"")</f>
        <v/>
      </c>
    </row>
    <row r="8321" customFormat="false" ht="15" hidden="false" customHeight="false" outlineLevel="0" collapsed="false">
      <c r="A8321" s="31" t="n">
        <v>43082.625</v>
      </c>
      <c r="B8321" s="32" t="n">
        <v>262.073</v>
      </c>
      <c r="D8321" s="33" t="n">
        <f aca="false">WEEKDAY(A8321,2)</f>
        <v>3</v>
      </c>
      <c r="E8321" s="33" t="n">
        <f aca="false">HOUR(A8321)+MINUTE(A8321)/60</f>
        <v>15</v>
      </c>
      <c r="F8321" s="33" t="n">
        <f aca="false">IF(OR(D8321&gt;5,E8321&lt;8,E8321&gt;=18,COUNTIF($K$2:$K$10,INT(A8321))&gt;0),1,0)</f>
        <v>0</v>
      </c>
      <c r="G8321" s="34" t="n">
        <f aca="false">B8321/1</f>
        <v>262.073</v>
      </c>
      <c r="H8321" s="34" t="str">
        <f aca="false">IF(F8321=1,G8321,"")</f>
        <v/>
      </c>
    </row>
    <row r="8322" customFormat="false" ht="15" hidden="false" customHeight="false" outlineLevel="0" collapsed="false">
      <c r="A8322" s="31" t="n">
        <v>43082.6666666667</v>
      </c>
      <c r="B8322" s="32" t="n">
        <v>256.746</v>
      </c>
      <c r="D8322" s="33" t="n">
        <f aca="false">WEEKDAY(A8322,2)</f>
        <v>3</v>
      </c>
      <c r="E8322" s="33" t="n">
        <f aca="false">HOUR(A8322)+MINUTE(A8322)/60</f>
        <v>16</v>
      </c>
      <c r="F8322" s="33" t="n">
        <f aca="false">IF(OR(D8322&gt;5,E8322&lt;8,E8322&gt;=18,COUNTIF($K$2:$K$10,INT(A8322))&gt;0),1,0)</f>
        <v>0</v>
      </c>
      <c r="G8322" s="34" t="n">
        <f aca="false">B8322/1</f>
        <v>256.746</v>
      </c>
      <c r="H8322" s="34" t="str">
        <f aca="false">IF(F8322=1,G8322,"")</f>
        <v/>
      </c>
    </row>
    <row r="8323" customFormat="false" ht="15" hidden="false" customHeight="false" outlineLevel="0" collapsed="false">
      <c r="A8323" s="31" t="n">
        <v>43082.7083333333</v>
      </c>
      <c r="B8323" s="32" t="n">
        <v>241.854</v>
      </c>
      <c r="D8323" s="33" t="n">
        <f aca="false">WEEKDAY(A8323,2)</f>
        <v>3</v>
      </c>
      <c r="E8323" s="33" t="n">
        <f aca="false">HOUR(A8323)+MINUTE(A8323)/60</f>
        <v>17</v>
      </c>
      <c r="F8323" s="33" t="n">
        <f aca="false">IF(OR(D8323&gt;5,E8323&lt;8,E8323&gt;=18,COUNTIF($K$2:$K$10,INT(A8323))&gt;0),1,0)</f>
        <v>0</v>
      </c>
      <c r="G8323" s="34" t="n">
        <f aca="false">B8323/1</f>
        <v>241.854</v>
      </c>
      <c r="H8323" s="34" t="str">
        <f aca="false">IF(F8323=1,G8323,"")</f>
        <v/>
      </c>
    </row>
    <row r="8324" customFormat="false" ht="15" hidden="false" customHeight="false" outlineLevel="0" collapsed="false">
      <c r="A8324" s="31" t="n">
        <v>43082.75</v>
      </c>
      <c r="B8324" s="32" t="n">
        <v>218.864</v>
      </c>
      <c r="D8324" s="33" t="n">
        <f aca="false">WEEKDAY(A8324,2)</f>
        <v>3</v>
      </c>
      <c r="E8324" s="33" t="n">
        <f aca="false">HOUR(A8324)+MINUTE(A8324)/60</f>
        <v>18</v>
      </c>
      <c r="F8324" s="33" t="n">
        <f aca="false">IF(OR(D8324&gt;5,E8324&lt;8,E8324&gt;=18,COUNTIF($K$2:$K$10,INT(A8324))&gt;0),1,0)</f>
        <v>1</v>
      </c>
      <c r="G8324" s="34" t="n">
        <f aca="false">B8324/1</f>
        <v>218.864</v>
      </c>
      <c r="H8324" s="34" t="n">
        <f aca="false">IF(F8324=1,G8324,"")</f>
        <v>218.864</v>
      </c>
    </row>
    <row r="8325" customFormat="false" ht="15" hidden="false" customHeight="false" outlineLevel="0" collapsed="false">
      <c r="A8325" s="31" t="n">
        <v>43082.7916666667</v>
      </c>
      <c r="B8325" s="32" t="n">
        <v>211.691</v>
      </c>
      <c r="D8325" s="33" t="n">
        <f aca="false">WEEKDAY(A8325,2)</f>
        <v>3</v>
      </c>
      <c r="E8325" s="33" t="n">
        <f aca="false">HOUR(A8325)+MINUTE(A8325)/60</f>
        <v>19</v>
      </c>
      <c r="F8325" s="33" t="n">
        <f aca="false">IF(OR(D8325&gt;5,E8325&lt;8,E8325&gt;=18,COUNTIF($K$2:$K$10,INT(A8325))&gt;0),1,0)</f>
        <v>1</v>
      </c>
      <c r="G8325" s="34" t="n">
        <f aca="false">B8325/1</f>
        <v>211.691</v>
      </c>
      <c r="H8325" s="34" t="n">
        <f aca="false">IF(F8325=1,G8325,"")</f>
        <v>211.691</v>
      </c>
    </row>
    <row r="8326" customFormat="false" ht="15" hidden="false" customHeight="false" outlineLevel="0" collapsed="false">
      <c r="A8326" s="31" t="n">
        <v>43082.8333333333</v>
      </c>
      <c r="B8326" s="32" t="n">
        <v>207.181</v>
      </c>
      <c r="D8326" s="33" t="n">
        <f aca="false">WEEKDAY(A8326,2)</f>
        <v>3</v>
      </c>
      <c r="E8326" s="33" t="n">
        <f aca="false">HOUR(A8326)+MINUTE(A8326)/60</f>
        <v>20</v>
      </c>
      <c r="F8326" s="33" t="n">
        <f aca="false">IF(OR(D8326&gt;5,E8326&lt;8,E8326&gt;=18,COUNTIF($K$2:$K$10,INT(A8326))&gt;0),1,0)</f>
        <v>1</v>
      </c>
      <c r="G8326" s="34" t="n">
        <f aca="false">B8326/1</f>
        <v>207.181</v>
      </c>
      <c r="H8326" s="34" t="n">
        <f aca="false">IF(F8326=1,G8326,"")</f>
        <v>207.181</v>
      </c>
    </row>
    <row r="8327" customFormat="false" ht="15" hidden="false" customHeight="false" outlineLevel="0" collapsed="false">
      <c r="A8327" s="31" t="n">
        <v>43082.875</v>
      </c>
      <c r="B8327" s="32" t="n">
        <v>197.876</v>
      </c>
      <c r="D8327" s="33" t="n">
        <f aca="false">WEEKDAY(A8327,2)</f>
        <v>3</v>
      </c>
      <c r="E8327" s="33" t="n">
        <f aca="false">HOUR(A8327)+MINUTE(A8327)/60</f>
        <v>21</v>
      </c>
      <c r="F8327" s="33" t="n">
        <f aca="false">IF(OR(D8327&gt;5,E8327&lt;8,E8327&gt;=18,COUNTIF($K$2:$K$10,INT(A8327))&gt;0),1,0)</f>
        <v>1</v>
      </c>
      <c r="G8327" s="34" t="n">
        <f aca="false">B8327/1</f>
        <v>197.876</v>
      </c>
      <c r="H8327" s="34" t="n">
        <f aca="false">IF(F8327=1,G8327,"")</f>
        <v>197.876</v>
      </c>
    </row>
    <row r="8328" customFormat="false" ht="15" hidden="false" customHeight="false" outlineLevel="0" collapsed="false">
      <c r="A8328" s="31" t="n">
        <v>43082.9166666667</v>
      </c>
      <c r="B8328" s="32" t="n">
        <v>139.541</v>
      </c>
      <c r="D8328" s="33" t="n">
        <f aca="false">WEEKDAY(A8328,2)</f>
        <v>3</v>
      </c>
      <c r="E8328" s="33" t="n">
        <f aca="false">HOUR(A8328)+MINUTE(A8328)/60</f>
        <v>22</v>
      </c>
      <c r="F8328" s="33" t="n">
        <f aca="false">IF(OR(D8328&gt;5,E8328&lt;8,E8328&gt;=18,COUNTIF($K$2:$K$10,INT(A8328))&gt;0),1,0)</f>
        <v>1</v>
      </c>
      <c r="G8328" s="34" t="n">
        <f aca="false">B8328/1</f>
        <v>139.541</v>
      </c>
      <c r="H8328" s="34" t="n">
        <f aca="false">IF(F8328=1,G8328,"")</f>
        <v>139.541</v>
      </c>
    </row>
    <row r="8329" customFormat="false" ht="15" hidden="false" customHeight="false" outlineLevel="0" collapsed="false">
      <c r="A8329" s="31" t="n">
        <v>43082.9583333333</v>
      </c>
      <c r="B8329" s="32" t="n">
        <v>76.695</v>
      </c>
      <c r="D8329" s="33" t="n">
        <f aca="false">WEEKDAY(A8329,2)</f>
        <v>3</v>
      </c>
      <c r="E8329" s="33" t="n">
        <f aca="false">HOUR(A8329)+MINUTE(A8329)/60</f>
        <v>23</v>
      </c>
      <c r="F8329" s="33" t="n">
        <f aca="false">IF(OR(D8329&gt;5,E8329&lt;8,E8329&gt;=18,COUNTIF($K$2:$K$10,INT(A8329))&gt;0),1,0)</f>
        <v>1</v>
      </c>
      <c r="G8329" s="34" t="n">
        <f aca="false">B8329/1</f>
        <v>76.695</v>
      </c>
      <c r="H8329" s="34" t="n">
        <f aca="false">IF(F8329=1,G8329,"")</f>
        <v>76.695</v>
      </c>
    </row>
    <row r="8330" customFormat="false" ht="15" hidden="false" customHeight="false" outlineLevel="0" collapsed="false">
      <c r="A8330" s="31" t="n">
        <v>43083</v>
      </c>
      <c r="B8330" s="32" t="n">
        <v>73.378</v>
      </c>
      <c r="D8330" s="33" t="n">
        <f aca="false">WEEKDAY(A8330,2)</f>
        <v>4</v>
      </c>
      <c r="E8330" s="33" t="n">
        <f aca="false">HOUR(A8330)+MINUTE(A8330)/60</f>
        <v>0</v>
      </c>
      <c r="F8330" s="33" t="n">
        <f aca="false">IF(OR(D8330&gt;5,E8330&lt;8,E8330&gt;=18,COUNTIF($K$2:$K$10,INT(A8330))&gt;0),1,0)</f>
        <v>1</v>
      </c>
      <c r="G8330" s="34" t="n">
        <f aca="false">B8330/1</f>
        <v>73.378</v>
      </c>
      <c r="H8330" s="34" t="n">
        <f aca="false">IF(F8330=1,G8330,"")</f>
        <v>73.378</v>
      </c>
    </row>
    <row r="8331" customFormat="false" ht="15" hidden="false" customHeight="false" outlineLevel="0" collapsed="false">
      <c r="A8331" s="31" t="n">
        <v>43083.0416666667</v>
      </c>
      <c r="B8331" s="32" t="n">
        <v>71.324</v>
      </c>
      <c r="D8331" s="33" t="n">
        <f aca="false">WEEKDAY(A8331,2)</f>
        <v>4</v>
      </c>
      <c r="E8331" s="33" t="n">
        <f aca="false">HOUR(A8331)+MINUTE(A8331)/60</f>
        <v>1</v>
      </c>
      <c r="F8331" s="33" t="n">
        <f aca="false">IF(OR(D8331&gt;5,E8331&lt;8,E8331&gt;=18,COUNTIF($K$2:$K$10,INT(A8331))&gt;0),1,0)</f>
        <v>1</v>
      </c>
      <c r="G8331" s="34" t="n">
        <f aca="false">B8331/1</f>
        <v>71.324</v>
      </c>
      <c r="H8331" s="34" t="n">
        <f aca="false">IF(F8331=1,G8331,"")</f>
        <v>71.324</v>
      </c>
    </row>
    <row r="8332" customFormat="false" ht="15" hidden="false" customHeight="false" outlineLevel="0" collapsed="false">
      <c r="A8332" s="31" t="n">
        <v>43083.0833333333</v>
      </c>
      <c r="B8332" s="32" t="n">
        <v>69.494</v>
      </c>
      <c r="D8332" s="33" t="n">
        <f aca="false">WEEKDAY(A8332,2)</f>
        <v>4</v>
      </c>
      <c r="E8332" s="33" t="n">
        <f aca="false">HOUR(A8332)+MINUTE(A8332)/60</f>
        <v>2</v>
      </c>
      <c r="F8332" s="33" t="n">
        <f aca="false">IF(OR(D8332&gt;5,E8332&lt;8,E8332&gt;=18,COUNTIF($K$2:$K$10,INT(A8332))&gt;0),1,0)</f>
        <v>1</v>
      </c>
      <c r="G8332" s="34" t="n">
        <f aca="false">B8332/1</f>
        <v>69.494</v>
      </c>
      <c r="H8332" s="34" t="n">
        <f aca="false">IF(F8332=1,G8332,"")</f>
        <v>69.494</v>
      </c>
    </row>
    <row r="8333" customFormat="false" ht="15" hidden="false" customHeight="false" outlineLevel="0" collapsed="false">
      <c r="A8333" s="31" t="n">
        <v>43083.125</v>
      </c>
      <c r="B8333" s="32" t="n">
        <v>68.72</v>
      </c>
      <c r="D8333" s="33" t="n">
        <f aca="false">WEEKDAY(A8333,2)</f>
        <v>4</v>
      </c>
      <c r="E8333" s="33" t="n">
        <f aca="false">HOUR(A8333)+MINUTE(A8333)/60</f>
        <v>3</v>
      </c>
      <c r="F8333" s="33" t="n">
        <f aca="false">IF(OR(D8333&gt;5,E8333&lt;8,E8333&gt;=18,COUNTIF($K$2:$K$10,INT(A8333))&gt;0),1,0)</f>
        <v>1</v>
      </c>
      <c r="G8333" s="34" t="n">
        <f aca="false">B8333/1</f>
        <v>68.72</v>
      </c>
      <c r="H8333" s="34" t="n">
        <f aca="false">IF(F8333=1,G8333,"")</f>
        <v>68.72</v>
      </c>
    </row>
    <row r="8334" customFormat="false" ht="15" hidden="false" customHeight="false" outlineLevel="0" collapsed="false">
      <c r="A8334" s="31" t="n">
        <v>43083.1666666667</v>
      </c>
      <c r="B8334" s="32" t="n">
        <v>68.148</v>
      </c>
      <c r="D8334" s="33" t="n">
        <f aca="false">WEEKDAY(A8334,2)</f>
        <v>4</v>
      </c>
      <c r="E8334" s="33" t="n">
        <f aca="false">HOUR(A8334)+MINUTE(A8334)/60</f>
        <v>4</v>
      </c>
      <c r="F8334" s="33" t="n">
        <f aca="false">IF(OR(D8334&gt;5,E8334&lt;8,E8334&gt;=18,COUNTIF($K$2:$K$10,INT(A8334))&gt;0),1,0)</f>
        <v>1</v>
      </c>
      <c r="G8334" s="34" t="n">
        <f aca="false">B8334/1</f>
        <v>68.148</v>
      </c>
      <c r="H8334" s="34" t="n">
        <f aca="false">IF(F8334=1,G8334,"")</f>
        <v>68.148</v>
      </c>
    </row>
    <row r="8335" customFormat="false" ht="15" hidden="false" customHeight="false" outlineLevel="0" collapsed="false">
      <c r="A8335" s="31" t="n">
        <v>43083.2083333333</v>
      </c>
      <c r="B8335" s="32" t="n">
        <v>67.351</v>
      </c>
      <c r="D8335" s="33" t="n">
        <f aca="false">WEEKDAY(A8335,2)</f>
        <v>4</v>
      </c>
      <c r="E8335" s="33" t="n">
        <f aca="false">HOUR(A8335)+MINUTE(A8335)/60</f>
        <v>5</v>
      </c>
      <c r="F8335" s="33" t="n">
        <f aca="false">IF(OR(D8335&gt;5,E8335&lt;8,E8335&gt;=18,COUNTIF($K$2:$K$10,INT(A8335))&gt;0),1,0)</f>
        <v>1</v>
      </c>
      <c r="G8335" s="34" t="n">
        <f aca="false">B8335/1</f>
        <v>67.351</v>
      </c>
      <c r="H8335" s="34" t="n">
        <f aca="false">IF(F8335=1,G8335,"")</f>
        <v>67.351</v>
      </c>
    </row>
    <row r="8336" customFormat="false" ht="15" hidden="false" customHeight="false" outlineLevel="0" collapsed="false">
      <c r="A8336" s="31" t="n">
        <v>43083.25</v>
      </c>
      <c r="B8336" s="32" t="n">
        <v>67.862</v>
      </c>
      <c r="D8336" s="33" t="n">
        <f aca="false">WEEKDAY(A8336,2)</f>
        <v>4</v>
      </c>
      <c r="E8336" s="33" t="n">
        <f aca="false">HOUR(A8336)+MINUTE(A8336)/60</f>
        <v>6</v>
      </c>
      <c r="F8336" s="33" t="n">
        <f aca="false">IF(OR(D8336&gt;5,E8336&lt;8,E8336&gt;=18,COUNTIF($K$2:$K$10,INT(A8336))&gt;0),1,0)</f>
        <v>1</v>
      </c>
      <c r="G8336" s="34" t="n">
        <f aca="false">B8336/1</f>
        <v>67.862</v>
      </c>
      <c r="H8336" s="34" t="n">
        <f aca="false">IF(F8336=1,G8336,"")</f>
        <v>67.862</v>
      </c>
    </row>
    <row r="8337" customFormat="false" ht="15" hidden="false" customHeight="false" outlineLevel="0" collapsed="false">
      <c r="A8337" s="31" t="n">
        <v>43083.2916666667</v>
      </c>
      <c r="B8337" s="32" t="n">
        <v>75.799</v>
      </c>
      <c r="D8337" s="33" t="n">
        <f aca="false">WEEKDAY(A8337,2)</f>
        <v>4</v>
      </c>
      <c r="E8337" s="33" t="n">
        <f aca="false">HOUR(A8337)+MINUTE(A8337)/60</f>
        <v>7</v>
      </c>
      <c r="F8337" s="33" t="n">
        <f aca="false">IF(OR(D8337&gt;5,E8337&lt;8,E8337&gt;=18,COUNTIF($K$2:$K$10,INT(A8337))&gt;0),1,0)</f>
        <v>1</v>
      </c>
      <c r="G8337" s="34" t="n">
        <f aca="false">B8337/1</f>
        <v>75.799</v>
      </c>
      <c r="H8337" s="34" t="n">
        <f aca="false">IF(F8337=1,G8337,"")</f>
        <v>75.799</v>
      </c>
    </row>
    <row r="8338" customFormat="false" ht="15" hidden="false" customHeight="false" outlineLevel="0" collapsed="false">
      <c r="A8338" s="31" t="n">
        <v>43083.3333333333</v>
      </c>
      <c r="B8338" s="32" t="n">
        <v>174.732</v>
      </c>
      <c r="D8338" s="33" t="n">
        <f aca="false">WEEKDAY(A8338,2)</f>
        <v>4</v>
      </c>
      <c r="E8338" s="33" t="n">
        <f aca="false">HOUR(A8338)+MINUTE(A8338)/60</f>
        <v>8</v>
      </c>
      <c r="F8338" s="33" t="n">
        <f aca="false">IF(OR(D8338&gt;5,E8338&lt;8,E8338&gt;=18,COUNTIF($K$2:$K$10,INT(A8338))&gt;0),1,0)</f>
        <v>0</v>
      </c>
      <c r="G8338" s="34" t="n">
        <f aca="false">B8338/1</f>
        <v>174.732</v>
      </c>
      <c r="H8338" s="34" t="str">
        <f aca="false">IF(F8338=1,G8338,"")</f>
        <v/>
      </c>
    </row>
    <row r="8339" customFormat="false" ht="15" hidden="false" customHeight="false" outlineLevel="0" collapsed="false">
      <c r="A8339" s="31" t="n">
        <v>43083.375</v>
      </c>
      <c r="B8339" s="32" t="n">
        <v>205.818</v>
      </c>
      <c r="D8339" s="33" t="n">
        <f aca="false">WEEKDAY(A8339,2)</f>
        <v>4</v>
      </c>
      <c r="E8339" s="33" t="n">
        <f aca="false">HOUR(A8339)+MINUTE(A8339)/60</f>
        <v>9</v>
      </c>
      <c r="F8339" s="33" t="n">
        <f aca="false">IF(OR(D8339&gt;5,E8339&lt;8,E8339&gt;=18,COUNTIF($K$2:$K$10,INT(A8339))&gt;0),1,0)</f>
        <v>0</v>
      </c>
      <c r="G8339" s="34" t="n">
        <f aca="false">B8339/1</f>
        <v>205.818</v>
      </c>
      <c r="H8339" s="34" t="str">
        <f aca="false">IF(F8339=1,G8339,"")</f>
        <v/>
      </c>
    </row>
    <row r="8340" customFormat="false" ht="15" hidden="false" customHeight="false" outlineLevel="0" collapsed="false">
      <c r="A8340" s="31" t="n">
        <v>43083.4166666667</v>
      </c>
      <c r="B8340" s="32" t="n">
        <v>218.893</v>
      </c>
      <c r="D8340" s="33" t="n">
        <f aca="false">WEEKDAY(A8340,2)</f>
        <v>4</v>
      </c>
      <c r="E8340" s="33" t="n">
        <f aca="false">HOUR(A8340)+MINUTE(A8340)/60</f>
        <v>10</v>
      </c>
      <c r="F8340" s="33" t="n">
        <f aca="false">IF(OR(D8340&gt;5,E8340&lt;8,E8340&gt;=18,COUNTIF($K$2:$K$10,INT(A8340))&gt;0),1,0)</f>
        <v>0</v>
      </c>
      <c r="G8340" s="34" t="n">
        <f aca="false">B8340/1</f>
        <v>218.893</v>
      </c>
      <c r="H8340" s="34" t="str">
        <f aca="false">IF(F8340=1,G8340,"")</f>
        <v/>
      </c>
    </row>
    <row r="8341" customFormat="false" ht="15" hidden="false" customHeight="false" outlineLevel="0" collapsed="false">
      <c r="A8341" s="31" t="n">
        <v>43083.4583333333</v>
      </c>
      <c r="B8341" s="32" t="n">
        <v>232.449</v>
      </c>
      <c r="D8341" s="33" t="n">
        <f aca="false">WEEKDAY(A8341,2)</f>
        <v>4</v>
      </c>
      <c r="E8341" s="33" t="n">
        <f aca="false">HOUR(A8341)+MINUTE(A8341)/60</f>
        <v>11</v>
      </c>
      <c r="F8341" s="33" t="n">
        <f aca="false">IF(OR(D8341&gt;5,E8341&lt;8,E8341&gt;=18,COUNTIF($K$2:$K$10,INT(A8341))&gt;0),1,0)</f>
        <v>0</v>
      </c>
      <c r="G8341" s="34" t="n">
        <f aca="false">B8341/1</f>
        <v>232.449</v>
      </c>
      <c r="H8341" s="34" t="str">
        <f aca="false">IF(F8341=1,G8341,"")</f>
        <v/>
      </c>
    </row>
    <row r="8342" customFormat="false" ht="15" hidden="false" customHeight="false" outlineLevel="0" collapsed="false">
      <c r="A8342" s="31" t="n">
        <v>43083.5</v>
      </c>
      <c r="B8342" s="32" t="n">
        <v>240.622</v>
      </c>
      <c r="D8342" s="33" t="n">
        <f aca="false">WEEKDAY(A8342,2)</f>
        <v>4</v>
      </c>
      <c r="E8342" s="33" t="n">
        <f aca="false">HOUR(A8342)+MINUTE(A8342)/60</f>
        <v>12</v>
      </c>
      <c r="F8342" s="33" t="n">
        <f aca="false">IF(OR(D8342&gt;5,E8342&lt;8,E8342&gt;=18,COUNTIF($K$2:$K$10,INT(A8342))&gt;0),1,0)</f>
        <v>0</v>
      </c>
      <c r="G8342" s="34" t="n">
        <f aca="false">B8342/1</f>
        <v>240.622</v>
      </c>
      <c r="H8342" s="34" t="str">
        <f aca="false">IF(F8342=1,G8342,"")</f>
        <v/>
      </c>
    </row>
    <row r="8343" customFormat="false" ht="15" hidden="false" customHeight="false" outlineLevel="0" collapsed="false">
      <c r="A8343" s="31" t="n">
        <v>43083.5416666667</v>
      </c>
      <c r="B8343" s="32" t="n">
        <v>237.831</v>
      </c>
      <c r="D8343" s="33" t="n">
        <f aca="false">WEEKDAY(A8343,2)</f>
        <v>4</v>
      </c>
      <c r="E8343" s="33" t="n">
        <f aca="false">HOUR(A8343)+MINUTE(A8343)/60</f>
        <v>13</v>
      </c>
      <c r="F8343" s="33" t="n">
        <f aca="false">IF(OR(D8343&gt;5,E8343&lt;8,E8343&gt;=18,COUNTIF($K$2:$K$10,INT(A8343))&gt;0),1,0)</f>
        <v>0</v>
      </c>
      <c r="G8343" s="34" t="n">
        <f aca="false">B8343/1</f>
        <v>237.831</v>
      </c>
      <c r="H8343" s="34" t="str">
        <f aca="false">IF(F8343=1,G8343,"")</f>
        <v/>
      </c>
    </row>
    <row r="8344" customFormat="false" ht="15" hidden="false" customHeight="false" outlineLevel="0" collapsed="false">
      <c r="A8344" s="31" t="n">
        <v>43083.5833333333</v>
      </c>
      <c r="B8344" s="32" t="n">
        <v>242.56</v>
      </c>
      <c r="D8344" s="33" t="n">
        <f aca="false">WEEKDAY(A8344,2)</f>
        <v>4</v>
      </c>
      <c r="E8344" s="33" t="n">
        <f aca="false">HOUR(A8344)+MINUTE(A8344)/60</f>
        <v>14</v>
      </c>
      <c r="F8344" s="33" t="n">
        <f aca="false">IF(OR(D8344&gt;5,E8344&lt;8,E8344&gt;=18,COUNTIF($K$2:$K$10,INT(A8344))&gt;0),1,0)</f>
        <v>0</v>
      </c>
      <c r="G8344" s="34" t="n">
        <f aca="false">B8344/1</f>
        <v>242.56</v>
      </c>
      <c r="H8344" s="34" t="str">
        <f aca="false">IF(F8344=1,G8344,"")</f>
        <v/>
      </c>
    </row>
    <row r="8345" customFormat="false" ht="15" hidden="false" customHeight="false" outlineLevel="0" collapsed="false">
      <c r="A8345" s="31" t="n">
        <v>43083.625</v>
      </c>
      <c r="B8345" s="32" t="n">
        <v>241.763</v>
      </c>
      <c r="D8345" s="33" t="n">
        <f aca="false">WEEKDAY(A8345,2)</f>
        <v>4</v>
      </c>
      <c r="E8345" s="33" t="n">
        <f aca="false">HOUR(A8345)+MINUTE(A8345)/60</f>
        <v>15</v>
      </c>
      <c r="F8345" s="33" t="n">
        <f aca="false">IF(OR(D8345&gt;5,E8345&lt;8,E8345&gt;=18,COUNTIF($K$2:$K$10,INT(A8345))&gt;0),1,0)</f>
        <v>0</v>
      </c>
      <c r="G8345" s="34" t="n">
        <f aca="false">B8345/1</f>
        <v>241.763</v>
      </c>
      <c r="H8345" s="34" t="str">
        <f aca="false">IF(F8345=1,G8345,"")</f>
        <v/>
      </c>
    </row>
    <row r="8346" customFormat="false" ht="15" hidden="false" customHeight="false" outlineLevel="0" collapsed="false">
      <c r="A8346" s="31" t="n">
        <v>43083.6666666667</v>
      </c>
      <c r="B8346" s="32" t="n">
        <v>228.113</v>
      </c>
      <c r="D8346" s="33" t="n">
        <f aca="false">WEEKDAY(A8346,2)</f>
        <v>4</v>
      </c>
      <c r="E8346" s="33" t="n">
        <f aca="false">HOUR(A8346)+MINUTE(A8346)/60</f>
        <v>16</v>
      </c>
      <c r="F8346" s="33" t="n">
        <f aca="false">IF(OR(D8346&gt;5,E8346&lt;8,E8346&gt;=18,COUNTIF($K$2:$K$10,INT(A8346))&gt;0),1,0)</f>
        <v>0</v>
      </c>
      <c r="G8346" s="34" t="n">
        <f aca="false">B8346/1</f>
        <v>228.113</v>
      </c>
      <c r="H8346" s="34" t="str">
        <f aca="false">IF(F8346=1,G8346,"")</f>
        <v/>
      </c>
    </row>
    <row r="8347" customFormat="false" ht="15" hidden="false" customHeight="false" outlineLevel="0" collapsed="false">
      <c r="A8347" s="31" t="n">
        <v>43083.7083333333</v>
      </c>
      <c r="B8347" s="32" t="n">
        <v>215.891</v>
      </c>
      <c r="D8347" s="33" t="n">
        <f aca="false">WEEKDAY(A8347,2)</f>
        <v>4</v>
      </c>
      <c r="E8347" s="33" t="n">
        <f aca="false">HOUR(A8347)+MINUTE(A8347)/60</f>
        <v>17</v>
      </c>
      <c r="F8347" s="33" t="n">
        <f aca="false">IF(OR(D8347&gt;5,E8347&lt;8,E8347&gt;=18,COUNTIF($K$2:$K$10,INT(A8347))&gt;0),1,0)</f>
        <v>0</v>
      </c>
      <c r="G8347" s="34" t="n">
        <f aca="false">B8347/1</f>
        <v>215.891</v>
      </c>
      <c r="H8347" s="34" t="str">
        <f aca="false">IF(F8347=1,G8347,"")</f>
        <v/>
      </c>
    </row>
    <row r="8348" customFormat="false" ht="15" hidden="false" customHeight="false" outlineLevel="0" collapsed="false">
      <c r="A8348" s="31" t="n">
        <v>43083.75</v>
      </c>
      <c r="B8348" s="32" t="n">
        <v>199.916</v>
      </c>
      <c r="D8348" s="33" t="n">
        <f aca="false">WEEKDAY(A8348,2)</f>
        <v>4</v>
      </c>
      <c r="E8348" s="33" t="n">
        <f aca="false">HOUR(A8348)+MINUTE(A8348)/60</f>
        <v>18</v>
      </c>
      <c r="F8348" s="33" t="n">
        <f aca="false">IF(OR(D8348&gt;5,E8348&lt;8,E8348&gt;=18,COUNTIF($K$2:$K$10,INT(A8348))&gt;0),1,0)</f>
        <v>1</v>
      </c>
      <c r="G8348" s="34" t="n">
        <f aca="false">B8348/1</f>
        <v>199.916</v>
      </c>
      <c r="H8348" s="34" t="n">
        <f aca="false">IF(F8348=1,G8348,"")</f>
        <v>199.916</v>
      </c>
    </row>
    <row r="8349" customFormat="false" ht="15" hidden="false" customHeight="false" outlineLevel="0" collapsed="false">
      <c r="A8349" s="31" t="n">
        <v>43083.7916666667</v>
      </c>
      <c r="B8349" s="32" t="n">
        <v>186.986</v>
      </c>
      <c r="D8349" s="33" t="n">
        <f aca="false">WEEKDAY(A8349,2)</f>
        <v>4</v>
      </c>
      <c r="E8349" s="33" t="n">
        <f aca="false">HOUR(A8349)+MINUTE(A8349)/60</f>
        <v>19</v>
      </c>
      <c r="F8349" s="33" t="n">
        <f aca="false">IF(OR(D8349&gt;5,E8349&lt;8,E8349&gt;=18,COUNTIF($K$2:$K$10,INT(A8349))&gt;0),1,0)</f>
        <v>1</v>
      </c>
      <c r="G8349" s="34" t="n">
        <f aca="false">B8349/1</f>
        <v>186.986</v>
      </c>
      <c r="H8349" s="34" t="n">
        <f aca="false">IF(F8349=1,G8349,"")</f>
        <v>186.986</v>
      </c>
    </row>
    <row r="8350" customFormat="false" ht="15" hidden="false" customHeight="false" outlineLevel="0" collapsed="false">
      <c r="A8350" s="31" t="n">
        <v>43083.8333333333</v>
      </c>
      <c r="B8350" s="32" t="n">
        <v>183.932</v>
      </c>
      <c r="D8350" s="33" t="n">
        <f aca="false">WEEKDAY(A8350,2)</f>
        <v>4</v>
      </c>
      <c r="E8350" s="33" t="n">
        <f aca="false">HOUR(A8350)+MINUTE(A8350)/60</f>
        <v>20</v>
      </c>
      <c r="F8350" s="33" t="n">
        <f aca="false">IF(OR(D8350&gt;5,E8350&lt;8,E8350&gt;=18,COUNTIF($K$2:$K$10,INT(A8350))&gt;0),1,0)</f>
        <v>1</v>
      </c>
      <c r="G8350" s="34" t="n">
        <f aca="false">B8350/1</f>
        <v>183.932</v>
      </c>
      <c r="H8350" s="34" t="n">
        <f aca="false">IF(F8350=1,G8350,"")</f>
        <v>183.932</v>
      </c>
    </row>
    <row r="8351" customFormat="false" ht="15" hidden="false" customHeight="false" outlineLevel="0" collapsed="false">
      <c r="A8351" s="31" t="n">
        <v>43083.875</v>
      </c>
      <c r="B8351" s="32" t="n">
        <v>181.144</v>
      </c>
      <c r="D8351" s="33" t="n">
        <f aca="false">WEEKDAY(A8351,2)</f>
        <v>4</v>
      </c>
      <c r="E8351" s="33" t="n">
        <f aca="false">HOUR(A8351)+MINUTE(A8351)/60</f>
        <v>21</v>
      </c>
      <c r="F8351" s="33" t="n">
        <f aca="false">IF(OR(D8351&gt;5,E8351&lt;8,E8351&gt;=18,COUNTIF($K$2:$K$10,INT(A8351))&gt;0),1,0)</f>
        <v>1</v>
      </c>
      <c r="G8351" s="34" t="n">
        <f aca="false">B8351/1</f>
        <v>181.144</v>
      </c>
      <c r="H8351" s="34" t="n">
        <f aca="false">IF(F8351=1,G8351,"")</f>
        <v>181.144</v>
      </c>
    </row>
    <row r="8352" customFormat="false" ht="15" hidden="false" customHeight="false" outlineLevel="0" collapsed="false">
      <c r="A8352" s="31" t="n">
        <v>43083.9166666667</v>
      </c>
      <c r="B8352" s="32" t="n">
        <v>134.353</v>
      </c>
      <c r="D8352" s="33" t="n">
        <f aca="false">WEEKDAY(A8352,2)</f>
        <v>4</v>
      </c>
      <c r="E8352" s="33" t="n">
        <f aca="false">HOUR(A8352)+MINUTE(A8352)/60</f>
        <v>22</v>
      </c>
      <c r="F8352" s="33" t="n">
        <f aca="false">IF(OR(D8352&gt;5,E8352&lt;8,E8352&gt;=18,COUNTIF($K$2:$K$10,INT(A8352))&gt;0),1,0)</f>
        <v>1</v>
      </c>
      <c r="G8352" s="34" t="n">
        <f aca="false">B8352/1</f>
        <v>134.353</v>
      </c>
      <c r="H8352" s="34" t="n">
        <f aca="false">IF(F8352=1,G8352,"")</f>
        <v>134.353</v>
      </c>
    </row>
    <row r="8353" customFormat="false" ht="15" hidden="false" customHeight="false" outlineLevel="0" collapsed="false">
      <c r="A8353" s="31" t="n">
        <v>43083.9583333333</v>
      </c>
      <c r="B8353" s="32" t="n">
        <v>74.127</v>
      </c>
      <c r="D8353" s="33" t="n">
        <f aca="false">WEEKDAY(A8353,2)</f>
        <v>4</v>
      </c>
      <c r="E8353" s="33" t="n">
        <f aca="false">HOUR(A8353)+MINUTE(A8353)/60</f>
        <v>23</v>
      </c>
      <c r="F8353" s="33" t="n">
        <f aca="false">IF(OR(D8353&gt;5,E8353&lt;8,E8353&gt;=18,COUNTIF($K$2:$K$10,INT(A8353))&gt;0),1,0)</f>
        <v>1</v>
      </c>
      <c r="G8353" s="34" t="n">
        <f aca="false">B8353/1</f>
        <v>74.127</v>
      </c>
      <c r="H8353" s="34" t="n">
        <f aca="false">IF(F8353=1,G8353,"")</f>
        <v>74.127</v>
      </c>
    </row>
    <row r="8354" customFormat="false" ht="15" hidden="false" customHeight="false" outlineLevel="0" collapsed="false">
      <c r="A8354" s="31" t="n">
        <v>43084</v>
      </c>
      <c r="B8354" s="32" t="n">
        <v>71.461</v>
      </c>
      <c r="D8354" s="33" t="n">
        <f aca="false">WEEKDAY(A8354,2)</f>
        <v>5</v>
      </c>
      <c r="E8354" s="33" t="n">
        <f aca="false">HOUR(A8354)+MINUTE(A8354)/60</f>
        <v>0</v>
      </c>
      <c r="F8354" s="33" t="n">
        <f aca="false">IF(OR(D8354&gt;5,E8354&lt;8,E8354&gt;=18,COUNTIF($K$2:$K$10,INT(A8354))&gt;0),1,0)</f>
        <v>1</v>
      </c>
      <c r="G8354" s="34" t="n">
        <f aca="false">B8354/1</f>
        <v>71.461</v>
      </c>
      <c r="H8354" s="34" t="n">
        <f aca="false">IF(F8354=1,G8354,"")</f>
        <v>71.461</v>
      </c>
    </row>
    <row r="8355" customFormat="false" ht="15" hidden="false" customHeight="false" outlineLevel="0" collapsed="false">
      <c r="A8355" s="31" t="n">
        <v>43084.0416666667</v>
      </c>
      <c r="B8355" s="32" t="n">
        <v>68.236</v>
      </c>
      <c r="D8355" s="33" t="n">
        <f aca="false">WEEKDAY(A8355,2)</f>
        <v>5</v>
      </c>
      <c r="E8355" s="33" t="n">
        <f aca="false">HOUR(A8355)+MINUTE(A8355)/60</f>
        <v>1</v>
      </c>
      <c r="F8355" s="33" t="n">
        <f aca="false">IF(OR(D8355&gt;5,E8355&lt;8,E8355&gt;=18,COUNTIF($K$2:$K$10,INT(A8355))&gt;0),1,0)</f>
        <v>1</v>
      </c>
      <c r="G8355" s="34" t="n">
        <f aca="false">B8355/1</f>
        <v>68.236</v>
      </c>
      <c r="H8355" s="34" t="n">
        <f aca="false">IF(F8355=1,G8355,"")</f>
        <v>68.236</v>
      </c>
    </row>
    <row r="8356" customFormat="false" ht="15" hidden="false" customHeight="false" outlineLevel="0" collapsed="false">
      <c r="A8356" s="31" t="n">
        <v>43084.0833333333</v>
      </c>
      <c r="B8356" s="32" t="n">
        <v>66.081</v>
      </c>
      <c r="D8356" s="33" t="n">
        <f aca="false">WEEKDAY(A8356,2)</f>
        <v>5</v>
      </c>
      <c r="E8356" s="33" t="n">
        <f aca="false">HOUR(A8356)+MINUTE(A8356)/60</f>
        <v>2</v>
      </c>
      <c r="F8356" s="33" t="n">
        <f aca="false">IF(OR(D8356&gt;5,E8356&lt;8,E8356&gt;=18,COUNTIF($K$2:$K$10,INT(A8356))&gt;0),1,0)</f>
        <v>1</v>
      </c>
      <c r="G8356" s="34" t="n">
        <f aca="false">B8356/1</f>
        <v>66.081</v>
      </c>
      <c r="H8356" s="34" t="n">
        <f aca="false">IF(F8356=1,G8356,"")</f>
        <v>66.081</v>
      </c>
    </row>
    <row r="8357" customFormat="false" ht="15" hidden="false" customHeight="false" outlineLevel="0" collapsed="false">
      <c r="A8357" s="31" t="n">
        <v>43084.125</v>
      </c>
      <c r="B8357" s="32" t="n">
        <v>65.802</v>
      </c>
      <c r="D8357" s="33" t="n">
        <f aca="false">WEEKDAY(A8357,2)</f>
        <v>5</v>
      </c>
      <c r="E8357" s="33" t="n">
        <f aca="false">HOUR(A8357)+MINUTE(A8357)/60</f>
        <v>3</v>
      </c>
      <c r="F8357" s="33" t="n">
        <f aca="false">IF(OR(D8357&gt;5,E8357&lt;8,E8357&gt;=18,COUNTIF($K$2:$K$10,INT(A8357))&gt;0),1,0)</f>
        <v>1</v>
      </c>
      <c r="G8357" s="34" t="n">
        <f aca="false">B8357/1</f>
        <v>65.802</v>
      </c>
      <c r="H8357" s="34" t="n">
        <f aca="false">IF(F8357=1,G8357,"")</f>
        <v>65.802</v>
      </c>
    </row>
    <row r="8358" customFormat="false" ht="15" hidden="false" customHeight="false" outlineLevel="0" collapsed="false">
      <c r="A8358" s="31" t="n">
        <v>43084.1666666667</v>
      </c>
      <c r="B8358" s="32" t="n">
        <v>66.084</v>
      </c>
      <c r="D8358" s="33" t="n">
        <f aca="false">WEEKDAY(A8358,2)</f>
        <v>5</v>
      </c>
      <c r="E8358" s="33" t="n">
        <f aca="false">HOUR(A8358)+MINUTE(A8358)/60</f>
        <v>4</v>
      </c>
      <c r="F8358" s="33" t="n">
        <f aca="false">IF(OR(D8358&gt;5,E8358&lt;8,E8358&gt;=18,COUNTIF($K$2:$K$10,INT(A8358))&gt;0),1,0)</f>
        <v>1</v>
      </c>
      <c r="G8358" s="34" t="n">
        <f aca="false">B8358/1</f>
        <v>66.084</v>
      </c>
      <c r="H8358" s="34" t="n">
        <f aca="false">IF(F8358=1,G8358,"")</f>
        <v>66.084</v>
      </c>
    </row>
    <row r="8359" customFormat="false" ht="15" hidden="false" customHeight="false" outlineLevel="0" collapsed="false">
      <c r="A8359" s="31" t="n">
        <v>43084.2083333333</v>
      </c>
      <c r="B8359" s="32" t="n">
        <v>65.593</v>
      </c>
      <c r="D8359" s="33" t="n">
        <f aca="false">WEEKDAY(A8359,2)</f>
        <v>5</v>
      </c>
      <c r="E8359" s="33" t="n">
        <f aca="false">HOUR(A8359)+MINUTE(A8359)/60</f>
        <v>5</v>
      </c>
      <c r="F8359" s="33" t="n">
        <f aca="false">IF(OR(D8359&gt;5,E8359&lt;8,E8359&gt;=18,COUNTIF($K$2:$K$10,INT(A8359))&gt;0),1,0)</f>
        <v>1</v>
      </c>
      <c r="G8359" s="34" t="n">
        <f aca="false">B8359/1</f>
        <v>65.593</v>
      </c>
      <c r="H8359" s="34" t="n">
        <f aca="false">IF(F8359=1,G8359,"")</f>
        <v>65.593</v>
      </c>
    </row>
    <row r="8360" customFormat="false" ht="15" hidden="false" customHeight="false" outlineLevel="0" collapsed="false">
      <c r="A8360" s="31" t="n">
        <v>43084.25</v>
      </c>
      <c r="B8360" s="32" t="n">
        <v>66.693</v>
      </c>
      <c r="D8360" s="33" t="n">
        <f aca="false">WEEKDAY(A8360,2)</f>
        <v>5</v>
      </c>
      <c r="E8360" s="33" t="n">
        <f aca="false">HOUR(A8360)+MINUTE(A8360)/60</f>
        <v>6</v>
      </c>
      <c r="F8360" s="33" t="n">
        <f aca="false">IF(OR(D8360&gt;5,E8360&lt;8,E8360&gt;=18,COUNTIF($K$2:$K$10,INT(A8360))&gt;0),1,0)</f>
        <v>1</v>
      </c>
      <c r="G8360" s="34" t="n">
        <f aca="false">B8360/1</f>
        <v>66.693</v>
      </c>
      <c r="H8360" s="34" t="n">
        <f aca="false">IF(F8360=1,G8360,"")</f>
        <v>66.693</v>
      </c>
    </row>
    <row r="8361" customFormat="false" ht="15" hidden="false" customHeight="false" outlineLevel="0" collapsed="false">
      <c r="A8361" s="31" t="n">
        <v>43084.2916666667</v>
      </c>
      <c r="B8361" s="32" t="n">
        <v>75.264</v>
      </c>
      <c r="D8361" s="33" t="n">
        <f aca="false">WEEKDAY(A8361,2)</f>
        <v>5</v>
      </c>
      <c r="E8361" s="33" t="n">
        <f aca="false">HOUR(A8361)+MINUTE(A8361)/60</f>
        <v>7</v>
      </c>
      <c r="F8361" s="33" t="n">
        <f aca="false">IF(OR(D8361&gt;5,E8361&lt;8,E8361&gt;=18,COUNTIF($K$2:$K$10,INT(A8361))&gt;0),1,0)</f>
        <v>1</v>
      </c>
      <c r="G8361" s="34" t="n">
        <f aca="false">B8361/1</f>
        <v>75.264</v>
      </c>
      <c r="H8361" s="34" t="n">
        <f aca="false">IF(F8361=1,G8361,"")</f>
        <v>75.264</v>
      </c>
    </row>
    <row r="8362" customFormat="false" ht="15" hidden="false" customHeight="false" outlineLevel="0" collapsed="false">
      <c r="A8362" s="31" t="n">
        <v>43084.3333333333</v>
      </c>
      <c r="B8362" s="32" t="n">
        <v>169.185</v>
      </c>
      <c r="D8362" s="33" t="n">
        <f aca="false">WEEKDAY(A8362,2)</f>
        <v>5</v>
      </c>
      <c r="E8362" s="33" t="n">
        <f aca="false">HOUR(A8362)+MINUTE(A8362)/60</f>
        <v>8</v>
      </c>
      <c r="F8362" s="33" t="n">
        <f aca="false">IF(OR(D8362&gt;5,E8362&lt;8,E8362&gt;=18,COUNTIF($K$2:$K$10,INT(A8362))&gt;0),1,0)</f>
        <v>0</v>
      </c>
      <c r="G8362" s="34" t="n">
        <f aca="false">B8362/1</f>
        <v>169.185</v>
      </c>
      <c r="H8362" s="34" t="str">
        <f aca="false">IF(F8362=1,G8362,"")</f>
        <v/>
      </c>
    </row>
    <row r="8363" customFormat="false" ht="15" hidden="false" customHeight="false" outlineLevel="0" collapsed="false">
      <c r="A8363" s="31" t="n">
        <v>43084.375</v>
      </c>
      <c r="B8363" s="32" t="n">
        <v>196.266</v>
      </c>
      <c r="D8363" s="33" t="n">
        <f aca="false">WEEKDAY(A8363,2)</f>
        <v>5</v>
      </c>
      <c r="E8363" s="33" t="n">
        <f aca="false">HOUR(A8363)+MINUTE(A8363)/60</f>
        <v>9</v>
      </c>
      <c r="F8363" s="33" t="n">
        <f aca="false">IF(OR(D8363&gt;5,E8363&lt;8,E8363&gt;=18,COUNTIF($K$2:$K$10,INT(A8363))&gt;0),1,0)</f>
        <v>0</v>
      </c>
      <c r="G8363" s="34" t="n">
        <f aca="false">B8363/1</f>
        <v>196.266</v>
      </c>
      <c r="H8363" s="34" t="str">
        <f aca="false">IF(F8363=1,G8363,"")</f>
        <v/>
      </c>
    </row>
    <row r="8364" customFormat="false" ht="15" hidden="false" customHeight="false" outlineLevel="0" collapsed="false">
      <c r="A8364" s="31" t="n">
        <v>43084.4166666667</v>
      </c>
      <c r="B8364" s="32" t="n">
        <v>209.261</v>
      </c>
      <c r="D8364" s="33" t="n">
        <f aca="false">WEEKDAY(A8364,2)</f>
        <v>5</v>
      </c>
      <c r="E8364" s="33" t="n">
        <f aca="false">HOUR(A8364)+MINUTE(A8364)/60</f>
        <v>10</v>
      </c>
      <c r="F8364" s="33" t="n">
        <f aca="false">IF(OR(D8364&gt;5,E8364&lt;8,E8364&gt;=18,COUNTIF($K$2:$K$10,INT(A8364))&gt;0),1,0)</f>
        <v>0</v>
      </c>
      <c r="G8364" s="34" t="n">
        <f aca="false">B8364/1</f>
        <v>209.261</v>
      </c>
      <c r="H8364" s="34" t="str">
        <f aca="false">IF(F8364=1,G8364,"")</f>
        <v/>
      </c>
    </row>
    <row r="8365" customFormat="false" ht="15" hidden="false" customHeight="false" outlineLevel="0" collapsed="false">
      <c r="A8365" s="31" t="n">
        <v>43084.4583333333</v>
      </c>
      <c r="B8365" s="32" t="n">
        <v>221.899</v>
      </c>
      <c r="D8365" s="33" t="n">
        <f aca="false">WEEKDAY(A8365,2)</f>
        <v>5</v>
      </c>
      <c r="E8365" s="33" t="n">
        <f aca="false">HOUR(A8365)+MINUTE(A8365)/60</f>
        <v>11</v>
      </c>
      <c r="F8365" s="33" t="n">
        <f aca="false">IF(OR(D8365&gt;5,E8365&lt;8,E8365&gt;=18,COUNTIF($K$2:$K$10,INT(A8365))&gt;0),1,0)</f>
        <v>0</v>
      </c>
      <c r="G8365" s="34" t="n">
        <f aca="false">B8365/1</f>
        <v>221.899</v>
      </c>
      <c r="H8365" s="34" t="str">
        <f aca="false">IF(F8365=1,G8365,"")</f>
        <v/>
      </c>
    </row>
    <row r="8366" customFormat="false" ht="15" hidden="false" customHeight="false" outlineLevel="0" collapsed="false">
      <c r="A8366" s="31" t="n">
        <v>43084.5</v>
      </c>
      <c r="B8366" s="32" t="n">
        <v>225.702</v>
      </c>
      <c r="D8366" s="33" t="n">
        <f aca="false">WEEKDAY(A8366,2)</f>
        <v>5</v>
      </c>
      <c r="E8366" s="33" t="n">
        <f aca="false">HOUR(A8366)+MINUTE(A8366)/60</f>
        <v>12</v>
      </c>
      <c r="F8366" s="33" t="n">
        <f aca="false">IF(OR(D8366&gt;5,E8366&lt;8,E8366&gt;=18,COUNTIF($K$2:$K$10,INT(A8366))&gt;0),1,0)</f>
        <v>0</v>
      </c>
      <c r="G8366" s="34" t="n">
        <f aca="false">B8366/1</f>
        <v>225.702</v>
      </c>
      <c r="H8366" s="34" t="str">
        <f aca="false">IF(F8366=1,G8366,"")</f>
        <v/>
      </c>
    </row>
    <row r="8367" customFormat="false" ht="15" hidden="false" customHeight="false" outlineLevel="0" collapsed="false">
      <c r="A8367" s="31" t="n">
        <v>43084.5416666667</v>
      </c>
      <c r="B8367" s="32" t="n">
        <v>220.893</v>
      </c>
      <c r="D8367" s="33" t="n">
        <f aca="false">WEEKDAY(A8367,2)</f>
        <v>5</v>
      </c>
      <c r="E8367" s="33" t="n">
        <f aca="false">HOUR(A8367)+MINUTE(A8367)/60</f>
        <v>13</v>
      </c>
      <c r="F8367" s="33" t="n">
        <f aca="false">IF(OR(D8367&gt;5,E8367&lt;8,E8367&gt;=18,COUNTIF($K$2:$K$10,INT(A8367))&gt;0),1,0)</f>
        <v>0</v>
      </c>
      <c r="G8367" s="34" t="n">
        <f aca="false">B8367/1</f>
        <v>220.893</v>
      </c>
      <c r="H8367" s="34" t="str">
        <f aca="false">IF(F8367=1,G8367,"")</f>
        <v/>
      </c>
    </row>
    <row r="8368" customFormat="false" ht="15" hidden="false" customHeight="false" outlineLevel="0" collapsed="false">
      <c r="A8368" s="31" t="n">
        <v>43084.5833333333</v>
      </c>
      <c r="B8368" s="32" t="n">
        <v>229.036</v>
      </c>
      <c r="D8368" s="33" t="n">
        <f aca="false">WEEKDAY(A8368,2)</f>
        <v>5</v>
      </c>
      <c r="E8368" s="33" t="n">
        <f aca="false">HOUR(A8368)+MINUTE(A8368)/60</f>
        <v>14</v>
      </c>
      <c r="F8368" s="33" t="n">
        <f aca="false">IF(OR(D8368&gt;5,E8368&lt;8,E8368&gt;=18,COUNTIF($K$2:$K$10,INT(A8368))&gt;0),1,0)</f>
        <v>0</v>
      </c>
      <c r="G8368" s="34" t="n">
        <f aca="false">B8368/1</f>
        <v>229.036</v>
      </c>
      <c r="H8368" s="34" t="str">
        <f aca="false">IF(F8368=1,G8368,"")</f>
        <v/>
      </c>
    </row>
    <row r="8369" customFormat="false" ht="15" hidden="false" customHeight="false" outlineLevel="0" collapsed="false">
      <c r="A8369" s="31" t="n">
        <v>43084.625</v>
      </c>
      <c r="B8369" s="32" t="n">
        <v>227.683</v>
      </c>
      <c r="D8369" s="33" t="n">
        <f aca="false">WEEKDAY(A8369,2)</f>
        <v>5</v>
      </c>
      <c r="E8369" s="33" t="n">
        <f aca="false">HOUR(A8369)+MINUTE(A8369)/60</f>
        <v>15</v>
      </c>
      <c r="F8369" s="33" t="n">
        <f aca="false">IF(OR(D8369&gt;5,E8369&lt;8,E8369&gt;=18,COUNTIF($K$2:$K$10,INT(A8369))&gt;0),1,0)</f>
        <v>0</v>
      </c>
      <c r="G8369" s="34" t="n">
        <f aca="false">B8369/1</f>
        <v>227.683</v>
      </c>
      <c r="H8369" s="34" t="str">
        <f aca="false">IF(F8369=1,G8369,"")</f>
        <v/>
      </c>
    </row>
    <row r="8370" customFormat="false" ht="15" hidden="false" customHeight="false" outlineLevel="0" collapsed="false">
      <c r="A8370" s="31" t="n">
        <v>43084.6666666667</v>
      </c>
      <c r="B8370" s="32" t="n">
        <v>220.03</v>
      </c>
      <c r="D8370" s="33" t="n">
        <f aca="false">WEEKDAY(A8370,2)</f>
        <v>5</v>
      </c>
      <c r="E8370" s="33" t="n">
        <f aca="false">HOUR(A8370)+MINUTE(A8370)/60</f>
        <v>16</v>
      </c>
      <c r="F8370" s="33" t="n">
        <f aca="false">IF(OR(D8370&gt;5,E8370&lt;8,E8370&gt;=18,COUNTIF($K$2:$K$10,INT(A8370))&gt;0),1,0)</f>
        <v>0</v>
      </c>
      <c r="G8370" s="34" t="n">
        <f aca="false">B8370/1</f>
        <v>220.03</v>
      </c>
      <c r="H8370" s="34" t="str">
        <f aca="false">IF(F8370=1,G8370,"")</f>
        <v/>
      </c>
    </row>
    <row r="8371" customFormat="false" ht="15" hidden="false" customHeight="false" outlineLevel="0" collapsed="false">
      <c r="A8371" s="31" t="n">
        <v>43084.7083333333</v>
      </c>
      <c r="B8371" s="32" t="n">
        <v>212.966</v>
      </c>
      <c r="D8371" s="33" t="n">
        <f aca="false">WEEKDAY(A8371,2)</f>
        <v>5</v>
      </c>
      <c r="E8371" s="33" t="n">
        <f aca="false">HOUR(A8371)+MINUTE(A8371)/60</f>
        <v>17</v>
      </c>
      <c r="F8371" s="33" t="n">
        <f aca="false">IF(OR(D8371&gt;5,E8371&lt;8,E8371&gt;=18,COUNTIF($K$2:$K$10,INT(A8371))&gt;0),1,0)</f>
        <v>0</v>
      </c>
      <c r="G8371" s="34" t="n">
        <f aca="false">B8371/1</f>
        <v>212.966</v>
      </c>
      <c r="H8371" s="34" t="str">
        <f aca="false">IF(F8371=1,G8371,"")</f>
        <v/>
      </c>
    </row>
    <row r="8372" customFormat="false" ht="15" hidden="false" customHeight="false" outlineLevel="0" collapsed="false">
      <c r="A8372" s="31" t="n">
        <v>43084.75</v>
      </c>
      <c r="B8372" s="32" t="n">
        <v>195.299</v>
      </c>
      <c r="D8372" s="33" t="n">
        <f aca="false">WEEKDAY(A8372,2)</f>
        <v>5</v>
      </c>
      <c r="E8372" s="33" t="n">
        <f aca="false">HOUR(A8372)+MINUTE(A8372)/60</f>
        <v>18</v>
      </c>
      <c r="F8372" s="33" t="n">
        <f aca="false">IF(OR(D8372&gt;5,E8372&lt;8,E8372&gt;=18,COUNTIF($K$2:$K$10,INT(A8372))&gt;0),1,0)</f>
        <v>1</v>
      </c>
      <c r="G8372" s="34" t="n">
        <f aca="false">B8372/1</f>
        <v>195.299</v>
      </c>
      <c r="H8372" s="34" t="n">
        <f aca="false">IF(F8372=1,G8372,"")</f>
        <v>195.299</v>
      </c>
    </row>
    <row r="8373" customFormat="false" ht="15" hidden="false" customHeight="false" outlineLevel="0" collapsed="false">
      <c r="A8373" s="31" t="n">
        <v>43084.7916666667</v>
      </c>
      <c r="B8373" s="32" t="n">
        <v>188.526</v>
      </c>
      <c r="D8373" s="33" t="n">
        <f aca="false">WEEKDAY(A8373,2)</f>
        <v>5</v>
      </c>
      <c r="E8373" s="33" t="n">
        <f aca="false">HOUR(A8373)+MINUTE(A8373)/60</f>
        <v>19</v>
      </c>
      <c r="F8373" s="33" t="n">
        <f aca="false">IF(OR(D8373&gt;5,E8373&lt;8,E8373&gt;=18,COUNTIF($K$2:$K$10,INT(A8373))&gt;0),1,0)</f>
        <v>1</v>
      </c>
      <c r="G8373" s="34" t="n">
        <f aca="false">B8373/1</f>
        <v>188.526</v>
      </c>
      <c r="H8373" s="34" t="n">
        <f aca="false">IF(F8373=1,G8373,"")</f>
        <v>188.526</v>
      </c>
    </row>
    <row r="8374" customFormat="false" ht="15" hidden="false" customHeight="false" outlineLevel="0" collapsed="false">
      <c r="A8374" s="31" t="n">
        <v>43084.8333333333</v>
      </c>
      <c r="B8374" s="32" t="n">
        <v>181.729</v>
      </c>
      <c r="D8374" s="33" t="n">
        <f aca="false">WEEKDAY(A8374,2)</f>
        <v>5</v>
      </c>
      <c r="E8374" s="33" t="n">
        <f aca="false">HOUR(A8374)+MINUTE(A8374)/60</f>
        <v>20</v>
      </c>
      <c r="F8374" s="33" t="n">
        <f aca="false">IF(OR(D8374&gt;5,E8374&lt;8,E8374&gt;=18,COUNTIF($K$2:$K$10,INT(A8374))&gt;0),1,0)</f>
        <v>1</v>
      </c>
      <c r="G8374" s="34" t="n">
        <f aca="false">B8374/1</f>
        <v>181.729</v>
      </c>
      <c r="H8374" s="34" t="n">
        <f aca="false">IF(F8374=1,G8374,"")</f>
        <v>181.729</v>
      </c>
    </row>
    <row r="8375" customFormat="false" ht="15" hidden="false" customHeight="false" outlineLevel="0" collapsed="false">
      <c r="A8375" s="31" t="n">
        <v>43084.875</v>
      </c>
      <c r="B8375" s="32" t="n">
        <v>176.575</v>
      </c>
      <c r="D8375" s="33" t="n">
        <f aca="false">WEEKDAY(A8375,2)</f>
        <v>5</v>
      </c>
      <c r="E8375" s="33" t="n">
        <f aca="false">HOUR(A8375)+MINUTE(A8375)/60</f>
        <v>21</v>
      </c>
      <c r="F8375" s="33" t="n">
        <f aca="false">IF(OR(D8375&gt;5,E8375&lt;8,E8375&gt;=18,COUNTIF($K$2:$K$10,INT(A8375))&gt;0),1,0)</f>
        <v>1</v>
      </c>
      <c r="G8375" s="34" t="n">
        <f aca="false">B8375/1</f>
        <v>176.575</v>
      </c>
      <c r="H8375" s="34" t="n">
        <f aca="false">IF(F8375=1,G8375,"")</f>
        <v>176.575</v>
      </c>
    </row>
    <row r="8376" customFormat="false" ht="15" hidden="false" customHeight="false" outlineLevel="0" collapsed="false">
      <c r="A8376" s="31" t="n">
        <v>43084.9166666667</v>
      </c>
      <c r="B8376" s="32" t="n">
        <v>131.79</v>
      </c>
      <c r="D8376" s="33" t="n">
        <f aca="false">WEEKDAY(A8376,2)</f>
        <v>5</v>
      </c>
      <c r="E8376" s="33" t="n">
        <f aca="false">HOUR(A8376)+MINUTE(A8376)/60</f>
        <v>22</v>
      </c>
      <c r="F8376" s="33" t="n">
        <f aca="false">IF(OR(D8376&gt;5,E8376&lt;8,E8376&gt;=18,COUNTIF($K$2:$K$10,INT(A8376))&gt;0),1,0)</f>
        <v>1</v>
      </c>
      <c r="G8376" s="34" t="n">
        <f aca="false">B8376/1</f>
        <v>131.79</v>
      </c>
      <c r="H8376" s="34" t="n">
        <f aca="false">IF(F8376=1,G8376,"")</f>
        <v>131.79</v>
      </c>
    </row>
    <row r="8377" customFormat="false" ht="15" hidden="false" customHeight="false" outlineLevel="0" collapsed="false">
      <c r="A8377" s="31" t="n">
        <v>43084.9583333333</v>
      </c>
      <c r="B8377" s="32" t="n">
        <v>69.883</v>
      </c>
      <c r="D8377" s="33" t="n">
        <f aca="false">WEEKDAY(A8377,2)</f>
        <v>5</v>
      </c>
      <c r="E8377" s="33" t="n">
        <f aca="false">HOUR(A8377)+MINUTE(A8377)/60</f>
        <v>23</v>
      </c>
      <c r="F8377" s="33" t="n">
        <f aca="false">IF(OR(D8377&gt;5,E8377&lt;8,E8377&gt;=18,COUNTIF($K$2:$K$10,INT(A8377))&gt;0),1,0)</f>
        <v>1</v>
      </c>
      <c r="G8377" s="34" t="n">
        <f aca="false">B8377/1</f>
        <v>69.883</v>
      </c>
      <c r="H8377" s="34" t="n">
        <f aca="false">IF(F8377=1,G8377,"")</f>
        <v>69.883</v>
      </c>
    </row>
    <row r="8378" customFormat="false" ht="15" hidden="false" customHeight="false" outlineLevel="0" collapsed="false">
      <c r="A8378" s="31" t="n">
        <v>43085</v>
      </c>
      <c r="B8378" s="32" t="n">
        <v>70.844</v>
      </c>
      <c r="D8378" s="33" t="n">
        <f aca="false">WEEKDAY(A8378,2)</f>
        <v>6</v>
      </c>
      <c r="E8378" s="33" t="n">
        <f aca="false">HOUR(A8378)+MINUTE(A8378)/60</f>
        <v>0</v>
      </c>
      <c r="F8378" s="33" t="n">
        <f aca="false">IF(OR(D8378&gt;5,E8378&lt;8,E8378&gt;=18,COUNTIF($K$2:$K$10,INT(A8378))&gt;0),1,0)</f>
        <v>1</v>
      </c>
      <c r="G8378" s="34" t="n">
        <f aca="false">B8378/1</f>
        <v>70.844</v>
      </c>
      <c r="H8378" s="34" t="n">
        <f aca="false">IF(F8378=1,G8378,"")</f>
        <v>70.844</v>
      </c>
    </row>
    <row r="8379" customFormat="false" ht="15" hidden="false" customHeight="false" outlineLevel="0" collapsed="false">
      <c r="A8379" s="31" t="n">
        <v>43085.0416666667</v>
      </c>
      <c r="B8379" s="32" t="n">
        <v>68.783</v>
      </c>
      <c r="D8379" s="33" t="n">
        <f aca="false">WEEKDAY(A8379,2)</f>
        <v>6</v>
      </c>
      <c r="E8379" s="33" t="n">
        <f aca="false">HOUR(A8379)+MINUTE(A8379)/60</f>
        <v>1</v>
      </c>
      <c r="F8379" s="33" t="n">
        <f aca="false">IF(OR(D8379&gt;5,E8379&lt;8,E8379&gt;=18,COUNTIF($K$2:$K$10,INT(A8379))&gt;0),1,0)</f>
        <v>1</v>
      </c>
      <c r="G8379" s="34" t="n">
        <f aca="false">B8379/1</f>
        <v>68.783</v>
      </c>
      <c r="H8379" s="34" t="n">
        <f aca="false">IF(F8379=1,G8379,"")</f>
        <v>68.783</v>
      </c>
    </row>
    <row r="8380" customFormat="false" ht="15" hidden="false" customHeight="false" outlineLevel="0" collapsed="false">
      <c r="A8380" s="31" t="n">
        <v>43085.0833333333</v>
      </c>
      <c r="B8380" s="32" t="n">
        <v>67.893</v>
      </c>
      <c r="D8380" s="33" t="n">
        <f aca="false">WEEKDAY(A8380,2)</f>
        <v>6</v>
      </c>
      <c r="E8380" s="33" t="n">
        <f aca="false">HOUR(A8380)+MINUTE(A8380)/60</f>
        <v>2</v>
      </c>
      <c r="F8380" s="33" t="n">
        <f aca="false">IF(OR(D8380&gt;5,E8380&lt;8,E8380&gt;=18,COUNTIF($K$2:$K$10,INT(A8380))&gt;0),1,0)</f>
        <v>1</v>
      </c>
      <c r="G8380" s="34" t="n">
        <f aca="false">B8380/1</f>
        <v>67.893</v>
      </c>
      <c r="H8380" s="34" t="n">
        <f aca="false">IF(F8380=1,G8380,"")</f>
        <v>67.893</v>
      </c>
    </row>
    <row r="8381" customFormat="false" ht="15" hidden="false" customHeight="false" outlineLevel="0" collapsed="false">
      <c r="A8381" s="31" t="n">
        <v>43085.125</v>
      </c>
      <c r="B8381" s="32" t="n">
        <v>69.202</v>
      </c>
      <c r="D8381" s="33" t="n">
        <f aca="false">WEEKDAY(A8381,2)</f>
        <v>6</v>
      </c>
      <c r="E8381" s="33" t="n">
        <f aca="false">HOUR(A8381)+MINUTE(A8381)/60</f>
        <v>3</v>
      </c>
      <c r="F8381" s="33" t="n">
        <f aca="false">IF(OR(D8381&gt;5,E8381&lt;8,E8381&gt;=18,COUNTIF($K$2:$K$10,INT(A8381))&gt;0),1,0)</f>
        <v>1</v>
      </c>
      <c r="G8381" s="34" t="n">
        <f aca="false">B8381/1</f>
        <v>69.202</v>
      </c>
      <c r="H8381" s="34" t="n">
        <f aca="false">IF(F8381=1,G8381,"")</f>
        <v>69.202</v>
      </c>
    </row>
    <row r="8382" customFormat="false" ht="15" hidden="false" customHeight="false" outlineLevel="0" collapsed="false">
      <c r="A8382" s="31" t="n">
        <v>43085.1666666667</v>
      </c>
      <c r="B8382" s="32" t="n">
        <v>66.867</v>
      </c>
      <c r="D8382" s="33" t="n">
        <f aca="false">WEEKDAY(A8382,2)</f>
        <v>6</v>
      </c>
      <c r="E8382" s="33" t="n">
        <f aca="false">HOUR(A8382)+MINUTE(A8382)/60</f>
        <v>4</v>
      </c>
      <c r="F8382" s="33" t="n">
        <f aca="false">IF(OR(D8382&gt;5,E8382&lt;8,E8382&gt;=18,COUNTIF($K$2:$K$10,INT(A8382))&gt;0),1,0)</f>
        <v>1</v>
      </c>
      <c r="G8382" s="34" t="n">
        <f aca="false">B8382/1</f>
        <v>66.867</v>
      </c>
      <c r="H8382" s="34" t="n">
        <f aca="false">IF(F8382=1,G8382,"")</f>
        <v>66.867</v>
      </c>
    </row>
    <row r="8383" customFormat="false" ht="15" hidden="false" customHeight="false" outlineLevel="0" collapsed="false">
      <c r="A8383" s="31" t="n">
        <v>43085.2083333333</v>
      </c>
      <c r="B8383" s="32" t="n">
        <v>67.99</v>
      </c>
      <c r="D8383" s="33" t="n">
        <f aca="false">WEEKDAY(A8383,2)</f>
        <v>6</v>
      </c>
      <c r="E8383" s="33" t="n">
        <f aca="false">HOUR(A8383)+MINUTE(A8383)/60</f>
        <v>5</v>
      </c>
      <c r="F8383" s="33" t="n">
        <f aca="false">IF(OR(D8383&gt;5,E8383&lt;8,E8383&gt;=18,COUNTIF($K$2:$K$10,INT(A8383))&gt;0),1,0)</f>
        <v>1</v>
      </c>
      <c r="G8383" s="34" t="n">
        <f aca="false">B8383/1</f>
        <v>67.99</v>
      </c>
      <c r="H8383" s="34" t="n">
        <f aca="false">IF(F8383=1,G8383,"")</f>
        <v>67.99</v>
      </c>
    </row>
    <row r="8384" customFormat="false" ht="15" hidden="false" customHeight="false" outlineLevel="0" collapsed="false">
      <c r="A8384" s="31" t="n">
        <v>43085.25</v>
      </c>
      <c r="B8384" s="32" t="n">
        <v>65.946</v>
      </c>
      <c r="D8384" s="33" t="n">
        <f aca="false">WEEKDAY(A8384,2)</f>
        <v>6</v>
      </c>
      <c r="E8384" s="33" t="n">
        <f aca="false">HOUR(A8384)+MINUTE(A8384)/60</f>
        <v>6</v>
      </c>
      <c r="F8384" s="33" t="n">
        <f aca="false">IF(OR(D8384&gt;5,E8384&lt;8,E8384&gt;=18,COUNTIF($K$2:$K$10,INT(A8384))&gt;0),1,0)</f>
        <v>1</v>
      </c>
      <c r="G8384" s="34" t="n">
        <f aca="false">B8384/1</f>
        <v>65.946</v>
      </c>
      <c r="H8384" s="34" t="n">
        <f aca="false">IF(F8384=1,G8384,"")</f>
        <v>65.946</v>
      </c>
    </row>
    <row r="8385" customFormat="false" ht="15" hidden="false" customHeight="false" outlineLevel="0" collapsed="false">
      <c r="A8385" s="31" t="n">
        <v>43085.2916666667</v>
      </c>
      <c r="B8385" s="32" t="n">
        <v>70.843</v>
      </c>
      <c r="D8385" s="33" t="n">
        <f aca="false">WEEKDAY(A8385,2)</f>
        <v>6</v>
      </c>
      <c r="E8385" s="33" t="n">
        <f aca="false">HOUR(A8385)+MINUTE(A8385)/60</f>
        <v>7</v>
      </c>
      <c r="F8385" s="33" t="n">
        <f aca="false">IF(OR(D8385&gt;5,E8385&lt;8,E8385&gt;=18,COUNTIF($K$2:$K$10,INT(A8385))&gt;0),1,0)</f>
        <v>1</v>
      </c>
      <c r="G8385" s="34" t="n">
        <f aca="false">B8385/1</f>
        <v>70.843</v>
      </c>
      <c r="H8385" s="34" t="n">
        <f aca="false">IF(F8385=1,G8385,"")</f>
        <v>70.843</v>
      </c>
    </row>
    <row r="8386" customFormat="false" ht="15" hidden="false" customHeight="false" outlineLevel="0" collapsed="false">
      <c r="A8386" s="31" t="n">
        <v>43085.3333333333</v>
      </c>
      <c r="B8386" s="32" t="n">
        <v>125.571</v>
      </c>
      <c r="D8386" s="33" t="n">
        <f aca="false">WEEKDAY(A8386,2)</f>
        <v>6</v>
      </c>
      <c r="E8386" s="33" t="n">
        <f aca="false">HOUR(A8386)+MINUTE(A8386)/60</f>
        <v>8</v>
      </c>
      <c r="F8386" s="33" t="n">
        <f aca="false">IF(OR(D8386&gt;5,E8386&lt;8,E8386&gt;=18,COUNTIF($K$2:$K$10,INT(A8386))&gt;0),1,0)</f>
        <v>1</v>
      </c>
      <c r="G8386" s="34" t="n">
        <f aca="false">B8386/1</f>
        <v>125.571</v>
      </c>
      <c r="H8386" s="34" t="n">
        <f aca="false">IF(F8386=1,G8386,"")</f>
        <v>125.571</v>
      </c>
    </row>
    <row r="8387" customFormat="false" ht="15" hidden="false" customHeight="false" outlineLevel="0" collapsed="false">
      <c r="A8387" s="31" t="n">
        <v>43085.375</v>
      </c>
      <c r="B8387" s="32" t="n">
        <v>161.911</v>
      </c>
      <c r="D8387" s="33" t="n">
        <f aca="false">WEEKDAY(A8387,2)</f>
        <v>6</v>
      </c>
      <c r="E8387" s="33" t="n">
        <f aca="false">HOUR(A8387)+MINUTE(A8387)/60</f>
        <v>9</v>
      </c>
      <c r="F8387" s="33" t="n">
        <f aca="false">IF(OR(D8387&gt;5,E8387&lt;8,E8387&gt;=18,COUNTIF($K$2:$K$10,INT(A8387))&gt;0),1,0)</f>
        <v>1</v>
      </c>
      <c r="G8387" s="34" t="n">
        <f aca="false">B8387/1</f>
        <v>161.911</v>
      </c>
      <c r="H8387" s="34" t="n">
        <f aca="false">IF(F8387=1,G8387,"")</f>
        <v>161.911</v>
      </c>
    </row>
    <row r="8388" customFormat="false" ht="15" hidden="false" customHeight="false" outlineLevel="0" collapsed="false">
      <c r="A8388" s="31" t="n">
        <v>43085.4166666667</v>
      </c>
      <c r="B8388" s="32" t="n">
        <v>166.014</v>
      </c>
      <c r="D8388" s="33" t="n">
        <f aca="false">WEEKDAY(A8388,2)</f>
        <v>6</v>
      </c>
      <c r="E8388" s="33" t="n">
        <f aca="false">HOUR(A8388)+MINUTE(A8388)/60</f>
        <v>10</v>
      </c>
      <c r="F8388" s="33" t="n">
        <f aca="false">IF(OR(D8388&gt;5,E8388&lt;8,E8388&gt;=18,COUNTIF($K$2:$K$10,INT(A8388))&gt;0),1,0)</f>
        <v>1</v>
      </c>
      <c r="G8388" s="34" t="n">
        <f aca="false">B8388/1</f>
        <v>166.014</v>
      </c>
      <c r="H8388" s="34" t="n">
        <f aca="false">IF(F8388=1,G8388,"")</f>
        <v>166.014</v>
      </c>
    </row>
    <row r="8389" customFormat="false" ht="15" hidden="false" customHeight="false" outlineLevel="0" collapsed="false">
      <c r="A8389" s="31" t="n">
        <v>43085.4583333333</v>
      </c>
      <c r="B8389" s="32" t="n">
        <v>166.783</v>
      </c>
      <c r="D8389" s="33" t="n">
        <f aca="false">WEEKDAY(A8389,2)</f>
        <v>6</v>
      </c>
      <c r="E8389" s="33" t="n">
        <f aca="false">HOUR(A8389)+MINUTE(A8389)/60</f>
        <v>11</v>
      </c>
      <c r="F8389" s="33" t="n">
        <f aca="false">IF(OR(D8389&gt;5,E8389&lt;8,E8389&gt;=18,COUNTIF($K$2:$K$10,INT(A8389))&gt;0),1,0)</f>
        <v>1</v>
      </c>
      <c r="G8389" s="34" t="n">
        <f aca="false">B8389/1</f>
        <v>166.783</v>
      </c>
      <c r="H8389" s="34" t="n">
        <f aca="false">IF(F8389=1,G8389,"")</f>
        <v>166.783</v>
      </c>
    </row>
    <row r="8390" customFormat="false" ht="15" hidden="false" customHeight="false" outlineLevel="0" collapsed="false">
      <c r="A8390" s="31" t="n">
        <v>43085.5</v>
      </c>
      <c r="B8390" s="32" t="n">
        <v>168.297</v>
      </c>
      <c r="D8390" s="33" t="n">
        <f aca="false">WEEKDAY(A8390,2)</f>
        <v>6</v>
      </c>
      <c r="E8390" s="33" t="n">
        <f aca="false">HOUR(A8390)+MINUTE(A8390)/60</f>
        <v>12</v>
      </c>
      <c r="F8390" s="33" t="n">
        <f aca="false">IF(OR(D8390&gt;5,E8390&lt;8,E8390&gt;=18,COUNTIF($K$2:$K$10,INT(A8390))&gt;0),1,0)</f>
        <v>1</v>
      </c>
      <c r="G8390" s="34" t="n">
        <f aca="false">B8390/1</f>
        <v>168.297</v>
      </c>
      <c r="H8390" s="34" t="n">
        <f aca="false">IF(F8390=1,G8390,"")</f>
        <v>168.297</v>
      </c>
    </row>
    <row r="8391" customFormat="false" ht="15" hidden="false" customHeight="false" outlineLevel="0" collapsed="false">
      <c r="A8391" s="31" t="n">
        <v>43085.5416666667</v>
      </c>
      <c r="B8391" s="32" t="n">
        <v>169.538</v>
      </c>
      <c r="D8391" s="33" t="n">
        <f aca="false">WEEKDAY(A8391,2)</f>
        <v>6</v>
      </c>
      <c r="E8391" s="33" t="n">
        <f aca="false">HOUR(A8391)+MINUTE(A8391)/60</f>
        <v>13</v>
      </c>
      <c r="F8391" s="33" t="n">
        <f aca="false">IF(OR(D8391&gt;5,E8391&lt;8,E8391&gt;=18,COUNTIF($K$2:$K$10,INT(A8391))&gt;0),1,0)</f>
        <v>1</v>
      </c>
      <c r="G8391" s="34" t="n">
        <f aca="false">B8391/1</f>
        <v>169.538</v>
      </c>
      <c r="H8391" s="34" t="n">
        <f aca="false">IF(F8391=1,G8391,"")</f>
        <v>169.538</v>
      </c>
    </row>
    <row r="8392" customFormat="false" ht="15" hidden="false" customHeight="false" outlineLevel="0" collapsed="false">
      <c r="A8392" s="31" t="n">
        <v>43085.5833333333</v>
      </c>
      <c r="B8392" s="32" t="n">
        <v>175.604</v>
      </c>
      <c r="D8392" s="33" t="n">
        <f aca="false">WEEKDAY(A8392,2)</f>
        <v>6</v>
      </c>
      <c r="E8392" s="33" t="n">
        <f aca="false">HOUR(A8392)+MINUTE(A8392)/60</f>
        <v>14</v>
      </c>
      <c r="F8392" s="33" t="n">
        <f aca="false">IF(OR(D8392&gt;5,E8392&lt;8,E8392&gt;=18,COUNTIF($K$2:$K$10,INT(A8392))&gt;0),1,0)</f>
        <v>1</v>
      </c>
      <c r="G8392" s="34" t="n">
        <f aca="false">B8392/1</f>
        <v>175.604</v>
      </c>
      <c r="H8392" s="34" t="n">
        <f aca="false">IF(F8392=1,G8392,"")</f>
        <v>175.604</v>
      </c>
    </row>
    <row r="8393" customFormat="false" ht="15" hidden="false" customHeight="false" outlineLevel="0" collapsed="false">
      <c r="A8393" s="31" t="n">
        <v>43085.625</v>
      </c>
      <c r="B8393" s="32" t="n">
        <v>178.765</v>
      </c>
      <c r="D8393" s="33" t="n">
        <f aca="false">WEEKDAY(A8393,2)</f>
        <v>6</v>
      </c>
      <c r="E8393" s="33" t="n">
        <f aca="false">HOUR(A8393)+MINUTE(A8393)/60</f>
        <v>15</v>
      </c>
      <c r="F8393" s="33" t="n">
        <f aca="false">IF(OR(D8393&gt;5,E8393&lt;8,E8393&gt;=18,COUNTIF($K$2:$K$10,INT(A8393))&gt;0),1,0)</f>
        <v>1</v>
      </c>
      <c r="G8393" s="34" t="n">
        <f aca="false">B8393/1</f>
        <v>178.765</v>
      </c>
      <c r="H8393" s="34" t="n">
        <f aca="false">IF(F8393=1,G8393,"")</f>
        <v>178.765</v>
      </c>
    </row>
    <row r="8394" customFormat="false" ht="15" hidden="false" customHeight="false" outlineLevel="0" collapsed="false">
      <c r="A8394" s="31" t="n">
        <v>43085.6666666667</v>
      </c>
      <c r="B8394" s="32" t="n">
        <v>179.414</v>
      </c>
      <c r="D8394" s="33" t="n">
        <f aca="false">WEEKDAY(A8394,2)</f>
        <v>6</v>
      </c>
      <c r="E8394" s="33" t="n">
        <f aca="false">HOUR(A8394)+MINUTE(A8394)/60</f>
        <v>16</v>
      </c>
      <c r="F8394" s="33" t="n">
        <f aca="false">IF(OR(D8394&gt;5,E8394&lt;8,E8394&gt;=18,COUNTIF($K$2:$K$10,INT(A8394))&gt;0),1,0)</f>
        <v>1</v>
      </c>
      <c r="G8394" s="34" t="n">
        <f aca="false">B8394/1</f>
        <v>179.414</v>
      </c>
      <c r="H8394" s="34" t="n">
        <f aca="false">IF(F8394=1,G8394,"")</f>
        <v>179.414</v>
      </c>
    </row>
    <row r="8395" customFormat="false" ht="15" hidden="false" customHeight="false" outlineLevel="0" collapsed="false">
      <c r="A8395" s="31" t="n">
        <v>43085.7083333333</v>
      </c>
      <c r="B8395" s="32" t="n">
        <v>176.083</v>
      </c>
      <c r="D8395" s="33" t="n">
        <f aca="false">WEEKDAY(A8395,2)</f>
        <v>6</v>
      </c>
      <c r="E8395" s="33" t="n">
        <f aca="false">HOUR(A8395)+MINUTE(A8395)/60</f>
        <v>17</v>
      </c>
      <c r="F8395" s="33" t="n">
        <f aca="false">IF(OR(D8395&gt;5,E8395&lt;8,E8395&gt;=18,COUNTIF($K$2:$K$10,INT(A8395))&gt;0),1,0)</f>
        <v>1</v>
      </c>
      <c r="G8395" s="34" t="n">
        <f aca="false">B8395/1</f>
        <v>176.083</v>
      </c>
      <c r="H8395" s="34" t="n">
        <f aca="false">IF(F8395=1,G8395,"")</f>
        <v>176.083</v>
      </c>
    </row>
    <row r="8396" customFormat="false" ht="15" hidden="false" customHeight="false" outlineLevel="0" collapsed="false">
      <c r="A8396" s="31" t="n">
        <v>43085.75</v>
      </c>
      <c r="B8396" s="32" t="n">
        <v>97.607</v>
      </c>
      <c r="D8396" s="33" t="n">
        <f aca="false">WEEKDAY(A8396,2)</f>
        <v>6</v>
      </c>
      <c r="E8396" s="33" t="n">
        <f aca="false">HOUR(A8396)+MINUTE(A8396)/60</f>
        <v>18</v>
      </c>
      <c r="F8396" s="33" t="n">
        <f aca="false">IF(OR(D8396&gt;5,E8396&lt;8,E8396&gt;=18,COUNTIF($K$2:$K$10,INT(A8396))&gt;0),1,0)</f>
        <v>1</v>
      </c>
      <c r="G8396" s="34" t="n">
        <f aca="false">B8396/1</f>
        <v>97.607</v>
      </c>
      <c r="H8396" s="34" t="n">
        <f aca="false">IF(F8396=1,G8396,"")</f>
        <v>97.607</v>
      </c>
    </row>
    <row r="8397" customFormat="false" ht="15" hidden="false" customHeight="false" outlineLevel="0" collapsed="false">
      <c r="A8397" s="31" t="n">
        <v>43085.7916666667</v>
      </c>
      <c r="B8397" s="32" t="n">
        <v>80.372</v>
      </c>
      <c r="D8397" s="33" t="n">
        <f aca="false">WEEKDAY(A8397,2)</f>
        <v>6</v>
      </c>
      <c r="E8397" s="33" t="n">
        <f aca="false">HOUR(A8397)+MINUTE(A8397)/60</f>
        <v>19</v>
      </c>
      <c r="F8397" s="33" t="n">
        <f aca="false">IF(OR(D8397&gt;5,E8397&lt;8,E8397&gt;=18,COUNTIF($K$2:$K$10,INT(A8397))&gt;0),1,0)</f>
        <v>1</v>
      </c>
      <c r="G8397" s="34" t="n">
        <f aca="false">B8397/1</f>
        <v>80.372</v>
      </c>
      <c r="H8397" s="34" t="n">
        <f aca="false">IF(F8397=1,G8397,"")</f>
        <v>80.372</v>
      </c>
    </row>
    <row r="8398" customFormat="false" ht="15" hidden="false" customHeight="false" outlineLevel="0" collapsed="false">
      <c r="A8398" s="31" t="n">
        <v>43085.8333333333</v>
      </c>
      <c r="B8398" s="32" t="n">
        <v>78.751</v>
      </c>
      <c r="D8398" s="33" t="n">
        <f aca="false">WEEKDAY(A8398,2)</f>
        <v>6</v>
      </c>
      <c r="E8398" s="33" t="n">
        <f aca="false">HOUR(A8398)+MINUTE(A8398)/60</f>
        <v>20</v>
      </c>
      <c r="F8398" s="33" t="n">
        <f aca="false">IF(OR(D8398&gt;5,E8398&lt;8,E8398&gt;=18,COUNTIF($K$2:$K$10,INT(A8398))&gt;0),1,0)</f>
        <v>1</v>
      </c>
      <c r="G8398" s="34" t="n">
        <f aca="false">B8398/1</f>
        <v>78.751</v>
      </c>
      <c r="H8398" s="34" t="n">
        <f aca="false">IF(F8398=1,G8398,"")</f>
        <v>78.751</v>
      </c>
    </row>
    <row r="8399" customFormat="false" ht="15" hidden="false" customHeight="false" outlineLevel="0" collapsed="false">
      <c r="A8399" s="31" t="n">
        <v>43085.875</v>
      </c>
      <c r="B8399" s="32" t="n">
        <v>76.546</v>
      </c>
      <c r="D8399" s="33" t="n">
        <f aca="false">WEEKDAY(A8399,2)</f>
        <v>6</v>
      </c>
      <c r="E8399" s="33" t="n">
        <f aca="false">HOUR(A8399)+MINUTE(A8399)/60</f>
        <v>21</v>
      </c>
      <c r="F8399" s="33" t="n">
        <f aca="false">IF(OR(D8399&gt;5,E8399&lt;8,E8399&gt;=18,COUNTIF($K$2:$K$10,INT(A8399))&gt;0),1,0)</f>
        <v>1</v>
      </c>
      <c r="G8399" s="34" t="n">
        <f aca="false">B8399/1</f>
        <v>76.546</v>
      </c>
      <c r="H8399" s="34" t="n">
        <f aca="false">IF(F8399=1,G8399,"")</f>
        <v>76.546</v>
      </c>
    </row>
    <row r="8400" customFormat="false" ht="15" hidden="false" customHeight="false" outlineLevel="0" collapsed="false">
      <c r="A8400" s="31" t="n">
        <v>43085.9166666667</v>
      </c>
      <c r="B8400" s="32" t="n">
        <v>74.186</v>
      </c>
      <c r="D8400" s="33" t="n">
        <f aca="false">WEEKDAY(A8400,2)</f>
        <v>6</v>
      </c>
      <c r="E8400" s="33" t="n">
        <f aca="false">HOUR(A8400)+MINUTE(A8400)/60</f>
        <v>22</v>
      </c>
      <c r="F8400" s="33" t="n">
        <f aca="false">IF(OR(D8400&gt;5,E8400&lt;8,E8400&gt;=18,COUNTIF($K$2:$K$10,INT(A8400))&gt;0),1,0)</f>
        <v>1</v>
      </c>
      <c r="G8400" s="34" t="n">
        <f aca="false">B8400/1</f>
        <v>74.186</v>
      </c>
      <c r="H8400" s="34" t="n">
        <f aca="false">IF(F8400=1,G8400,"")</f>
        <v>74.186</v>
      </c>
    </row>
    <row r="8401" customFormat="false" ht="15" hidden="false" customHeight="false" outlineLevel="0" collapsed="false">
      <c r="A8401" s="31" t="n">
        <v>43085.9583333333</v>
      </c>
      <c r="B8401" s="32" t="n">
        <v>68.651</v>
      </c>
      <c r="D8401" s="33" t="n">
        <f aca="false">WEEKDAY(A8401,2)</f>
        <v>6</v>
      </c>
      <c r="E8401" s="33" t="n">
        <f aca="false">HOUR(A8401)+MINUTE(A8401)/60</f>
        <v>23</v>
      </c>
      <c r="F8401" s="33" t="n">
        <f aca="false">IF(OR(D8401&gt;5,E8401&lt;8,E8401&gt;=18,COUNTIF($K$2:$K$10,INT(A8401))&gt;0),1,0)</f>
        <v>1</v>
      </c>
      <c r="G8401" s="34" t="n">
        <f aca="false">B8401/1</f>
        <v>68.651</v>
      </c>
      <c r="H8401" s="34" t="n">
        <f aca="false">IF(F8401=1,G8401,"")</f>
        <v>68.651</v>
      </c>
    </row>
    <row r="8402" customFormat="false" ht="15" hidden="false" customHeight="false" outlineLevel="0" collapsed="false">
      <c r="A8402" s="31" t="n">
        <v>43086</v>
      </c>
      <c r="B8402" s="32" t="n">
        <v>67.682</v>
      </c>
      <c r="D8402" s="33" t="n">
        <f aca="false">WEEKDAY(A8402,2)</f>
        <v>7</v>
      </c>
      <c r="E8402" s="33" t="n">
        <f aca="false">HOUR(A8402)+MINUTE(A8402)/60</f>
        <v>0</v>
      </c>
      <c r="F8402" s="33" t="n">
        <f aca="false">IF(OR(D8402&gt;5,E8402&lt;8,E8402&gt;=18,COUNTIF($K$2:$K$10,INT(A8402))&gt;0),1,0)</f>
        <v>1</v>
      </c>
      <c r="G8402" s="34" t="n">
        <f aca="false">B8402/1</f>
        <v>67.682</v>
      </c>
      <c r="H8402" s="34" t="n">
        <f aca="false">IF(F8402=1,G8402,"")</f>
        <v>67.682</v>
      </c>
    </row>
    <row r="8403" customFormat="false" ht="15" hidden="false" customHeight="false" outlineLevel="0" collapsed="false">
      <c r="A8403" s="31" t="n">
        <v>43086.0416666667</v>
      </c>
      <c r="B8403" s="32" t="n">
        <v>70.549</v>
      </c>
      <c r="D8403" s="33" t="n">
        <f aca="false">WEEKDAY(A8403,2)</f>
        <v>7</v>
      </c>
      <c r="E8403" s="33" t="n">
        <f aca="false">HOUR(A8403)+MINUTE(A8403)/60</f>
        <v>1</v>
      </c>
      <c r="F8403" s="33" t="n">
        <f aca="false">IF(OR(D8403&gt;5,E8403&lt;8,E8403&gt;=18,COUNTIF($K$2:$K$10,INT(A8403))&gt;0),1,0)</f>
        <v>1</v>
      </c>
      <c r="G8403" s="34" t="n">
        <f aca="false">B8403/1</f>
        <v>70.549</v>
      </c>
      <c r="H8403" s="34" t="n">
        <f aca="false">IF(F8403=1,G8403,"")</f>
        <v>70.549</v>
      </c>
    </row>
    <row r="8404" customFormat="false" ht="15" hidden="false" customHeight="false" outlineLevel="0" collapsed="false">
      <c r="A8404" s="31" t="n">
        <v>43086.0833333333</v>
      </c>
      <c r="B8404" s="32" t="n">
        <v>67.003</v>
      </c>
      <c r="D8404" s="33" t="n">
        <f aca="false">WEEKDAY(A8404,2)</f>
        <v>7</v>
      </c>
      <c r="E8404" s="33" t="n">
        <f aca="false">HOUR(A8404)+MINUTE(A8404)/60</f>
        <v>2</v>
      </c>
      <c r="F8404" s="33" t="n">
        <f aca="false">IF(OR(D8404&gt;5,E8404&lt;8,E8404&gt;=18,COUNTIF($K$2:$K$10,INT(A8404))&gt;0),1,0)</f>
        <v>1</v>
      </c>
      <c r="G8404" s="34" t="n">
        <f aca="false">B8404/1</f>
        <v>67.003</v>
      </c>
      <c r="H8404" s="34" t="n">
        <f aca="false">IF(F8404=1,G8404,"")</f>
        <v>67.003</v>
      </c>
    </row>
    <row r="8405" customFormat="false" ht="15" hidden="false" customHeight="false" outlineLevel="0" collapsed="false">
      <c r="A8405" s="31" t="n">
        <v>43086.125</v>
      </c>
      <c r="B8405" s="32" t="n">
        <v>66.386</v>
      </c>
      <c r="D8405" s="33" t="n">
        <f aca="false">WEEKDAY(A8405,2)</f>
        <v>7</v>
      </c>
      <c r="E8405" s="33" t="n">
        <f aca="false">HOUR(A8405)+MINUTE(A8405)/60</f>
        <v>3</v>
      </c>
      <c r="F8405" s="33" t="n">
        <f aca="false">IF(OR(D8405&gt;5,E8405&lt;8,E8405&gt;=18,COUNTIF($K$2:$K$10,INT(A8405))&gt;0),1,0)</f>
        <v>1</v>
      </c>
      <c r="G8405" s="34" t="n">
        <f aca="false">B8405/1</f>
        <v>66.386</v>
      </c>
      <c r="H8405" s="34" t="n">
        <f aca="false">IF(F8405=1,G8405,"")</f>
        <v>66.386</v>
      </c>
    </row>
    <row r="8406" customFormat="false" ht="15" hidden="false" customHeight="false" outlineLevel="0" collapsed="false">
      <c r="A8406" s="31" t="n">
        <v>43086.1666666667</v>
      </c>
      <c r="B8406" s="32" t="n">
        <v>70.084</v>
      </c>
      <c r="D8406" s="33" t="n">
        <f aca="false">WEEKDAY(A8406,2)</f>
        <v>7</v>
      </c>
      <c r="E8406" s="33" t="n">
        <f aca="false">HOUR(A8406)+MINUTE(A8406)/60</f>
        <v>4</v>
      </c>
      <c r="F8406" s="33" t="n">
        <f aca="false">IF(OR(D8406&gt;5,E8406&lt;8,E8406&gt;=18,COUNTIF($K$2:$K$10,INT(A8406))&gt;0),1,0)</f>
        <v>1</v>
      </c>
      <c r="G8406" s="34" t="n">
        <f aca="false">B8406/1</f>
        <v>70.084</v>
      </c>
      <c r="H8406" s="34" t="n">
        <f aca="false">IF(F8406=1,G8406,"")</f>
        <v>70.084</v>
      </c>
    </row>
    <row r="8407" customFormat="false" ht="15" hidden="false" customHeight="false" outlineLevel="0" collapsed="false">
      <c r="A8407" s="31" t="n">
        <v>43086.2083333333</v>
      </c>
      <c r="B8407" s="32" t="n">
        <v>66.702</v>
      </c>
      <c r="D8407" s="33" t="n">
        <f aca="false">WEEKDAY(A8407,2)</f>
        <v>7</v>
      </c>
      <c r="E8407" s="33" t="n">
        <f aca="false">HOUR(A8407)+MINUTE(A8407)/60</f>
        <v>5</v>
      </c>
      <c r="F8407" s="33" t="n">
        <f aca="false">IF(OR(D8407&gt;5,E8407&lt;8,E8407&gt;=18,COUNTIF($K$2:$K$10,INT(A8407))&gt;0),1,0)</f>
        <v>1</v>
      </c>
      <c r="G8407" s="34" t="n">
        <f aca="false">B8407/1</f>
        <v>66.702</v>
      </c>
      <c r="H8407" s="34" t="n">
        <f aca="false">IF(F8407=1,G8407,"")</f>
        <v>66.702</v>
      </c>
    </row>
    <row r="8408" customFormat="false" ht="15" hidden="false" customHeight="false" outlineLevel="0" collapsed="false">
      <c r="A8408" s="31" t="n">
        <v>43086.25</v>
      </c>
      <c r="B8408" s="32" t="n">
        <v>66.797</v>
      </c>
      <c r="D8408" s="33" t="n">
        <f aca="false">WEEKDAY(A8408,2)</f>
        <v>7</v>
      </c>
      <c r="E8408" s="33" t="n">
        <f aca="false">HOUR(A8408)+MINUTE(A8408)/60</f>
        <v>6</v>
      </c>
      <c r="F8408" s="33" t="n">
        <f aca="false">IF(OR(D8408&gt;5,E8408&lt;8,E8408&gt;=18,COUNTIF($K$2:$K$10,INT(A8408))&gt;0),1,0)</f>
        <v>1</v>
      </c>
      <c r="G8408" s="34" t="n">
        <f aca="false">B8408/1</f>
        <v>66.797</v>
      </c>
      <c r="H8408" s="34" t="n">
        <f aca="false">IF(F8408=1,G8408,"")</f>
        <v>66.797</v>
      </c>
    </row>
    <row r="8409" customFormat="false" ht="15" hidden="false" customHeight="false" outlineLevel="0" collapsed="false">
      <c r="A8409" s="31" t="n">
        <v>43086.2916666667</v>
      </c>
      <c r="B8409" s="32" t="n">
        <v>73.302</v>
      </c>
      <c r="D8409" s="33" t="n">
        <f aca="false">WEEKDAY(A8409,2)</f>
        <v>7</v>
      </c>
      <c r="E8409" s="33" t="n">
        <f aca="false">HOUR(A8409)+MINUTE(A8409)/60</f>
        <v>7</v>
      </c>
      <c r="F8409" s="33" t="n">
        <f aca="false">IF(OR(D8409&gt;5,E8409&lt;8,E8409&gt;=18,COUNTIF($K$2:$K$10,INT(A8409))&gt;0),1,0)</f>
        <v>1</v>
      </c>
      <c r="G8409" s="34" t="n">
        <f aca="false">B8409/1</f>
        <v>73.302</v>
      </c>
      <c r="H8409" s="34" t="n">
        <f aca="false">IF(F8409=1,G8409,"")</f>
        <v>73.302</v>
      </c>
    </row>
    <row r="8410" customFormat="false" ht="15" hidden="false" customHeight="false" outlineLevel="0" collapsed="false">
      <c r="A8410" s="31" t="n">
        <v>43086.3333333333</v>
      </c>
      <c r="B8410" s="32" t="n">
        <v>70.791</v>
      </c>
      <c r="D8410" s="33" t="n">
        <f aca="false">WEEKDAY(A8410,2)</f>
        <v>7</v>
      </c>
      <c r="E8410" s="33" t="n">
        <f aca="false">HOUR(A8410)+MINUTE(A8410)/60</f>
        <v>8</v>
      </c>
      <c r="F8410" s="33" t="n">
        <f aca="false">IF(OR(D8410&gt;5,E8410&lt;8,E8410&gt;=18,COUNTIF($K$2:$K$10,INT(A8410))&gt;0),1,0)</f>
        <v>1</v>
      </c>
      <c r="G8410" s="34" t="n">
        <f aca="false">B8410/1</f>
        <v>70.791</v>
      </c>
      <c r="H8410" s="34" t="n">
        <f aca="false">IF(F8410=1,G8410,"")</f>
        <v>70.791</v>
      </c>
    </row>
    <row r="8411" customFormat="false" ht="15" hidden="false" customHeight="false" outlineLevel="0" collapsed="false">
      <c r="A8411" s="31" t="n">
        <v>43086.375</v>
      </c>
      <c r="B8411" s="32" t="n">
        <v>69.688</v>
      </c>
      <c r="D8411" s="33" t="n">
        <f aca="false">WEEKDAY(A8411,2)</f>
        <v>7</v>
      </c>
      <c r="E8411" s="33" t="n">
        <f aca="false">HOUR(A8411)+MINUTE(A8411)/60</f>
        <v>9</v>
      </c>
      <c r="F8411" s="33" t="n">
        <f aca="false">IF(OR(D8411&gt;5,E8411&lt;8,E8411&gt;=18,COUNTIF($K$2:$K$10,INT(A8411))&gt;0),1,0)</f>
        <v>1</v>
      </c>
      <c r="G8411" s="34" t="n">
        <f aca="false">B8411/1</f>
        <v>69.688</v>
      </c>
      <c r="H8411" s="34" t="n">
        <f aca="false">IF(F8411=1,G8411,"")</f>
        <v>69.688</v>
      </c>
    </row>
    <row r="8412" customFormat="false" ht="15" hidden="false" customHeight="false" outlineLevel="0" collapsed="false">
      <c r="A8412" s="31" t="n">
        <v>43086.4166666667</v>
      </c>
      <c r="B8412" s="32" t="n">
        <v>69.818</v>
      </c>
      <c r="D8412" s="33" t="n">
        <f aca="false">WEEKDAY(A8412,2)</f>
        <v>7</v>
      </c>
      <c r="E8412" s="33" t="n">
        <f aca="false">HOUR(A8412)+MINUTE(A8412)/60</f>
        <v>10</v>
      </c>
      <c r="F8412" s="33" t="n">
        <f aca="false">IF(OR(D8412&gt;5,E8412&lt;8,E8412&gt;=18,COUNTIF($K$2:$K$10,INT(A8412))&gt;0),1,0)</f>
        <v>1</v>
      </c>
      <c r="G8412" s="34" t="n">
        <f aca="false">B8412/1</f>
        <v>69.818</v>
      </c>
      <c r="H8412" s="34" t="n">
        <f aca="false">IF(F8412=1,G8412,"")</f>
        <v>69.818</v>
      </c>
    </row>
    <row r="8413" customFormat="false" ht="15" hidden="false" customHeight="false" outlineLevel="0" collapsed="false">
      <c r="A8413" s="31" t="n">
        <v>43086.4583333333</v>
      </c>
      <c r="B8413" s="32" t="n">
        <v>69.507</v>
      </c>
      <c r="D8413" s="33" t="n">
        <f aca="false">WEEKDAY(A8413,2)</f>
        <v>7</v>
      </c>
      <c r="E8413" s="33" t="n">
        <f aca="false">HOUR(A8413)+MINUTE(A8413)/60</f>
        <v>11</v>
      </c>
      <c r="F8413" s="33" t="n">
        <f aca="false">IF(OR(D8413&gt;5,E8413&lt;8,E8413&gt;=18,COUNTIF($K$2:$K$10,INT(A8413))&gt;0),1,0)</f>
        <v>1</v>
      </c>
      <c r="G8413" s="34" t="n">
        <f aca="false">B8413/1</f>
        <v>69.507</v>
      </c>
      <c r="H8413" s="34" t="n">
        <f aca="false">IF(F8413=1,G8413,"")</f>
        <v>69.507</v>
      </c>
    </row>
    <row r="8414" customFormat="false" ht="15" hidden="false" customHeight="false" outlineLevel="0" collapsed="false">
      <c r="A8414" s="31" t="n">
        <v>43086.5</v>
      </c>
      <c r="B8414" s="32" t="n">
        <v>70.04</v>
      </c>
      <c r="D8414" s="33" t="n">
        <f aca="false">WEEKDAY(A8414,2)</f>
        <v>7</v>
      </c>
      <c r="E8414" s="33" t="n">
        <f aca="false">HOUR(A8414)+MINUTE(A8414)/60</f>
        <v>12</v>
      </c>
      <c r="F8414" s="33" t="n">
        <f aca="false">IF(OR(D8414&gt;5,E8414&lt;8,E8414&gt;=18,COUNTIF($K$2:$K$10,INT(A8414))&gt;0),1,0)</f>
        <v>1</v>
      </c>
      <c r="G8414" s="34" t="n">
        <f aca="false">B8414/1</f>
        <v>70.04</v>
      </c>
      <c r="H8414" s="34" t="n">
        <f aca="false">IF(F8414=1,G8414,"")</f>
        <v>70.04</v>
      </c>
    </row>
    <row r="8415" customFormat="false" ht="15" hidden="false" customHeight="false" outlineLevel="0" collapsed="false">
      <c r="A8415" s="31" t="n">
        <v>43086.5416666667</v>
      </c>
      <c r="B8415" s="32" t="n">
        <v>116.03</v>
      </c>
      <c r="D8415" s="33" t="n">
        <f aca="false">WEEKDAY(A8415,2)</f>
        <v>7</v>
      </c>
      <c r="E8415" s="33" t="n">
        <f aca="false">HOUR(A8415)+MINUTE(A8415)/60</f>
        <v>13</v>
      </c>
      <c r="F8415" s="33" t="n">
        <f aca="false">IF(OR(D8415&gt;5,E8415&lt;8,E8415&gt;=18,COUNTIF($K$2:$K$10,INT(A8415))&gt;0),1,0)</f>
        <v>1</v>
      </c>
      <c r="G8415" s="34" t="n">
        <f aca="false">B8415/1</f>
        <v>116.03</v>
      </c>
      <c r="H8415" s="34" t="n">
        <f aca="false">IF(F8415=1,G8415,"")</f>
        <v>116.03</v>
      </c>
    </row>
    <row r="8416" customFormat="false" ht="15" hidden="false" customHeight="false" outlineLevel="0" collapsed="false">
      <c r="A8416" s="31" t="n">
        <v>43086.5833333333</v>
      </c>
      <c r="B8416" s="32" t="n">
        <v>142.605</v>
      </c>
      <c r="D8416" s="33" t="n">
        <f aca="false">WEEKDAY(A8416,2)</f>
        <v>7</v>
      </c>
      <c r="E8416" s="33" t="n">
        <f aca="false">HOUR(A8416)+MINUTE(A8416)/60</f>
        <v>14</v>
      </c>
      <c r="F8416" s="33" t="n">
        <f aca="false">IF(OR(D8416&gt;5,E8416&lt;8,E8416&gt;=18,COUNTIF($K$2:$K$10,INT(A8416))&gt;0),1,0)</f>
        <v>1</v>
      </c>
      <c r="G8416" s="34" t="n">
        <f aca="false">B8416/1</f>
        <v>142.605</v>
      </c>
      <c r="H8416" s="34" t="n">
        <f aca="false">IF(F8416=1,G8416,"")</f>
        <v>142.605</v>
      </c>
    </row>
    <row r="8417" customFormat="false" ht="15" hidden="false" customHeight="false" outlineLevel="0" collapsed="false">
      <c r="A8417" s="31" t="n">
        <v>43086.625</v>
      </c>
      <c r="B8417" s="32" t="n">
        <v>142.312</v>
      </c>
      <c r="D8417" s="33" t="n">
        <f aca="false">WEEKDAY(A8417,2)</f>
        <v>7</v>
      </c>
      <c r="E8417" s="33" t="n">
        <f aca="false">HOUR(A8417)+MINUTE(A8417)/60</f>
        <v>15</v>
      </c>
      <c r="F8417" s="33" t="n">
        <f aca="false">IF(OR(D8417&gt;5,E8417&lt;8,E8417&gt;=18,COUNTIF($K$2:$K$10,INT(A8417))&gt;0),1,0)</f>
        <v>1</v>
      </c>
      <c r="G8417" s="34" t="n">
        <f aca="false">B8417/1</f>
        <v>142.312</v>
      </c>
      <c r="H8417" s="34" t="n">
        <f aca="false">IF(F8417=1,G8417,"")</f>
        <v>142.312</v>
      </c>
    </row>
    <row r="8418" customFormat="false" ht="15" hidden="false" customHeight="false" outlineLevel="0" collapsed="false">
      <c r="A8418" s="31" t="n">
        <v>43086.6666666667</v>
      </c>
      <c r="B8418" s="32" t="n">
        <v>143.286</v>
      </c>
      <c r="D8418" s="33" t="n">
        <f aca="false">WEEKDAY(A8418,2)</f>
        <v>7</v>
      </c>
      <c r="E8418" s="33" t="n">
        <f aca="false">HOUR(A8418)+MINUTE(A8418)/60</f>
        <v>16</v>
      </c>
      <c r="F8418" s="33" t="n">
        <f aca="false">IF(OR(D8418&gt;5,E8418&lt;8,E8418&gt;=18,COUNTIF($K$2:$K$10,INT(A8418))&gt;0),1,0)</f>
        <v>1</v>
      </c>
      <c r="G8418" s="34" t="n">
        <f aca="false">B8418/1</f>
        <v>143.286</v>
      </c>
      <c r="H8418" s="34" t="n">
        <f aca="false">IF(F8418=1,G8418,"")</f>
        <v>143.286</v>
      </c>
    </row>
    <row r="8419" customFormat="false" ht="15" hidden="false" customHeight="false" outlineLevel="0" collapsed="false">
      <c r="A8419" s="31" t="n">
        <v>43086.7083333333</v>
      </c>
      <c r="B8419" s="32" t="n">
        <v>142.62</v>
      </c>
      <c r="D8419" s="33" t="n">
        <f aca="false">WEEKDAY(A8419,2)</f>
        <v>7</v>
      </c>
      <c r="E8419" s="33" t="n">
        <f aca="false">HOUR(A8419)+MINUTE(A8419)/60</f>
        <v>17</v>
      </c>
      <c r="F8419" s="33" t="n">
        <f aca="false">IF(OR(D8419&gt;5,E8419&lt;8,E8419&gt;=18,COUNTIF($K$2:$K$10,INT(A8419))&gt;0),1,0)</f>
        <v>1</v>
      </c>
      <c r="G8419" s="34" t="n">
        <f aca="false">B8419/1</f>
        <v>142.62</v>
      </c>
      <c r="H8419" s="34" t="n">
        <f aca="false">IF(F8419=1,G8419,"")</f>
        <v>142.62</v>
      </c>
    </row>
    <row r="8420" customFormat="false" ht="15" hidden="false" customHeight="false" outlineLevel="0" collapsed="false">
      <c r="A8420" s="31" t="n">
        <v>43086.75</v>
      </c>
      <c r="B8420" s="32" t="n">
        <v>86.04</v>
      </c>
      <c r="D8420" s="33" t="n">
        <f aca="false">WEEKDAY(A8420,2)</f>
        <v>7</v>
      </c>
      <c r="E8420" s="33" t="n">
        <f aca="false">HOUR(A8420)+MINUTE(A8420)/60</f>
        <v>18</v>
      </c>
      <c r="F8420" s="33" t="n">
        <f aca="false">IF(OR(D8420&gt;5,E8420&lt;8,E8420&gt;=18,COUNTIF($K$2:$K$10,INT(A8420))&gt;0),1,0)</f>
        <v>1</v>
      </c>
      <c r="G8420" s="34" t="n">
        <f aca="false">B8420/1</f>
        <v>86.04</v>
      </c>
      <c r="H8420" s="34" t="n">
        <f aca="false">IF(F8420=1,G8420,"")</f>
        <v>86.04</v>
      </c>
    </row>
    <row r="8421" customFormat="false" ht="15" hidden="false" customHeight="false" outlineLevel="0" collapsed="false">
      <c r="A8421" s="31" t="n">
        <v>43086.7916666667</v>
      </c>
      <c r="B8421" s="32" t="n">
        <v>80.732</v>
      </c>
      <c r="D8421" s="33" t="n">
        <f aca="false">WEEKDAY(A8421,2)</f>
        <v>7</v>
      </c>
      <c r="E8421" s="33" t="n">
        <f aca="false">HOUR(A8421)+MINUTE(A8421)/60</f>
        <v>19</v>
      </c>
      <c r="F8421" s="33" t="n">
        <f aca="false">IF(OR(D8421&gt;5,E8421&lt;8,E8421&gt;=18,COUNTIF($K$2:$K$10,INT(A8421))&gt;0),1,0)</f>
        <v>1</v>
      </c>
      <c r="G8421" s="34" t="n">
        <f aca="false">B8421/1</f>
        <v>80.732</v>
      </c>
      <c r="H8421" s="34" t="n">
        <f aca="false">IF(F8421=1,G8421,"")</f>
        <v>80.732</v>
      </c>
    </row>
    <row r="8422" customFormat="false" ht="15" hidden="false" customHeight="false" outlineLevel="0" collapsed="false">
      <c r="A8422" s="31" t="n">
        <v>43086.8333333333</v>
      </c>
      <c r="B8422" s="32" t="n">
        <v>80.644</v>
      </c>
      <c r="D8422" s="33" t="n">
        <f aca="false">WEEKDAY(A8422,2)</f>
        <v>7</v>
      </c>
      <c r="E8422" s="33" t="n">
        <f aca="false">HOUR(A8422)+MINUTE(A8422)/60</f>
        <v>20</v>
      </c>
      <c r="F8422" s="33" t="n">
        <f aca="false">IF(OR(D8422&gt;5,E8422&lt;8,E8422&gt;=18,COUNTIF($K$2:$K$10,INT(A8422))&gt;0),1,0)</f>
        <v>1</v>
      </c>
      <c r="G8422" s="34" t="n">
        <f aca="false">B8422/1</f>
        <v>80.644</v>
      </c>
      <c r="H8422" s="34" t="n">
        <f aca="false">IF(F8422=1,G8422,"")</f>
        <v>80.644</v>
      </c>
    </row>
    <row r="8423" customFormat="false" ht="15" hidden="false" customHeight="false" outlineLevel="0" collapsed="false">
      <c r="A8423" s="31" t="n">
        <v>43086.875</v>
      </c>
      <c r="B8423" s="32" t="n">
        <v>77.079</v>
      </c>
      <c r="D8423" s="33" t="n">
        <f aca="false">WEEKDAY(A8423,2)</f>
        <v>7</v>
      </c>
      <c r="E8423" s="33" t="n">
        <f aca="false">HOUR(A8423)+MINUTE(A8423)/60</f>
        <v>21</v>
      </c>
      <c r="F8423" s="33" t="n">
        <f aca="false">IF(OR(D8423&gt;5,E8423&lt;8,E8423&gt;=18,COUNTIF($K$2:$K$10,INT(A8423))&gt;0),1,0)</f>
        <v>1</v>
      </c>
      <c r="G8423" s="34" t="n">
        <f aca="false">B8423/1</f>
        <v>77.079</v>
      </c>
      <c r="H8423" s="34" t="n">
        <f aca="false">IF(F8423=1,G8423,"")</f>
        <v>77.079</v>
      </c>
    </row>
    <row r="8424" customFormat="false" ht="15" hidden="false" customHeight="false" outlineLevel="0" collapsed="false">
      <c r="A8424" s="31" t="n">
        <v>43086.9166666667</v>
      </c>
      <c r="B8424" s="32" t="n">
        <v>77.053</v>
      </c>
      <c r="D8424" s="33" t="n">
        <f aca="false">WEEKDAY(A8424,2)</f>
        <v>7</v>
      </c>
      <c r="E8424" s="33" t="n">
        <f aca="false">HOUR(A8424)+MINUTE(A8424)/60</f>
        <v>22</v>
      </c>
      <c r="F8424" s="33" t="n">
        <f aca="false">IF(OR(D8424&gt;5,E8424&lt;8,E8424&gt;=18,COUNTIF($K$2:$K$10,INT(A8424))&gt;0),1,0)</f>
        <v>1</v>
      </c>
      <c r="G8424" s="34" t="n">
        <f aca="false">B8424/1</f>
        <v>77.053</v>
      </c>
      <c r="H8424" s="34" t="n">
        <f aca="false">IF(F8424=1,G8424,"")</f>
        <v>77.053</v>
      </c>
    </row>
    <row r="8425" customFormat="false" ht="15" hidden="false" customHeight="false" outlineLevel="0" collapsed="false">
      <c r="A8425" s="31" t="n">
        <v>43086.9583333333</v>
      </c>
      <c r="B8425" s="32" t="n">
        <v>71.77</v>
      </c>
      <c r="D8425" s="33" t="n">
        <f aca="false">WEEKDAY(A8425,2)</f>
        <v>7</v>
      </c>
      <c r="E8425" s="33" t="n">
        <f aca="false">HOUR(A8425)+MINUTE(A8425)/60</f>
        <v>23</v>
      </c>
      <c r="F8425" s="33" t="n">
        <f aca="false">IF(OR(D8425&gt;5,E8425&lt;8,E8425&gt;=18,COUNTIF($K$2:$K$10,INT(A8425))&gt;0),1,0)</f>
        <v>1</v>
      </c>
      <c r="G8425" s="34" t="n">
        <f aca="false">B8425/1</f>
        <v>71.77</v>
      </c>
      <c r="H8425" s="34" t="n">
        <f aca="false">IF(F8425=1,G8425,"")</f>
        <v>71.77</v>
      </c>
    </row>
    <row r="8426" customFormat="false" ht="15" hidden="false" customHeight="false" outlineLevel="0" collapsed="false">
      <c r="A8426" s="31" t="n">
        <v>43087</v>
      </c>
      <c r="B8426" s="32" t="n">
        <v>69.591</v>
      </c>
      <c r="D8426" s="33" t="n">
        <f aca="false">WEEKDAY(A8426,2)</f>
        <v>1</v>
      </c>
      <c r="E8426" s="33" t="n">
        <f aca="false">HOUR(A8426)+MINUTE(A8426)/60</f>
        <v>0</v>
      </c>
      <c r="F8426" s="33" t="n">
        <f aca="false">IF(OR(D8426&gt;5,E8426&lt;8,E8426&gt;=18,COUNTIF($K$2:$K$10,INT(A8426))&gt;0),1,0)</f>
        <v>1</v>
      </c>
      <c r="G8426" s="34" t="n">
        <f aca="false">B8426/1</f>
        <v>69.591</v>
      </c>
      <c r="H8426" s="34" t="n">
        <f aca="false">IF(F8426=1,G8426,"")</f>
        <v>69.591</v>
      </c>
    </row>
    <row r="8427" customFormat="false" ht="15" hidden="false" customHeight="false" outlineLevel="0" collapsed="false">
      <c r="A8427" s="31" t="n">
        <v>43087.0416666667</v>
      </c>
      <c r="B8427" s="32" t="n">
        <v>67.096</v>
      </c>
      <c r="D8427" s="33" t="n">
        <f aca="false">WEEKDAY(A8427,2)</f>
        <v>1</v>
      </c>
      <c r="E8427" s="33" t="n">
        <f aca="false">HOUR(A8427)+MINUTE(A8427)/60</f>
        <v>1</v>
      </c>
      <c r="F8427" s="33" t="n">
        <f aca="false">IF(OR(D8427&gt;5,E8427&lt;8,E8427&gt;=18,COUNTIF($K$2:$K$10,INT(A8427))&gt;0),1,0)</f>
        <v>1</v>
      </c>
      <c r="G8427" s="34" t="n">
        <f aca="false">B8427/1</f>
        <v>67.096</v>
      </c>
      <c r="H8427" s="34" t="n">
        <f aca="false">IF(F8427=1,G8427,"")</f>
        <v>67.096</v>
      </c>
    </row>
    <row r="8428" customFormat="false" ht="15" hidden="false" customHeight="false" outlineLevel="0" collapsed="false">
      <c r="A8428" s="31" t="n">
        <v>43087.0833333333</v>
      </c>
      <c r="B8428" s="32" t="n">
        <v>65.894</v>
      </c>
      <c r="D8428" s="33" t="n">
        <f aca="false">WEEKDAY(A8428,2)</f>
        <v>1</v>
      </c>
      <c r="E8428" s="33" t="n">
        <f aca="false">HOUR(A8428)+MINUTE(A8428)/60</f>
        <v>2</v>
      </c>
      <c r="F8428" s="33" t="n">
        <f aca="false">IF(OR(D8428&gt;5,E8428&lt;8,E8428&gt;=18,COUNTIF($K$2:$K$10,INT(A8428))&gt;0),1,0)</f>
        <v>1</v>
      </c>
      <c r="G8428" s="34" t="n">
        <f aca="false">B8428/1</f>
        <v>65.894</v>
      </c>
      <c r="H8428" s="34" t="n">
        <f aca="false">IF(F8428=1,G8428,"")</f>
        <v>65.894</v>
      </c>
    </row>
    <row r="8429" customFormat="false" ht="15" hidden="false" customHeight="false" outlineLevel="0" collapsed="false">
      <c r="A8429" s="31" t="n">
        <v>43087.125</v>
      </c>
      <c r="B8429" s="32" t="n">
        <v>66.207</v>
      </c>
      <c r="D8429" s="33" t="n">
        <f aca="false">WEEKDAY(A8429,2)</f>
        <v>1</v>
      </c>
      <c r="E8429" s="33" t="n">
        <f aca="false">HOUR(A8429)+MINUTE(A8429)/60</f>
        <v>3</v>
      </c>
      <c r="F8429" s="33" t="n">
        <f aca="false">IF(OR(D8429&gt;5,E8429&lt;8,E8429&gt;=18,COUNTIF($K$2:$K$10,INT(A8429))&gt;0),1,0)</f>
        <v>1</v>
      </c>
      <c r="G8429" s="34" t="n">
        <f aca="false">B8429/1</f>
        <v>66.207</v>
      </c>
      <c r="H8429" s="34" t="n">
        <f aca="false">IF(F8429=1,G8429,"")</f>
        <v>66.207</v>
      </c>
    </row>
    <row r="8430" customFormat="false" ht="15" hidden="false" customHeight="false" outlineLevel="0" collapsed="false">
      <c r="A8430" s="31" t="n">
        <v>43087.1666666667</v>
      </c>
      <c r="B8430" s="32" t="n">
        <v>68.048</v>
      </c>
      <c r="D8430" s="33" t="n">
        <f aca="false">WEEKDAY(A8430,2)</f>
        <v>1</v>
      </c>
      <c r="E8430" s="33" t="n">
        <f aca="false">HOUR(A8430)+MINUTE(A8430)/60</f>
        <v>4</v>
      </c>
      <c r="F8430" s="33" t="n">
        <f aca="false">IF(OR(D8430&gt;5,E8430&lt;8,E8430&gt;=18,COUNTIF($K$2:$K$10,INT(A8430))&gt;0),1,0)</f>
        <v>1</v>
      </c>
      <c r="G8430" s="34" t="n">
        <f aca="false">B8430/1</f>
        <v>68.048</v>
      </c>
      <c r="H8430" s="34" t="n">
        <f aca="false">IF(F8430=1,G8430,"")</f>
        <v>68.048</v>
      </c>
    </row>
    <row r="8431" customFormat="false" ht="15" hidden="false" customHeight="false" outlineLevel="0" collapsed="false">
      <c r="A8431" s="31" t="n">
        <v>43087.2083333333</v>
      </c>
      <c r="B8431" s="32" t="n">
        <v>67.549</v>
      </c>
      <c r="D8431" s="33" t="n">
        <f aca="false">WEEKDAY(A8431,2)</f>
        <v>1</v>
      </c>
      <c r="E8431" s="33" t="n">
        <f aca="false">HOUR(A8431)+MINUTE(A8431)/60</f>
        <v>5</v>
      </c>
      <c r="F8431" s="33" t="n">
        <f aca="false">IF(OR(D8431&gt;5,E8431&lt;8,E8431&gt;=18,COUNTIF($K$2:$K$10,INT(A8431))&gt;0),1,0)</f>
        <v>1</v>
      </c>
      <c r="G8431" s="34" t="n">
        <f aca="false">B8431/1</f>
        <v>67.549</v>
      </c>
      <c r="H8431" s="34" t="n">
        <f aca="false">IF(F8431=1,G8431,"")</f>
        <v>67.549</v>
      </c>
    </row>
    <row r="8432" customFormat="false" ht="15" hidden="false" customHeight="false" outlineLevel="0" collapsed="false">
      <c r="A8432" s="31" t="n">
        <v>43087.25</v>
      </c>
      <c r="B8432" s="32" t="n">
        <v>67.594</v>
      </c>
      <c r="D8432" s="33" t="n">
        <f aca="false">WEEKDAY(A8432,2)</f>
        <v>1</v>
      </c>
      <c r="E8432" s="33" t="n">
        <f aca="false">HOUR(A8432)+MINUTE(A8432)/60</f>
        <v>6</v>
      </c>
      <c r="F8432" s="33" t="n">
        <f aca="false">IF(OR(D8432&gt;5,E8432&lt;8,E8432&gt;=18,COUNTIF($K$2:$K$10,INT(A8432))&gt;0),1,0)</f>
        <v>1</v>
      </c>
      <c r="G8432" s="34" t="n">
        <f aca="false">B8432/1</f>
        <v>67.594</v>
      </c>
      <c r="H8432" s="34" t="n">
        <f aca="false">IF(F8432=1,G8432,"")</f>
        <v>67.594</v>
      </c>
    </row>
    <row r="8433" customFormat="false" ht="15" hidden="false" customHeight="false" outlineLevel="0" collapsed="false">
      <c r="A8433" s="31" t="n">
        <v>43087.2916666667</v>
      </c>
      <c r="B8433" s="32" t="n">
        <v>90.741</v>
      </c>
      <c r="D8433" s="33" t="n">
        <f aca="false">WEEKDAY(A8433,2)</f>
        <v>1</v>
      </c>
      <c r="E8433" s="33" t="n">
        <f aca="false">HOUR(A8433)+MINUTE(A8433)/60</f>
        <v>7</v>
      </c>
      <c r="F8433" s="33" t="n">
        <f aca="false">IF(OR(D8433&gt;5,E8433&lt;8,E8433&gt;=18,COUNTIF($K$2:$K$10,INT(A8433))&gt;0),1,0)</f>
        <v>1</v>
      </c>
      <c r="G8433" s="34" t="n">
        <f aca="false">B8433/1</f>
        <v>90.741</v>
      </c>
      <c r="H8433" s="34" t="n">
        <f aca="false">IF(F8433=1,G8433,"")</f>
        <v>90.741</v>
      </c>
    </row>
    <row r="8434" customFormat="false" ht="15" hidden="false" customHeight="false" outlineLevel="0" collapsed="false">
      <c r="A8434" s="31" t="n">
        <v>43087.3333333333</v>
      </c>
      <c r="B8434" s="32" t="n">
        <v>178.861</v>
      </c>
      <c r="D8434" s="33" t="n">
        <f aca="false">WEEKDAY(A8434,2)</f>
        <v>1</v>
      </c>
      <c r="E8434" s="33" t="n">
        <f aca="false">HOUR(A8434)+MINUTE(A8434)/60</f>
        <v>8</v>
      </c>
      <c r="F8434" s="33" t="n">
        <f aca="false">IF(OR(D8434&gt;5,E8434&lt;8,E8434&gt;=18,COUNTIF($K$2:$K$10,INT(A8434))&gt;0),1,0)</f>
        <v>0</v>
      </c>
      <c r="G8434" s="34" t="n">
        <f aca="false">B8434/1</f>
        <v>178.861</v>
      </c>
      <c r="H8434" s="34" t="str">
        <f aca="false">IF(F8434=1,G8434,"")</f>
        <v/>
      </c>
    </row>
    <row r="8435" customFormat="false" ht="15" hidden="false" customHeight="false" outlineLevel="0" collapsed="false">
      <c r="A8435" s="31" t="n">
        <v>43087.375</v>
      </c>
      <c r="B8435" s="32" t="n">
        <v>207.853</v>
      </c>
      <c r="D8435" s="33" t="n">
        <f aca="false">WEEKDAY(A8435,2)</f>
        <v>1</v>
      </c>
      <c r="E8435" s="33" t="n">
        <f aca="false">HOUR(A8435)+MINUTE(A8435)/60</f>
        <v>9</v>
      </c>
      <c r="F8435" s="33" t="n">
        <f aca="false">IF(OR(D8435&gt;5,E8435&lt;8,E8435&gt;=18,COUNTIF($K$2:$K$10,INT(A8435))&gt;0),1,0)</f>
        <v>0</v>
      </c>
      <c r="G8435" s="34" t="n">
        <f aca="false">B8435/1</f>
        <v>207.853</v>
      </c>
      <c r="H8435" s="34" t="str">
        <f aca="false">IF(F8435=1,G8435,"")</f>
        <v/>
      </c>
    </row>
    <row r="8436" customFormat="false" ht="15" hidden="false" customHeight="false" outlineLevel="0" collapsed="false">
      <c r="A8436" s="31" t="n">
        <v>43087.4166666667</v>
      </c>
      <c r="B8436" s="32" t="n">
        <v>218.26</v>
      </c>
      <c r="D8436" s="33" t="n">
        <f aca="false">WEEKDAY(A8436,2)</f>
        <v>1</v>
      </c>
      <c r="E8436" s="33" t="n">
        <f aca="false">HOUR(A8436)+MINUTE(A8436)/60</f>
        <v>10</v>
      </c>
      <c r="F8436" s="33" t="n">
        <f aca="false">IF(OR(D8436&gt;5,E8436&lt;8,E8436&gt;=18,COUNTIF($K$2:$K$10,INT(A8436))&gt;0),1,0)</f>
        <v>0</v>
      </c>
      <c r="G8436" s="34" t="n">
        <f aca="false">B8436/1</f>
        <v>218.26</v>
      </c>
      <c r="H8436" s="34" t="str">
        <f aca="false">IF(F8436=1,G8436,"")</f>
        <v/>
      </c>
    </row>
    <row r="8437" customFormat="false" ht="15" hidden="false" customHeight="false" outlineLevel="0" collapsed="false">
      <c r="A8437" s="31" t="n">
        <v>43087.4583333333</v>
      </c>
      <c r="B8437" s="32" t="n">
        <v>223.61</v>
      </c>
      <c r="D8437" s="33" t="n">
        <f aca="false">WEEKDAY(A8437,2)</f>
        <v>1</v>
      </c>
      <c r="E8437" s="33" t="n">
        <f aca="false">HOUR(A8437)+MINUTE(A8437)/60</f>
        <v>11</v>
      </c>
      <c r="F8437" s="33" t="n">
        <f aca="false">IF(OR(D8437&gt;5,E8437&lt;8,E8437&gt;=18,COUNTIF($K$2:$K$10,INT(A8437))&gt;0),1,0)</f>
        <v>0</v>
      </c>
      <c r="G8437" s="34" t="n">
        <f aca="false">B8437/1</f>
        <v>223.61</v>
      </c>
      <c r="H8437" s="34" t="str">
        <f aca="false">IF(F8437=1,G8437,"")</f>
        <v/>
      </c>
    </row>
    <row r="8438" customFormat="false" ht="15" hidden="false" customHeight="false" outlineLevel="0" collapsed="false">
      <c r="A8438" s="31" t="n">
        <v>43087.5</v>
      </c>
      <c r="B8438" s="32" t="n">
        <v>225.117</v>
      </c>
      <c r="D8438" s="33" t="n">
        <f aca="false">WEEKDAY(A8438,2)</f>
        <v>1</v>
      </c>
      <c r="E8438" s="33" t="n">
        <f aca="false">HOUR(A8438)+MINUTE(A8438)/60</f>
        <v>12</v>
      </c>
      <c r="F8438" s="33" t="n">
        <f aca="false">IF(OR(D8438&gt;5,E8438&lt;8,E8438&gt;=18,COUNTIF($K$2:$K$10,INT(A8438))&gt;0),1,0)</f>
        <v>0</v>
      </c>
      <c r="G8438" s="34" t="n">
        <f aca="false">B8438/1</f>
        <v>225.117</v>
      </c>
      <c r="H8438" s="34" t="str">
        <f aca="false">IF(F8438=1,G8438,"")</f>
        <v/>
      </c>
    </row>
    <row r="8439" customFormat="false" ht="15" hidden="false" customHeight="false" outlineLevel="0" collapsed="false">
      <c r="A8439" s="31" t="n">
        <v>43087.5416666667</v>
      </c>
      <c r="B8439" s="32" t="n">
        <v>225.81</v>
      </c>
      <c r="D8439" s="33" t="n">
        <f aca="false">WEEKDAY(A8439,2)</f>
        <v>1</v>
      </c>
      <c r="E8439" s="33" t="n">
        <f aca="false">HOUR(A8439)+MINUTE(A8439)/60</f>
        <v>13</v>
      </c>
      <c r="F8439" s="33" t="n">
        <f aca="false">IF(OR(D8439&gt;5,E8439&lt;8,E8439&gt;=18,COUNTIF($K$2:$K$10,INT(A8439))&gt;0),1,0)</f>
        <v>0</v>
      </c>
      <c r="G8439" s="34" t="n">
        <f aca="false">B8439/1</f>
        <v>225.81</v>
      </c>
      <c r="H8439" s="34" t="str">
        <f aca="false">IF(F8439=1,G8439,"")</f>
        <v/>
      </c>
    </row>
    <row r="8440" customFormat="false" ht="15" hidden="false" customHeight="false" outlineLevel="0" collapsed="false">
      <c r="A8440" s="31" t="n">
        <v>43087.5833333333</v>
      </c>
      <c r="B8440" s="32" t="n">
        <v>227.861</v>
      </c>
      <c r="D8440" s="33" t="n">
        <f aca="false">WEEKDAY(A8440,2)</f>
        <v>1</v>
      </c>
      <c r="E8440" s="33" t="n">
        <f aca="false">HOUR(A8440)+MINUTE(A8440)/60</f>
        <v>14</v>
      </c>
      <c r="F8440" s="33" t="n">
        <f aca="false">IF(OR(D8440&gt;5,E8440&lt;8,E8440&gt;=18,COUNTIF($K$2:$K$10,INT(A8440))&gt;0),1,0)</f>
        <v>0</v>
      </c>
      <c r="G8440" s="34" t="n">
        <f aca="false">B8440/1</f>
        <v>227.861</v>
      </c>
      <c r="H8440" s="34" t="str">
        <f aca="false">IF(F8440=1,G8440,"")</f>
        <v/>
      </c>
    </row>
    <row r="8441" customFormat="false" ht="15" hidden="false" customHeight="false" outlineLevel="0" collapsed="false">
      <c r="A8441" s="31" t="n">
        <v>43087.625</v>
      </c>
      <c r="B8441" s="32" t="n">
        <v>224.406</v>
      </c>
      <c r="D8441" s="33" t="n">
        <f aca="false">WEEKDAY(A8441,2)</f>
        <v>1</v>
      </c>
      <c r="E8441" s="33" t="n">
        <f aca="false">HOUR(A8441)+MINUTE(A8441)/60</f>
        <v>15</v>
      </c>
      <c r="F8441" s="33" t="n">
        <f aca="false">IF(OR(D8441&gt;5,E8441&lt;8,E8441&gt;=18,COUNTIF($K$2:$K$10,INT(A8441))&gt;0),1,0)</f>
        <v>0</v>
      </c>
      <c r="G8441" s="34" t="n">
        <f aca="false">B8441/1</f>
        <v>224.406</v>
      </c>
      <c r="H8441" s="34" t="str">
        <f aca="false">IF(F8441=1,G8441,"")</f>
        <v/>
      </c>
    </row>
    <row r="8442" customFormat="false" ht="15" hidden="false" customHeight="false" outlineLevel="0" collapsed="false">
      <c r="A8442" s="31" t="n">
        <v>43087.6666666667</v>
      </c>
      <c r="B8442" s="32" t="n">
        <v>223.081</v>
      </c>
      <c r="D8442" s="33" t="n">
        <f aca="false">WEEKDAY(A8442,2)</f>
        <v>1</v>
      </c>
      <c r="E8442" s="33" t="n">
        <f aca="false">HOUR(A8442)+MINUTE(A8442)/60</f>
        <v>16</v>
      </c>
      <c r="F8442" s="33" t="n">
        <f aca="false">IF(OR(D8442&gt;5,E8442&lt;8,E8442&gt;=18,COUNTIF($K$2:$K$10,INT(A8442))&gt;0),1,0)</f>
        <v>0</v>
      </c>
      <c r="G8442" s="34" t="n">
        <f aca="false">B8442/1</f>
        <v>223.081</v>
      </c>
      <c r="H8442" s="34" t="str">
        <f aca="false">IF(F8442=1,G8442,"")</f>
        <v/>
      </c>
    </row>
    <row r="8443" customFormat="false" ht="15" hidden="false" customHeight="false" outlineLevel="0" collapsed="false">
      <c r="A8443" s="31" t="n">
        <v>43087.7083333333</v>
      </c>
      <c r="B8443" s="32" t="n">
        <v>213.641</v>
      </c>
      <c r="D8443" s="33" t="n">
        <f aca="false">WEEKDAY(A8443,2)</f>
        <v>1</v>
      </c>
      <c r="E8443" s="33" t="n">
        <f aca="false">HOUR(A8443)+MINUTE(A8443)/60</f>
        <v>17</v>
      </c>
      <c r="F8443" s="33" t="n">
        <f aca="false">IF(OR(D8443&gt;5,E8443&lt;8,E8443&gt;=18,COUNTIF($K$2:$K$10,INT(A8443))&gt;0),1,0)</f>
        <v>0</v>
      </c>
      <c r="G8443" s="34" t="n">
        <f aca="false">B8443/1</f>
        <v>213.641</v>
      </c>
      <c r="H8443" s="34" t="str">
        <f aca="false">IF(F8443=1,G8443,"")</f>
        <v/>
      </c>
    </row>
    <row r="8444" customFormat="false" ht="15" hidden="false" customHeight="false" outlineLevel="0" collapsed="false">
      <c r="A8444" s="31" t="n">
        <v>43087.75</v>
      </c>
      <c r="B8444" s="32" t="n">
        <v>200.975</v>
      </c>
      <c r="D8444" s="33" t="n">
        <f aca="false">WEEKDAY(A8444,2)</f>
        <v>1</v>
      </c>
      <c r="E8444" s="33" t="n">
        <f aca="false">HOUR(A8444)+MINUTE(A8444)/60</f>
        <v>18</v>
      </c>
      <c r="F8444" s="33" t="n">
        <f aca="false">IF(OR(D8444&gt;5,E8444&lt;8,E8444&gt;=18,COUNTIF($K$2:$K$10,INT(A8444))&gt;0),1,0)</f>
        <v>1</v>
      </c>
      <c r="G8444" s="34" t="n">
        <f aca="false">B8444/1</f>
        <v>200.975</v>
      </c>
      <c r="H8444" s="34" t="n">
        <f aca="false">IF(F8444=1,G8444,"")</f>
        <v>200.975</v>
      </c>
    </row>
    <row r="8445" customFormat="false" ht="15" hidden="false" customHeight="false" outlineLevel="0" collapsed="false">
      <c r="A8445" s="31" t="n">
        <v>43087.7916666667</v>
      </c>
      <c r="B8445" s="32" t="n">
        <v>189.393</v>
      </c>
      <c r="D8445" s="33" t="n">
        <f aca="false">WEEKDAY(A8445,2)</f>
        <v>1</v>
      </c>
      <c r="E8445" s="33" t="n">
        <f aca="false">HOUR(A8445)+MINUTE(A8445)/60</f>
        <v>19</v>
      </c>
      <c r="F8445" s="33" t="n">
        <f aca="false">IF(OR(D8445&gt;5,E8445&lt;8,E8445&gt;=18,COUNTIF($K$2:$K$10,INT(A8445))&gt;0),1,0)</f>
        <v>1</v>
      </c>
      <c r="G8445" s="34" t="n">
        <f aca="false">B8445/1</f>
        <v>189.393</v>
      </c>
      <c r="H8445" s="34" t="n">
        <f aca="false">IF(F8445=1,G8445,"")</f>
        <v>189.393</v>
      </c>
    </row>
    <row r="8446" customFormat="false" ht="15" hidden="false" customHeight="false" outlineLevel="0" collapsed="false">
      <c r="A8446" s="31" t="n">
        <v>43087.8333333333</v>
      </c>
      <c r="B8446" s="32" t="n">
        <v>185.233</v>
      </c>
      <c r="D8446" s="33" t="n">
        <f aca="false">WEEKDAY(A8446,2)</f>
        <v>1</v>
      </c>
      <c r="E8446" s="33" t="n">
        <f aca="false">HOUR(A8446)+MINUTE(A8446)/60</f>
        <v>20</v>
      </c>
      <c r="F8446" s="33" t="n">
        <f aca="false">IF(OR(D8446&gt;5,E8446&lt;8,E8446&gt;=18,COUNTIF($K$2:$K$10,INT(A8446))&gt;0),1,0)</f>
        <v>1</v>
      </c>
      <c r="G8446" s="34" t="n">
        <f aca="false">B8446/1</f>
        <v>185.233</v>
      </c>
      <c r="H8446" s="34" t="n">
        <f aca="false">IF(F8446=1,G8446,"")</f>
        <v>185.233</v>
      </c>
    </row>
    <row r="8447" customFormat="false" ht="15" hidden="false" customHeight="false" outlineLevel="0" collapsed="false">
      <c r="A8447" s="31" t="n">
        <v>43087.875</v>
      </c>
      <c r="B8447" s="32" t="n">
        <v>184.062</v>
      </c>
      <c r="D8447" s="33" t="n">
        <f aca="false">WEEKDAY(A8447,2)</f>
        <v>1</v>
      </c>
      <c r="E8447" s="33" t="n">
        <f aca="false">HOUR(A8447)+MINUTE(A8447)/60</f>
        <v>21</v>
      </c>
      <c r="F8447" s="33" t="n">
        <f aca="false">IF(OR(D8447&gt;5,E8447&lt;8,E8447&gt;=18,COUNTIF($K$2:$K$10,INT(A8447))&gt;0),1,0)</f>
        <v>1</v>
      </c>
      <c r="G8447" s="34" t="n">
        <f aca="false">B8447/1</f>
        <v>184.062</v>
      </c>
      <c r="H8447" s="34" t="n">
        <f aca="false">IF(F8447=1,G8447,"")</f>
        <v>184.062</v>
      </c>
    </row>
    <row r="8448" customFormat="false" ht="15" hidden="false" customHeight="false" outlineLevel="0" collapsed="false">
      <c r="A8448" s="31" t="n">
        <v>43087.9166666667</v>
      </c>
      <c r="B8448" s="32" t="n">
        <v>138.279</v>
      </c>
      <c r="D8448" s="33" t="n">
        <f aca="false">WEEKDAY(A8448,2)</f>
        <v>1</v>
      </c>
      <c r="E8448" s="33" t="n">
        <f aca="false">HOUR(A8448)+MINUTE(A8448)/60</f>
        <v>22</v>
      </c>
      <c r="F8448" s="33" t="n">
        <f aca="false">IF(OR(D8448&gt;5,E8448&lt;8,E8448&gt;=18,COUNTIF($K$2:$K$10,INT(A8448))&gt;0),1,0)</f>
        <v>1</v>
      </c>
      <c r="G8448" s="34" t="n">
        <f aca="false">B8448/1</f>
        <v>138.279</v>
      </c>
      <c r="H8448" s="34" t="n">
        <f aca="false">IF(F8448=1,G8448,"")</f>
        <v>138.279</v>
      </c>
    </row>
    <row r="8449" customFormat="false" ht="15" hidden="false" customHeight="false" outlineLevel="0" collapsed="false">
      <c r="A8449" s="31" t="n">
        <v>43087.9583333333</v>
      </c>
      <c r="B8449" s="32" t="n">
        <v>76.258</v>
      </c>
      <c r="D8449" s="33" t="n">
        <f aca="false">WEEKDAY(A8449,2)</f>
        <v>1</v>
      </c>
      <c r="E8449" s="33" t="n">
        <f aca="false">HOUR(A8449)+MINUTE(A8449)/60</f>
        <v>23</v>
      </c>
      <c r="F8449" s="33" t="n">
        <f aca="false">IF(OR(D8449&gt;5,E8449&lt;8,E8449&gt;=18,COUNTIF($K$2:$K$10,INT(A8449))&gt;0),1,0)</f>
        <v>1</v>
      </c>
      <c r="G8449" s="34" t="n">
        <f aca="false">B8449/1</f>
        <v>76.258</v>
      </c>
      <c r="H8449" s="34" t="n">
        <f aca="false">IF(F8449=1,G8449,"")</f>
        <v>76.258</v>
      </c>
    </row>
    <row r="8450" customFormat="false" ht="15" hidden="false" customHeight="false" outlineLevel="0" collapsed="false">
      <c r="A8450" s="31" t="n">
        <v>43088</v>
      </c>
      <c r="B8450" s="32" t="n">
        <v>69.579</v>
      </c>
      <c r="D8450" s="33" t="n">
        <f aca="false">WEEKDAY(A8450,2)</f>
        <v>2</v>
      </c>
      <c r="E8450" s="33" t="n">
        <f aca="false">HOUR(A8450)+MINUTE(A8450)/60</f>
        <v>0</v>
      </c>
      <c r="F8450" s="33" t="n">
        <f aca="false">IF(OR(D8450&gt;5,E8450&lt;8,E8450&gt;=18,COUNTIF($K$2:$K$10,INT(A8450))&gt;0),1,0)</f>
        <v>1</v>
      </c>
      <c r="G8450" s="34" t="n">
        <f aca="false">B8450/1</f>
        <v>69.579</v>
      </c>
      <c r="H8450" s="34" t="n">
        <f aca="false">IF(F8450=1,G8450,"")</f>
        <v>69.579</v>
      </c>
    </row>
    <row r="8451" customFormat="false" ht="15" hidden="false" customHeight="false" outlineLevel="0" collapsed="false">
      <c r="A8451" s="31" t="n">
        <v>43088.0416666667</v>
      </c>
      <c r="B8451" s="32" t="n">
        <v>66.467</v>
      </c>
      <c r="D8451" s="33" t="n">
        <f aca="false">WEEKDAY(A8451,2)</f>
        <v>2</v>
      </c>
      <c r="E8451" s="33" t="n">
        <f aca="false">HOUR(A8451)+MINUTE(A8451)/60</f>
        <v>1</v>
      </c>
      <c r="F8451" s="33" t="n">
        <f aca="false">IF(OR(D8451&gt;5,E8451&lt;8,E8451&gt;=18,COUNTIF($K$2:$K$10,INT(A8451))&gt;0),1,0)</f>
        <v>1</v>
      </c>
      <c r="G8451" s="34" t="n">
        <f aca="false">B8451/1</f>
        <v>66.467</v>
      </c>
      <c r="H8451" s="34" t="n">
        <f aca="false">IF(F8451=1,G8451,"")</f>
        <v>66.467</v>
      </c>
    </row>
    <row r="8452" customFormat="false" ht="15" hidden="false" customHeight="false" outlineLevel="0" collapsed="false">
      <c r="A8452" s="31" t="n">
        <v>43088.0833333333</v>
      </c>
      <c r="B8452" s="32" t="n">
        <v>67.202</v>
      </c>
      <c r="D8452" s="33" t="n">
        <f aca="false">WEEKDAY(A8452,2)</f>
        <v>2</v>
      </c>
      <c r="E8452" s="33" t="n">
        <f aca="false">HOUR(A8452)+MINUTE(A8452)/60</f>
        <v>2</v>
      </c>
      <c r="F8452" s="33" t="n">
        <f aca="false">IF(OR(D8452&gt;5,E8452&lt;8,E8452&gt;=18,COUNTIF($K$2:$K$10,INT(A8452))&gt;0),1,0)</f>
        <v>1</v>
      </c>
      <c r="G8452" s="34" t="n">
        <f aca="false">B8452/1</f>
        <v>67.202</v>
      </c>
      <c r="H8452" s="34" t="n">
        <f aca="false">IF(F8452=1,G8452,"")</f>
        <v>67.202</v>
      </c>
    </row>
    <row r="8453" customFormat="false" ht="15" hidden="false" customHeight="false" outlineLevel="0" collapsed="false">
      <c r="A8453" s="31" t="n">
        <v>43088.125</v>
      </c>
      <c r="B8453" s="32" t="n">
        <v>66.714</v>
      </c>
      <c r="D8453" s="33" t="n">
        <f aca="false">WEEKDAY(A8453,2)</f>
        <v>2</v>
      </c>
      <c r="E8453" s="33" t="n">
        <f aca="false">HOUR(A8453)+MINUTE(A8453)/60</f>
        <v>3</v>
      </c>
      <c r="F8453" s="33" t="n">
        <f aca="false">IF(OR(D8453&gt;5,E8453&lt;8,E8453&gt;=18,COUNTIF($K$2:$K$10,INT(A8453))&gt;0),1,0)</f>
        <v>1</v>
      </c>
      <c r="G8453" s="34" t="n">
        <f aca="false">B8453/1</f>
        <v>66.714</v>
      </c>
      <c r="H8453" s="34" t="n">
        <f aca="false">IF(F8453=1,G8453,"")</f>
        <v>66.714</v>
      </c>
    </row>
    <row r="8454" customFormat="false" ht="15" hidden="false" customHeight="false" outlineLevel="0" collapsed="false">
      <c r="A8454" s="31" t="n">
        <v>43088.1666666667</v>
      </c>
      <c r="B8454" s="32" t="n">
        <v>66.933</v>
      </c>
      <c r="D8454" s="33" t="n">
        <f aca="false">WEEKDAY(A8454,2)</f>
        <v>2</v>
      </c>
      <c r="E8454" s="33" t="n">
        <f aca="false">HOUR(A8454)+MINUTE(A8454)/60</f>
        <v>4</v>
      </c>
      <c r="F8454" s="33" t="n">
        <f aca="false">IF(OR(D8454&gt;5,E8454&lt;8,E8454&gt;=18,COUNTIF($K$2:$K$10,INT(A8454))&gt;0),1,0)</f>
        <v>1</v>
      </c>
      <c r="G8454" s="34" t="n">
        <f aca="false">B8454/1</f>
        <v>66.933</v>
      </c>
      <c r="H8454" s="34" t="n">
        <f aca="false">IF(F8454=1,G8454,"")</f>
        <v>66.933</v>
      </c>
    </row>
    <row r="8455" customFormat="false" ht="15" hidden="false" customHeight="false" outlineLevel="0" collapsed="false">
      <c r="A8455" s="31" t="n">
        <v>43088.2083333333</v>
      </c>
      <c r="B8455" s="32" t="n">
        <v>65.33</v>
      </c>
      <c r="D8455" s="33" t="n">
        <f aca="false">WEEKDAY(A8455,2)</f>
        <v>2</v>
      </c>
      <c r="E8455" s="33" t="n">
        <f aca="false">HOUR(A8455)+MINUTE(A8455)/60</f>
        <v>5</v>
      </c>
      <c r="F8455" s="33" t="n">
        <f aca="false">IF(OR(D8455&gt;5,E8455&lt;8,E8455&gt;=18,COUNTIF($K$2:$K$10,INT(A8455))&gt;0),1,0)</f>
        <v>1</v>
      </c>
      <c r="G8455" s="34" t="n">
        <f aca="false">B8455/1</f>
        <v>65.33</v>
      </c>
      <c r="H8455" s="34" t="n">
        <f aca="false">IF(F8455=1,G8455,"")</f>
        <v>65.33</v>
      </c>
    </row>
    <row r="8456" customFormat="false" ht="15" hidden="false" customHeight="false" outlineLevel="0" collapsed="false">
      <c r="A8456" s="31" t="n">
        <v>43088.25</v>
      </c>
      <c r="B8456" s="32" t="n">
        <v>66.743</v>
      </c>
      <c r="D8456" s="33" t="n">
        <f aca="false">WEEKDAY(A8456,2)</f>
        <v>2</v>
      </c>
      <c r="E8456" s="33" t="n">
        <f aca="false">HOUR(A8456)+MINUTE(A8456)/60</f>
        <v>6</v>
      </c>
      <c r="F8456" s="33" t="n">
        <f aca="false">IF(OR(D8456&gt;5,E8456&lt;8,E8456&gt;=18,COUNTIF($K$2:$K$10,INT(A8456))&gt;0),1,0)</f>
        <v>1</v>
      </c>
      <c r="G8456" s="34" t="n">
        <f aca="false">B8456/1</f>
        <v>66.743</v>
      </c>
      <c r="H8456" s="34" t="n">
        <f aca="false">IF(F8456=1,G8456,"")</f>
        <v>66.743</v>
      </c>
    </row>
    <row r="8457" customFormat="false" ht="15" hidden="false" customHeight="false" outlineLevel="0" collapsed="false">
      <c r="A8457" s="31" t="n">
        <v>43088.2916666667</v>
      </c>
      <c r="B8457" s="32" t="n">
        <v>74.263</v>
      </c>
      <c r="D8457" s="33" t="n">
        <f aca="false">WEEKDAY(A8457,2)</f>
        <v>2</v>
      </c>
      <c r="E8457" s="33" t="n">
        <f aca="false">HOUR(A8457)+MINUTE(A8457)/60</f>
        <v>7</v>
      </c>
      <c r="F8457" s="33" t="n">
        <f aca="false">IF(OR(D8457&gt;5,E8457&lt;8,E8457&gt;=18,COUNTIF($K$2:$K$10,INT(A8457))&gt;0),1,0)</f>
        <v>1</v>
      </c>
      <c r="G8457" s="34" t="n">
        <f aca="false">B8457/1</f>
        <v>74.263</v>
      </c>
      <c r="H8457" s="34" t="n">
        <f aca="false">IF(F8457=1,G8457,"")</f>
        <v>74.263</v>
      </c>
    </row>
    <row r="8458" customFormat="false" ht="15" hidden="false" customHeight="false" outlineLevel="0" collapsed="false">
      <c r="A8458" s="31" t="n">
        <v>43088.3333333333</v>
      </c>
      <c r="B8458" s="32" t="n">
        <v>175.88</v>
      </c>
      <c r="D8458" s="33" t="n">
        <f aca="false">WEEKDAY(A8458,2)</f>
        <v>2</v>
      </c>
      <c r="E8458" s="33" t="n">
        <f aca="false">HOUR(A8458)+MINUTE(A8458)/60</f>
        <v>8</v>
      </c>
      <c r="F8458" s="33" t="n">
        <f aca="false">IF(OR(D8458&gt;5,E8458&lt;8,E8458&gt;=18,COUNTIF($K$2:$K$10,INT(A8458))&gt;0),1,0)</f>
        <v>0</v>
      </c>
      <c r="G8458" s="34" t="n">
        <f aca="false">B8458/1</f>
        <v>175.88</v>
      </c>
      <c r="H8458" s="34" t="str">
        <f aca="false">IF(F8458=1,G8458,"")</f>
        <v/>
      </c>
    </row>
    <row r="8459" customFormat="false" ht="15" hidden="false" customHeight="false" outlineLevel="0" collapsed="false">
      <c r="A8459" s="31" t="n">
        <v>43088.375</v>
      </c>
      <c r="B8459" s="32" t="n">
        <v>203.989</v>
      </c>
      <c r="D8459" s="33" t="n">
        <f aca="false">WEEKDAY(A8459,2)</f>
        <v>2</v>
      </c>
      <c r="E8459" s="33" t="n">
        <f aca="false">HOUR(A8459)+MINUTE(A8459)/60</f>
        <v>9</v>
      </c>
      <c r="F8459" s="33" t="n">
        <f aca="false">IF(OR(D8459&gt;5,E8459&lt;8,E8459&gt;=18,COUNTIF($K$2:$K$10,INT(A8459))&gt;0),1,0)</f>
        <v>0</v>
      </c>
      <c r="G8459" s="34" t="n">
        <f aca="false">B8459/1</f>
        <v>203.989</v>
      </c>
      <c r="H8459" s="34" t="str">
        <f aca="false">IF(F8459=1,G8459,"")</f>
        <v/>
      </c>
    </row>
    <row r="8460" customFormat="false" ht="15" hidden="false" customHeight="false" outlineLevel="0" collapsed="false">
      <c r="A8460" s="31" t="n">
        <v>43088.4166666667</v>
      </c>
      <c r="B8460" s="32" t="n">
        <v>212.544</v>
      </c>
      <c r="D8460" s="33" t="n">
        <f aca="false">WEEKDAY(A8460,2)</f>
        <v>2</v>
      </c>
      <c r="E8460" s="33" t="n">
        <f aca="false">HOUR(A8460)+MINUTE(A8460)/60</f>
        <v>10</v>
      </c>
      <c r="F8460" s="33" t="n">
        <f aca="false">IF(OR(D8460&gt;5,E8460&lt;8,E8460&gt;=18,COUNTIF($K$2:$K$10,INT(A8460))&gt;0),1,0)</f>
        <v>0</v>
      </c>
      <c r="G8460" s="34" t="n">
        <f aca="false">B8460/1</f>
        <v>212.544</v>
      </c>
      <c r="H8460" s="34" t="str">
        <f aca="false">IF(F8460=1,G8460,"")</f>
        <v/>
      </c>
    </row>
    <row r="8461" customFormat="false" ht="15" hidden="false" customHeight="false" outlineLevel="0" collapsed="false">
      <c r="A8461" s="31" t="n">
        <v>43088.4583333333</v>
      </c>
      <c r="B8461" s="32" t="n">
        <v>218.411</v>
      </c>
      <c r="D8461" s="33" t="n">
        <f aca="false">WEEKDAY(A8461,2)</f>
        <v>2</v>
      </c>
      <c r="E8461" s="33" t="n">
        <f aca="false">HOUR(A8461)+MINUTE(A8461)/60</f>
        <v>11</v>
      </c>
      <c r="F8461" s="33" t="n">
        <f aca="false">IF(OR(D8461&gt;5,E8461&lt;8,E8461&gt;=18,COUNTIF($K$2:$K$10,INT(A8461))&gt;0),1,0)</f>
        <v>0</v>
      </c>
      <c r="G8461" s="34" t="n">
        <f aca="false">B8461/1</f>
        <v>218.411</v>
      </c>
      <c r="H8461" s="34" t="str">
        <f aca="false">IF(F8461=1,G8461,"")</f>
        <v/>
      </c>
    </row>
    <row r="8462" customFormat="false" ht="15" hidden="false" customHeight="false" outlineLevel="0" collapsed="false">
      <c r="A8462" s="31" t="n">
        <v>43088.5</v>
      </c>
      <c r="B8462" s="32" t="n">
        <v>225.069</v>
      </c>
      <c r="D8462" s="33" t="n">
        <f aca="false">WEEKDAY(A8462,2)</f>
        <v>2</v>
      </c>
      <c r="E8462" s="33" t="n">
        <f aca="false">HOUR(A8462)+MINUTE(A8462)/60</f>
        <v>12</v>
      </c>
      <c r="F8462" s="33" t="n">
        <f aca="false">IF(OR(D8462&gt;5,E8462&lt;8,E8462&gt;=18,COUNTIF($K$2:$K$10,INT(A8462))&gt;0),1,0)</f>
        <v>0</v>
      </c>
      <c r="G8462" s="34" t="n">
        <f aca="false">B8462/1</f>
        <v>225.069</v>
      </c>
      <c r="H8462" s="34" t="str">
        <f aca="false">IF(F8462=1,G8462,"")</f>
        <v/>
      </c>
    </row>
    <row r="8463" customFormat="false" ht="15" hidden="false" customHeight="false" outlineLevel="0" collapsed="false">
      <c r="A8463" s="31" t="n">
        <v>43088.5416666667</v>
      </c>
      <c r="B8463" s="32" t="n">
        <v>228.099</v>
      </c>
      <c r="D8463" s="33" t="n">
        <f aca="false">WEEKDAY(A8463,2)</f>
        <v>2</v>
      </c>
      <c r="E8463" s="33" t="n">
        <f aca="false">HOUR(A8463)+MINUTE(A8463)/60</f>
        <v>13</v>
      </c>
      <c r="F8463" s="33" t="n">
        <f aca="false">IF(OR(D8463&gt;5,E8463&lt;8,E8463&gt;=18,COUNTIF($K$2:$K$10,INT(A8463))&gt;0),1,0)</f>
        <v>0</v>
      </c>
      <c r="G8463" s="34" t="n">
        <f aca="false">B8463/1</f>
        <v>228.099</v>
      </c>
      <c r="H8463" s="34" t="str">
        <f aca="false">IF(F8463=1,G8463,"")</f>
        <v/>
      </c>
    </row>
    <row r="8464" customFormat="false" ht="15" hidden="false" customHeight="false" outlineLevel="0" collapsed="false">
      <c r="A8464" s="31" t="n">
        <v>43088.5833333333</v>
      </c>
      <c r="B8464" s="32" t="n">
        <v>228.12</v>
      </c>
      <c r="D8464" s="33" t="n">
        <f aca="false">WEEKDAY(A8464,2)</f>
        <v>2</v>
      </c>
      <c r="E8464" s="33" t="n">
        <f aca="false">HOUR(A8464)+MINUTE(A8464)/60</f>
        <v>14</v>
      </c>
      <c r="F8464" s="33" t="n">
        <f aca="false">IF(OR(D8464&gt;5,E8464&lt;8,E8464&gt;=18,COUNTIF($K$2:$K$10,INT(A8464))&gt;0),1,0)</f>
        <v>0</v>
      </c>
      <c r="G8464" s="34" t="n">
        <f aca="false">B8464/1</f>
        <v>228.12</v>
      </c>
      <c r="H8464" s="34" t="str">
        <f aca="false">IF(F8464=1,G8464,"")</f>
        <v/>
      </c>
    </row>
    <row r="8465" customFormat="false" ht="15" hidden="false" customHeight="false" outlineLevel="0" collapsed="false">
      <c r="A8465" s="31" t="n">
        <v>43088.625</v>
      </c>
      <c r="B8465" s="32" t="n">
        <v>225.323</v>
      </c>
      <c r="D8465" s="33" t="n">
        <f aca="false">WEEKDAY(A8465,2)</f>
        <v>2</v>
      </c>
      <c r="E8465" s="33" t="n">
        <f aca="false">HOUR(A8465)+MINUTE(A8465)/60</f>
        <v>15</v>
      </c>
      <c r="F8465" s="33" t="n">
        <f aca="false">IF(OR(D8465&gt;5,E8465&lt;8,E8465&gt;=18,COUNTIF($K$2:$K$10,INT(A8465))&gt;0),1,0)</f>
        <v>0</v>
      </c>
      <c r="G8465" s="34" t="n">
        <f aca="false">B8465/1</f>
        <v>225.323</v>
      </c>
      <c r="H8465" s="34" t="str">
        <f aca="false">IF(F8465=1,G8465,"")</f>
        <v/>
      </c>
    </row>
    <row r="8466" customFormat="false" ht="15" hidden="false" customHeight="false" outlineLevel="0" collapsed="false">
      <c r="A8466" s="31" t="n">
        <v>43088.6666666667</v>
      </c>
      <c r="B8466" s="32" t="n">
        <v>213.621</v>
      </c>
      <c r="D8466" s="33" t="n">
        <f aca="false">WEEKDAY(A8466,2)</f>
        <v>2</v>
      </c>
      <c r="E8466" s="33" t="n">
        <f aca="false">HOUR(A8466)+MINUTE(A8466)/60</f>
        <v>16</v>
      </c>
      <c r="F8466" s="33" t="n">
        <f aca="false">IF(OR(D8466&gt;5,E8466&lt;8,E8466&gt;=18,COUNTIF($K$2:$K$10,INT(A8466))&gt;0),1,0)</f>
        <v>0</v>
      </c>
      <c r="G8466" s="34" t="n">
        <f aca="false">B8466/1</f>
        <v>213.621</v>
      </c>
      <c r="H8466" s="34" t="str">
        <f aca="false">IF(F8466=1,G8466,"")</f>
        <v/>
      </c>
    </row>
    <row r="8467" customFormat="false" ht="15" hidden="false" customHeight="false" outlineLevel="0" collapsed="false">
      <c r="A8467" s="31" t="n">
        <v>43088.7083333333</v>
      </c>
      <c r="B8467" s="32" t="n">
        <v>204.095</v>
      </c>
      <c r="D8467" s="33" t="n">
        <f aca="false">WEEKDAY(A8467,2)</f>
        <v>2</v>
      </c>
      <c r="E8467" s="33" t="n">
        <f aca="false">HOUR(A8467)+MINUTE(A8467)/60</f>
        <v>17</v>
      </c>
      <c r="F8467" s="33" t="n">
        <f aca="false">IF(OR(D8467&gt;5,E8467&lt;8,E8467&gt;=18,COUNTIF($K$2:$K$10,INT(A8467))&gt;0),1,0)</f>
        <v>0</v>
      </c>
      <c r="G8467" s="34" t="n">
        <f aca="false">B8467/1</f>
        <v>204.095</v>
      </c>
      <c r="H8467" s="34" t="str">
        <f aca="false">IF(F8467=1,G8467,"")</f>
        <v/>
      </c>
    </row>
    <row r="8468" customFormat="false" ht="15" hidden="false" customHeight="false" outlineLevel="0" collapsed="false">
      <c r="A8468" s="31" t="n">
        <v>43088.75</v>
      </c>
      <c r="B8468" s="32" t="n">
        <v>192.471</v>
      </c>
      <c r="D8468" s="33" t="n">
        <f aca="false">WEEKDAY(A8468,2)</f>
        <v>2</v>
      </c>
      <c r="E8468" s="33" t="n">
        <f aca="false">HOUR(A8468)+MINUTE(A8468)/60</f>
        <v>18</v>
      </c>
      <c r="F8468" s="33" t="n">
        <f aca="false">IF(OR(D8468&gt;5,E8468&lt;8,E8468&gt;=18,COUNTIF($K$2:$K$10,INT(A8468))&gt;0),1,0)</f>
        <v>1</v>
      </c>
      <c r="G8468" s="34" t="n">
        <f aca="false">B8468/1</f>
        <v>192.471</v>
      </c>
      <c r="H8468" s="34" t="n">
        <f aca="false">IF(F8468=1,G8468,"")</f>
        <v>192.471</v>
      </c>
    </row>
    <row r="8469" customFormat="false" ht="15" hidden="false" customHeight="false" outlineLevel="0" collapsed="false">
      <c r="A8469" s="31" t="n">
        <v>43088.7916666667</v>
      </c>
      <c r="B8469" s="32" t="n">
        <v>185.378</v>
      </c>
      <c r="D8469" s="33" t="n">
        <f aca="false">WEEKDAY(A8469,2)</f>
        <v>2</v>
      </c>
      <c r="E8469" s="33" t="n">
        <f aca="false">HOUR(A8469)+MINUTE(A8469)/60</f>
        <v>19</v>
      </c>
      <c r="F8469" s="33" t="n">
        <f aca="false">IF(OR(D8469&gt;5,E8469&lt;8,E8469&gt;=18,COUNTIF($K$2:$K$10,INT(A8469))&gt;0),1,0)</f>
        <v>1</v>
      </c>
      <c r="G8469" s="34" t="n">
        <f aca="false">B8469/1</f>
        <v>185.378</v>
      </c>
      <c r="H8469" s="34" t="n">
        <f aca="false">IF(F8469=1,G8469,"")</f>
        <v>185.378</v>
      </c>
    </row>
    <row r="8470" customFormat="false" ht="15" hidden="false" customHeight="false" outlineLevel="0" collapsed="false">
      <c r="A8470" s="31" t="n">
        <v>43088.8333333333</v>
      </c>
      <c r="B8470" s="32" t="n">
        <v>187.077</v>
      </c>
      <c r="D8470" s="33" t="n">
        <f aca="false">WEEKDAY(A8470,2)</f>
        <v>2</v>
      </c>
      <c r="E8470" s="33" t="n">
        <f aca="false">HOUR(A8470)+MINUTE(A8470)/60</f>
        <v>20</v>
      </c>
      <c r="F8470" s="33" t="n">
        <f aca="false">IF(OR(D8470&gt;5,E8470&lt;8,E8470&gt;=18,COUNTIF($K$2:$K$10,INT(A8470))&gt;0),1,0)</f>
        <v>1</v>
      </c>
      <c r="G8470" s="34" t="n">
        <f aca="false">B8470/1</f>
        <v>187.077</v>
      </c>
      <c r="H8470" s="34" t="n">
        <f aca="false">IF(F8470=1,G8470,"")</f>
        <v>187.077</v>
      </c>
    </row>
    <row r="8471" customFormat="false" ht="15" hidden="false" customHeight="false" outlineLevel="0" collapsed="false">
      <c r="A8471" s="31" t="n">
        <v>43088.875</v>
      </c>
      <c r="B8471" s="32" t="n">
        <v>185.562</v>
      </c>
      <c r="D8471" s="33" t="n">
        <f aca="false">WEEKDAY(A8471,2)</f>
        <v>2</v>
      </c>
      <c r="E8471" s="33" t="n">
        <f aca="false">HOUR(A8471)+MINUTE(A8471)/60</f>
        <v>21</v>
      </c>
      <c r="F8471" s="33" t="n">
        <f aca="false">IF(OR(D8471&gt;5,E8471&lt;8,E8471&gt;=18,COUNTIF($K$2:$K$10,INT(A8471))&gt;0),1,0)</f>
        <v>1</v>
      </c>
      <c r="G8471" s="34" t="n">
        <f aca="false">B8471/1</f>
        <v>185.562</v>
      </c>
      <c r="H8471" s="34" t="n">
        <f aca="false">IF(F8471=1,G8471,"")</f>
        <v>185.562</v>
      </c>
    </row>
    <row r="8472" customFormat="false" ht="15" hidden="false" customHeight="false" outlineLevel="0" collapsed="false">
      <c r="A8472" s="31" t="n">
        <v>43088.9166666667</v>
      </c>
      <c r="B8472" s="32" t="n">
        <v>138.934</v>
      </c>
      <c r="D8472" s="33" t="n">
        <f aca="false">WEEKDAY(A8472,2)</f>
        <v>2</v>
      </c>
      <c r="E8472" s="33" t="n">
        <f aca="false">HOUR(A8472)+MINUTE(A8472)/60</f>
        <v>22</v>
      </c>
      <c r="F8472" s="33" t="n">
        <f aca="false">IF(OR(D8472&gt;5,E8472&lt;8,E8472&gt;=18,COUNTIF($K$2:$K$10,INT(A8472))&gt;0),1,0)</f>
        <v>1</v>
      </c>
      <c r="G8472" s="34" t="n">
        <f aca="false">B8472/1</f>
        <v>138.934</v>
      </c>
      <c r="H8472" s="34" t="n">
        <f aca="false">IF(F8472=1,G8472,"")</f>
        <v>138.934</v>
      </c>
    </row>
    <row r="8473" customFormat="false" ht="15" hidden="false" customHeight="false" outlineLevel="0" collapsed="false">
      <c r="A8473" s="31" t="n">
        <v>43088.9583333333</v>
      </c>
      <c r="B8473" s="32" t="n">
        <v>75.147</v>
      </c>
      <c r="D8473" s="33" t="n">
        <f aca="false">WEEKDAY(A8473,2)</f>
        <v>2</v>
      </c>
      <c r="E8473" s="33" t="n">
        <f aca="false">HOUR(A8473)+MINUTE(A8473)/60</f>
        <v>23</v>
      </c>
      <c r="F8473" s="33" t="n">
        <f aca="false">IF(OR(D8473&gt;5,E8473&lt;8,E8473&gt;=18,COUNTIF($K$2:$K$10,INT(A8473))&gt;0),1,0)</f>
        <v>1</v>
      </c>
      <c r="G8473" s="34" t="n">
        <f aca="false">B8473/1</f>
        <v>75.147</v>
      </c>
      <c r="H8473" s="34" t="n">
        <f aca="false">IF(F8473=1,G8473,"")</f>
        <v>75.147</v>
      </c>
    </row>
    <row r="8474" customFormat="false" ht="15" hidden="false" customHeight="false" outlineLevel="0" collapsed="false">
      <c r="A8474" s="31" t="n">
        <v>43089</v>
      </c>
      <c r="B8474" s="32" t="n">
        <v>70.497</v>
      </c>
      <c r="D8474" s="33" t="n">
        <f aca="false">WEEKDAY(A8474,2)</f>
        <v>3</v>
      </c>
      <c r="E8474" s="33" t="n">
        <f aca="false">HOUR(A8474)+MINUTE(A8474)/60</f>
        <v>0</v>
      </c>
      <c r="F8474" s="33" t="n">
        <f aca="false">IF(OR(D8474&gt;5,E8474&lt;8,E8474&gt;=18,COUNTIF($K$2:$K$10,INT(A8474))&gt;0),1,0)</f>
        <v>1</v>
      </c>
      <c r="G8474" s="34" t="n">
        <f aca="false">B8474/1</f>
        <v>70.497</v>
      </c>
      <c r="H8474" s="34" t="n">
        <f aca="false">IF(F8474=1,G8474,"")</f>
        <v>70.497</v>
      </c>
    </row>
    <row r="8475" customFormat="false" ht="15" hidden="false" customHeight="false" outlineLevel="0" collapsed="false">
      <c r="A8475" s="31" t="n">
        <v>43089.0416666667</v>
      </c>
      <c r="B8475" s="32" t="n">
        <v>68.39</v>
      </c>
      <c r="D8475" s="33" t="n">
        <f aca="false">WEEKDAY(A8475,2)</f>
        <v>3</v>
      </c>
      <c r="E8475" s="33" t="n">
        <f aca="false">HOUR(A8475)+MINUTE(A8475)/60</f>
        <v>1</v>
      </c>
      <c r="F8475" s="33" t="n">
        <f aca="false">IF(OR(D8475&gt;5,E8475&lt;8,E8475&gt;=18,COUNTIF($K$2:$K$10,INT(A8475))&gt;0),1,0)</f>
        <v>1</v>
      </c>
      <c r="G8475" s="34" t="n">
        <f aca="false">B8475/1</f>
        <v>68.39</v>
      </c>
      <c r="H8475" s="34" t="n">
        <f aca="false">IF(F8475=1,G8475,"")</f>
        <v>68.39</v>
      </c>
    </row>
    <row r="8476" customFormat="false" ht="15" hidden="false" customHeight="false" outlineLevel="0" collapsed="false">
      <c r="A8476" s="31" t="n">
        <v>43089.0833333333</v>
      </c>
      <c r="B8476" s="32" t="n">
        <v>68.439</v>
      </c>
      <c r="D8476" s="33" t="n">
        <f aca="false">WEEKDAY(A8476,2)</f>
        <v>3</v>
      </c>
      <c r="E8476" s="33" t="n">
        <f aca="false">HOUR(A8476)+MINUTE(A8476)/60</f>
        <v>2</v>
      </c>
      <c r="F8476" s="33" t="n">
        <f aca="false">IF(OR(D8476&gt;5,E8476&lt;8,E8476&gt;=18,COUNTIF($K$2:$K$10,INT(A8476))&gt;0),1,0)</f>
        <v>1</v>
      </c>
      <c r="G8476" s="34" t="n">
        <f aca="false">B8476/1</f>
        <v>68.439</v>
      </c>
      <c r="H8476" s="34" t="n">
        <f aca="false">IF(F8476=1,G8476,"")</f>
        <v>68.439</v>
      </c>
    </row>
    <row r="8477" customFormat="false" ht="15" hidden="false" customHeight="false" outlineLevel="0" collapsed="false">
      <c r="A8477" s="31" t="n">
        <v>43089.125</v>
      </c>
      <c r="B8477" s="32" t="n">
        <v>69.402</v>
      </c>
      <c r="D8477" s="33" t="n">
        <f aca="false">WEEKDAY(A8477,2)</f>
        <v>3</v>
      </c>
      <c r="E8477" s="33" t="n">
        <f aca="false">HOUR(A8477)+MINUTE(A8477)/60</f>
        <v>3</v>
      </c>
      <c r="F8477" s="33" t="n">
        <f aca="false">IF(OR(D8477&gt;5,E8477&lt;8,E8477&gt;=18,COUNTIF($K$2:$K$10,INT(A8477))&gt;0),1,0)</f>
        <v>1</v>
      </c>
      <c r="G8477" s="34" t="n">
        <f aca="false">B8477/1</f>
        <v>69.402</v>
      </c>
      <c r="H8477" s="34" t="n">
        <f aca="false">IF(F8477=1,G8477,"")</f>
        <v>69.402</v>
      </c>
    </row>
    <row r="8478" customFormat="false" ht="15" hidden="false" customHeight="false" outlineLevel="0" collapsed="false">
      <c r="A8478" s="31" t="n">
        <v>43089.1666666667</v>
      </c>
      <c r="B8478" s="32" t="n">
        <v>64.826</v>
      </c>
      <c r="D8478" s="33" t="n">
        <f aca="false">WEEKDAY(A8478,2)</f>
        <v>3</v>
      </c>
      <c r="E8478" s="33" t="n">
        <f aca="false">HOUR(A8478)+MINUTE(A8478)/60</f>
        <v>4</v>
      </c>
      <c r="F8478" s="33" t="n">
        <f aca="false">IF(OR(D8478&gt;5,E8478&lt;8,E8478&gt;=18,COUNTIF($K$2:$K$10,INT(A8478))&gt;0),1,0)</f>
        <v>1</v>
      </c>
      <c r="G8478" s="34" t="n">
        <f aca="false">B8478/1</f>
        <v>64.826</v>
      </c>
      <c r="H8478" s="34" t="n">
        <f aca="false">IF(F8478=1,G8478,"")</f>
        <v>64.826</v>
      </c>
    </row>
    <row r="8479" customFormat="false" ht="15" hidden="false" customHeight="false" outlineLevel="0" collapsed="false">
      <c r="A8479" s="31" t="n">
        <v>43089.2083333333</v>
      </c>
      <c r="B8479" s="32" t="n">
        <v>68.164</v>
      </c>
      <c r="D8479" s="33" t="n">
        <f aca="false">WEEKDAY(A8479,2)</f>
        <v>3</v>
      </c>
      <c r="E8479" s="33" t="n">
        <f aca="false">HOUR(A8479)+MINUTE(A8479)/60</f>
        <v>5</v>
      </c>
      <c r="F8479" s="33" t="n">
        <f aca="false">IF(OR(D8479&gt;5,E8479&lt;8,E8479&gt;=18,COUNTIF($K$2:$K$10,INT(A8479))&gt;0),1,0)</f>
        <v>1</v>
      </c>
      <c r="G8479" s="34" t="n">
        <f aca="false">B8479/1</f>
        <v>68.164</v>
      </c>
      <c r="H8479" s="34" t="n">
        <f aca="false">IF(F8479=1,G8479,"")</f>
        <v>68.164</v>
      </c>
    </row>
    <row r="8480" customFormat="false" ht="15" hidden="false" customHeight="false" outlineLevel="0" collapsed="false">
      <c r="A8480" s="31" t="n">
        <v>43089.25</v>
      </c>
      <c r="B8480" s="32" t="n">
        <v>67.838</v>
      </c>
      <c r="D8480" s="33" t="n">
        <f aca="false">WEEKDAY(A8480,2)</f>
        <v>3</v>
      </c>
      <c r="E8480" s="33" t="n">
        <f aca="false">HOUR(A8480)+MINUTE(A8480)/60</f>
        <v>6</v>
      </c>
      <c r="F8480" s="33" t="n">
        <f aca="false">IF(OR(D8480&gt;5,E8480&lt;8,E8480&gt;=18,COUNTIF($K$2:$K$10,INT(A8480))&gt;0),1,0)</f>
        <v>1</v>
      </c>
      <c r="G8480" s="34" t="n">
        <f aca="false">B8480/1</f>
        <v>67.838</v>
      </c>
      <c r="H8480" s="34" t="n">
        <f aca="false">IF(F8480=1,G8480,"")</f>
        <v>67.838</v>
      </c>
    </row>
    <row r="8481" customFormat="false" ht="15" hidden="false" customHeight="false" outlineLevel="0" collapsed="false">
      <c r="A8481" s="31" t="n">
        <v>43089.2916666667</v>
      </c>
      <c r="B8481" s="32" t="n">
        <v>76.54</v>
      </c>
      <c r="D8481" s="33" t="n">
        <f aca="false">WEEKDAY(A8481,2)</f>
        <v>3</v>
      </c>
      <c r="E8481" s="33" t="n">
        <f aca="false">HOUR(A8481)+MINUTE(A8481)/60</f>
        <v>7</v>
      </c>
      <c r="F8481" s="33" t="n">
        <f aca="false">IF(OR(D8481&gt;5,E8481&lt;8,E8481&gt;=18,COUNTIF($K$2:$K$10,INT(A8481))&gt;0),1,0)</f>
        <v>1</v>
      </c>
      <c r="G8481" s="34" t="n">
        <f aca="false">B8481/1</f>
        <v>76.54</v>
      </c>
      <c r="H8481" s="34" t="n">
        <f aca="false">IF(F8481=1,G8481,"")</f>
        <v>76.54</v>
      </c>
    </row>
    <row r="8482" customFormat="false" ht="15" hidden="false" customHeight="false" outlineLevel="0" collapsed="false">
      <c r="A8482" s="31" t="n">
        <v>43089.3333333333</v>
      </c>
      <c r="B8482" s="32" t="n">
        <v>174.44</v>
      </c>
      <c r="D8482" s="33" t="n">
        <f aca="false">WEEKDAY(A8482,2)</f>
        <v>3</v>
      </c>
      <c r="E8482" s="33" t="n">
        <f aca="false">HOUR(A8482)+MINUTE(A8482)/60</f>
        <v>8</v>
      </c>
      <c r="F8482" s="33" t="n">
        <f aca="false">IF(OR(D8482&gt;5,E8482&lt;8,E8482&gt;=18,COUNTIF($K$2:$K$10,INT(A8482))&gt;0),1,0)</f>
        <v>0</v>
      </c>
      <c r="G8482" s="34" t="n">
        <f aca="false">B8482/1</f>
        <v>174.44</v>
      </c>
      <c r="H8482" s="34" t="str">
        <f aca="false">IF(F8482=1,G8482,"")</f>
        <v/>
      </c>
    </row>
    <row r="8483" customFormat="false" ht="15" hidden="false" customHeight="false" outlineLevel="0" collapsed="false">
      <c r="A8483" s="31" t="n">
        <v>43089.375</v>
      </c>
      <c r="B8483" s="32" t="n">
        <v>201.85</v>
      </c>
      <c r="D8483" s="33" t="n">
        <f aca="false">WEEKDAY(A8483,2)</f>
        <v>3</v>
      </c>
      <c r="E8483" s="33" t="n">
        <f aca="false">HOUR(A8483)+MINUTE(A8483)/60</f>
        <v>9</v>
      </c>
      <c r="F8483" s="33" t="n">
        <f aca="false">IF(OR(D8483&gt;5,E8483&lt;8,E8483&gt;=18,COUNTIF($K$2:$K$10,INT(A8483))&gt;0),1,0)</f>
        <v>0</v>
      </c>
      <c r="G8483" s="34" t="n">
        <f aca="false">B8483/1</f>
        <v>201.85</v>
      </c>
      <c r="H8483" s="34" t="str">
        <f aca="false">IF(F8483=1,G8483,"")</f>
        <v/>
      </c>
    </row>
    <row r="8484" customFormat="false" ht="15" hidden="false" customHeight="false" outlineLevel="0" collapsed="false">
      <c r="A8484" s="31" t="n">
        <v>43089.4166666667</v>
      </c>
      <c r="B8484" s="32" t="n">
        <v>215.525</v>
      </c>
      <c r="D8484" s="33" t="n">
        <f aca="false">WEEKDAY(A8484,2)</f>
        <v>3</v>
      </c>
      <c r="E8484" s="33" t="n">
        <f aca="false">HOUR(A8484)+MINUTE(A8484)/60</f>
        <v>10</v>
      </c>
      <c r="F8484" s="33" t="n">
        <f aca="false">IF(OR(D8484&gt;5,E8484&lt;8,E8484&gt;=18,COUNTIF($K$2:$K$10,INT(A8484))&gt;0),1,0)</f>
        <v>0</v>
      </c>
      <c r="G8484" s="34" t="n">
        <f aca="false">B8484/1</f>
        <v>215.525</v>
      </c>
      <c r="H8484" s="34" t="str">
        <f aca="false">IF(F8484=1,G8484,"")</f>
        <v/>
      </c>
    </row>
    <row r="8485" customFormat="false" ht="15" hidden="false" customHeight="false" outlineLevel="0" collapsed="false">
      <c r="A8485" s="31" t="n">
        <v>43089.4583333333</v>
      </c>
      <c r="B8485" s="32" t="n">
        <v>217.423</v>
      </c>
      <c r="D8485" s="33" t="n">
        <f aca="false">WEEKDAY(A8485,2)</f>
        <v>3</v>
      </c>
      <c r="E8485" s="33" t="n">
        <f aca="false">HOUR(A8485)+MINUTE(A8485)/60</f>
        <v>11</v>
      </c>
      <c r="F8485" s="33" t="n">
        <f aca="false">IF(OR(D8485&gt;5,E8485&lt;8,E8485&gt;=18,COUNTIF($K$2:$K$10,INT(A8485))&gt;0),1,0)</f>
        <v>0</v>
      </c>
      <c r="G8485" s="34" t="n">
        <f aca="false">B8485/1</f>
        <v>217.423</v>
      </c>
      <c r="H8485" s="34" t="str">
        <f aca="false">IF(F8485=1,G8485,"")</f>
        <v/>
      </c>
    </row>
    <row r="8486" customFormat="false" ht="15" hidden="false" customHeight="false" outlineLevel="0" collapsed="false">
      <c r="A8486" s="31" t="n">
        <v>43089.5</v>
      </c>
      <c r="B8486" s="32" t="n">
        <v>216.277</v>
      </c>
      <c r="D8486" s="33" t="n">
        <f aca="false">WEEKDAY(A8486,2)</f>
        <v>3</v>
      </c>
      <c r="E8486" s="33" t="n">
        <f aca="false">HOUR(A8486)+MINUTE(A8486)/60</f>
        <v>12</v>
      </c>
      <c r="F8486" s="33" t="n">
        <f aca="false">IF(OR(D8486&gt;5,E8486&lt;8,E8486&gt;=18,COUNTIF($K$2:$K$10,INT(A8486))&gt;0),1,0)</f>
        <v>0</v>
      </c>
      <c r="G8486" s="34" t="n">
        <f aca="false">B8486/1</f>
        <v>216.277</v>
      </c>
      <c r="H8486" s="34" t="str">
        <f aca="false">IF(F8486=1,G8486,"")</f>
        <v/>
      </c>
    </row>
    <row r="8487" customFormat="false" ht="15" hidden="false" customHeight="false" outlineLevel="0" collapsed="false">
      <c r="A8487" s="31" t="n">
        <v>43089.5416666667</v>
      </c>
      <c r="B8487" s="32" t="n">
        <v>213.973</v>
      </c>
      <c r="D8487" s="33" t="n">
        <f aca="false">WEEKDAY(A8487,2)</f>
        <v>3</v>
      </c>
      <c r="E8487" s="33" t="n">
        <f aca="false">HOUR(A8487)+MINUTE(A8487)/60</f>
        <v>13</v>
      </c>
      <c r="F8487" s="33" t="n">
        <f aca="false">IF(OR(D8487&gt;5,E8487&lt;8,E8487&gt;=18,COUNTIF($K$2:$K$10,INT(A8487))&gt;0),1,0)</f>
        <v>0</v>
      </c>
      <c r="G8487" s="34" t="n">
        <f aca="false">B8487/1</f>
        <v>213.973</v>
      </c>
      <c r="H8487" s="34" t="str">
        <f aca="false">IF(F8487=1,G8487,"")</f>
        <v/>
      </c>
    </row>
    <row r="8488" customFormat="false" ht="15" hidden="false" customHeight="false" outlineLevel="0" collapsed="false">
      <c r="A8488" s="31" t="n">
        <v>43089.5833333333</v>
      </c>
      <c r="B8488" s="32" t="n">
        <v>226.538</v>
      </c>
      <c r="D8488" s="33" t="n">
        <f aca="false">WEEKDAY(A8488,2)</f>
        <v>3</v>
      </c>
      <c r="E8488" s="33" t="n">
        <f aca="false">HOUR(A8488)+MINUTE(A8488)/60</f>
        <v>14</v>
      </c>
      <c r="F8488" s="33" t="n">
        <f aca="false">IF(OR(D8488&gt;5,E8488&lt;8,E8488&gt;=18,COUNTIF($K$2:$K$10,INT(A8488))&gt;0),1,0)</f>
        <v>0</v>
      </c>
      <c r="G8488" s="34" t="n">
        <f aca="false">B8488/1</f>
        <v>226.538</v>
      </c>
      <c r="H8488" s="34" t="str">
        <f aca="false">IF(F8488=1,G8488,"")</f>
        <v/>
      </c>
    </row>
    <row r="8489" customFormat="false" ht="15" hidden="false" customHeight="false" outlineLevel="0" collapsed="false">
      <c r="A8489" s="31" t="n">
        <v>43089.625</v>
      </c>
      <c r="B8489" s="32" t="n">
        <v>224.981</v>
      </c>
      <c r="D8489" s="33" t="n">
        <f aca="false">WEEKDAY(A8489,2)</f>
        <v>3</v>
      </c>
      <c r="E8489" s="33" t="n">
        <f aca="false">HOUR(A8489)+MINUTE(A8489)/60</f>
        <v>15</v>
      </c>
      <c r="F8489" s="33" t="n">
        <f aca="false">IF(OR(D8489&gt;5,E8489&lt;8,E8489&gt;=18,COUNTIF($K$2:$K$10,INT(A8489))&gt;0),1,0)</f>
        <v>0</v>
      </c>
      <c r="G8489" s="34" t="n">
        <f aca="false">B8489/1</f>
        <v>224.981</v>
      </c>
      <c r="H8489" s="34" t="str">
        <f aca="false">IF(F8489=1,G8489,"")</f>
        <v/>
      </c>
    </row>
    <row r="8490" customFormat="false" ht="15" hidden="false" customHeight="false" outlineLevel="0" collapsed="false">
      <c r="A8490" s="31" t="n">
        <v>43089.6666666667</v>
      </c>
      <c r="B8490" s="32" t="n">
        <v>224.487</v>
      </c>
      <c r="D8490" s="33" t="n">
        <f aca="false">WEEKDAY(A8490,2)</f>
        <v>3</v>
      </c>
      <c r="E8490" s="33" t="n">
        <f aca="false">HOUR(A8490)+MINUTE(A8490)/60</f>
        <v>16</v>
      </c>
      <c r="F8490" s="33" t="n">
        <f aca="false">IF(OR(D8490&gt;5,E8490&lt;8,E8490&gt;=18,COUNTIF($K$2:$K$10,INT(A8490))&gt;0),1,0)</f>
        <v>0</v>
      </c>
      <c r="G8490" s="34" t="n">
        <f aca="false">B8490/1</f>
        <v>224.487</v>
      </c>
      <c r="H8490" s="34" t="str">
        <f aca="false">IF(F8490=1,G8490,"")</f>
        <v/>
      </c>
    </row>
    <row r="8491" customFormat="false" ht="15" hidden="false" customHeight="false" outlineLevel="0" collapsed="false">
      <c r="A8491" s="31" t="n">
        <v>43089.7083333333</v>
      </c>
      <c r="B8491" s="32" t="n">
        <v>210.431</v>
      </c>
      <c r="D8491" s="33" t="n">
        <f aca="false">WEEKDAY(A8491,2)</f>
        <v>3</v>
      </c>
      <c r="E8491" s="33" t="n">
        <f aca="false">HOUR(A8491)+MINUTE(A8491)/60</f>
        <v>17</v>
      </c>
      <c r="F8491" s="33" t="n">
        <f aca="false">IF(OR(D8491&gt;5,E8491&lt;8,E8491&gt;=18,COUNTIF($K$2:$K$10,INT(A8491))&gt;0),1,0)</f>
        <v>0</v>
      </c>
      <c r="G8491" s="34" t="n">
        <f aca="false">B8491/1</f>
        <v>210.431</v>
      </c>
      <c r="H8491" s="34" t="str">
        <f aca="false">IF(F8491=1,G8491,"")</f>
        <v/>
      </c>
    </row>
    <row r="8492" customFormat="false" ht="15" hidden="false" customHeight="false" outlineLevel="0" collapsed="false">
      <c r="A8492" s="31" t="n">
        <v>43089.75</v>
      </c>
      <c r="B8492" s="32" t="n">
        <v>189.414</v>
      </c>
      <c r="D8492" s="33" t="n">
        <f aca="false">WEEKDAY(A8492,2)</f>
        <v>3</v>
      </c>
      <c r="E8492" s="33" t="n">
        <f aca="false">HOUR(A8492)+MINUTE(A8492)/60</f>
        <v>18</v>
      </c>
      <c r="F8492" s="33" t="n">
        <f aca="false">IF(OR(D8492&gt;5,E8492&lt;8,E8492&gt;=18,COUNTIF($K$2:$K$10,INT(A8492))&gt;0),1,0)</f>
        <v>1</v>
      </c>
      <c r="G8492" s="34" t="n">
        <f aca="false">B8492/1</f>
        <v>189.414</v>
      </c>
      <c r="H8492" s="34" t="n">
        <f aca="false">IF(F8492=1,G8492,"")</f>
        <v>189.414</v>
      </c>
    </row>
    <row r="8493" customFormat="false" ht="15" hidden="false" customHeight="false" outlineLevel="0" collapsed="false">
      <c r="A8493" s="31" t="n">
        <v>43089.7916666667</v>
      </c>
      <c r="B8493" s="32" t="n">
        <v>183.427</v>
      </c>
      <c r="D8493" s="33" t="n">
        <f aca="false">WEEKDAY(A8493,2)</f>
        <v>3</v>
      </c>
      <c r="E8493" s="33" t="n">
        <f aca="false">HOUR(A8493)+MINUTE(A8493)/60</f>
        <v>19</v>
      </c>
      <c r="F8493" s="33" t="n">
        <f aca="false">IF(OR(D8493&gt;5,E8493&lt;8,E8493&gt;=18,COUNTIF($K$2:$K$10,INT(A8493))&gt;0),1,0)</f>
        <v>1</v>
      </c>
      <c r="G8493" s="34" t="n">
        <f aca="false">B8493/1</f>
        <v>183.427</v>
      </c>
      <c r="H8493" s="34" t="n">
        <f aca="false">IF(F8493=1,G8493,"")</f>
        <v>183.427</v>
      </c>
    </row>
    <row r="8494" customFormat="false" ht="15" hidden="false" customHeight="false" outlineLevel="0" collapsed="false">
      <c r="A8494" s="31" t="n">
        <v>43089.8333333333</v>
      </c>
      <c r="B8494" s="32" t="n">
        <v>182.668</v>
      </c>
      <c r="D8494" s="33" t="n">
        <f aca="false">WEEKDAY(A8494,2)</f>
        <v>3</v>
      </c>
      <c r="E8494" s="33" t="n">
        <f aca="false">HOUR(A8494)+MINUTE(A8494)/60</f>
        <v>20</v>
      </c>
      <c r="F8494" s="33" t="n">
        <f aca="false">IF(OR(D8494&gt;5,E8494&lt;8,E8494&gt;=18,COUNTIF($K$2:$K$10,INT(A8494))&gt;0),1,0)</f>
        <v>1</v>
      </c>
      <c r="G8494" s="34" t="n">
        <f aca="false">B8494/1</f>
        <v>182.668</v>
      </c>
      <c r="H8494" s="34" t="n">
        <f aca="false">IF(F8494=1,G8494,"")</f>
        <v>182.668</v>
      </c>
    </row>
    <row r="8495" customFormat="false" ht="15" hidden="false" customHeight="false" outlineLevel="0" collapsed="false">
      <c r="A8495" s="31" t="n">
        <v>43089.875</v>
      </c>
      <c r="B8495" s="32" t="n">
        <v>181.091</v>
      </c>
      <c r="D8495" s="33" t="n">
        <f aca="false">WEEKDAY(A8495,2)</f>
        <v>3</v>
      </c>
      <c r="E8495" s="33" t="n">
        <f aca="false">HOUR(A8495)+MINUTE(A8495)/60</f>
        <v>21</v>
      </c>
      <c r="F8495" s="33" t="n">
        <f aca="false">IF(OR(D8495&gt;5,E8495&lt;8,E8495&gt;=18,COUNTIF($K$2:$K$10,INT(A8495))&gt;0),1,0)</f>
        <v>1</v>
      </c>
      <c r="G8495" s="34" t="n">
        <f aca="false">B8495/1</f>
        <v>181.091</v>
      </c>
      <c r="H8495" s="34" t="n">
        <f aca="false">IF(F8495=1,G8495,"")</f>
        <v>181.091</v>
      </c>
    </row>
    <row r="8496" customFormat="false" ht="15" hidden="false" customHeight="false" outlineLevel="0" collapsed="false">
      <c r="A8496" s="31" t="n">
        <v>43089.9166666667</v>
      </c>
      <c r="B8496" s="32" t="n">
        <v>134.926</v>
      </c>
      <c r="D8496" s="33" t="n">
        <f aca="false">WEEKDAY(A8496,2)</f>
        <v>3</v>
      </c>
      <c r="E8496" s="33" t="n">
        <f aca="false">HOUR(A8496)+MINUTE(A8496)/60</f>
        <v>22</v>
      </c>
      <c r="F8496" s="33" t="n">
        <f aca="false">IF(OR(D8496&gt;5,E8496&lt;8,E8496&gt;=18,COUNTIF($K$2:$K$10,INT(A8496))&gt;0),1,0)</f>
        <v>1</v>
      </c>
      <c r="G8496" s="34" t="n">
        <f aca="false">B8496/1</f>
        <v>134.926</v>
      </c>
      <c r="H8496" s="34" t="n">
        <f aca="false">IF(F8496=1,G8496,"")</f>
        <v>134.926</v>
      </c>
    </row>
    <row r="8497" customFormat="false" ht="15" hidden="false" customHeight="false" outlineLevel="0" collapsed="false">
      <c r="A8497" s="31" t="n">
        <v>43089.9583333333</v>
      </c>
      <c r="B8497" s="32" t="n">
        <v>76.377</v>
      </c>
      <c r="D8497" s="33" t="n">
        <f aca="false">WEEKDAY(A8497,2)</f>
        <v>3</v>
      </c>
      <c r="E8497" s="33" t="n">
        <f aca="false">HOUR(A8497)+MINUTE(A8497)/60</f>
        <v>23</v>
      </c>
      <c r="F8497" s="33" t="n">
        <f aca="false">IF(OR(D8497&gt;5,E8497&lt;8,E8497&gt;=18,COUNTIF($K$2:$K$10,INT(A8497))&gt;0),1,0)</f>
        <v>1</v>
      </c>
      <c r="G8497" s="34" t="n">
        <f aca="false">B8497/1</f>
        <v>76.377</v>
      </c>
      <c r="H8497" s="34" t="n">
        <f aca="false">IF(F8497=1,G8497,"")</f>
        <v>76.377</v>
      </c>
    </row>
    <row r="8498" customFormat="false" ht="15" hidden="false" customHeight="false" outlineLevel="0" collapsed="false">
      <c r="A8498" s="31" t="n">
        <v>43090</v>
      </c>
      <c r="B8498" s="32" t="n">
        <v>71.37</v>
      </c>
      <c r="D8498" s="33" t="n">
        <f aca="false">WEEKDAY(A8498,2)</f>
        <v>4</v>
      </c>
      <c r="E8498" s="33" t="n">
        <f aca="false">HOUR(A8498)+MINUTE(A8498)/60</f>
        <v>0</v>
      </c>
      <c r="F8498" s="33" t="n">
        <f aca="false">IF(OR(D8498&gt;5,E8498&lt;8,E8498&gt;=18,COUNTIF($K$2:$K$10,INT(A8498))&gt;0),1,0)</f>
        <v>1</v>
      </c>
      <c r="G8498" s="34" t="n">
        <f aca="false">B8498/1</f>
        <v>71.37</v>
      </c>
      <c r="H8498" s="34" t="n">
        <f aca="false">IF(F8498=1,G8498,"")</f>
        <v>71.37</v>
      </c>
    </row>
    <row r="8499" customFormat="false" ht="15" hidden="false" customHeight="false" outlineLevel="0" collapsed="false">
      <c r="A8499" s="31" t="n">
        <v>43090.0416666667</v>
      </c>
      <c r="B8499" s="32" t="n">
        <v>68.954</v>
      </c>
      <c r="D8499" s="33" t="n">
        <f aca="false">WEEKDAY(A8499,2)</f>
        <v>4</v>
      </c>
      <c r="E8499" s="33" t="n">
        <f aca="false">HOUR(A8499)+MINUTE(A8499)/60</f>
        <v>1</v>
      </c>
      <c r="F8499" s="33" t="n">
        <f aca="false">IF(OR(D8499&gt;5,E8499&lt;8,E8499&gt;=18,COUNTIF($K$2:$K$10,INT(A8499))&gt;0),1,0)</f>
        <v>1</v>
      </c>
      <c r="G8499" s="34" t="n">
        <f aca="false">B8499/1</f>
        <v>68.954</v>
      </c>
      <c r="H8499" s="34" t="n">
        <f aca="false">IF(F8499=1,G8499,"")</f>
        <v>68.954</v>
      </c>
    </row>
    <row r="8500" customFormat="false" ht="15" hidden="false" customHeight="false" outlineLevel="0" collapsed="false">
      <c r="A8500" s="31" t="n">
        <v>43090.0833333333</v>
      </c>
      <c r="B8500" s="32" t="n">
        <v>68.71</v>
      </c>
      <c r="D8500" s="33" t="n">
        <f aca="false">WEEKDAY(A8500,2)</f>
        <v>4</v>
      </c>
      <c r="E8500" s="33" t="n">
        <f aca="false">HOUR(A8500)+MINUTE(A8500)/60</f>
        <v>2</v>
      </c>
      <c r="F8500" s="33" t="n">
        <f aca="false">IF(OR(D8500&gt;5,E8500&lt;8,E8500&gt;=18,COUNTIF($K$2:$K$10,INT(A8500))&gt;0),1,0)</f>
        <v>1</v>
      </c>
      <c r="G8500" s="34" t="n">
        <f aca="false">B8500/1</f>
        <v>68.71</v>
      </c>
      <c r="H8500" s="34" t="n">
        <f aca="false">IF(F8500=1,G8500,"")</f>
        <v>68.71</v>
      </c>
    </row>
    <row r="8501" customFormat="false" ht="15" hidden="false" customHeight="false" outlineLevel="0" collapsed="false">
      <c r="A8501" s="31" t="n">
        <v>43090.125</v>
      </c>
      <c r="B8501" s="32" t="n">
        <v>68.105</v>
      </c>
      <c r="D8501" s="33" t="n">
        <f aca="false">WEEKDAY(A8501,2)</f>
        <v>4</v>
      </c>
      <c r="E8501" s="33" t="n">
        <f aca="false">HOUR(A8501)+MINUTE(A8501)/60</f>
        <v>3</v>
      </c>
      <c r="F8501" s="33" t="n">
        <f aca="false">IF(OR(D8501&gt;5,E8501&lt;8,E8501&gt;=18,COUNTIF($K$2:$K$10,INT(A8501))&gt;0),1,0)</f>
        <v>1</v>
      </c>
      <c r="G8501" s="34" t="n">
        <f aca="false">B8501/1</f>
        <v>68.105</v>
      </c>
      <c r="H8501" s="34" t="n">
        <f aca="false">IF(F8501=1,G8501,"")</f>
        <v>68.105</v>
      </c>
    </row>
    <row r="8502" customFormat="false" ht="15" hidden="false" customHeight="false" outlineLevel="0" collapsed="false">
      <c r="A8502" s="31" t="n">
        <v>43090.1666666667</v>
      </c>
      <c r="B8502" s="32" t="n">
        <v>67.594</v>
      </c>
      <c r="D8502" s="33" t="n">
        <f aca="false">WEEKDAY(A8502,2)</f>
        <v>4</v>
      </c>
      <c r="E8502" s="33" t="n">
        <f aca="false">HOUR(A8502)+MINUTE(A8502)/60</f>
        <v>4</v>
      </c>
      <c r="F8502" s="33" t="n">
        <f aca="false">IF(OR(D8502&gt;5,E8502&lt;8,E8502&gt;=18,COUNTIF($K$2:$K$10,INT(A8502))&gt;0),1,0)</f>
        <v>1</v>
      </c>
      <c r="G8502" s="34" t="n">
        <f aca="false">B8502/1</f>
        <v>67.594</v>
      </c>
      <c r="H8502" s="34" t="n">
        <f aca="false">IF(F8502=1,G8502,"")</f>
        <v>67.594</v>
      </c>
    </row>
    <row r="8503" customFormat="false" ht="15" hidden="false" customHeight="false" outlineLevel="0" collapsed="false">
      <c r="A8503" s="31" t="n">
        <v>43090.2083333333</v>
      </c>
      <c r="B8503" s="32" t="n">
        <v>67.267</v>
      </c>
      <c r="D8503" s="33" t="n">
        <f aca="false">WEEKDAY(A8503,2)</f>
        <v>4</v>
      </c>
      <c r="E8503" s="33" t="n">
        <f aca="false">HOUR(A8503)+MINUTE(A8503)/60</f>
        <v>5</v>
      </c>
      <c r="F8503" s="33" t="n">
        <f aca="false">IF(OR(D8503&gt;5,E8503&lt;8,E8503&gt;=18,COUNTIF($K$2:$K$10,INT(A8503))&gt;0),1,0)</f>
        <v>1</v>
      </c>
      <c r="G8503" s="34" t="n">
        <f aca="false">B8503/1</f>
        <v>67.267</v>
      </c>
      <c r="H8503" s="34" t="n">
        <f aca="false">IF(F8503=1,G8503,"")</f>
        <v>67.267</v>
      </c>
    </row>
    <row r="8504" customFormat="false" ht="15" hidden="false" customHeight="false" outlineLevel="0" collapsed="false">
      <c r="A8504" s="31" t="n">
        <v>43090.25</v>
      </c>
      <c r="B8504" s="32" t="n">
        <v>68.784</v>
      </c>
      <c r="D8504" s="33" t="n">
        <f aca="false">WEEKDAY(A8504,2)</f>
        <v>4</v>
      </c>
      <c r="E8504" s="33" t="n">
        <f aca="false">HOUR(A8504)+MINUTE(A8504)/60</f>
        <v>6</v>
      </c>
      <c r="F8504" s="33" t="n">
        <f aca="false">IF(OR(D8504&gt;5,E8504&lt;8,E8504&gt;=18,COUNTIF($K$2:$K$10,INT(A8504))&gt;0),1,0)</f>
        <v>1</v>
      </c>
      <c r="G8504" s="34" t="n">
        <f aca="false">B8504/1</f>
        <v>68.784</v>
      </c>
      <c r="H8504" s="34" t="n">
        <f aca="false">IF(F8504=1,G8504,"")</f>
        <v>68.784</v>
      </c>
    </row>
    <row r="8505" customFormat="false" ht="15" hidden="false" customHeight="false" outlineLevel="0" collapsed="false">
      <c r="A8505" s="31" t="n">
        <v>43090.2916666667</v>
      </c>
      <c r="B8505" s="32" t="n">
        <v>72.901</v>
      </c>
      <c r="D8505" s="33" t="n">
        <f aca="false">WEEKDAY(A8505,2)</f>
        <v>4</v>
      </c>
      <c r="E8505" s="33" t="n">
        <f aca="false">HOUR(A8505)+MINUTE(A8505)/60</f>
        <v>7</v>
      </c>
      <c r="F8505" s="33" t="n">
        <f aca="false">IF(OR(D8505&gt;5,E8505&lt;8,E8505&gt;=18,COUNTIF($K$2:$K$10,INT(A8505))&gt;0),1,0)</f>
        <v>1</v>
      </c>
      <c r="G8505" s="34" t="n">
        <f aca="false">B8505/1</f>
        <v>72.901</v>
      </c>
      <c r="H8505" s="34" t="n">
        <f aca="false">IF(F8505=1,G8505,"")</f>
        <v>72.901</v>
      </c>
    </row>
    <row r="8506" customFormat="false" ht="15" hidden="false" customHeight="false" outlineLevel="0" collapsed="false">
      <c r="A8506" s="31" t="n">
        <v>43090.3333333333</v>
      </c>
      <c r="B8506" s="32" t="n">
        <v>171.814</v>
      </c>
      <c r="D8506" s="33" t="n">
        <f aca="false">WEEKDAY(A8506,2)</f>
        <v>4</v>
      </c>
      <c r="E8506" s="33" t="n">
        <f aca="false">HOUR(A8506)+MINUTE(A8506)/60</f>
        <v>8</v>
      </c>
      <c r="F8506" s="33" t="n">
        <f aca="false">IF(OR(D8506&gt;5,E8506&lt;8,E8506&gt;=18,COUNTIF($K$2:$K$10,INT(A8506))&gt;0),1,0)</f>
        <v>0</v>
      </c>
      <c r="G8506" s="34" t="n">
        <f aca="false">B8506/1</f>
        <v>171.814</v>
      </c>
      <c r="H8506" s="34" t="str">
        <f aca="false">IF(F8506=1,G8506,"")</f>
        <v/>
      </c>
    </row>
    <row r="8507" customFormat="false" ht="15" hidden="false" customHeight="false" outlineLevel="0" collapsed="false">
      <c r="A8507" s="31" t="n">
        <v>43090.375</v>
      </c>
      <c r="B8507" s="32" t="n">
        <v>198.679</v>
      </c>
      <c r="D8507" s="33" t="n">
        <f aca="false">WEEKDAY(A8507,2)</f>
        <v>4</v>
      </c>
      <c r="E8507" s="33" t="n">
        <f aca="false">HOUR(A8507)+MINUTE(A8507)/60</f>
        <v>9</v>
      </c>
      <c r="F8507" s="33" t="n">
        <f aca="false">IF(OR(D8507&gt;5,E8507&lt;8,E8507&gt;=18,COUNTIF($K$2:$K$10,INT(A8507))&gt;0),1,0)</f>
        <v>0</v>
      </c>
      <c r="G8507" s="34" t="n">
        <f aca="false">B8507/1</f>
        <v>198.679</v>
      </c>
      <c r="H8507" s="34" t="str">
        <f aca="false">IF(F8507=1,G8507,"")</f>
        <v/>
      </c>
    </row>
    <row r="8508" customFormat="false" ht="15" hidden="false" customHeight="false" outlineLevel="0" collapsed="false">
      <c r="A8508" s="31" t="n">
        <v>43090.4166666667</v>
      </c>
      <c r="B8508" s="32" t="n">
        <v>210.401</v>
      </c>
      <c r="D8508" s="33" t="n">
        <f aca="false">WEEKDAY(A8508,2)</f>
        <v>4</v>
      </c>
      <c r="E8508" s="33" t="n">
        <f aca="false">HOUR(A8508)+MINUTE(A8508)/60</f>
        <v>10</v>
      </c>
      <c r="F8508" s="33" t="n">
        <f aca="false">IF(OR(D8508&gt;5,E8508&lt;8,E8508&gt;=18,COUNTIF($K$2:$K$10,INT(A8508))&gt;0),1,0)</f>
        <v>0</v>
      </c>
      <c r="G8508" s="34" t="n">
        <f aca="false">B8508/1</f>
        <v>210.401</v>
      </c>
      <c r="H8508" s="34" t="str">
        <f aca="false">IF(F8508=1,G8508,"")</f>
        <v/>
      </c>
    </row>
    <row r="8509" customFormat="false" ht="15" hidden="false" customHeight="false" outlineLevel="0" collapsed="false">
      <c r="A8509" s="31" t="n">
        <v>43090.4583333333</v>
      </c>
      <c r="B8509" s="32" t="n">
        <v>208.401</v>
      </c>
      <c r="D8509" s="33" t="n">
        <f aca="false">WEEKDAY(A8509,2)</f>
        <v>4</v>
      </c>
      <c r="E8509" s="33" t="n">
        <f aca="false">HOUR(A8509)+MINUTE(A8509)/60</f>
        <v>11</v>
      </c>
      <c r="F8509" s="33" t="n">
        <f aca="false">IF(OR(D8509&gt;5,E8509&lt;8,E8509&gt;=18,COUNTIF($K$2:$K$10,INT(A8509))&gt;0),1,0)</f>
        <v>0</v>
      </c>
      <c r="G8509" s="34" t="n">
        <f aca="false">B8509/1</f>
        <v>208.401</v>
      </c>
      <c r="H8509" s="34" t="str">
        <f aca="false">IF(F8509=1,G8509,"")</f>
        <v/>
      </c>
    </row>
    <row r="8510" customFormat="false" ht="15" hidden="false" customHeight="false" outlineLevel="0" collapsed="false">
      <c r="A8510" s="31" t="n">
        <v>43090.5</v>
      </c>
      <c r="B8510" s="32" t="n">
        <v>205.947</v>
      </c>
      <c r="D8510" s="33" t="n">
        <f aca="false">WEEKDAY(A8510,2)</f>
        <v>4</v>
      </c>
      <c r="E8510" s="33" t="n">
        <f aca="false">HOUR(A8510)+MINUTE(A8510)/60</f>
        <v>12</v>
      </c>
      <c r="F8510" s="33" t="n">
        <f aca="false">IF(OR(D8510&gt;5,E8510&lt;8,E8510&gt;=18,COUNTIF($K$2:$K$10,INT(A8510))&gt;0),1,0)</f>
        <v>0</v>
      </c>
      <c r="G8510" s="34" t="n">
        <f aca="false">B8510/1</f>
        <v>205.947</v>
      </c>
      <c r="H8510" s="34" t="str">
        <f aca="false">IF(F8510=1,G8510,"")</f>
        <v/>
      </c>
    </row>
    <row r="8511" customFormat="false" ht="15" hidden="false" customHeight="false" outlineLevel="0" collapsed="false">
      <c r="A8511" s="31" t="n">
        <v>43090.5416666667</v>
      </c>
      <c r="B8511" s="32" t="n">
        <v>200.153</v>
      </c>
      <c r="D8511" s="33" t="n">
        <f aca="false">WEEKDAY(A8511,2)</f>
        <v>4</v>
      </c>
      <c r="E8511" s="33" t="n">
        <f aca="false">HOUR(A8511)+MINUTE(A8511)/60</f>
        <v>13</v>
      </c>
      <c r="F8511" s="33" t="n">
        <f aca="false">IF(OR(D8511&gt;5,E8511&lt;8,E8511&gt;=18,COUNTIF($K$2:$K$10,INT(A8511))&gt;0),1,0)</f>
        <v>0</v>
      </c>
      <c r="G8511" s="34" t="n">
        <f aca="false">B8511/1</f>
        <v>200.153</v>
      </c>
      <c r="H8511" s="34" t="str">
        <f aca="false">IF(F8511=1,G8511,"")</f>
        <v/>
      </c>
    </row>
    <row r="8512" customFormat="false" ht="15" hidden="false" customHeight="false" outlineLevel="0" collapsed="false">
      <c r="A8512" s="31" t="n">
        <v>43090.5833333333</v>
      </c>
      <c r="B8512" s="32" t="n">
        <v>197.906</v>
      </c>
      <c r="D8512" s="33" t="n">
        <f aca="false">WEEKDAY(A8512,2)</f>
        <v>4</v>
      </c>
      <c r="E8512" s="33" t="n">
        <f aca="false">HOUR(A8512)+MINUTE(A8512)/60</f>
        <v>14</v>
      </c>
      <c r="F8512" s="33" t="n">
        <f aca="false">IF(OR(D8512&gt;5,E8512&lt;8,E8512&gt;=18,COUNTIF($K$2:$K$10,INT(A8512))&gt;0),1,0)</f>
        <v>0</v>
      </c>
      <c r="G8512" s="34" t="n">
        <f aca="false">B8512/1</f>
        <v>197.906</v>
      </c>
      <c r="H8512" s="34" t="str">
        <f aca="false">IF(F8512=1,G8512,"")</f>
        <v/>
      </c>
    </row>
    <row r="8513" customFormat="false" ht="15" hidden="false" customHeight="false" outlineLevel="0" collapsed="false">
      <c r="A8513" s="31" t="n">
        <v>43090.625</v>
      </c>
      <c r="B8513" s="32" t="n">
        <v>207.754</v>
      </c>
      <c r="D8513" s="33" t="n">
        <f aca="false">WEEKDAY(A8513,2)</f>
        <v>4</v>
      </c>
      <c r="E8513" s="33" t="n">
        <f aca="false">HOUR(A8513)+MINUTE(A8513)/60</f>
        <v>15</v>
      </c>
      <c r="F8513" s="33" t="n">
        <f aca="false">IF(OR(D8513&gt;5,E8513&lt;8,E8513&gt;=18,COUNTIF($K$2:$K$10,INT(A8513))&gt;0),1,0)</f>
        <v>0</v>
      </c>
      <c r="G8513" s="34" t="n">
        <f aca="false">B8513/1</f>
        <v>207.754</v>
      </c>
      <c r="H8513" s="34" t="str">
        <f aca="false">IF(F8513=1,G8513,"")</f>
        <v/>
      </c>
    </row>
    <row r="8514" customFormat="false" ht="15" hidden="false" customHeight="false" outlineLevel="0" collapsed="false">
      <c r="A8514" s="31" t="n">
        <v>43090.6666666667</v>
      </c>
      <c r="B8514" s="32" t="n">
        <v>207.986</v>
      </c>
      <c r="D8514" s="33" t="n">
        <f aca="false">WEEKDAY(A8514,2)</f>
        <v>4</v>
      </c>
      <c r="E8514" s="33" t="n">
        <f aca="false">HOUR(A8514)+MINUTE(A8514)/60</f>
        <v>16</v>
      </c>
      <c r="F8514" s="33" t="n">
        <f aca="false">IF(OR(D8514&gt;5,E8514&lt;8,E8514&gt;=18,COUNTIF($K$2:$K$10,INT(A8514))&gt;0),1,0)</f>
        <v>0</v>
      </c>
      <c r="G8514" s="34" t="n">
        <f aca="false">B8514/1</f>
        <v>207.986</v>
      </c>
      <c r="H8514" s="34" t="str">
        <f aca="false">IF(F8514=1,G8514,"")</f>
        <v/>
      </c>
    </row>
    <row r="8515" customFormat="false" ht="15" hidden="false" customHeight="false" outlineLevel="0" collapsed="false">
      <c r="A8515" s="31" t="n">
        <v>43090.7083333333</v>
      </c>
      <c r="B8515" s="32" t="n">
        <v>199.293</v>
      </c>
      <c r="D8515" s="33" t="n">
        <f aca="false">WEEKDAY(A8515,2)</f>
        <v>4</v>
      </c>
      <c r="E8515" s="33" t="n">
        <f aca="false">HOUR(A8515)+MINUTE(A8515)/60</f>
        <v>17</v>
      </c>
      <c r="F8515" s="33" t="n">
        <f aca="false">IF(OR(D8515&gt;5,E8515&lt;8,E8515&gt;=18,COUNTIF($K$2:$K$10,INT(A8515))&gt;0),1,0)</f>
        <v>0</v>
      </c>
      <c r="G8515" s="34" t="n">
        <f aca="false">B8515/1</f>
        <v>199.293</v>
      </c>
      <c r="H8515" s="34" t="str">
        <f aca="false">IF(F8515=1,G8515,"")</f>
        <v/>
      </c>
    </row>
    <row r="8516" customFormat="false" ht="15" hidden="false" customHeight="false" outlineLevel="0" collapsed="false">
      <c r="A8516" s="31" t="n">
        <v>43090.75</v>
      </c>
      <c r="B8516" s="32" t="n">
        <v>181.152</v>
      </c>
      <c r="D8516" s="33" t="n">
        <f aca="false">WEEKDAY(A8516,2)</f>
        <v>4</v>
      </c>
      <c r="E8516" s="33" t="n">
        <f aca="false">HOUR(A8516)+MINUTE(A8516)/60</f>
        <v>18</v>
      </c>
      <c r="F8516" s="33" t="n">
        <f aca="false">IF(OR(D8516&gt;5,E8516&lt;8,E8516&gt;=18,COUNTIF($K$2:$K$10,INT(A8516))&gt;0),1,0)</f>
        <v>1</v>
      </c>
      <c r="G8516" s="34" t="n">
        <f aca="false">B8516/1</f>
        <v>181.152</v>
      </c>
      <c r="H8516" s="34" t="n">
        <f aca="false">IF(F8516=1,G8516,"")</f>
        <v>181.152</v>
      </c>
    </row>
    <row r="8517" customFormat="false" ht="15" hidden="false" customHeight="false" outlineLevel="0" collapsed="false">
      <c r="A8517" s="31" t="n">
        <v>43090.7916666667</v>
      </c>
      <c r="B8517" s="32" t="n">
        <v>173.559</v>
      </c>
      <c r="D8517" s="33" t="n">
        <f aca="false">WEEKDAY(A8517,2)</f>
        <v>4</v>
      </c>
      <c r="E8517" s="33" t="n">
        <f aca="false">HOUR(A8517)+MINUTE(A8517)/60</f>
        <v>19</v>
      </c>
      <c r="F8517" s="33" t="n">
        <f aca="false">IF(OR(D8517&gt;5,E8517&lt;8,E8517&gt;=18,COUNTIF($K$2:$K$10,INT(A8517))&gt;0),1,0)</f>
        <v>1</v>
      </c>
      <c r="G8517" s="34" t="n">
        <f aca="false">B8517/1</f>
        <v>173.559</v>
      </c>
      <c r="H8517" s="34" t="n">
        <f aca="false">IF(F8517=1,G8517,"")</f>
        <v>173.559</v>
      </c>
    </row>
    <row r="8518" customFormat="false" ht="15" hidden="false" customHeight="false" outlineLevel="0" collapsed="false">
      <c r="A8518" s="31" t="n">
        <v>43090.8333333333</v>
      </c>
      <c r="B8518" s="32" t="n">
        <v>172.061</v>
      </c>
      <c r="D8518" s="33" t="n">
        <f aca="false">WEEKDAY(A8518,2)</f>
        <v>4</v>
      </c>
      <c r="E8518" s="33" t="n">
        <f aca="false">HOUR(A8518)+MINUTE(A8518)/60</f>
        <v>20</v>
      </c>
      <c r="F8518" s="33" t="n">
        <f aca="false">IF(OR(D8518&gt;5,E8518&lt;8,E8518&gt;=18,COUNTIF($K$2:$K$10,INT(A8518))&gt;0),1,0)</f>
        <v>1</v>
      </c>
      <c r="G8518" s="34" t="n">
        <f aca="false">B8518/1</f>
        <v>172.061</v>
      </c>
      <c r="H8518" s="34" t="n">
        <f aca="false">IF(F8518=1,G8518,"")</f>
        <v>172.061</v>
      </c>
    </row>
    <row r="8519" customFormat="false" ht="15" hidden="false" customHeight="false" outlineLevel="0" collapsed="false">
      <c r="A8519" s="31" t="n">
        <v>43090.875</v>
      </c>
      <c r="B8519" s="32" t="n">
        <v>170.547</v>
      </c>
      <c r="D8519" s="33" t="n">
        <f aca="false">WEEKDAY(A8519,2)</f>
        <v>4</v>
      </c>
      <c r="E8519" s="33" t="n">
        <f aca="false">HOUR(A8519)+MINUTE(A8519)/60</f>
        <v>21</v>
      </c>
      <c r="F8519" s="33" t="n">
        <f aca="false">IF(OR(D8519&gt;5,E8519&lt;8,E8519&gt;=18,COUNTIF($K$2:$K$10,INT(A8519))&gt;0),1,0)</f>
        <v>1</v>
      </c>
      <c r="G8519" s="34" t="n">
        <f aca="false">B8519/1</f>
        <v>170.547</v>
      </c>
      <c r="H8519" s="34" t="n">
        <f aca="false">IF(F8519=1,G8519,"")</f>
        <v>170.547</v>
      </c>
    </row>
    <row r="8520" customFormat="false" ht="15" hidden="false" customHeight="false" outlineLevel="0" collapsed="false">
      <c r="A8520" s="31" t="n">
        <v>43090.9166666667</v>
      </c>
      <c r="B8520" s="32" t="n">
        <v>129.346</v>
      </c>
      <c r="D8520" s="33" t="n">
        <f aca="false">WEEKDAY(A8520,2)</f>
        <v>4</v>
      </c>
      <c r="E8520" s="33" t="n">
        <f aca="false">HOUR(A8520)+MINUTE(A8520)/60</f>
        <v>22</v>
      </c>
      <c r="F8520" s="33" t="n">
        <f aca="false">IF(OR(D8520&gt;5,E8520&lt;8,E8520&gt;=18,COUNTIF($K$2:$K$10,INT(A8520))&gt;0),1,0)</f>
        <v>1</v>
      </c>
      <c r="G8520" s="34" t="n">
        <f aca="false">B8520/1</f>
        <v>129.346</v>
      </c>
      <c r="H8520" s="34" t="n">
        <f aca="false">IF(F8520=1,G8520,"")</f>
        <v>129.346</v>
      </c>
    </row>
    <row r="8521" customFormat="false" ht="15" hidden="false" customHeight="false" outlineLevel="0" collapsed="false">
      <c r="A8521" s="31" t="n">
        <v>43090.9583333333</v>
      </c>
      <c r="B8521" s="32" t="n">
        <v>69.266</v>
      </c>
      <c r="D8521" s="33" t="n">
        <f aca="false">WEEKDAY(A8521,2)</f>
        <v>4</v>
      </c>
      <c r="E8521" s="33" t="n">
        <f aca="false">HOUR(A8521)+MINUTE(A8521)/60</f>
        <v>23</v>
      </c>
      <c r="F8521" s="33" t="n">
        <f aca="false">IF(OR(D8521&gt;5,E8521&lt;8,E8521&gt;=18,COUNTIF($K$2:$K$10,INT(A8521))&gt;0),1,0)</f>
        <v>1</v>
      </c>
      <c r="G8521" s="34" t="n">
        <f aca="false">B8521/1</f>
        <v>69.266</v>
      </c>
      <c r="H8521" s="34" t="n">
        <f aca="false">IF(F8521=1,G8521,"")</f>
        <v>69.266</v>
      </c>
    </row>
    <row r="8522" customFormat="false" ht="15" hidden="false" customHeight="false" outlineLevel="0" collapsed="false">
      <c r="A8522" s="31" t="n">
        <v>43091</v>
      </c>
      <c r="B8522" s="32" t="n">
        <v>65.543</v>
      </c>
      <c r="D8522" s="33" t="n">
        <f aca="false">WEEKDAY(A8522,2)</f>
        <v>5</v>
      </c>
      <c r="E8522" s="33" t="n">
        <f aca="false">HOUR(A8522)+MINUTE(A8522)/60</f>
        <v>0</v>
      </c>
      <c r="F8522" s="33" t="n">
        <f aca="false">IF(OR(D8522&gt;5,E8522&lt;8,E8522&gt;=18,COUNTIF($K$2:$K$10,INT(A8522))&gt;0),1,0)</f>
        <v>1</v>
      </c>
      <c r="G8522" s="34" t="n">
        <f aca="false">B8522/1</f>
        <v>65.543</v>
      </c>
      <c r="H8522" s="34" t="n">
        <f aca="false">IF(F8522=1,G8522,"")</f>
        <v>65.543</v>
      </c>
    </row>
    <row r="8523" customFormat="false" ht="15" hidden="false" customHeight="false" outlineLevel="0" collapsed="false">
      <c r="A8523" s="31" t="n">
        <v>43091.0416666667</v>
      </c>
      <c r="B8523" s="32" t="n">
        <v>63.125</v>
      </c>
      <c r="D8523" s="33" t="n">
        <f aca="false">WEEKDAY(A8523,2)</f>
        <v>5</v>
      </c>
      <c r="E8523" s="33" t="n">
        <f aca="false">HOUR(A8523)+MINUTE(A8523)/60</f>
        <v>1</v>
      </c>
      <c r="F8523" s="33" t="n">
        <f aca="false">IF(OR(D8523&gt;5,E8523&lt;8,E8523&gt;=18,COUNTIF($K$2:$K$10,INT(A8523))&gt;0),1,0)</f>
        <v>1</v>
      </c>
      <c r="G8523" s="34" t="n">
        <f aca="false">B8523/1</f>
        <v>63.125</v>
      </c>
      <c r="H8523" s="34" t="n">
        <f aca="false">IF(F8523=1,G8523,"")</f>
        <v>63.125</v>
      </c>
    </row>
    <row r="8524" customFormat="false" ht="15" hidden="false" customHeight="false" outlineLevel="0" collapsed="false">
      <c r="A8524" s="31" t="n">
        <v>43091.0833333333</v>
      </c>
      <c r="B8524" s="32" t="n">
        <v>62.014</v>
      </c>
      <c r="D8524" s="33" t="n">
        <f aca="false">WEEKDAY(A8524,2)</f>
        <v>5</v>
      </c>
      <c r="E8524" s="33" t="n">
        <f aca="false">HOUR(A8524)+MINUTE(A8524)/60</f>
        <v>2</v>
      </c>
      <c r="F8524" s="33" t="n">
        <f aca="false">IF(OR(D8524&gt;5,E8524&lt;8,E8524&gt;=18,COUNTIF($K$2:$K$10,INT(A8524))&gt;0),1,0)</f>
        <v>1</v>
      </c>
      <c r="G8524" s="34" t="n">
        <f aca="false">B8524/1</f>
        <v>62.014</v>
      </c>
      <c r="H8524" s="34" t="n">
        <f aca="false">IF(F8524=1,G8524,"")</f>
        <v>62.014</v>
      </c>
    </row>
    <row r="8525" customFormat="false" ht="15" hidden="false" customHeight="false" outlineLevel="0" collapsed="false">
      <c r="A8525" s="31" t="n">
        <v>43091.125</v>
      </c>
      <c r="B8525" s="32" t="n">
        <v>59.938</v>
      </c>
      <c r="D8525" s="33" t="n">
        <f aca="false">WEEKDAY(A8525,2)</f>
        <v>5</v>
      </c>
      <c r="E8525" s="33" t="n">
        <f aca="false">HOUR(A8525)+MINUTE(A8525)/60</f>
        <v>3</v>
      </c>
      <c r="F8525" s="33" t="n">
        <f aca="false">IF(OR(D8525&gt;5,E8525&lt;8,E8525&gt;=18,COUNTIF($K$2:$K$10,INT(A8525))&gt;0),1,0)</f>
        <v>1</v>
      </c>
      <c r="G8525" s="34" t="n">
        <f aca="false">B8525/1</f>
        <v>59.938</v>
      </c>
      <c r="H8525" s="34" t="n">
        <f aca="false">IF(F8525=1,G8525,"")</f>
        <v>59.938</v>
      </c>
    </row>
    <row r="8526" customFormat="false" ht="15" hidden="false" customHeight="false" outlineLevel="0" collapsed="false">
      <c r="A8526" s="31" t="n">
        <v>43091.1666666667</v>
      </c>
      <c r="B8526" s="32" t="n">
        <v>60.449</v>
      </c>
      <c r="D8526" s="33" t="n">
        <f aca="false">WEEKDAY(A8526,2)</f>
        <v>5</v>
      </c>
      <c r="E8526" s="33" t="n">
        <f aca="false">HOUR(A8526)+MINUTE(A8526)/60</f>
        <v>4</v>
      </c>
      <c r="F8526" s="33" t="n">
        <f aca="false">IF(OR(D8526&gt;5,E8526&lt;8,E8526&gt;=18,COUNTIF($K$2:$K$10,INT(A8526))&gt;0),1,0)</f>
        <v>1</v>
      </c>
      <c r="G8526" s="34" t="n">
        <f aca="false">B8526/1</f>
        <v>60.449</v>
      </c>
      <c r="H8526" s="34" t="n">
        <f aca="false">IF(F8526=1,G8526,"")</f>
        <v>60.449</v>
      </c>
    </row>
    <row r="8527" customFormat="false" ht="15" hidden="false" customHeight="false" outlineLevel="0" collapsed="false">
      <c r="A8527" s="31" t="n">
        <v>43091.2083333333</v>
      </c>
      <c r="B8527" s="32" t="n">
        <v>60.779</v>
      </c>
      <c r="D8527" s="33" t="n">
        <f aca="false">WEEKDAY(A8527,2)</f>
        <v>5</v>
      </c>
      <c r="E8527" s="33" t="n">
        <f aca="false">HOUR(A8527)+MINUTE(A8527)/60</f>
        <v>5</v>
      </c>
      <c r="F8527" s="33" t="n">
        <f aca="false">IF(OR(D8527&gt;5,E8527&lt;8,E8527&gt;=18,COUNTIF($K$2:$K$10,INT(A8527))&gt;0),1,0)</f>
        <v>1</v>
      </c>
      <c r="G8527" s="34" t="n">
        <f aca="false">B8527/1</f>
        <v>60.779</v>
      </c>
      <c r="H8527" s="34" t="n">
        <f aca="false">IF(F8527=1,G8527,"")</f>
        <v>60.779</v>
      </c>
    </row>
    <row r="8528" customFormat="false" ht="15" hidden="false" customHeight="false" outlineLevel="0" collapsed="false">
      <c r="A8528" s="31" t="n">
        <v>43091.25</v>
      </c>
      <c r="B8528" s="32" t="n">
        <v>62.755</v>
      </c>
      <c r="D8528" s="33" t="n">
        <f aca="false">WEEKDAY(A8528,2)</f>
        <v>5</v>
      </c>
      <c r="E8528" s="33" t="n">
        <f aca="false">HOUR(A8528)+MINUTE(A8528)/60</f>
        <v>6</v>
      </c>
      <c r="F8528" s="33" t="n">
        <f aca="false">IF(OR(D8528&gt;5,E8528&lt;8,E8528&gt;=18,COUNTIF($K$2:$K$10,INT(A8528))&gt;0),1,0)</f>
        <v>1</v>
      </c>
      <c r="G8528" s="34" t="n">
        <f aca="false">B8528/1</f>
        <v>62.755</v>
      </c>
      <c r="H8528" s="34" t="n">
        <f aca="false">IF(F8528=1,G8528,"")</f>
        <v>62.755</v>
      </c>
    </row>
    <row r="8529" customFormat="false" ht="15" hidden="false" customHeight="false" outlineLevel="0" collapsed="false">
      <c r="A8529" s="31" t="n">
        <v>43091.2916666667</v>
      </c>
      <c r="B8529" s="32" t="n">
        <v>65.923</v>
      </c>
      <c r="D8529" s="33" t="n">
        <f aca="false">WEEKDAY(A8529,2)</f>
        <v>5</v>
      </c>
      <c r="E8529" s="33" t="n">
        <f aca="false">HOUR(A8529)+MINUTE(A8529)/60</f>
        <v>7</v>
      </c>
      <c r="F8529" s="33" t="n">
        <f aca="false">IF(OR(D8529&gt;5,E8529&lt;8,E8529&gt;=18,COUNTIF($K$2:$K$10,INT(A8529))&gt;0),1,0)</f>
        <v>1</v>
      </c>
      <c r="G8529" s="34" t="n">
        <f aca="false">B8529/1</f>
        <v>65.923</v>
      </c>
      <c r="H8529" s="34" t="n">
        <f aca="false">IF(F8529=1,G8529,"")</f>
        <v>65.923</v>
      </c>
    </row>
    <row r="8530" customFormat="false" ht="15" hidden="false" customHeight="false" outlineLevel="0" collapsed="false">
      <c r="A8530" s="31" t="n">
        <v>43091.3333333333</v>
      </c>
      <c r="B8530" s="32" t="n">
        <v>165.698</v>
      </c>
      <c r="D8530" s="33" t="n">
        <f aca="false">WEEKDAY(A8530,2)</f>
        <v>5</v>
      </c>
      <c r="E8530" s="33" t="n">
        <f aca="false">HOUR(A8530)+MINUTE(A8530)/60</f>
        <v>8</v>
      </c>
      <c r="F8530" s="33" t="n">
        <f aca="false">IF(OR(D8530&gt;5,E8530&lt;8,E8530&gt;=18,COUNTIF($K$2:$K$10,INT(A8530))&gt;0),1,0)</f>
        <v>0</v>
      </c>
      <c r="G8530" s="34" t="n">
        <f aca="false">B8530/1</f>
        <v>165.698</v>
      </c>
      <c r="H8530" s="34" t="str">
        <f aca="false">IF(F8530=1,G8530,"")</f>
        <v/>
      </c>
    </row>
    <row r="8531" customFormat="false" ht="15" hidden="false" customHeight="false" outlineLevel="0" collapsed="false">
      <c r="A8531" s="31" t="n">
        <v>43091.375</v>
      </c>
      <c r="B8531" s="32" t="n">
        <v>174.164</v>
      </c>
      <c r="D8531" s="33" t="n">
        <f aca="false">WEEKDAY(A8531,2)</f>
        <v>5</v>
      </c>
      <c r="E8531" s="33" t="n">
        <f aca="false">HOUR(A8531)+MINUTE(A8531)/60</f>
        <v>9</v>
      </c>
      <c r="F8531" s="33" t="n">
        <f aca="false">IF(OR(D8531&gt;5,E8531&lt;8,E8531&gt;=18,COUNTIF($K$2:$K$10,INT(A8531))&gt;0),1,0)</f>
        <v>0</v>
      </c>
      <c r="G8531" s="34" t="n">
        <f aca="false">B8531/1</f>
        <v>174.164</v>
      </c>
      <c r="H8531" s="34" t="str">
        <f aca="false">IF(F8531=1,G8531,"")</f>
        <v/>
      </c>
    </row>
    <row r="8532" customFormat="false" ht="15" hidden="false" customHeight="false" outlineLevel="0" collapsed="false">
      <c r="A8532" s="31" t="n">
        <v>43091.4166666667</v>
      </c>
      <c r="B8532" s="32" t="n">
        <v>188.032</v>
      </c>
      <c r="D8532" s="33" t="n">
        <f aca="false">WEEKDAY(A8532,2)</f>
        <v>5</v>
      </c>
      <c r="E8532" s="33" t="n">
        <f aca="false">HOUR(A8532)+MINUTE(A8532)/60</f>
        <v>10</v>
      </c>
      <c r="F8532" s="33" t="n">
        <f aca="false">IF(OR(D8532&gt;5,E8532&lt;8,E8532&gt;=18,COUNTIF($K$2:$K$10,INT(A8532))&gt;0),1,0)</f>
        <v>0</v>
      </c>
      <c r="G8532" s="34" t="n">
        <f aca="false">B8532/1</f>
        <v>188.032</v>
      </c>
      <c r="H8532" s="34" t="str">
        <f aca="false">IF(F8532=1,G8532,"")</f>
        <v/>
      </c>
    </row>
    <row r="8533" customFormat="false" ht="15" hidden="false" customHeight="false" outlineLevel="0" collapsed="false">
      <c r="A8533" s="31" t="n">
        <v>43091.4583333333</v>
      </c>
      <c r="B8533" s="32" t="n">
        <v>193.986</v>
      </c>
      <c r="D8533" s="33" t="n">
        <f aca="false">WEEKDAY(A8533,2)</f>
        <v>5</v>
      </c>
      <c r="E8533" s="33" t="n">
        <f aca="false">HOUR(A8533)+MINUTE(A8533)/60</f>
        <v>11</v>
      </c>
      <c r="F8533" s="33" t="n">
        <f aca="false">IF(OR(D8533&gt;5,E8533&lt;8,E8533&gt;=18,COUNTIF($K$2:$K$10,INT(A8533))&gt;0),1,0)</f>
        <v>0</v>
      </c>
      <c r="G8533" s="34" t="n">
        <f aca="false">B8533/1</f>
        <v>193.986</v>
      </c>
      <c r="H8533" s="34" t="str">
        <f aca="false">IF(F8533=1,G8533,"")</f>
        <v/>
      </c>
    </row>
    <row r="8534" customFormat="false" ht="15" hidden="false" customHeight="false" outlineLevel="0" collapsed="false">
      <c r="A8534" s="31" t="n">
        <v>43091.5</v>
      </c>
      <c r="B8534" s="32" t="n">
        <v>194.273</v>
      </c>
      <c r="D8534" s="33" t="n">
        <f aca="false">WEEKDAY(A8534,2)</f>
        <v>5</v>
      </c>
      <c r="E8534" s="33" t="n">
        <f aca="false">HOUR(A8534)+MINUTE(A8534)/60</f>
        <v>12</v>
      </c>
      <c r="F8534" s="33" t="n">
        <f aca="false">IF(OR(D8534&gt;5,E8534&lt;8,E8534&gt;=18,COUNTIF($K$2:$K$10,INT(A8534))&gt;0),1,0)</f>
        <v>0</v>
      </c>
      <c r="G8534" s="34" t="n">
        <f aca="false">B8534/1</f>
        <v>194.273</v>
      </c>
      <c r="H8534" s="34" t="str">
        <f aca="false">IF(F8534=1,G8534,"")</f>
        <v/>
      </c>
    </row>
    <row r="8535" customFormat="false" ht="15" hidden="false" customHeight="false" outlineLevel="0" collapsed="false">
      <c r="A8535" s="31" t="n">
        <v>43091.5416666667</v>
      </c>
      <c r="B8535" s="32" t="n">
        <v>192.354</v>
      </c>
      <c r="D8535" s="33" t="n">
        <f aca="false">WEEKDAY(A8535,2)</f>
        <v>5</v>
      </c>
      <c r="E8535" s="33" t="n">
        <f aca="false">HOUR(A8535)+MINUTE(A8535)/60</f>
        <v>13</v>
      </c>
      <c r="F8535" s="33" t="n">
        <f aca="false">IF(OR(D8535&gt;5,E8535&lt;8,E8535&gt;=18,COUNTIF($K$2:$K$10,INT(A8535))&gt;0),1,0)</f>
        <v>0</v>
      </c>
      <c r="G8535" s="34" t="n">
        <f aca="false">B8535/1</f>
        <v>192.354</v>
      </c>
      <c r="H8535" s="34" t="str">
        <f aca="false">IF(F8535=1,G8535,"")</f>
        <v/>
      </c>
    </row>
    <row r="8536" customFormat="false" ht="15" hidden="false" customHeight="false" outlineLevel="0" collapsed="false">
      <c r="A8536" s="31" t="n">
        <v>43091.5833333333</v>
      </c>
      <c r="B8536" s="32" t="n">
        <v>190.639</v>
      </c>
      <c r="D8536" s="33" t="n">
        <f aca="false">WEEKDAY(A8536,2)</f>
        <v>5</v>
      </c>
      <c r="E8536" s="33" t="n">
        <f aca="false">HOUR(A8536)+MINUTE(A8536)/60</f>
        <v>14</v>
      </c>
      <c r="F8536" s="33" t="n">
        <f aca="false">IF(OR(D8536&gt;5,E8536&lt;8,E8536&gt;=18,COUNTIF($K$2:$K$10,INT(A8536))&gt;0),1,0)</f>
        <v>0</v>
      </c>
      <c r="G8536" s="34" t="n">
        <f aca="false">B8536/1</f>
        <v>190.639</v>
      </c>
      <c r="H8536" s="34" t="str">
        <f aca="false">IF(F8536=1,G8536,"")</f>
        <v/>
      </c>
    </row>
    <row r="8537" customFormat="false" ht="15" hidden="false" customHeight="false" outlineLevel="0" collapsed="false">
      <c r="A8537" s="31" t="n">
        <v>43091.625</v>
      </c>
      <c r="B8537" s="32" t="n">
        <v>191.682</v>
      </c>
      <c r="D8537" s="33" t="n">
        <f aca="false">WEEKDAY(A8537,2)</f>
        <v>5</v>
      </c>
      <c r="E8537" s="33" t="n">
        <f aca="false">HOUR(A8537)+MINUTE(A8537)/60</f>
        <v>15</v>
      </c>
      <c r="F8537" s="33" t="n">
        <f aca="false">IF(OR(D8537&gt;5,E8537&lt;8,E8537&gt;=18,COUNTIF($K$2:$K$10,INT(A8537))&gt;0),1,0)</f>
        <v>0</v>
      </c>
      <c r="G8537" s="34" t="n">
        <f aca="false">B8537/1</f>
        <v>191.682</v>
      </c>
      <c r="H8537" s="34" t="str">
        <f aca="false">IF(F8537=1,G8537,"")</f>
        <v/>
      </c>
    </row>
    <row r="8538" customFormat="false" ht="15" hidden="false" customHeight="false" outlineLevel="0" collapsed="false">
      <c r="A8538" s="31" t="n">
        <v>43091.6666666667</v>
      </c>
      <c r="B8538" s="32" t="n">
        <v>182.834</v>
      </c>
      <c r="D8538" s="33" t="n">
        <f aca="false">WEEKDAY(A8538,2)</f>
        <v>5</v>
      </c>
      <c r="E8538" s="33" t="n">
        <f aca="false">HOUR(A8538)+MINUTE(A8538)/60</f>
        <v>16</v>
      </c>
      <c r="F8538" s="33" t="n">
        <f aca="false">IF(OR(D8538&gt;5,E8538&lt;8,E8538&gt;=18,COUNTIF($K$2:$K$10,INT(A8538))&gt;0),1,0)</f>
        <v>0</v>
      </c>
      <c r="G8538" s="34" t="n">
        <f aca="false">B8538/1</f>
        <v>182.834</v>
      </c>
      <c r="H8538" s="34" t="str">
        <f aca="false">IF(F8538=1,G8538,"")</f>
        <v/>
      </c>
    </row>
    <row r="8539" customFormat="false" ht="15" hidden="false" customHeight="false" outlineLevel="0" collapsed="false">
      <c r="A8539" s="31" t="n">
        <v>43091.7083333333</v>
      </c>
      <c r="B8539" s="32" t="n">
        <v>178.86</v>
      </c>
      <c r="D8539" s="33" t="n">
        <f aca="false">WEEKDAY(A8539,2)</f>
        <v>5</v>
      </c>
      <c r="E8539" s="33" t="n">
        <f aca="false">HOUR(A8539)+MINUTE(A8539)/60</f>
        <v>17</v>
      </c>
      <c r="F8539" s="33" t="n">
        <f aca="false">IF(OR(D8539&gt;5,E8539&lt;8,E8539&gt;=18,COUNTIF($K$2:$K$10,INT(A8539))&gt;0),1,0)</f>
        <v>0</v>
      </c>
      <c r="G8539" s="34" t="n">
        <f aca="false">B8539/1</f>
        <v>178.86</v>
      </c>
      <c r="H8539" s="34" t="str">
        <f aca="false">IF(F8539=1,G8539,"")</f>
        <v/>
      </c>
    </row>
    <row r="8540" customFormat="false" ht="15" hidden="false" customHeight="false" outlineLevel="0" collapsed="false">
      <c r="A8540" s="31" t="n">
        <v>43091.75</v>
      </c>
      <c r="B8540" s="32" t="n">
        <v>174.952</v>
      </c>
      <c r="D8540" s="33" t="n">
        <f aca="false">WEEKDAY(A8540,2)</f>
        <v>5</v>
      </c>
      <c r="E8540" s="33" t="n">
        <f aca="false">HOUR(A8540)+MINUTE(A8540)/60</f>
        <v>18</v>
      </c>
      <c r="F8540" s="33" t="n">
        <f aca="false">IF(OR(D8540&gt;5,E8540&lt;8,E8540&gt;=18,COUNTIF($K$2:$K$10,INT(A8540))&gt;0),1,0)</f>
        <v>1</v>
      </c>
      <c r="G8540" s="34" t="n">
        <f aca="false">B8540/1</f>
        <v>174.952</v>
      </c>
      <c r="H8540" s="34" t="n">
        <f aca="false">IF(F8540=1,G8540,"")</f>
        <v>174.952</v>
      </c>
    </row>
    <row r="8541" customFormat="false" ht="15" hidden="false" customHeight="false" outlineLevel="0" collapsed="false">
      <c r="A8541" s="31" t="n">
        <v>43091.7916666667</v>
      </c>
      <c r="B8541" s="32" t="n">
        <v>169.494</v>
      </c>
      <c r="D8541" s="33" t="n">
        <f aca="false">WEEKDAY(A8541,2)</f>
        <v>5</v>
      </c>
      <c r="E8541" s="33" t="n">
        <f aca="false">HOUR(A8541)+MINUTE(A8541)/60</f>
        <v>19</v>
      </c>
      <c r="F8541" s="33" t="n">
        <f aca="false">IF(OR(D8541&gt;5,E8541&lt;8,E8541&gt;=18,COUNTIF($K$2:$K$10,INT(A8541))&gt;0),1,0)</f>
        <v>1</v>
      </c>
      <c r="G8541" s="34" t="n">
        <f aca="false">B8541/1</f>
        <v>169.494</v>
      </c>
      <c r="H8541" s="34" t="n">
        <f aca="false">IF(F8541=1,G8541,"")</f>
        <v>169.494</v>
      </c>
    </row>
    <row r="8542" customFormat="false" ht="15" hidden="false" customHeight="false" outlineLevel="0" collapsed="false">
      <c r="A8542" s="31" t="n">
        <v>43091.8333333333</v>
      </c>
      <c r="B8542" s="32" t="n">
        <v>169.79</v>
      </c>
      <c r="D8542" s="33" t="n">
        <f aca="false">WEEKDAY(A8542,2)</f>
        <v>5</v>
      </c>
      <c r="E8542" s="33" t="n">
        <f aca="false">HOUR(A8542)+MINUTE(A8542)/60</f>
        <v>20</v>
      </c>
      <c r="F8542" s="33" t="n">
        <f aca="false">IF(OR(D8542&gt;5,E8542&lt;8,E8542&gt;=18,COUNTIF($K$2:$K$10,INT(A8542))&gt;0),1,0)</f>
        <v>1</v>
      </c>
      <c r="G8542" s="34" t="n">
        <f aca="false">B8542/1</f>
        <v>169.79</v>
      </c>
      <c r="H8542" s="34" t="n">
        <f aca="false">IF(F8542=1,G8542,"")</f>
        <v>169.79</v>
      </c>
    </row>
    <row r="8543" customFormat="false" ht="15" hidden="false" customHeight="false" outlineLevel="0" collapsed="false">
      <c r="A8543" s="31" t="n">
        <v>43091.875</v>
      </c>
      <c r="B8543" s="32" t="n">
        <v>166.768</v>
      </c>
      <c r="D8543" s="33" t="n">
        <f aca="false">WEEKDAY(A8543,2)</f>
        <v>5</v>
      </c>
      <c r="E8543" s="33" t="n">
        <f aca="false">HOUR(A8543)+MINUTE(A8543)/60</f>
        <v>21</v>
      </c>
      <c r="F8543" s="33" t="n">
        <f aca="false">IF(OR(D8543&gt;5,E8543&lt;8,E8543&gt;=18,COUNTIF($K$2:$K$10,INT(A8543))&gt;0),1,0)</f>
        <v>1</v>
      </c>
      <c r="G8543" s="34" t="n">
        <f aca="false">B8543/1</f>
        <v>166.768</v>
      </c>
      <c r="H8543" s="34" t="n">
        <f aca="false">IF(F8543=1,G8543,"")</f>
        <v>166.768</v>
      </c>
    </row>
    <row r="8544" customFormat="false" ht="15" hidden="false" customHeight="false" outlineLevel="0" collapsed="false">
      <c r="A8544" s="31" t="n">
        <v>43091.9166666667</v>
      </c>
      <c r="B8544" s="32" t="n">
        <v>125.824</v>
      </c>
      <c r="D8544" s="33" t="n">
        <f aca="false">WEEKDAY(A8544,2)</f>
        <v>5</v>
      </c>
      <c r="E8544" s="33" t="n">
        <f aca="false">HOUR(A8544)+MINUTE(A8544)/60</f>
        <v>22</v>
      </c>
      <c r="F8544" s="33" t="n">
        <f aca="false">IF(OR(D8544&gt;5,E8544&lt;8,E8544&gt;=18,COUNTIF($K$2:$K$10,INT(A8544))&gt;0),1,0)</f>
        <v>1</v>
      </c>
      <c r="G8544" s="34" t="n">
        <f aca="false">B8544/1</f>
        <v>125.824</v>
      </c>
      <c r="H8544" s="34" t="n">
        <f aca="false">IF(F8544=1,G8544,"")</f>
        <v>125.824</v>
      </c>
    </row>
    <row r="8545" customFormat="false" ht="15" hidden="false" customHeight="false" outlineLevel="0" collapsed="false">
      <c r="A8545" s="31" t="n">
        <v>43091.9583333333</v>
      </c>
      <c r="B8545" s="32" t="n">
        <v>69.835</v>
      </c>
      <c r="D8545" s="33" t="n">
        <f aca="false">WEEKDAY(A8545,2)</f>
        <v>5</v>
      </c>
      <c r="E8545" s="33" t="n">
        <f aca="false">HOUR(A8545)+MINUTE(A8545)/60</f>
        <v>23</v>
      </c>
      <c r="F8545" s="33" t="n">
        <f aca="false">IF(OR(D8545&gt;5,E8545&lt;8,E8545&gt;=18,COUNTIF($K$2:$K$10,INT(A8545))&gt;0),1,0)</f>
        <v>1</v>
      </c>
      <c r="G8545" s="34" t="n">
        <f aca="false">B8545/1</f>
        <v>69.835</v>
      </c>
      <c r="H8545" s="34" t="n">
        <f aca="false">IF(F8545=1,G8545,"")</f>
        <v>69.835</v>
      </c>
    </row>
    <row r="8546" customFormat="false" ht="15" hidden="false" customHeight="false" outlineLevel="0" collapsed="false">
      <c r="A8546" s="31" t="n">
        <v>43092</v>
      </c>
      <c r="B8546" s="32" t="n">
        <v>64.48</v>
      </c>
      <c r="D8546" s="33" t="n">
        <f aca="false">WEEKDAY(A8546,2)</f>
        <v>6</v>
      </c>
      <c r="E8546" s="33" t="n">
        <f aca="false">HOUR(A8546)+MINUTE(A8546)/60</f>
        <v>0</v>
      </c>
      <c r="F8546" s="33" t="n">
        <f aca="false">IF(OR(D8546&gt;5,E8546&lt;8,E8546&gt;=18,COUNTIF($K$2:$K$10,INT(A8546))&gt;0),1,0)</f>
        <v>1</v>
      </c>
      <c r="G8546" s="34" t="n">
        <f aca="false">B8546/1</f>
        <v>64.48</v>
      </c>
      <c r="H8546" s="34" t="n">
        <f aca="false">IF(F8546=1,G8546,"")</f>
        <v>64.48</v>
      </c>
    </row>
    <row r="8547" customFormat="false" ht="15" hidden="false" customHeight="false" outlineLevel="0" collapsed="false">
      <c r="A8547" s="31" t="n">
        <v>43092.0416666667</v>
      </c>
      <c r="B8547" s="32" t="n">
        <v>62.228</v>
      </c>
      <c r="D8547" s="33" t="n">
        <f aca="false">WEEKDAY(A8547,2)</f>
        <v>6</v>
      </c>
      <c r="E8547" s="33" t="n">
        <f aca="false">HOUR(A8547)+MINUTE(A8547)/60</f>
        <v>1</v>
      </c>
      <c r="F8547" s="33" t="n">
        <f aca="false">IF(OR(D8547&gt;5,E8547&lt;8,E8547&gt;=18,COUNTIF($K$2:$K$10,INT(A8547))&gt;0),1,0)</f>
        <v>1</v>
      </c>
      <c r="G8547" s="34" t="n">
        <f aca="false">B8547/1</f>
        <v>62.228</v>
      </c>
      <c r="H8547" s="34" t="n">
        <f aca="false">IF(F8547=1,G8547,"")</f>
        <v>62.228</v>
      </c>
    </row>
    <row r="8548" customFormat="false" ht="15" hidden="false" customHeight="false" outlineLevel="0" collapsed="false">
      <c r="A8548" s="31" t="n">
        <v>43092.0833333333</v>
      </c>
      <c r="B8548" s="32" t="n">
        <v>62.382</v>
      </c>
      <c r="D8548" s="33" t="n">
        <f aca="false">WEEKDAY(A8548,2)</f>
        <v>6</v>
      </c>
      <c r="E8548" s="33" t="n">
        <f aca="false">HOUR(A8548)+MINUTE(A8548)/60</f>
        <v>2</v>
      </c>
      <c r="F8548" s="33" t="n">
        <f aca="false">IF(OR(D8548&gt;5,E8548&lt;8,E8548&gt;=18,COUNTIF($K$2:$K$10,INT(A8548))&gt;0),1,0)</f>
        <v>1</v>
      </c>
      <c r="G8548" s="34" t="n">
        <f aca="false">B8548/1</f>
        <v>62.382</v>
      </c>
      <c r="H8548" s="34" t="n">
        <f aca="false">IF(F8548=1,G8548,"")</f>
        <v>62.382</v>
      </c>
    </row>
    <row r="8549" customFormat="false" ht="15" hidden="false" customHeight="false" outlineLevel="0" collapsed="false">
      <c r="A8549" s="31" t="n">
        <v>43092.125</v>
      </c>
      <c r="B8549" s="32" t="n">
        <v>62.579</v>
      </c>
      <c r="D8549" s="33" t="n">
        <f aca="false">WEEKDAY(A8549,2)</f>
        <v>6</v>
      </c>
      <c r="E8549" s="33" t="n">
        <f aca="false">HOUR(A8549)+MINUTE(A8549)/60</f>
        <v>3</v>
      </c>
      <c r="F8549" s="33" t="n">
        <f aca="false">IF(OR(D8549&gt;5,E8549&lt;8,E8549&gt;=18,COUNTIF($K$2:$K$10,INT(A8549))&gt;0),1,0)</f>
        <v>1</v>
      </c>
      <c r="G8549" s="34" t="n">
        <f aca="false">B8549/1</f>
        <v>62.579</v>
      </c>
      <c r="H8549" s="34" t="n">
        <f aca="false">IF(F8549=1,G8549,"")</f>
        <v>62.579</v>
      </c>
    </row>
    <row r="8550" customFormat="false" ht="15" hidden="false" customHeight="false" outlineLevel="0" collapsed="false">
      <c r="A8550" s="31" t="n">
        <v>43092.1666666667</v>
      </c>
      <c r="B8550" s="32" t="n">
        <v>60.063</v>
      </c>
      <c r="D8550" s="33" t="n">
        <f aca="false">WEEKDAY(A8550,2)</f>
        <v>6</v>
      </c>
      <c r="E8550" s="33" t="n">
        <f aca="false">HOUR(A8550)+MINUTE(A8550)/60</f>
        <v>4</v>
      </c>
      <c r="F8550" s="33" t="n">
        <f aca="false">IF(OR(D8550&gt;5,E8550&lt;8,E8550&gt;=18,COUNTIF($K$2:$K$10,INT(A8550))&gt;0),1,0)</f>
        <v>1</v>
      </c>
      <c r="G8550" s="34" t="n">
        <f aca="false">B8550/1</f>
        <v>60.063</v>
      </c>
      <c r="H8550" s="34" t="n">
        <f aca="false">IF(F8550=1,G8550,"")</f>
        <v>60.063</v>
      </c>
    </row>
    <row r="8551" customFormat="false" ht="15" hidden="false" customHeight="false" outlineLevel="0" collapsed="false">
      <c r="A8551" s="31" t="n">
        <v>43092.2083333333</v>
      </c>
      <c r="B8551" s="32" t="n">
        <v>62.061</v>
      </c>
      <c r="D8551" s="33" t="n">
        <f aca="false">WEEKDAY(A8551,2)</f>
        <v>6</v>
      </c>
      <c r="E8551" s="33" t="n">
        <f aca="false">HOUR(A8551)+MINUTE(A8551)/60</f>
        <v>5</v>
      </c>
      <c r="F8551" s="33" t="n">
        <f aca="false">IF(OR(D8551&gt;5,E8551&lt;8,E8551&gt;=18,COUNTIF($K$2:$K$10,INT(A8551))&gt;0),1,0)</f>
        <v>1</v>
      </c>
      <c r="G8551" s="34" t="n">
        <f aca="false">B8551/1</f>
        <v>62.061</v>
      </c>
      <c r="H8551" s="34" t="n">
        <f aca="false">IF(F8551=1,G8551,"")</f>
        <v>62.061</v>
      </c>
    </row>
    <row r="8552" customFormat="false" ht="15" hidden="false" customHeight="false" outlineLevel="0" collapsed="false">
      <c r="A8552" s="31" t="n">
        <v>43092.25</v>
      </c>
      <c r="B8552" s="32" t="n">
        <v>61.804</v>
      </c>
      <c r="D8552" s="33" t="n">
        <f aca="false">WEEKDAY(A8552,2)</f>
        <v>6</v>
      </c>
      <c r="E8552" s="33" t="n">
        <f aca="false">HOUR(A8552)+MINUTE(A8552)/60</f>
        <v>6</v>
      </c>
      <c r="F8552" s="33" t="n">
        <f aca="false">IF(OR(D8552&gt;5,E8552&lt;8,E8552&gt;=18,COUNTIF($K$2:$K$10,INT(A8552))&gt;0),1,0)</f>
        <v>1</v>
      </c>
      <c r="G8552" s="34" t="n">
        <f aca="false">B8552/1</f>
        <v>61.804</v>
      </c>
      <c r="H8552" s="34" t="n">
        <f aca="false">IF(F8552=1,G8552,"")</f>
        <v>61.804</v>
      </c>
    </row>
    <row r="8553" customFormat="false" ht="15" hidden="false" customHeight="false" outlineLevel="0" collapsed="false">
      <c r="A8553" s="31" t="n">
        <v>43092.2916666667</v>
      </c>
      <c r="B8553" s="32" t="n">
        <v>64.923</v>
      </c>
      <c r="D8553" s="33" t="n">
        <f aca="false">WEEKDAY(A8553,2)</f>
        <v>6</v>
      </c>
      <c r="E8553" s="33" t="n">
        <f aca="false">HOUR(A8553)+MINUTE(A8553)/60</f>
        <v>7</v>
      </c>
      <c r="F8553" s="33" t="n">
        <f aca="false">IF(OR(D8553&gt;5,E8553&lt;8,E8553&gt;=18,COUNTIF($K$2:$K$10,INT(A8553))&gt;0),1,0)</f>
        <v>1</v>
      </c>
      <c r="G8553" s="34" t="n">
        <f aca="false">B8553/1</f>
        <v>64.923</v>
      </c>
      <c r="H8553" s="34" t="n">
        <f aca="false">IF(F8553=1,G8553,"")</f>
        <v>64.923</v>
      </c>
    </row>
    <row r="8554" customFormat="false" ht="15" hidden="false" customHeight="false" outlineLevel="0" collapsed="false">
      <c r="A8554" s="31" t="n">
        <v>43092.3333333333</v>
      </c>
      <c r="B8554" s="32" t="n">
        <v>118.87</v>
      </c>
      <c r="D8554" s="33" t="n">
        <f aca="false">WEEKDAY(A8554,2)</f>
        <v>6</v>
      </c>
      <c r="E8554" s="33" t="n">
        <f aca="false">HOUR(A8554)+MINUTE(A8554)/60</f>
        <v>8</v>
      </c>
      <c r="F8554" s="33" t="n">
        <f aca="false">IF(OR(D8554&gt;5,E8554&lt;8,E8554&gt;=18,COUNTIF($K$2:$K$10,INT(A8554))&gt;0),1,0)</f>
        <v>1</v>
      </c>
      <c r="G8554" s="34" t="n">
        <f aca="false">B8554/1</f>
        <v>118.87</v>
      </c>
      <c r="H8554" s="34" t="n">
        <f aca="false">IF(F8554=1,G8554,"")</f>
        <v>118.87</v>
      </c>
    </row>
    <row r="8555" customFormat="false" ht="15" hidden="false" customHeight="false" outlineLevel="0" collapsed="false">
      <c r="A8555" s="31" t="n">
        <v>43092.375</v>
      </c>
      <c r="B8555" s="32" t="n">
        <v>160.043</v>
      </c>
      <c r="D8555" s="33" t="n">
        <f aca="false">WEEKDAY(A8555,2)</f>
        <v>6</v>
      </c>
      <c r="E8555" s="33" t="n">
        <f aca="false">HOUR(A8555)+MINUTE(A8555)/60</f>
        <v>9</v>
      </c>
      <c r="F8555" s="33" t="n">
        <f aca="false">IF(OR(D8555&gt;5,E8555&lt;8,E8555&gt;=18,COUNTIF($K$2:$K$10,INT(A8555))&gt;0),1,0)</f>
        <v>1</v>
      </c>
      <c r="G8555" s="34" t="n">
        <f aca="false">B8555/1</f>
        <v>160.043</v>
      </c>
      <c r="H8555" s="34" t="n">
        <f aca="false">IF(F8555=1,G8555,"")</f>
        <v>160.043</v>
      </c>
    </row>
    <row r="8556" customFormat="false" ht="15" hidden="false" customHeight="false" outlineLevel="0" collapsed="false">
      <c r="A8556" s="31" t="n">
        <v>43092.4166666667</v>
      </c>
      <c r="B8556" s="32" t="n">
        <v>160.933</v>
      </c>
      <c r="D8556" s="33" t="n">
        <f aca="false">WEEKDAY(A8556,2)</f>
        <v>6</v>
      </c>
      <c r="E8556" s="33" t="n">
        <f aca="false">HOUR(A8556)+MINUTE(A8556)/60</f>
        <v>10</v>
      </c>
      <c r="F8556" s="33" t="n">
        <f aca="false">IF(OR(D8556&gt;5,E8556&lt;8,E8556&gt;=18,COUNTIF($K$2:$K$10,INT(A8556))&gt;0),1,0)</f>
        <v>1</v>
      </c>
      <c r="G8556" s="34" t="n">
        <f aca="false">B8556/1</f>
        <v>160.933</v>
      </c>
      <c r="H8556" s="34" t="n">
        <f aca="false">IF(F8556=1,G8556,"")</f>
        <v>160.933</v>
      </c>
    </row>
    <row r="8557" customFormat="false" ht="15" hidden="false" customHeight="false" outlineLevel="0" collapsed="false">
      <c r="A8557" s="31" t="n">
        <v>43092.4583333333</v>
      </c>
      <c r="B8557" s="32" t="n">
        <v>160.433</v>
      </c>
      <c r="D8557" s="33" t="n">
        <f aca="false">WEEKDAY(A8557,2)</f>
        <v>6</v>
      </c>
      <c r="E8557" s="33" t="n">
        <f aca="false">HOUR(A8557)+MINUTE(A8557)/60</f>
        <v>11</v>
      </c>
      <c r="F8557" s="33" t="n">
        <f aca="false">IF(OR(D8557&gt;5,E8557&lt;8,E8557&gt;=18,COUNTIF($K$2:$K$10,INT(A8557))&gt;0),1,0)</f>
        <v>1</v>
      </c>
      <c r="G8557" s="34" t="n">
        <f aca="false">B8557/1</f>
        <v>160.433</v>
      </c>
      <c r="H8557" s="34" t="n">
        <f aca="false">IF(F8557=1,G8557,"")</f>
        <v>160.433</v>
      </c>
    </row>
    <row r="8558" customFormat="false" ht="15" hidden="false" customHeight="false" outlineLevel="0" collapsed="false">
      <c r="A8558" s="31" t="n">
        <v>43092.5</v>
      </c>
      <c r="B8558" s="32" t="n">
        <v>156.98</v>
      </c>
      <c r="D8558" s="33" t="n">
        <f aca="false">WEEKDAY(A8558,2)</f>
        <v>6</v>
      </c>
      <c r="E8558" s="33" t="n">
        <f aca="false">HOUR(A8558)+MINUTE(A8558)/60</f>
        <v>12</v>
      </c>
      <c r="F8558" s="33" t="n">
        <f aca="false">IF(OR(D8558&gt;5,E8558&lt;8,E8558&gt;=18,COUNTIF($K$2:$K$10,INT(A8558))&gt;0),1,0)</f>
        <v>1</v>
      </c>
      <c r="G8558" s="34" t="n">
        <f aca="false">B8558/1</f>
        <v>156.98</v>
      </c>
      <c r="H8558" s="34" t="n">
        <f aca="false">IF(F8558=1,G8558,"")</f>
        <v>156.98</v>
      </c>
    </row>
    <row r="8559" customFormat="false" ht="15" hidden="false" customHeight="false" outlineLevel="0" collapsed="false">
      <c r="A8559" s="31" t="n">
        <v>43092.5416666667</v>
      </c>
      <c r="B8559" s="32" t="n">
        <v>157.317</v>
      </c>
      <c r="D8559" s="33" t="n">
        <f aca="false">WEEKDAY(A8559,2)</f>
        <v>6</v>
      </c>
      <c r="E8559" s="33" t="n">
        <f aca="false">HOUR(A8559)+MINUTE(A8559)/60</f>
        <v>13</v>
      </c>
      <c r="F8559" s="33" t="n">
        <f aca="false">IF(OR(D8559&gt;5,E8559&lt;8,E8559&gt;=18,COUNTIF($K$2:$K$10,INT(A8559))&gt;0),1,0)</f>
        <v>1</v>
      </c>
      <c r="G8559" s="34" t="n">
        <f aca="false">B8559/1</f>
        <v>157.317</v>
      </c>
      <c r="H8559" s="34" t="n">
        <f aca="false">IF(F8559=1,G8559,"")</f>
        <v>157.317</v>
      </c>
    </row>
    <row r="8560" customFormat="false" ht="15" hidden="false" customHeight="false" outlineLevel="0" collapsed="false">
      <c r="A8560" s="31" t="n">
        <v>43092.5833333333</v>
      </c>
      <c r="B8560" s="32" t="n">
        <v>158.973</v>
      </c>
      <c r="D8560" s="33" t="n">
        <f aca="false">WEEKDAY(A8560,2)</f>
        <v>6</v>
      </c>
      <c r="E8560" s="33" t="n">
        <f aca="false">HOUR(A8560)+MINUTE(A8560)/60</f>
        <v>14</v>
      </c>
      <c r="F8560" s="33" t="n">
        <f aca="false">IF(OR(D8560&gt;5,E8560&lt;8,E8560&gt;=18,COUNTIF($K$2:$K$10,INT(A8560))&gt;0),1,0)</f>
        <v>1</v>
      </c>
      <c r="G8560" s="34" t="n">
        <f aca="false">B8560/1</f>
        <v>158.973</v>
      </c>
      <c r="H8560" s="34" t="n">
        <f aca="false">IF(F8560=1,G8560,"")</f>
        <v>158.973</v>
      </c>
    </row>
    <row r="8561" customFormat="false" ht="15" hidden="false" customHeight="false" outlineLevel="0" collapsed="false">
      <c r="A8561" s="31" t="n">
        <v>43092.625</v>
      </c>
      <c r="B8561" s="32" t="n">
        <v>159.955</v>
      </c>
      <c r="D8561" s="33" t="n">
        <f aca="false">WEEKDAY(A8561,2)</f>
        <v>6</v>
      </c>
      <c r="E8561" s="33" t="n">
        <f aca="false">HOUR(A8561)+MINUTE(A8561)/60</f>
        <v>15</v>
      </c>
      <c r="F8561" s="33" t="n">
        <f aca="false">IF(OR(D8561&gt;5,E8561&lt;8,E8561&gt;=18,COUNTIF($K$2:$K$10,INT(A8561))&gt;0),1,0)</f>
        <v>1</v>
      </c>
      <c r="G8561" s="34" t="n">
        <f aca="false">B8561/1</f>
        <v>159.955</v>
      </c>
      <c r="H8561" s="34" t="n">
        <f aca="false">IF(F8561=1,G8561,"")</f>
        <v>159.955</v>
      </c>
    </row>
    <row r="8562" customFormat="false" ht="15" hidden="false" customHeight="false" outlineLevel="0" collapsed="false">
      <c r="A8562" s="31" t="n">
        <v>43092.6666666667</v>
      </c>
      <c r="B8562" s="32" t="n">
        <v>160.514</v>
      </c>
      <c r="D8562" s="33" t="n">
        <f aca="false">WEEKDAY(A8562,2)</f>
        <v>6</v>
      </c>
      <c r="E8562" s="33" t="n">
        <f aca="false">HOUR(A8562)+MINUTE(A8562)/60</f>
        <v>16</v>
      </c>
      <c r="F8562" s="33" t="n">
        <f aca="false">IF(OR(D8562&gt;5,E8562&lt;8,E8562&gt;=18,COUNTIF($K$2:$K$10,INT(A8562))&gt;0),1,0)</f>
        <v>1</v>
      </c>
      <c r="G8562" s="34" t="n">
        <f aca="false">B8562/1</f>
        <v>160.514</v>
      </c>
      <c r="H8562" s="34" t="n">
        <f aca="false">IF(F8562=1,G8562,"")</f>
        <v>160.514</v>
      </c>
    </row>
    <row r="8563" customFormat="false" ht="15" hidden="false" customHeight="false" outlineLevel="0" collapsed="false">
      <c r="A8563" s="31" t="n">
        <v>43092.7083333333</v>
      </c>
      <c r="B8563" s="32" t="n">
        <v>156.66</v>
      </c>
      <c r="D8563" s="33" t="n">
        <f aca="false">WEEKDAY(A8563,2)</f>
        <v>6</v>
      </c>
      <c r="E8563" s="33" t="n">
        <f aca="false">HOUR(A8563)+MINUTE(A8563)/60</f>
        <v>17</v>
      </c>
      <c r="F8563" s="33" t="n">
        <f aca="false">IF(OR(D8563&gt;5,E8563&lt;8,E8563&gt;=18,COUNTIF($K$2:$K$10,INT(A8563))&gt;0),1,0)</f>
        <v>1</v>
      </c>
      <c r="G8563" s="34" t="n">
        <f aca="false">B8563/1</f>
        <v>156.66</v>
      </c>
      <c r="H8563" s="34" t="n">
        <f aca="false">IF(F8563=1,G8563,"")</f>
        <v>156.66</v>
      </c>
    </row>
    <row r="8564" customFormat="false" ht="15" hidden="false" customHeight="false" outlineLevel="0" collapsed="false">
      <c r="A8564" s="31" t="n">
        <v>43092.75</v>
      </c>
      <c r="B8564" s="32" t="n">
        <v>82.969</v>
      </c>
      <c r="D8564" s="33" t="n">
        <f aca="false">WEEKDAY(A8564,2)</f>
        <v>6</v>
      </c>
      <c r="E8564" s="33" t="n">
        <f aca="false">HOUR(A8564)+MINUTE(A8564)/60</f>
        <v>18</v>
      </c>
      <c r="F8564" s="33" t="n">
        <f aca="false">IF(OR(D8564&gt;5,E8564&lt;8,E8564&gt;=18,COUNTIF($K$2:$K$10,INT(A8564))&gt;0),1,0)</f>
        <v>1</v>
      </c>
      <c r="G8564" s="34" t="n">
        <f aca="false">B8564/1</f>
        <v>82.969</v>
      </c>
      <c r="H8564" s="34" t="n">
        <f aca="false">IF(F8564=1,G8564,"")</f>
        <v>82.969</v>
      </c>
    </row>
    <row r="8565" customFormat="false" ht="15" hidden="false" customHeight="false" outlineLevel="0" collapsed="false">
      <c r="A8565" s="31" t="n">
        <v>43092.7916666667</v>
      </c>
      <c r="B8565" s="32" t="n">
        <v>67.563</v>
      </c>
      <c r="D8565" s="33" t="n">
        <f aca="false">WEEKDAY(A8565,2)</f>
        <v>6</v>
      </c>
      <c r="E8565" s="33" t="n">
        <f aca="false">HOUR(A8565)+MINUTE(A8565)/60</f>
        <v>19</v>
      </c>
      <c r="F8565" s="33" t="n">
        <f aca="false">IF(OR(D8565&gt;5,E8565&lt;8,E8565&gt;=18,COUNTIF($K$2:$K$10,INT(A8565))&gt;0),1,0)</f>
        <v>1</v>
      </c>
      <c r="G8565" s="34" t="n">
        <f aca="false">B8565/1</f>
        <v>67.563</v>
      </c>
      <c r="H8565" s="34" t="n">
        <f aca="false">IF(F8565=1,G8565,"")</f>
        <v>67.563</v>
      </c>
    </row>
    <row r="8566" customFormat="false" ht="15" hidden="false" customHeight="false" outlineLevel="0" collapsed="false">
      <c r="A8566" s="31" t="n">
        <v>43092.8333333333</v>
      </c>
      <c r="B8566" s="32" t="n">
        <v>62.27</v>
      </c>
      <c r="D8566" s="33" t="n">
        <f aca="false">WEEKDAY(A8566,2)</f>
        <v>6</v>
      </c>
      <c r="E8566" s="33" t="n">
        <f aca="false">HOUR(A8566)+MINUTE(A8566)/60</f>
        <v>20</v>
      </c>
      <c r="F8566" s="33" t="n">
        <f aca="false">IF(OR(D8566&gt;5,E8566&lt;8,E8566&gt;=18,COUNTIF($K$2:$K$10,INT(A8566))&gt;0),1,0)</f>
        <v>1</v>
      </c>
      <c r="G8566" s="34" t="n">
        <f aca="false">B8566/1</f>
        <v>62.27</v>
      </c>
      <c r="H8566" s="34" t="n">
        <f aca="false">IF(F8566=1,G8566,"")</f>
        <v>62.27</v>
      </c>
    </row>
    <row r="8567" customFormat="false" ht="15" hidden="false" customHeight="false" outlineLevel="0" collapsed="false">
      <c r="A8567" s="31" t="n">
        <v>43092.875</v>
      </c>
      <c r="B8567" s="32" t="n">
        <v>60.975</v>
      </c>
      <c r="D8567" s="33" t="n">
        <f aca="false">WEEKDAY(A8567,2)</f>
        <v>6</v>
      </c>
      <c r="E8567" s="33" t="n">
        <f aca="false">HOUR(A8567)+MINUTE(A8567)/60</f>
        <v>21</v>
      </c>
      <c r="F8567" s="33" t="n">
        <f aca="false">IF(OR(D8567&gt;5,E8567&lt;8,E8567&gt;=18,COUNTIF($K$2:$K$10,INT(A8567))&gt;0),1,0)</f>
        <v>1</v>
      </c>
      <c r="G8567" s="34" t="n">
        <f aca="false">B8567/1</f>
        <v>60.975</v>
      </c>
      <c r="H8567" s="34" t="n">
        <f aca="false">IF(F8567=1,G8567,"")</f>
        <v>60.975</v>
      </c>
    </row>
    <row r="8568" customFormat="false" ht="15" hidden="false" customHeight="false" outlineLevel="0" collapsed="false">
      <c r="A8568" s="31" t="n">
        <v>43092.9166666667</v>
      </c>
      <c r="B8568" s="32" t="n">
        <v>62.418</v>
      </c>
      <c r="D8568" s="33" t="n">
        <f aca="false">WEEKDAY(A8568,2)</f>
        <v>6</v>
      </c>
      <c r="E8568" s="33" t="n">
        <f aca="false">HOUR(A8568)+MINUTE(A8568)/60</f>
        <v>22</v>
      </c>
      <c r="F8568" s="33" t="n">
        <f aca="false">IF(OR(D8568&gt;5,E8568&lt;8,E8568&gt;=18,COUNTIF($K$2:$K$10,INT(A8568))&gt;0),1,0)</f>
        <v>1</v>
      </c>
      <c r="G8568" s="34" t="n">
        <f aca="false">B8568/1</f>
        <v>62.418</v>
      </c>
      <c r="H8568" s="34" t="n">
        <f aca="false">IF(F8568=1,G8568,"")</f>
        <v>62.418</v>
      </c>
    </row>
    <row r="8569" customFormat="false" ht="15" hidden="false" customHeight="false" outlineLevel="0" collapsed="false">
      <c r="A8569" s="31" t="n">
        <v>43092.9583333333</v>
      </c>
      <c r="B8569" s="32" t="n">
        <v>62.313</v>
      </c>
      <c r="D8569" s="33" t="n">
        <f aca="false">WEEKDAY(A8569,2)</f>
        <v>6</v>
      </c>
      <c r="E8569" s="33" t="n">
        <f aca="false">HOUR(A8569)+MINUTE(A8569)/60</f>
        <v>23</v>
      </c>
      <c r="F8569" s="33" t="n">
        <f aca="false">IF(OR(D8569&gt;5,E8569&lt;8,E8569&gt;=18,COUNTIF($K$2:$K$10,INT(A8569))&gt;0),1,0)</f>
        <v>1</v>
      </c>
      <c r="G8569" s="34" t="n">
        <f aca="false">B8569/1</f>
        <v>62.313</v>
      </c>
      <c r="H8569" s="34" t="n">
        <f aca="false">IF(F8569=1,G8569,"")</f>
        <v>62.313</v>
      </c>
    </row>
    <row r="8570" customFormat="false" ht="15" hidden="false" customHeight="false" outlineLevel="0" collapsed="false">
      <c r="A8570" s="31" t="n">
        <v>43093</v>
      </c>
      <c r="B8570" s="32" t="n">
        <v>61.82</v>
      </c>
      <c r="D8570" s="33" t="n">
        <f aca="false">WEEKDAY(A8570,2)</f>
        <v>7</v>
      </c>
      <c r="E8570" s="33" t="n">
        <f aca="false">HOUR(A8570)+MINUTE(A8570)/60</f>
        <v>0</v>
      </c>
      <c r="F8570" s="33" t="n">
        <f aca="false">IF(OR(D8570&gt;5,E8570&lt;8,E8570&gt;=18,COUNTIF($K$2:$K$10,INT(A8570))&gt;0),1,0)</f>
        <v>1</v>
      </c>
      <c r="G8570" s="34" t="n">
        <f aca="false">B8570/1</f>
        <v>61.82</v>
      </c>
      <c r="H8570" s="34" t="n">
        <f aca="false">IF(F8570=1,G8570,"")</f>
        <v>61.82</v>
      </c>
    </row>
    <row r="8571" customFormat="false" ht="15" hidden="false" customHeight="false" outlineLevel="0" collapsed="false">
      <c r="A8571" s="31" t="n">
        <v>43093.0416666667</v>
      </c>
      <c r="B8571" s="32" t="n">
        <v>60.815</v>
      </c>
      <c r="D8571" s="33" t="n">
        <f aca="false">WEEKDAY(A8571,2)</f>
        <v>7</v>
      </c>
      <c r="E8571" s="33" t="n">
        <f aca="false">HOUR(A8571)+MINUTE(A8571)/60</f>
        <v>1</v>
      </c>
      <c r="F8571" s="33" t="n">
        <f aca="false">IF(OR(D8571&gt;5,E8571&lt;8,E8571&gt;=18,COUNTIF($K$2:$K$10,INT(A8571))&gt;0),1,0)</f>
        <v>1</v>
      </c>
      <c r="G8571" s="34" t="n">
        <f aca="false">B8571/1</f>
        <v>60.815</v>
      </c>
      <c r="H8571" s="34" t="n">
        <f aca="false">IF(F8571=1,G8571,"")</f>
        <v>60.815</v>
      </c>
    </row>
    <row r="8572" customFormat="false" ht="15" hidden="false" customHeight="false" outlineLevel="0" collapsed="false">
      <c r="A8572" s="31" t="n">
        <v>43093.0833333333</v>
      </c>
      <c r="B8572" s="32" t="n">
        <v>61.118</v>
      </c>
      <c r="D8572" s="33" t="n">
        <f aca="false">WEEKDAY(A8572,2)</f>
        <v>7</v>
      </c>
      <c r="E8572" s="33" t="n">
        <f aca="false">HOUR(A8572)+MINUTE(A8572)/60</f>
        <v>2</v>
      </c>
      <c r="F8572" s="33" t="n">
        <f aca="false">IF(OR(D8572&gt;5,E8572&lt;8,E8572&gt;=18,COUNTIF($K$2:$K$10,INT(A8572))&gt;0),1,0)</f>
        <v>1</v>
      </c>
      <c r="G8572" s="34" t="n">
        <f aca="false">B8572/1</f>
        <v>61.118</v>
      </c>
      <c r="H8572" s="34" t="n">
        <f aca="false">IF(F8572=1,G8572,"")</f>
        <v>61.118</v>
      </c>
    </row>
    <row r="8573" customFormat="false" ht="15" hidden="false" customHeight="false" outlineLevel="0" collapsed="false">
      <c r="A8573" s="31" t="n">
        <v>43093.125</v>
      </c>
      <c r="B8573" s="32" t="n">
        <v>61.321</v>
      </c>
      <c r="D8573" s="33" t="n">
        <f aca="false">WEEKDAY(A8573,2)</f>
        <v>7</v>
      </c>
      <c r="E8573" s="33" t="n">
        <f aca="false">HOUR(A8573)+MINUTE(A8573)/60</f>
        <v>3</v>
      </c>
      <c r="F8573" s="33" t="n">
        <f aca="false">IF(OR(D8573&gt;5,E8573&lt;8,E8573&gt;=18,COUNTIF($K$2:$K$10,INT(A8573))&gt;0),1,0)</f>
        <v>1</v>
      </c>
      <c r="G8573" s="34" t="n">
        <f aca="false">B8573/1</f>
        <v>61.321</v>
      </c>
      <c r="H8573" s="34" t="n">
        <f aca="false">IF(F8573=1,G8573,"")</f>
        <v>61.321</v>
      </c>
    </row>
    <row r="8574" customFormat="false" ht="15" hidden="false" customHeight="false" outlineLevel="0" collapsed="false">
      <c r="A8574" s="31" t="n">
        <v>43093.1666666667</v>
      </c>
      <c r="B8574" s="32" t="n">
        <v>61.046</v>
      </c>
      <c r="D8574" s="33" t="n">
        <f aca="false">WEEKDAY(A8574,2)</f>
        <v>7</v>
      </c>
      <c r="E8574" s="33" t="n">
        <f aca="false">HOUR(A8574)+MINUTE(A8574)/60</f>
        <v>4</v>
      </c>
      <c r="F8574" s="33" t="n">
        <f aca="false">IF(OR(D8574&gt;5,E8574&lt;8,E8574&gt;=18,COUNTIF($K$2:$K$10,INT(A8574))&gt;0),1,0)</f>
        <v>1</v>
      </c>
      <c r="G8574" s="34" t="n">
        <f aca="false">B8574/1</f>
        <v>61.046</v>
      </c>
      <c r="H8574" s="34" t="n">
        <f aca="false">IF(F8574=1,G8574,"")</f>
        <v>61.046</v>
      </c>
    </row>
    <row r="8575" customFormat="false" ht="15" hidden="false" customHeight="false" outlineLevel="0" collapsed="false">
      <c r="A8575" s="31" t="n">
        <v>43093.2083333333</v>
      </c>
      <c r="B8575" s="32" t="n">
        <v>62.542</v>
      </c>
      <c r="D8575" s="33" t="n">
        <f aca="false">WEEKDAY(A8575,2)</f>
        <v>7</v>
      </c>
      <c r="E8575" s="33" t="n">
        <f aca="false">HOUR(A8575)+MINUTE(A8575)/60</f>
        <v>5</v>
      </c>
      <c r="F8575" s="33" t="n">
        <f aca="false">IF(OR(D8575&gt;5,E8575&lt;8,E8575&gt;=18,COUNTIF($K$2:$K$10,INT(A8575))&gt;0),1,0)</f>
        <v>1</v>
      </c>
      <c r="G8575" s="34" t="n">
        <f aca="false">B8575/1</f>
        <v>62.542</v>
      </c>
      <c r="H8575" s="34" t="n">
        <f aca="false">IF(F8575=1,G8575,"")</f>
        <v>62.542</v>
      </c>
    </row>
    <row r="8576" customFormat="false" ht="15" hidden="false" customHeight="false" outlineLevel="0" collapsed="false">
      <c r="A8576" s="31" t="n">
        <v>43093.25</v>
      </c>
      <c r="B8576" s="32" t="n">
        <v>62.453</v>
      </c>
      <c r="D8576" s="33" t="n">
        <f aca="false">WEEKDAY(A8576,2)</f>
        <v>7</v>
      </c>
      <c r="E8576" s="33" t="n">
        <f aca="false">HOUR(A8576)+MINUTE(A8576)/60</f>
        <v>6</v>
      </c>
      <c r="F8576" s="33" t="n">
        <f aca="false">IF(OR(D8576&gt;5,E8576&lt;8,E8576&gt;=18,COUNTIF($K$2:$K$10,INT(A8576))&gt;0),1,0)</f>
        <v>1</v>
      </c>
      <c r="G8576" s="34" t="n">
        <f aca="false">B8576/1</f>
        <v>62.453</v>
      </c>
      <c r="H8576" s="34" t="n">
        <f aca="false">IF(F8576=1,G8576,"")</f>
        <v>62.453</v>
      </c>
    </row>
    <row r="8577" customFormat="false" ht="15" hidden="false" customHeight="false" outlineLevel="0" collapsed="false">
      <c r="A8577" s="31" t="n">
        <v>43093.2916666667</v>
      </c>
      <c r="B8577" s="32" t="n">
        <v>61.489</v>
      </c>
      <c r="D8577" s="33" t="n">
        <f aca="false">WEEKDAY(A8577,2)</f>
        <v>7</v>
      </c>
      <c r="E8577" s="33" t="n">
        <f aca="false">HOUR(A8577)+MINUTE(A8577)/60</f>
        <v>7</v>
      </c>
      <c r="F8577" s="33" t="n">
        <f aca="false">IF(OR(D8577&gt;5,E8577&lt;8,E8577&gt;=18,COUNTIF($K$2:$K$10,INT(A8577))&gt;0),1,0)</f>
        <v>1</v>
      </c>
      <c r="G8577" s="34" t="n">
        <f aca="false">B8577/1</f>
        <v>61.489</v>
      </c>
      <c r="H8577" s="34" t="n">
        <f aca="false">IF(F8577=1,G8577,"")</f>
        <v>61.489</v>
      </c>
    </row>
    <row r="8578" customFormat="false" ht="15" hidden="false" customHeight="false" outlineLevel="0" collapsed="false">
      <c r="A8578" s="31" t="n">
        <v>43093.3333333333</v>
      </c>
      <c r="B8578" s="32" t="n">
        <v>60.318</v>
      </c>
      <c r="D8578" s="33" t="n">
        <f aca="false">WEEKDAY(A8578,2)</f>
        <v>7</v>
      </c>
      <c r="E8578" s="33" t="n">
        <f aca="false">HOUR(A8578)+MINUTE(A8578)/60</f>
        <v>8</v>
      </c>
      <c r="F8578" s="33" t="n">
        <f aca="false">IF(OR(D8578&gt;5,E8578&lt;8,E8578&gt;=18,COUNTIF($K$2:$K$10,INT(A8578))&gt;0),1,0)</f>
        <v>1</v>
      </c>
      <c r="G8578" s="34" t="n">
        <f aca="false">B8578/1</f>
        <v>60.318</v>
      </c>
      <c r="H8578" s="34" t="n">
        <f aca="false">IF(F8578=1,G8578,"")</f>
        <v>60.318</v>
      </c>
    </row>
    <row r="8579" customFormat="false" ht="15" hidden="false" customHeight="false" outlineLevel="0" collapsed="false">
      <c r="A8579" s="31" t="n">
        <v>43093.375</v>
      </c>
      <c r="B8579" s="32" t="n">
        <v>62.638</v>
      </c>
      <c r="D8579" s="33" t="n">
        <f aca="false">WEEKDAY(A8579,2)</f>
        <v>7</v>
      </c>
      <c r="E8579" s="33" t="n">
        <f aca="false">HOUR(A8579)+MINUTE(A8579)/60</f>
        <v>9</v>
      </c>
      <c r="F8579" s="33" t="n">
        <f aca="false">IF(OR(D8579&gt;5,E8579&lt;8,E8579&gt;=18,COUNTIF($K$2:$K$10,INT(A8579))&gt;0),1,0)</f>
        <v>1</v>
      </c>
      <c r="G8579" s="34" t="n">
        <f aca="false">B8579/1</f>
        <v>62.638</v>
      </c>
      <c r="H8579" s="34" t="n">
        <f aca="false">IF(F8579=1,G8579,"")</f>
        <v>62.638</v>
      </c>
    </row>
    <row r="8580" customFormat="false" ht="15" hidden="false" customHeight="false" outlineLevel="0" collapsed="false">
      <c r="A8580" s="31" t="n">
        <v>43093.4166666667</v>
      </c>
      <c r="B8580" s="32" t="n">
        <v>57.931</v>
      </c>
      <c r="D8580" s="33" t="n">
        <f aca="false">WEEKDAY(A8580,2)</f>
        <v>7</v>
      </c>
      <c r="E8580" s="33" t="n">
        <f aca="false">HOUR(A8580)+MINUTE(A8580)/60</f>
        <v>10</v>
      </c>
      <c r="F8580" s="33" t="n">
        <f aca="false">IF(OR(D8580&gt;5,E8580&lt;8,E8580&gt;=18,COUNTIF($K$2:$K$10,INT(A8580))&gt;0),1,0)</f>
        <v>1</v>
      </c>
      <c r="G8580" s="34" t="n">
        <f aca="false">B8580/1</f>
        <v>57.931</v>
      </c>
      <c r="H8580" s="34" t="n">
        <f aca="false">IF(F8580=1,G8580,"")</f>
        <v>57.931</v>
      </c>
    </row>
    <row r="8581" customFormat="false" ht="15" hidden="false" customHeight="false" outlineLevel="0" collapsed="false">
      <c r="A8581" s="31" t="n">
        <v>43093.4583333333</v>
      </c>
      <c r="B8581" s="32" t="n">
        <v>57.334</v>
      </c>
      <c r="D8581" s="33" t="n">
        <f aca="false">WEEKDAY(A8581,2)</f>
        <v>7</v>
      </c>
      <c r="E8581" s="33" t="n">
        <f aca="false">HOUR(A8581)+MINUTE(A8581)/60</f>
        <v>11</v>
      </c>
      <c r="F8581" s="33" t="n">
        <f aca="false">IF(OR(D8581&gt;5,E8581&lt;8,E8581&gt;=18,COUNTIF($K$2:$K$10,INT(A8581))&gt;0),1,0)</f>
        <v>1</v>
      </c>
      <c r="G8581" s="34" t="n">
        <f aca="false">B8581/1</f>
        <v>57.334</v>
      </c>
      <c r="H8581" s="34" t="n">
        <f aca="false">IF(F8581=1,G8581,"")</f>
        <v>57.334</v>
      </c>
    </row>
    <row r="8582" customFormat="false" ht="15" hidden="false" customHeight="false" outlineLevel="0" collapsed="false">
      <c r="A8582" s="31" t="n">
        <v>43093.5</v>
      </c>
      <c r="B8582" s="32" t="n">
        <v>60.044</v>
      </c>
      <c r="D8582" s="33" t="n">
        <f aca="false">WEEKDAY(A8582,2)</f>
        <v>7</v>
      </c>
      <c r="E8582" s="33" t="n">
        <f aca="false">HOUR(A8582)+MINUTE(A8582)/60</f>
        <v>12</v>
      </c>
      <c r="F8582" s="33" t="n">
        <f aca="false">IF(OR(D8582&gt;5,E8582&lt;8,E8582&gt;=18,COUNTIF($K$2:$K$10,INT(A8582))&gt;0),1,0)</f>
        <v>1</v>
      </c>
      <c r="G8582" s="34" t="n">
        <f aca="false">B8582/1</f>
        <v>60.044</v>
      </c>
      <c r="H8582" s="34" t="n">
        <f aca="false">IF(F8582=1,G8582,"")</f>
        <v>60.044</v>
      </c>
    </row>
    <row r="8583" customFormat="false" ht="15" hidden="false" customHeight="false" outlineLevel="0" collapsed="false">
      <c r="A8583" s="31" t="n">
        <v>43093.5416666667</v>
      </c>
      <c r="B8583" s="32" t="n">
        <v>101.7</v>
      </c>
      <c r="D8583" s="33" t="n">
        <f aca="false">WEEKDAY(A8583,2)</f>
        <v>7</v>
      </c>
      <c r="E8583" s="33" t="n">
        <f aca="false">HOUR(A8583)+MINUTE(A8583)/60</f>
        <v>13</v>
      </c>
      <c r="F8583" s="33" t="n">
        <f aca="false">IF(OR(D8583&gt;5,E8583&lt;8,E8583&gt;=18,COUNTIF($K$2:$K$10,INT(A8583))&gt;0),1,0)</f>
        <v>1</v>
      </c>
      <c r="G8583" s="34" t="n">
        <f aca="false">B8583/1</f>
        <v>101.7</v>
      </c>
      <c r="H8583" s="34" t="n">
        <f aca="false">IF(F8583=1,G8583,"")</f>
        <v>101.7</v>
      </c>
    </row>
    <row r="8584" customFormat="false" ht="15" hidden="false" customHeight="false" outlineLevel="0" collapsed="false">
      <c r="A8584" s="31" t="n">
        <v>43093.5833333333</v>
      </c>
      <c r="B8584" s="32" t="n">
        <v>125.584</v>
      </c>
      <c r="D8584" s="33" t="n">
        <f aca="false">WEEKDAY(A8584,2)</f>
        <v>7</v>
      </c>
      <c r="E8584" s="33" t="n">
        <f aca="false">HOUR(A8584)+MINUTE(A8584)/60</f>
        <v>14</v>
      </c>
      <c r="F8584" s="33" t="n">
        <f aca="false">IF(OR(D8584&gt;5,E8584&lt;8,E8584&gt;=18,COUNTIF($K$2:$K$10,INT(A8584))&gt;0),1,0)</f>
        <v>1</v>
      </c>
      <c r="G8584" s="34" t="n">
        <f aca="false">B8584/1</f>
        <v>125.584</v>
      </c>
      <c r="H8584" s="34" t="n">
        <f aca="false">IF(F8584=1,G8584,"")</f>
        <v>125.584</v>
      </c>
    </row>
    <row r="8585" customFormat="false" ht="15" hidden="false" customHeight="false" outlineLevel="0" collapsed="false">
      <c r="A8585" s="31" t="n">
        <v>43093.625</v>
      </c>
      <c r="B8585" s="32" t="n">
        <v>123.999</v>
      </c>
      <c r="D8585" s="33" t="n">
        <f aca="false">WEEKDAY(A8585,2)</f>
        <v>7</v>
      </c>
      <c r="E8585" s="33" t="n">
        <f aca="false">HOUR(A8585)+MINUTE(A8585)/60</f>
        <v>15</v>
      </c>
      <c r="F8585" s="33" t="n">
        <f aca="false">IF(OR(D8585&gt;5,E8585&lt;8,E8585&gt;=18,COUNTIF($K$2:$K$10,INT(A8585))&gt;0),1,0)</f>
        <v>1</v>
      </c>
      <c r="G8585" s="34" t="n">
        <f aca="false">B8585/1</f>
        <v>123.999</v>
      </c>
      <c r="H8585" s="34" t="n">
        <f aca="false">IF(F8585=1,G8585,"")</f>
        <v>123.999</v>
      </c>
    </row>
    <row r="8586" customFormat="false" ht="15" hidden="false" customHeight="false" outlineLevel="0" collapsed="false">
      <c r="A8586" s="31" t="n">
        <v>43093.6666666667</v>
      </c>
      <c r="B8586" s="32" t="n">
        <v>124.505</v>
      </c>
      <c r="D8586" s="33" t="n">
        <f aca="false">WEEKDAY(A8586,2)</f>
        <v>7</v>
      </c>
      <c r="E8586" s="33" t="n">
        <f aca="false">HOUR(A8586)+MINUTE(A8586)/60</f>
        <v>16</v>
      </c>
      <c r="F8586" s="33" t="n">
        <f aca="false">IF(OR(D8586&gt;5,E8586&lt;8,E8586&gt;=18,COUNTIF($K$2:$K$10,INT(A8586))&gt;0),1,0)</f>
        <v>1</v>
      </c>
      <c r="G8586" s="34" t="n">
        <f aca="false">B8586/1</f>
        <v>124.505</v>
      </c>
      <c r="H8586" s="34" t="n">
        <f aca="false">IF(F8586=1,G8586,"")</f>
        <v>124.505</v>
      </c>
    </row>
    <row r="8587" customFormat="false" ht="15" hidden="false" customHeight="false" outlineLevel="0" collapsed="false">
      <c r="A8587" s="31" t="n">
        <v>43093.7083333333</v>
      </c>
      <c r="B8587" s="32" t="n">
        <v>124.068</v>
      </c>
      <c r="D8587" s="33" t="n">
        <f aca="false">WEEKDAY(A8587,2)</f>
        <v>7</v>
      </c>
      <c r="E8587" s="33" t="n">
        <f aca="false">HOUR(A8587)+MINUTE(A8587)/60</f>
        <v>17</v>
      </c>
      <c r="F8587" s="33" t="n">
        <f aca="false">IF(OR(D8587&gt;5,E8587&lt;8,E8587&gt;=18,COUNTIF($K$2:$K$10,INT(A8587))&gt;0),1,0)</f>
        <v>1</v>
      </c>
      <c r="G8587" s="34" t="n">
        <f aca="false">B8587/1</f>
        <v>124.068</v>
      </c>
      <c r="H8587" s="34" t="n">
        <f aca="false">IF(F8587=1,G8587,"")</f>
        <v>124.068</v>
      </c>
    </row>
    <row r="8588" customFormat="false" ht="15" hidden="false" customHeight="false" outlineLevel="0" collapsed="false">
      <c r="A8588" s="31" t="n">
        <v>43093.75</v>
      </c>
      <c r="B8588" s="32" t="n">
        <v>69.062</v>
      </c>
      <c r="D8588" s="33" t="n">
        <f aca="false">WEEKDAY(A8588,2)</f>
        <v>7</v>
      </c>
      <c r="E8588" s="33" t="n">
        <f aca="false">HOUR(A8588)+MINUTE(A8588)/60</f>
        <v>18</v>
      </c>
      <c r="F8588" s="33" t="n">
        <f aca="false">IF(OR(D8588&gt;5,E8588&lt;8,E8588&gt;=18,COUNTIF($K$2:$K$10,INT(A8588))&gt;0),1,0)</f>
        <v>1</v>
      </c>
      <c r="G8588" s="34" t="n">
        <f aca="false">B8588/1</f>
        <v>69.062</v>
      </c>
      <c r="H8588" s="34" t="n">
        <f aca="false">IF(F8588=1,G8588,"")</f>
        <v>69.062</v>
      </c>
    </row>
    <row r="8589" customFormat="false" ht="15" hidden="false" customHeight="false" outlineLevel="0" collapsed="false">
      <c r="A8589" s="31" t="n">
        <v>43093.7916666667</v>
      </c>
      <c r="B8589" s="32" t="n">
        <v>60.131</v>
      </c>
      <c r="D8589" s="33" t="n">
        <f aca="false">WEEKDAY(A8589,2)</f>
        <v>7</v>
      </c>
      <c r="E8589" s="33" t="n">
        <f aca="false">HOUR(A8589)+MINUTE(A8589)/60</f>
        <v>19</v>
      </c>
      <c r="F8589" s="33" t="n">
        <f aca="false">IF(OR(D8589&gt;5,E8589&lt;8,E8589&gt;=18,COUNTIF($K$2:$K$10,INT(A8589))&gt;0),1,0)</f>
        <v>1</v>
      </c>
      <c r="G8589" s="34" t="n">
        <f aca="false">B8589/1</f>
        <v>60.131</v>
      </c>
      <c r="H8589" s="34" t="n">
        <f aca="false">IF(F8589=1,G8589,"")</f>
        <v>60.131</v>
      </c>
    </row>
    <row r="8590" customFormat="false" ht="15" hidden="false" customHeight="false" outlineLevel="0" collapsed="false">
      <c r="A8590" s="31" t="n">
        <v>43093.8333333333</v>
      </c>
      <c r="B8590" s="32" t="n">
        <v>61.481</v>
      </c>
      <c r="D8590" s="33" t="n">
        <f aca="false">WEEKDAY(A8590,2)</f>
        <v>7</v>
      </c>
      <c r="E8590" s="33" t="n">
        <f aca="false">HOUR(A8590)+MINUTE(A8590)/60</f>
        <v>20</v>
      </c>
      <c r="F8590" s="33" t="n">
        <f aca="false">IF(OR(D8590&gt;5,E8590&lt;8,E8590&gt;=18,COUNTIF($K$2:$K$10,INT(A8590))&gt;0),1,0)</f>
        <v>1</v>
      </c>
      <c r="G8590" s="34" t="n">
        <f aca="false">B8590/1</f>
        <v>61.481</v>
      </c>
      <c r="H8590" s="34" t="n">
        <f aca="false">IF(F8590=1,G8590,"")</f>
        <v>61.481</v>
      </c>
    </row>
    <row r="8591" customFormat="false" ht="15" hidden="false" customHeight="false" outlineLevel="0" collapsed="false">
      <c r="A8591" s="31" t="n">
        <v>43093.875</v>
      </c>
      <c r="B8591" s="32" t="n">
        <v>61.589</v>
      </c>
      <c r="D8591" s="33" t="n">
        <f aca="false">WEEKDAY(A8591,2)</f>
        <v>7</v>
      </c>
      <c r="E8591" s="33" t="n">
        <f aca="false">HOUR(A8591)+MINUTE(A8591)/60</f>
        <v>21</v>
      </c>
      <c r="F8591" s="33" t="n">
        <f aca="false">IF(OR(D8591&gt;5,E8591&lt;8,E8591&gt;=18,COUNTIF($K$2:$K$10,INT(A8591))&gt;0),1,0)</f>
        <v>1</v>
      </c>
      <c r="G8591" s="34" t="n">
        <f aca="false">B8591/1</f>
        <v>61.589</v>
      </c>
      <c r="H8591" s="34" t="n">
        <f aca="false">IF(F8591=1,G8591,"")</f>
        <v>61.589</v>
      </c>
    </row>
    <row r="8592" customFormat="false" ht="15" hidden="false" customHeight="false" outlineLevel="0" collapsed="false">
      <c r="A8592" s="31" t="n">
        <v>43093.9166666667</v>
      </c>
      <c r="B8592" s="32" t="n">
        <v>61.416</v>
      </c>
      <c r="D8592" s="33" t="n">
        <f aca="false">WEEKDAY(A8592,2)</f>
        <v>7</v>
      </c>
      <c r="E8592" s="33" t="n">
        <f aca="false">HOUR(A8592)+MINUTE(A8592)/60</f>
        <v>22</v>
      </c>
      <c r="F8592" s="33" t="n">
        <f aca="false">IF(OR(D8592&gt;5,E8592&lt;8,E8592&gt;=18,COUNTIF($K$2:$K$10,INT(A8592))&gt;0),1,0)</f>
        <v>1</v>
      </c>
      <c r="G8592" s="34" t="n">
        <f aca="false">B8592/1</f>
        <v>61.416</v>
      </c>
      <c r="H8592" s="34" t="n">
        <f aca="false">IF(F8592=1,G8592,"")</f>
        <v>61.416</v>
      </c>
    </row>
    <row r="8593" customFormat="false" ht="15" hidden="false" customHeight="false" outlineLevel="0" collapsed="false">
      <c r="A8593" s="31" t="n">
        <v>43093.9583333333</v>
      </c>
      <c r="B8593" s="32" t="n">
        <v>61.335</v>
      </c>
      <c r="D8593" s="33" t="n">
        <f aca="false">WEEKDAY(A8593,2)</f>
        <v>7</v>
      </c>
      <c r="E8593" s="33" t="n">
        <f aca="false">HOUR(A8593)+MINUTE(A8593)/60</f>
        <v>23</v>
      </c>
      <c r="F8593" s="33" t="n">
        <f aca="false">IF(OR(D8593&gt;5,E8593&lt;8,E8593&gt;=18,COUNTIF($K$2:$K$10,INT(A8593))&gt;0),1,0)</f>
        <v>1</v>
      </c>
      <c r="G8593" s="34" t="n">
        <f aca="false">B8593/1</f>
        <v>61.335</v>
      </c>
      <c r="H8593" s="34" t="n">
        <f aca="false">IF(F8593=1,G8593,"")</f>
        <v>61.335</v>
      </c>
    </row>
    <row r="8594" customFormat="false" ht="15" hidden="false" customHeight="false" outlineLevel="0" collapsed="false">
      <c r="A8594" s="31" t="n">
        <v>43094</v>
      </c>
      <c r="B8594" s="32" t="n">
        <v>59.538</v>
      </c>
      <c r="D8594" s="33" t="n">
        <f aca="false">WEEKDAY(A8594,2)</f>
        <v>1</v>
      </c>
      <c r="E8594" s="33" t="n">
        <f aca="false">HOUR(A8594)+MINUTE(A8594)/60</f>
        <v>0</v>
      </c>
      <c r="F8594" s="33" t="n">
        <f aca="false">IF(OR(D8594&gt;5,E8594&lt;8,E8594&gt;=18,COUNTIF($K$2:$K$10,INT(A8594))&gt;0),1,0)</f>
        <v>1</v>
      </c>
      <c r="G8594" s="34" t="n">
        <f aca="false">B8594/1</f>
        <v>59.538</v>
      </c>
      <c r="H8594" s="34" t="n">
        <f aca="false">IF(F8594=1,G8594,"")</f>
        <v>59.538</v>
      </c>
    </row>
    <row r="8595" customFormat="false" ht="15" hidden="false" customHeight="false" outlineLevel="0" collapsed="false">
      <c r="A8595" s="31" t="n">
        <v>43094.0416666667</v>
      </c>
      <c r="B8595" s="32" t="n">
        <v>60.369</v>
      </c>
      <c r="D8595" s="33" t="n">
        <f aca="false">WEEKDAY(A8595,2)</f>
        <v>1</v>
      </c>
      <c r="E8595" s="33" t="n">
        <f aca="false">HOUR(A8595)+MINUTE(A8595)/60</f>
        <v>1</v>
      </c>
      <c r="F8595" s="33" t="n">
        <f aca="false">IF(OR(D8595&gt;5,E8595&lt;8,E8595&gt;=18,COUNTIF($K$2:$K$10,INT(A8595))&gt;0),1,0)</f>
        <v>1</v>
      </c>
      <c r="G8595" s="34" t="n">
        <f aca="false">B8595/1</f>
        <v>60.369</v>
      </c>
      <c r="H8595" s="34" t="n">
        <f aca="false">IF(F8595=1,G8595,"")</f>
        <v>60.369</v>
      </c>
    </row>
    <row r="8596" customFormat="false" ht="15" hidden="false" customHeight="false" outlineLevel="0" collapsed="false">
      <c r="A8596" s="31" t="n">
        <v>43094.0833333333</v>
      </c>
      <c r="B8596" s="32" t="n">
        <v>60.261</v>
      </c>
      <c r="D8596" s="33" t="n">
        <f aca="false">WEEKDAY(A8596,2)</f>
        <v>1</v>
      </c>
      <c r="E8596" s="33" t="n">
        <f aca="false">HOUR(A8596)+MINUTE(A8596)/60</f>
        <v>2</v>
      </c>
      <c r="F8596" s="33" t="n">
        <f aca="false">IF(OR(D8596&gt;5,E8596&lt;8,E8596&gt;=18,COUNTIF($K$2:$K$10,INT(A8596))&gt;0),1,0)</f>
        <v>1</v>
      </c>
      <c r="G8596" s="34" t="n">
        <f aca="false">B8596/1</f>
        <v>60.261</v>
      </c>
      <c r="H8596" s="34" t="n">
        <f aca="false">IF(F8596=1,G8596,"")</f>
        <v>60.261</v>
      </c>
    </row>
    <row r="8597" customFormat="false" ht="15" hidden="false" customHeight="false" outlineLevel="0" collapsed="false">
      <c r="A8597" s="31" t="n">
        <v>43094.125</v>
      </c>
      <c r="B8597" s="32" t="n">
        <v>62.106</v>
      </c>
      <c r="D8597" s="33" t="n">
        <f aca="false">WEEKDAY(A8597,2)</f>
        <v>1</v>
      </c>
      <c r="E8597" s="33" t="n">
        <f aca="false">HOUR(A8597)+MINUTE(A8597)/60</f>
        <v>3</v>
      </c>
      <c r="F8597" s="33" t="n">
        <f aca="false">IF(OR(D8597&gt;5,E8597&lt;8,E8597&gt;=18,COUNTIF($K$2:$K$10,INT(A8597))&gt;0),1,0)</f>
        <v>1</v>
      </c>
      <c r="G8597" s="34" t="n">
        <f aca="false">B8597/1</f>
        <v>62.106</v>
      </c>
      <c r="H8597" s="34" t="n">
        <f aca="false">IF(F8597=1,G8597,"")</f>
        <v>62.106</v>
      </c>
    </row>
    <row r="8598" customFormat="false" ht="15" hidden="false" customHeight="false" outlineLevel="0" collapsed="false">
      <c r="A8598" s="31" t="n">
        <v>43094.1666666667</v>
      </c>
      <c r="B8598" s="32" t="n">
        <v>62.404</v>
      </c>
      <c r="D8598" s="33" t="n">
        <f aca="false">WEEKDAY(A8598,2)</f>
        <v>1</v>
      </c>
      <c r="E8598" s="33" t="n">
        <f aca="false">HOUR(A8598)+MINUTE(A8598)/60</f>
        <v>4</v>
      </c>
      <c r="F8598" s="33" t="n">
        <f aca="false">IF(OR(D8598&gt;5,E8598&lt;8,E8598&gt;=18,COUNTIF($K$2:$K$10,INT(A8598))&gt;0),1,0)</f>
        <v>1</v>
      </c>
      <c r="G8598" s="34" t="n">
        <f aca="false">B8598/1</f>
        <v>62.404</v>
      </c>
      <c r="H8598" s="34" t="n">
        <f aca="false">IF(F8598=1,G8598,"")</f>
        <v>62.404</v>
      </c>
    </row>
    <row r="8599" customFormat="false" ht="15" hidden="false" customHeight="false" outlineLevel="0" collapsed="false">
      <c r="A8599" s="31" t="n">
        <v>43094.2083333333</v>
      </c>
      <c r="B8599" s="32" t="n">
        <v>59.725</v>
      </c>
      <c r="D8599" s="33" t="n">
        <f aca="false">WEEKDAY(A8599,2)</f>
        <v>1</v>
      </c>
      <c r="E8599" s="33" t="n">
        <f aca="false">HOUR(A8599)+MINUTE(A8599)/60</f>
        <v>5</v>
      </c>
      <c r="F8599" s="33" t="n">
        <f aca="false">IF(OR(D8599&gt;5,E8599&lt;8,E8599&gt;=18,COUNTIF($K$2:$K$10,INT(A8599))&gt;0),1,0)</f>
        <v>1</v>
      </c>
      <c r="G8599" s="34" t="n">
        <f aca="false">B8599/1</f>
        <v>59.725</v>
      </c>
      <c r="H8599" s="34" t="n">
        <f aca="false">IF(F8599=1,G8599,"")</f>
        <v>59.725</v>
      </c>
    </row>
    <row r="8600" customFormat="false" ht="15" hidden="false" customHeight="false" outlineLevel="0" collapsed="false">
      <c r="A8600" s="31" t="n">
        <v>43094.25</v>
      </c>
      <c r="B8600" s="32" t="n">
        <v>61.993</v>
      </c>
      <c r="D8600" s="33" t="n">
        <f aca="false">WEEKDAY(A8600,2)</f>
        <v>1</v>
      </c>
      <c r="E8600" s="33" t="n">
        <f aca="false">HOUR(A8600)+MINUTE(A8600)/60</f>
        <v>6</v>
      </c>
      <c r="F8600" s="33" t="n">
        <f aca="false">IF(OR(D8600&gt;5,E8600&lt;8,E8600&gt;=18,COUNTIF($K$2:$K$10,INT(A8600))&gt;0),1,0)</f>
        <v>1</v>
      </c>
      <c r="G8600" s="34" t="n">
        <f aca="false">B8600/1</f>
        <v>61.993</v>
      </c>
      <c r="H8600" s="34" t="n">
        <f aca="false">IF(F8600=1,G8600,"")</f>
        <v>61.993</v>
      </c>
    </row>
    <row r="8601" customFormat="false" ht="15" hidden="false" customHeight="false" outlineLevel="0" collapsed="false">
      <c r="A8601" s="31" t="n">
        <v>43094.2916666667</v>
      </c>
      <c r="B8601" s="32" t="n">
        <v>77.731</v>
      </c>
      <c r="D8601" s="33" t="n">
        <f aca="false">WEEKDAY(A8601,2)</f>
        <v>1</v>
      </c>
      <c r="E8601" s="33" t="n">
        <f aca="false">HOUR(A8601)+MINUTE(A8601)/60</f>
        <v>7</v>
      </c>
      <c r="F8601" s="33" t="n">
        <f aca="false">IF(OR(D8601&gt;5,E8601&lt;8,E8601&gt;=18,COUNTIF($K$2:$K$10,INT(A8601))&gt;0),1,0)</f>
        <v>1</v>
      </c>
      <c r="G8601" s="34" t="n">
        <f aca="false">B8601/1</f>
        <v>77.731</v>
      </c>
      <c r="H8601" s="34" t="n">
        <f aca="false">IF(F8601=1,G8601,"")</f>
        <v>77.731</v>
      </c>
    </row>
    <row r="8602" customFormat="false" ht="15" hidden="false" customHeight="false" outlineLevel="0" collapsed="false">
      <c r="A8602" s="31" t="n">
        <v>43094.3333333333</v>
      </c>
      <c r="B8602" s="32" t="n">
        <v>153.864</v>
      </c>
      <c r="D8602" s="33" t="n">
        <f aca="false">WEEKDAY(A8602,2)</f>
        <v>1</v>
      </c>
      <c r="E8602" s="33" t="n">
        <f aca="false">HOUR(A8602)+MINUTE(A8602)/60</f>
        <v>8</v>
      </c>
      <c r="F8602" s="33" t="n">
        <f aca="false">IF(OR(D8602&gt;5,E8602&lt;8,E8602&gt;=18,COUNTIF($K$2:$K$10,INT(A8602))&gt;0),1,0)</f>
        <v>1</v>
      </c>
      <c r="G8602" s="34" t="n">
        <f aca="false">B8602/1</f>
        <v>153.864</v>
      </c>
      <c r="H8602" s="34" t="n">
        <f aca="false">IF(F8602=1,G8602,"")</f>
        <v>153.864</v>
      </c>
    </row>
    <row r="8603" customFormat="false" ht="15" hidden="false" customHeight="false" outlineLevel="0" collapsed="false">
      <c r="A8603" s="31" t="n">
        <v>43094.375</v>
      </c>
      <c r="B8603" s="32" t="n">
        <v>158.764</v>
      </c>
      <c r="D8603" s="33" t="n">
        <f aca="false">WEEKDAY(A8603,2)</f>
        <v>1</v>
      </c>
      <c r="E8603" s="33" t="n">
        <f aca="false">HOUR(A8603)+MINUTE(A8603)/60</f>
        <v>9</v>
      </c>
      <c r="F8603" s="33" t="n">
        <f aca="false">IF(OR(D8603&gt;5,E8603&lt;8,E8603&gt;=18,COUNTIF($K$2:$K$10,INT(A8603))&gt;0),1,0)</f>
        <v>1</v>
      </c>
      <c r="G8603" s="34" t="n">
        <f aca="false">B8603/1</f>
        <v>158.764</v>
      </c>
      <c r="H8603" s="34" t="n">
        <f aca="false">IF(F8603=1,G8603,"")</f>
        <v>158.764</v>
      </c>
    </row>
    <row r="8604" customFormat="false" ht="15" hidden="false" customHeight="false" outlineLevel="0" collapsed="false">
      <c r="A8604" s="31" t="n">
        <v>43094.4166666667</v>
      </c>
      <c r="B8604" s="32" t="n">
        <v>157.299</v>
      </c>
      <c r="D8604" s="33" t="n">
        <f aca="false">WEEKDAY(A8604,2)</f>
        <v>1</v>
      </c>
      <c r="E8604" s="33" t="n">
        <f aca="false">HOUR(A8604)+MINUTE(A8604)/60</f>
        <v>10</v>
      </c>
      <c r="F8604" s="33" t="n">
        <f aca="false">IF(OR(D8604&gt;5,E8604&lt;8,E8604&gt;=18,COUNTIF($K$2:$K$10,INT(A8604))&gt;0),1,0)</f>
        <v>1</v>
      </c>
      <c r="G8604" s="34" t="n">
        <f aca="false">B8604/1</f>
        <v>157.299</v>
      </c>
      <c r="H8604" s="34" t="n">
        <f aca="false">IF(F8604=1,G8604,"")</f>
        <v>157.299</v>
      </c>
    </row>
    <row r="8605" customFormat="false" ht="15" hidden="false" customHeight="false" outlineLevel="0" collapsed="false">
      <c r="A8605" s="31" t="n">
        <v>43094.4583333333</v>
      </c>
      <c r="B8605" s="32" t="n">
        <v>158.746</v>
      </c>
      <c r="D8605" s="33" t="n">
        <f aca="false">WEEKDAY(A8605,2)</f>
        <v>1</v>
      </c>
      <c r="E8605" s="33" t="n">
        <f aca="false">HOUR(A8605)+MINUTE(A8605)/60</f>
        <v>11</v>
      </c>
      <c r="F8605" s="33" t="n">
        <f aca="false">IF(OR(D8605&gt;5,E8605&lt;8,E8605&gt;=18,COUNTIF($K$2:$K$10,INT(A8605))&gt;0),1,0)</f>
        <v>1</v>
      </c>
      <c r="G8605" s="34" t="n">
        <f aca="false">B8605/1</f>
        <v>158.746</v>
      </c>
      <c r="H8605" s="34" t="n">
        <f aca="false">IF(F8605=1,G8605,"")</f>
        <v>158.746</v>
      </c>
    </row>
    <row r="8606" customFormat="false" ht="15" hidden="false" customHeight="false" outlineLevel="0" collapsed="false">
      <c r="A8606" s="31" t="n">
        <v>43094.5</v>
      </c>
      <c r="B8606" s="32" t="n">
        <v>157.934</v>
      </c>
      <c r="D8606" s="33" t="n">
        <f aca="false">WEEKDAY(A8606,2)</f>
        <v>1</v>
      </c>
      <c r="E8606" s="33" t="n">
        <f aca="false">HOUR(A8606)+MINUTE(A8606)/60</f>
        <v>12</v>
      </c>
      <c r="F8606" s="33" t="n">
        <f aca="false">IF(OR(D8606&gt;5,E8606&lt;8,E8606&gt;=18,COUNTIF($K$2:$K$10,INT(A8606))&gt;0),1,0)</f>
        <v>1</v>
      </c>
      <c r="G8606" s="34" t="n">
        <f aca="false">B8606/1</f>
        <v>157.934</v>
      </c>
      <c r="H8606" s="34" t="n">
        <f aca="false">IF(F8606=1,G8606,"")</f>
        <v>157.934</v>
      </c>
    </row>
    <row r="8607" customFormat="false" ht="15" hidden="false" customHeight="false" outlineLevel="0" collapsed="false">
      <c r="A8607" s="31" t="n">
        <v>43094.5416666667</v>
      </c>
      <c r="B8607" s="32" t="n">
        <v>157.873</v>
      </c>
      <c r="D8607" s="33" t="n">
        <f aca="false">WEEKDAY(A8607,2)</f>
        <v>1</v>
      </c>
      <c r="E8607" s="33" t="n">
        <f aca="false">HOUR(A8607)+MINUTE(A8607)/60</f>
        <v>13</v>
      </c>
      <c r="F8607" s="33" t="n">
        <f aca="false">IF(OR(D8607&gt;5,E8607&lt;8,E8607&gt;=18,COUNTIF($K$2:$K$10,INT(A8607))&gt;0),1,0)</f>
        <v>1</v>
      </c>
      <c r="G8607" s="34" t="n">
        <f aca="false">B8607/1</f>
        <v>157.873</v>
      </c>
      <c r="H8607" s="34" t="n">
        <f aca="false">IF(F8607=1,G8607,"")</f>
        <v>157.873</v>
      </c>
    </row>
    <row r="8608" customFormat="false" ht="15" hidden="false" customHeight="false" outlineLevel="0" collapsed="false">
      <c r="A8608" s="31" t="n">
        <v>43094.5833333333</v>
      </c>
      <c r="B8608" s="32" t="n">
        <v>158.486</v>
      </c>
      <c r="D8608" s="33" t="n">
        <f aca="false">WEEKDAY(A8608,2)</f>
        <v>1</v>
      </c>
      <c r="E8608" s="33" t="n">
        <f aca="false">HOUR(A8608)+MINUTE(A8608)/60</f>
        <v>14</v>
      </c>
      <c r="F8608" s="33" t="n">
        <f aca="false">IF(OR(D8608&gt;5,E8608&lt;8,E8608&gt;=18,COUNTIF($K$2:$K$10,INT(A8608))&gt;0),1,0)</f>
        <v>1</v>
      </c>
      <c r="G8608" s="34" t="n">
        <f aca="false">B8608/1</f>
        <v>158.486</v>
      </c>
      <c r="H8608" s="34" t="n">
        <f aca="false">IF(F8608=1,G8608,"")</f>
        <v>158.486</v>
      </c>
    </row>
    <row r="8609" customFormat="false" ht="15" hidden="false" customHeight="false" outlineLevel="0" collapsed="false">
      <c r="A8609" s="31" t="n">
        <v>43094.625</v>
      </c>
      <c r="B8609" s="32" t="n">
        <v>158.172</v>
      </c>
      <c r="D8609" s="33" t="n">
        <f aca="false">WEEKDAY(A8609,2)</f>
        <v>1</v>
      </c>
      <c r="E8609" s="33" t="n">
        <f aca="false">HOUR(A8609)+MINUTE(A8609)/60</f>
        <v>15</v>
      </c>
      <c r="F8609" s="33" t="n">
        <f aca="false">IF(OR(D8609&gt;5,E8609&lt;8,E8609&gt;=18,COUNTIF($K$2:$K$10,INT(A8609))&gt;0),1,0)</f>
        <v>1</v>
      </c>
      <c r="G8609" s="34" t="n">
        <f aca="false">B8609/1</f>
        <v>158.172</v>
      </c>
      <c r="H8609" s="34" t="n">
        <f aca="false">IF(F8609=1,G8609,"")</f>
        <v>158.172</v>
      </c>
    </row>
    <row r="8610" customFormat="false" ht="15" hidden="false" customHeight="false" outlineLevel="0" collapsed="false">
      <c r="A8610" s="31" t="n">
        <v>43094.6666666667</v>
      </c>
      <c r="B8610" s="32" t="n">
        <v>158.299</v>
      </c>
      <c r="D8610" s="33" t="n">
        <f aca="false">WEEKDAY(A8610,2)</f>
        <v>1</v>
      </c>
      <c r="E8610" s="33" t="n">
        <f aca="false">HOUR(A8610)+MINUTE(A8610)/60</f>
        <v>16</v>
      </c>
      <c r="F8610" s="33" t="n">
        <f aca="false">IF(OR(D8610&gt;5,E8610&lt;8,E8610&gt;=18,COUNTIF($K$2:$K$10,INT(A8610))&gt;0),1,0)</f>
        <v>1</v>
      </c>
      <c r="G8610" s="34" t="n">
        <f aca="false">B8610/1</f>
        <v>158.299</v>
      </c>
      <c r="H8610" s="34" t="n">
        <f aca="false">IF(F8610=1,G8610,"")</f>
        <v>158.299</v>
      </c>
    </row>
    <row r="8611" customFormat="false" ht="15" hidden="false" customHeight="false" outlineLevel="0" collapsed="false">
      <c r="A8611" s="31" t="n">
        <v>43094.7083333333</v>
      </c>
      <c r="B8611" s="32" t="n">
        <v>159.067</v>
      </c>
      <c r="D8611" s="33" t="n">
        <f aca="false">WEEKDAY(A8611,2)</f>
        <v>1</v>
      </c>
      <c r="E8611" s="33" t="n">
        <f aca="false">HOUR(A8611)+MINUTE(A8611)/60</f>
        <v>17</v>
      </c>
      <c r="F8611" s="33" t="n">
        <f aca="false">IF(OR(D8611&gt;5,E8611&lt;8,E8611&gt;=18,COUNTIF($K$2:$K$10,INT(A8611))&gt;0),1,0)</f>
        <v>1</v>
      </c>
      <c r="G8611" s="34" t="n">
        <f aca="false">B8611/1</f>
        <v>159.067</v>
      </c>
      <c r="H8611" s="34" t="n">
        <f aca="false">IF(F8611=1,G8611,"")</f>
        <v>159.067</v>
      </c>
    </row>
    <row r="8612" customFormat="false" ht="15" hidden="false" customHeight="false" outlineLevel="0" collapsed="false">
      <c r="A8612" s="31" t="n">
        <v>43094.75</v>
      </c>
      <c r="B8612" s="32" t="n">
        <v>161.654</v>
      </c>
      <c r="D8612" s="33" t="n">
        <f aca="false">WEEKDAY(A8612,2)</f>
        <v>1</v>
      </c>
      <c r="E8612" s="33" t="n">
        <f aca="false">HOUR(A8612)+MINUTE(A8612)/60</f>
        <v>18</v>
      </c>
      <c r="F8612" s="33" t="n">
        <f aca="false">IF(OR(D8612&gt;5,E8612&lt;8,E8612&gt;=18,COUNTIF($K$2:$K$10,INT(A8612))&gt;0),1,0)</f>
        <v>1</v>
      </c>
      <c r="G8612" s="34" t="n">
        <f aca="false">B8612/1</f>
        <v>161.654</v>
      </c>
      <c r="H8612" s="34" t="n">
        <f aca="false">IF(F8612=1,G8612,"")</f>
        <v>161.654</v>
      </c>
    </row>
    <row r="8613" customFormat="false" ht="15" hidden="false" customHeight="false" outlineLevel="0" collapsed="false">
      <c r="A8613" s="31" t="n">
        <v>43094.7916666667</v>
      </c>
      <c r="B8613" s="32" t="n">
        <v>162.393</v>
      </c>
      <c r="D8613" s="33" t="n">
        <f aca="false">WEEKDAY(A8613,2)</f>
        <v>1</v>
      </c>
      <c r="E8613" s="33" t="n">
        <f aca="false">HOUR(A8613)+MINUTE(A8613)/60</f>
        <v>19</v>
      </c>
      <c r="F8613" s="33" t="n">
        <f aca="false">IF(OR(D8613&gt;5,E8613&lt;8,E8613&gt;=18,COUNTIF($K$2:$K$10,INT(A8613))&gt;0),1,0)</f>
        <v>1</v>
      </c>
      <c r="G8613" s="34" t="n">
        <f aca="false">B8613/1</f>
        <v>162.393</v>
      </c>
      <c r="H8613" s="34" t="n">
        <f aca="false">IF(F8613=1,G8613,"")</f>
        <v>162.393</v>
      </c>
    </row>
    <row r="8614" customFormat="false" ht="15" hidden="false" customHeight="false" outlineLevel="0" collapsed="false">
      <c r="A8614" s="31" t="n">
        <v>43094.8333333333</v>
      </c>
      <c r="B8614" s="32" t="n">
        <v>162.23</v>
      </c>
      <c r="D8614" s="33" t="n">
        <f aca="false">WEEKDAY(A8614,2)</f>
        <v>1</v>
      </c>
      <c r="E8614" s="33" t="n">
        <f aca="false">HOUR(A8614)+MINUTE(A8614)/60</f>
        <v>20</v>
      </c>
      <c r="F8614" s="33" t="n">
        <f aca="false">IF(OR(D8614&gt;5,E8614&lt;8,E8614&gt;=18,COUNTIF($K$2:$K$10,INT(A8614))&gt;0),1,0)</f>
        <v>1</v>
      </c>
      <c r="G8614" s="34" t="n">
        <f aca="false">B8614/1</f>
        <v>162.23</v>
      </c>
      <c r="H8614" s="34" t="n">
        <f aca="false">IF(F8614=1,G8614,"")</f>
        <v>162.23</v>
      </c>
    </row>
    <row r="8615" customFormat="false" ht="15" hidden="false" customHeight="false" outlineLevel="0" collapsed="false">
      <c r="A8615" s="31" t="n">
        <v>43094.875</v>
      </c>
      <c r="B8615" s="32" t="n">
        <v>161.846</v>
      </c>
      <c r="D8615" s="33" t="n">
        <f aca="false">WEEKDAY(A8615,2)</f>
        <v>1</v>
      </c>
      <c r="E8615" s="33" t="n">
        <f aca="false">HOUR(A8615)+MINUTE(A8615)/60</f>
        <v>21</v>
      </c>
      <c r="F8615" s="33" t="n">
        <f aca="false">IF(OR(D8615&gt;5,E8615&lt;8,E8615&gt;=18,COUNTIF($K$2:$K$10,INT(A8615))&gt;0),1,0)</f>
        <v>1</v>
      </c>
      <c r="G8615" s="34" t="n">
        <f aca="false">B8615/1</f>
        <v>161.846</v>
      </c>
      <c r="H8615" s="34" t="n">
        <f aca="false">IF(F8615=1,G8615,"")</f>
        <v>161.846</v>
      </c>
    </row>
    <row r="8616" customFormat="false" ht="15" hidden="false" customHeight="false" outlineLevel="0" collapsed="false">
      <c r="A8616" s="31" t="n">
        <v>43094.9166666667</v>
      </c>
      <c r="B8616" s="32" t="n">
        <v>123.805</v>
      </c>
      <c r="D8616" s="33" t="n">
        <f aca="false">WEEKDAY(A8616,2)</f>
        <v>1</v>
      </c>
      <c r="E8616" s="33" t="n">
        <f aca="false">HOUR(A8616)+MINUTE(A8616)/60</f>
        <v>22</v>
      </c>
      <c r="F8616" s="33" t="n">
        <f aca="false">IF(OR(D8616&gt;5,E8616&lt;8,E8616&gt;=18,COUNTIF($K$2:$K$10,INT(A8616))&gt;0),1,0)</f>
        <v>1</v>
      </c>
      <c r="G8616" s="34" t="n">
        <f aca="false">B8616/1</f>
        <v>123.805</v>
      </c>
      <c r="H8616" s="34" t="n">
        <f aca="false">IF(F8616=1,G8616,"")</f>
        <v>123.805</v>
      </c>
    </row>
    <row r="8617" customFormat="false" ht="15" hidden="false" customHeight="false" outlineLevel="0" collapsed="false">
      <c r="A8617" s="31" t="n">
        <v>43094.9583333333</v>
      </c>
      <c r="B8617" s="32" t="n">
        <v>69.507</v>
      </c>
      <c r="D8617" s="33" t="n">
        <f aca="false">WEEKDAY(A8617,2)</f>
        <v>1</v>
      </c>
      <c r="E8617" s="33" t="n">
        <f aca="false">HOUR(A8617)+MINUTE(A8617)/60</f>
        <v>23</v>
      </c>
      <c r="F8617" s="33" t="n">
        <f aca="false">IF(OR(D8617&gt;5,E8617&lt;8,E8617&gt;=18,COUNTIF($K$2:$K$10,INT(A8617))&gt;0),1,0)</f>
        <v>1</v>
      </c>
      <c r="G8617" s="34" t="n">
        <f aca="false">B8617/1</f>
        <v>69.507</v>
      </c>
      <c r="H8617" s="34" t="n">
        <f aca="false">IF(F8617=1,G8617,"")</f>
        <v>69.507</v>
      </c>
    </row>
    <row r="8618" customFormat="false" ht="15" hidden="false" customHeight="false" outlineLevel="0" collapsed="false">
      <c r="A8618" s="31" t="n">
        <v>43095</v>
      </c>
      <c r="B8618" s="32" t="n">
        <v>68.467</v>
      </c>
      <c r="D8618" s="33" t="n">
        <f aca="false">WEEKDAY(A8618,2)</f>
        <v>2</v>
      </c>
      <c r="E8618" s="33" t="n">
        <f aca="false">HOUR(A8618)+MINUTE(A8618)/60</f>
        <v>0</v>
      </c>
      <c r="F8618" s="33" t="n">
        <f aca="false">IF(OR(D8618&gt;5,E8618&lt;8,E8618&gt;=18,COUNTIF($K$2:$K$10,INT(A8618))&gt;0),1,0)</f>
        <v>1</v>
      </c>
      <c r="G8618" s="34" t="n">
        <f aca="false">B8618/1</f>
        <v>68.467</v>
      </c>
      <c r="H8618" s="34" t="n">
        <f aca="false">IF(F8618=1,G8618,"")</f>
        <v>68.467</v>
      </c>
    </row>
    <row r="8619" customFormat="false" ht="15" hidden="false" customHeight="false" outlineLevel="0" collapsed="false">
      <c r="A8619" s="31" t="n">
        <v>43095.0416666667</v>
      </c>
      <c r="B8619" s="32" t="n">
        <v>64.31</v>
      </c>
      <c r="D8619" s="33" t="n">
        <f aca="false">WEEKDAY(A8619,2)</f>
        <v>2</v>
      </c>
      <c r="E8619" s="33" t="n">
        <f aca="false">HOUR(A8619)+MINUTE(A8619)/60</f>
        <v>1</v>
      </c>
      <c r="F8619" s="33" t="n">
        <f aca="false">IF(OR(D8619&gt;5,E8619&lt;8,E8619&gt;=18,COUNTIF($K$2:$K$10,INT(A8619))&gt;0),1,0)</f>
        <v>1</v>
      </c>
      <c r="G8619" s="34" t="n">
        <f aca="false">B8619/1</f>
        <v>64.31</v>
      </c>
      <c r="H8619" s="34" t="n">
        <f aca="false">IF(F8619=1,G8619,"")</f>
        <v>64.31</v>
      </c>
    </row>
    <row r="8620" customFormat="false" ht="15" hidden="false" customHeight="false" outlineLevel="0" collapsed="false">
      <c r="A8620" s="31" t="n">
        <v>43095.0833333333</v>
      </c>
      <c r="B8620" s="32" t="n">
        <v>63.689</v>
      </c>
      <c r="D8620" s="33" t="n">
        <f aca="false">WEEKDAY(A8620,2)</f>
        <v>2</v>
      </c>
      <c r="E8620" s="33" t="n">
        <f aca="false">HOUR(A8620)+MINUTE(A8620)/60</f>
        <v>2</v>
      </c>
      <c r="F8620" s="33" t="n">
        <f aca="false">IF(OR(D8620&gt;5,E8620&lt;8,E8620&gt;=18,COUNTIF($K$2:$K$10,INT(A8620))&gt;0),1,0)</f>
        <v>1</v>
      </c>
      <c r="G8620" s="34" t="n">
        <f aca="false">B8620/1</f>
        <v>63.689</v>
      </c>
      <c r="H8620" s="34" t="n">
        <f aca="false">IF(F8620=1,G8620,"")</f>
        <v>63.689</v>
      </c>
    </row>
    <row r="8621" customFormat="false" ht="15" hidden="false" customHeight="false" outlineLevel="0" collapsed="false">
      <c r="A8621" s="31" t="n">
        <v>43095.125</v>
      </c>
      <c r="B8621" s="32" t="n">
        <v>64.888</v>
      </c>
      <c r="D8621" s="33" t="n">
        <f aca="false">WEEKDAY(A8621,2)</f>
        <v>2</v>
      </c>
      <c r="E8621" s="33" t="n">
        <f aca="false">HOUR(A8621)+MINUTE(A8621)/60</f>
        <v>3</v>
      </c>
      <c r="F8621" s="33" t="n">
        <f aca="false">IF(OR(D8621&gt;5,E8621&lt;8,E8621&gt;=18,COUNTIF($K$2:$K$10,INT(A8621))&gt;0),1,0)</f>
        <v>1</v>
      </c>
      <c r="G8621" s="34" t="n">
        <f aca="false">B8621/1</f>
        <v>64.888</v>
      </c>
      <c r="H8621" s="34" t="n">
        <f aca="false">IF(F8621=1,G8621,"")</f>
        <v>64.888</v>
      </c>
    </row>
    <row r="8622" customFormat="false" ht="15" hidden="false" customHeight="false" outlineLevel="0" collapsed="false">
      <c r="A8622" s="31" t="n">
        <v>43095.1666666667</v>
      </c>
      <c r="B8622" s="32" t="n">
        <v>66.842</v>
      </c>
      <c r="D8622" s="33" t="n">
        <f aca="false">WEEKDAY(A8622,2)</f>
        <v>2</v>
      </c>
      <c r="E8622" s="33" t="n">
        <f aca="false">HOUR(A8622)+MINUTE(A8622)/60</f>
        <v>4</v>
      </c>
      <c r="F8622" s="33" t="n">
        <f aca="false">IF(OR(D8622&gt;5,E8622&lt;8,E8622&gt;=18,COUNTIF($K$2:$K$10,INT(A8622))&gt;0),1,0)</f>
        <v>1</v>
      </c>
      <c r="G8622" s="34" t="n">
        <f aca="false">B8622/1</f>
        <v>66.842</v>
      </c>
      <c r="H8622" s="34" t="n">
        <f aca="false">IF(F8622=1,G8622,"")</f>
        <v>66.842</v>
      </c>
    </row>
    <row r="8623" customFormat="false" ht="15" hidden="false" customHeight="false" outlineLevel="0" collapsed="false">
      <c r="A8623" s="31" t="n">
        <v>43095.2083333333</v>
      </c>
      <c r="B8623" s="32" t="n">
        <v>65.271</v>
      </c>
      <c r="D8623" s="33" t="n">
        <f aca="false">WEEKDAY(A8623,2)</f>
        <v>2</v>
      </c>
      <c r="E8623" s="33" t="n">
        <f aca="false">HOUR(A8623)+MINUTE(A8623)/60</f>
        <v>5</v>
      </c>
      <c r="F8623" s="33" t="n">
        <f aca="false">IF(OR(D8623&gt;5,E8623&lt;8,E8623&gt;=18,COUNTIF($K$2:$K$10,INT(A8623))&gt;0),1,0)</f>
        <v>1</v>
      </c>
      <c r="G8623" s="34" t="n">
        <f aca="false">B8623/1</f>
        <v>65.271</v>
      </c>
      <c r="H8623" s="34" t="n">
        <f aca="false">IF(F8623=1,G8623,"")</f>
        <v>65.271</v>
      </c>
    </row>
    <row r="8624" customFormat="false" ht="15" hidden="false" customHeight="false" outlineLevel="0" collapsed="false">
      <c r="A8624" s="31" t="n">
        <v>43095.25</v>
      </c>
      <c r="B8624" s="32" t="n">
        <v>62.951</v>
      </c>
      <c r="D8624" s="33" t="n">
        <f aca="false">WEEKDAY(A8624,2)</f>
        <v>2</v>
      </c>
      <c r="E8624" s="33" t="n">
        <f aca="false">HOUR(A8624)+MINUTE(A8624)/60</f>
        <v>6</v>
      </c>
      <c r="F8624" s="33" t="n">
        <f aca="false">IF(OR(D8624&gt;5,E8624&lt;8,E8624&gt;=18,COUNTIF($K$2:$K$10,INT(A8624))&gt;0),1,0)</f>
        <v>1</v>
      </c>
      <c r="G8624" s="34" t="n">
        <f aca="false">B8624/1</f>
        <v>62.951</v>
      </c>
      <c r="H8624" s="34" t="n">
        <f aca="false">IF(F8624=1,G8624,"")</f>
        <v>62.951</v>
      </c>
    </row>
    <row r="8625" customFormat="false" ht="15" hidden="false" customHeight="false" outlineLevel="0" collapsed="false">
      <c r="A8625" s="31" t="n">
        <v>43095.2916666667</v>
      </c>
      <c r="B8625" s="32" t="n">
        <v>68.618</v>
      </c>
      <c r="D8625" s="33" t="n">
        <f aca="false">WEEKDAY(A8625,2)</f>
        <v>2</v>
      </c>
      <c r="E8625" s="33" t="n">
        <f aca="false">HOUR(A8625)+MINUTE(A8625)/60</f>
        <v>7</v>
      </c>
      <c r="F8625" s="33" t="n">
        <f aca="false">IF(OR(D8625&gt;5,E8625&lt;8,E8625&gt;=18,COUNTIF($K$2:$K$10,INT(A8625))&gt;0),1,0)</f>
        <v>1</v>
      </c>
      <c r="G8625" s="34" t="n">
        <f aca="false">B8625/1</f>
        <v>68.618</v>
      </c>
      <c r="H8625" s="34" t="n">
        <f aca="false">IF(F8625=1,G8625,"")</f>
        <v>68.618</v>
      </c>
    </row>
    <row r="8626" customFormat="false" ht="15" hidden="false" customHeight="false" outlineLevel="0" collapsed="false">
      <c r="A8626" s="31" t="n">
        <v>43095.3333333333</v>
      </c>
      <c r="B8626" s="32" t="n">
        <v>157.513</v>
      </c>
      <c r="D8626" s="33" t="n">
        <f aca="false">WEEKDAY(A8626,2)</f>
        <v>2</v>
      </c>
      <c r="E8626" s="33" t="n">
        <f aca="false">HOUR(A8626)+MINUTE(A8626)/60</f>
        <v>8</v>
      </c>
      <c r="F8626" s="33" t="n">
        <f aca="false">IF(OR(D8626&gt;5,E8626&lt;8,E8626&gt;=18,COUNTIF($K$2:$K$10,INT(A8626))&gt;0),1,0)</f>
        <v>0</v>
      </c>
      <c r="G8626" s="34" t="n">
        <f aca="false">B8626/1</f>
        <v>157.513</v>
      </c>
      <c r="H8626" s="34" t="str">
        <f aca="false">IF(F8626=1,G8626,"")</f>
        <v/>
      </c>
    </row>
    <row r="8627" customFormat="false" ht="15" hidden="false" customHeight="false" outlineLevel="0" collapsed="false">
      <c r="A8627" s="31" t="n">
        <v>43095.375</v>
      </c>
      <c r="B8627" s="32" t="n">
        <v>165.742</v>
      </c>
      <c r="D8627" s="33" t="n">
        <f aca="false">WEEKDAY(A8627,2)</f>
        <v>2</v>
      </c>
      <c r="E8627" s="33" t="n">
        <f aca="false">HOUR(A8627)+MINUTE(A8627)/60</f>
        <v>9</v>
      </c>
      <c r="F8627" s="33" t="n">
        <f aca="false">IF(OR(D8627&gt;5,E8627&lt;8,E8627&gt;=18,COUNTIF($K$2:$K$10,INT(A8627))&gt;0),1,0)</f>
        <v>0</v>
      </c>
      <c r="G8627" s="34" t="n">
        <f aca="false">B8627/1</f>
        <v>165.742</v>
      </c>
      <c r="H8627" s="34" t="str">
        <f aca="false">IF(F8627=1,G8627,"")</f>
        <v/>
      </c>
    </row>
    <row r="8628" customFormat="false" ht="15" hidden="false" customHeight="false" outlineLevel="0" collapsed="false">
      <c r="A8628" s="31" t="n">
        <v>43095.4166666667</v>
      </c>
      <c r="B8628" s="32" t="n">
        <v>164.925</v>
      </c>
      <c r="D8628" s="33" t="n">
        <f aca="false">WEEKDAY(A8628,2)</f>
        <v>2</v>
      </c>
      <c r="E8628" s="33" t="n">
        <f aca="false">HOUR(A8628)+MINUTE(A8628)/60</f>
        <v>10</v>
      </c>
      <c r="F8628" s="33" t="n">
        <f aca="false">IF(OR(D8628&gt;5,E8628&lt;8,E8628&gt;=18,COUNTIF($K$2:$K$10,INT(A8628))&gt;0),1,0)</f>
        <v>0</v>
      </c>
      <c r="G8628" s="34" t="n">
        <f aca="false">B8628/1</f>
        <v>164.925</v>
      </c>
      <c r="H8628" s="34" t="str">
        <f aca="false">IF(F8628=1,G8628,"")</f>
        <v/>
      </c>
    </row>
    <row r="8629" customFormat="false" ht="15" hidden="false" customHeight="false" outlineLevel="0" collapsed="false">
      <c r="A8629" s="31" t="n">
        <v>43095.4583333333</v>
      </c>
      <c r="B8629" s="32" t="n">
        <v>165.52</v>
      </c>
      <c r="D8629" s="33" t="n">
        <f aca="false">WEEKDAY(A8629,2)</f>
        <v>2</v>
      </c>
      <c r="E8629" s="33" t="n">
        <f aca="false">HOUR(A8629)+MINUTE(A8629)/60</f>
        <v>11</v>
      </c>
      <c r="F8629" s="33" t="n">
        <f aca="false">IF(OR(D8629&gt;5,E8629&lt;8,E8629&gt;=18,COUNTIF($K$2:$K$10,INT(A8629))&gt;0),1,0)</f>
        <v>0</v>
      </c>
      <c r="G8629" s="34" t="n">
        <f aca="false">B8629/1</f>
        <v>165.52</v>
      </c>
      <c r="H8629" s="34" t="str">
        <f aca="false">IF(F8629=1,G8629,"")</f>
        <v/>
      </c>
    </row>
    <row r="8630" customFormat="false" ht="15" hidden="false" customHeight="false" outlineLevel="0" collapsed="false">
      <c r="A8630" s="31" t="n">
        <v>43095.5</v>
      </c>
      <c r="B8630" s="32" t="n">
        <v>164.627</v>
      </c>
      <c r="D8630" s="33" t="n">
        <f aca="false">WEEKDAY(A8630,2)</f>
        <v>2</v>
      </c>
      <c r="E8630" s="33" t="n">
        <f aca="false">HOUR(A8630)+MINUTE(A8630)/60</f>
        <v>12</v>
      </c>
      <c r="F8630" s="33" t="n">
        <f aca="false">IF(OR(D8630&gt;5,E8630&lt;8,E8630&gt;=18,COUNTIF($K$2:$K$10,INT(A8630))&gt;0),1,0)</f>
        <v>0</v>
      </c>
      <c r="G8630" s="34" t="n">
        <f aca="false">B8630/1</f>
        <v>164.627</v>
      </c>
      <c r="H8630" s="34" t="str">
        <f aca="false">IF(F8630=1,G8630,"")</f>
        <v/>
      </c>
    </row>
    <row r="8631" customFormat="false" ht="15" hidden="false" customHeight="false" outlineLevel="0" collapsed="false">
      <c r="A8631" s="31" t="n">
        <v>43095.5416666667</v>
      </c>
      <c r="B8631" s="32" t="n">
        <v>167.036</v>
      </c>
      <c r="D8631" s="33" t="n">
        <f aca="false">WEEKDAY(A8631,2)</f>
        <v>2</v>
      </c>
      <c r="E8631" s="33" t="n">
        <f aca="false">HOUR(A8631)+MINUTE(A8631)/60</f>
        <v>13</v>
      </c>
      <c r="F8631" s="33" t="n">
        <f aca="false">IF(OR(D8631&gt;5,E8631&lt;8,E8631&gt;=18,COUNTIF($K$2:$K$10,INT(A8631))&gt;0),1,0)</f>
        <v>0</v>
      </c>
      <c r="G8631" s="34" t="n">
        <f aca="false">B8631/1</f>
        <v>167.036</v>
      </c>
      <c r="H8631" s="34" t="str">
        <f aca="false">IF(F8631=1,G8631,"")</f>
        <v/>
      </c>
    </row>
    <row r="8632" customFormat="false" ht="15" hidden="false" customHeight="false" outlineLevel="0" collapsed="false">
      <c r="A8632" s="31" t="n">
        <v>43095.5833333333</v>
      </c>
      <c r="B8632" s="32" t="n">
        <v>168.237</v>
      </c>
      <c r="D8632" s="33" t="n">
        <f aca="false">WEEKDAY(A8632,2)</f>
        <v>2</v>
      </c>
      <c r="E8632" s="33" t="n">
        <f aca="false">HOUR(A8632)+MINUTE(A8632)/60</f>
        <v>14</v>
      </c>
      <c r="F8632" s="33" t="n">
        <f aca="false">IF(OR(D8632&gt;5,E8632&lt;8,E8632&gt;=18,COUNTIF($K$2:$K$10,INT(A8632))&gt;0),1,0)</f>
        <v>0</v>
      </c>
      <c r="G8632" s="34" t="n">
        <f aca="false">B8632/1</f>
        <v>168.237</v>
      </c>
      <c r="H8632" s="34" t="str">
        <f aca="false">IF(F8632=1,G8632,"")</f>
        <v/>
      </c>
    </row>
    <row r="8633" customFormat="false" ht="15" hidden="false" customHeight="false" outlineLevel="0" collapsed="false">
      <c r="A8633" s="31" t="n">
        <v>43095.625</v>
      </c>
      <c r="B8633" s="32" t="n">
        <v>163.682</v>
      </c>
      <c r="D8633" s="33" t="n">
        <f aca="false">WEEKDAY(A8633,2)</f>
        <v>2</v>
      </c>
      <c r="E8633" s="33" t="n">
        <f aca="false">HOUR(A8633)+MINUTE(A8633)/60</f>
        <v>15</v>
      </c>
      <c r="F8633" s="33" t="n">
        <f aca="false">IF(OR(D8633&gt;5,E8633&lt;8,E8633&gt;=18,COUNTIF($K$2:$K$10,INT(A8633))&gt;0),1,0)</f>
        <v>0</v>
      </c>
      <c r="G8633" s="34" t="n">
        <f aca="false">B8633/1</f>
        <v>163.682</v>
      </c>
      <c r="H8633" s="34" t="str">
        <f aca="false">IF(F8633=1,G8633,"")</f>
        <v/>
      </c>
    </row>
    <row r="8634" customFormat="false" ht="15" hidden="false" customHeight="false" outlineLevel="0" collapsed="false">
      <c r="A8634" s="31" t="n">
        <v>43095.6666666667</v>
      </c>
      <c r="B8634" s="32" t="n">
        <v>164.986</v>
      </c>
      <c r="D8634" s="33" t="n">
        <f aca="false">WEEKDAY(A8634,2)</f>
        <v>2</v>
      </c>
      <c r="E8634" s="33" t="n">
        <f aca="false">HOUR(A8634)+MINUTE(A8634)/60</f>
        <v>16</v>
      </c>
      <c r="F8634" s="33" t="n">
        <f aca="false">IF(OR(D8634&gt;5,E8634&lt;8,E8634&gt;=18,COUNTIF($K$2:$K$10,INT(A8634))&gt;0),1,0)</f>
        <v>0</v>
      </c>
      <c r="G8634" s="34" t="n">
        <f aca="false">B8634/1</f>
        <v>164.986</v>
      </c>
      <c r="H8634" s="34" t="str">
        <f aca="false">IF(F8634=1,G8634,"")</f>
        <v/>
      </c>
    </row>
    <row r="8635" customFormat="false" ht="15" hidden="false" customHeight="false" outlineLevel="0" collapsed="false">
      <c r="A8635" s="31" t="n">
        <v>43095.7083333333</v>
      </c>
      <c r="B8635" s="32" t="n">
        <v>164.577</v>
      </c>
      <c r="D8635" s="33" t="n">
        <f aca="false">WEEKDAY(A8635,2)</f>
        <v>2</v>
      </c>
      <c r="E8635" s="33" t="n">
        <f aca="false">HOUR(A8635)+MINUTE(A8635)/60</f>
        <v>17</v>
      </c>
      <c r="F8635" s="33" t="n">
        <f aca="false">IF(OR(D8635&gt;5,E8635&lt;8,E8635&gt;=18,COUNTIF($K$2:$K$10,INT(A8635))&gt;0),1,0)</f>
        <v>0</v>
      </c>
      <c r="G8635" s="34" t="n">
        <f aca="false">B8635/1</f>
        <v>164.577</v>
      </c>
      <c r="H8635" s="34" t="str">
        <f aca="false">IF(F8635=1,G8635,"")</f>
        <v/>
      </c>
    </row>
    <row r="8636" customFormat="false" ht="15" hidden="false" customHeight="false" outlineLevel="0" collapsed="false">
      <c r="A8636" s="31" t="n">
        <v>43095.75</v>
      </c>
      <c r="B8636" s="32" t="n">
        <v>167.063</v>
      </c>
      <c r="D8636" s="33" t="n">
        <f aca="false">WEEKDAY(A8636,2)</f>
        <v>2</v>
      </c>
      <c r="E8636" s="33" t="n">
        <f aca="false">HOUR(A8636)+MINUTE(A8636)/60</f>
        <v>18</v>
      </c>
      <c r="F8636" s="33" t="n">
        <f aca="false">IF(OR(D8636&gt;5,E8636&lt;8,E8636&gt;=18,COUNTIF($K$2:$K$10,INT(A8636))&gt;0),1,0)</f>
        <v>1</v>
      </c>
      <c r="G8636" s="34" t="n">
        <f aca="false">B8636/1</f>
        <v>167.063</v>
      </c>
      <c r="H8636" s="34" t="n">
        <f aca="false">IF(F8636=1,G8636,"")</f>
        <v>167.063</v>
      </c>
    </row>
    <row r="8637" customFormat="false" ht="15" hidden="false" customHeight="false" outlineLevel="0" collapsed="false">
      <c r="A8637" s="31" t="n">
        <v>43095.7916666667</v>
      </c>
      <c r="B8637" s="32" t="n">
        <v>166.611</v>
      </c>
      <c r="D8637" s="33" t="n">
        <f aca="false">WEEKDAY(A8637,2)</f>
        <v>2</v>
      </c>
      <c r="E8637" s="33" t="n">
        <f aca="false">HOUR(A8637)+MINUTE(A8637)/60</f>
        <v>19</v>
      </c>
      <c r="F8637" s="33" t="n">
        <f aca="false">IF(OR(D8637&gt;5,E8637&lt;8,E8637&gt;=18,COUNTIF($K$2:$K$10,INT(A8637))&gt;0),1,0)</f>
        <v>1</v>
      </c>
      <c r="G8637" s="34" t="n">
        <f aca="false">B8637/1</f>
        <v>166.611</v>
      </c>
      <c r="H8637" s="34" t="n">
        <f aca="false">IF(F8637=1,G8637,"")</f>
        <v>166.611</v>
      </c>
    </row>
    <row r="8638" customFormat="false" ht="15" hidden="false" customHeight="false" outlineLevel="0" collapsed="false">
      <c r="A8638" s="31" t="n">
        <v>43095.8333333333</v>
      </c>
      <c r="B8638" s="32" t="n">
        <v>164.466</v>
      </c>
      <c r="D8638" s="33" t="n">
        <f aca="false">WEEKDAY(A8638,2)</f>
        <v>2</v>
      </c>
      <c r="E8638" s="33" t="n">
        <f aca="false">HOUR(A8638)+MINUTE(A8638)/60</f>
        <v>20</v>
      </c>
      <c r="F8638" s="33" t="n">
        <f aca="false">IF(OR(D8638&gt;5,E8638&lt;8,E8638&gt;=18,COUNTIF($K$2:$K$10,INT(A8638))&gt;0),1,0)</f>
        <v>1</v>
      </c>
      <c r="G8638" s="34" t="n">
        <f aca="false">B8638/1</f>
        <v>164.466</v>
      </c>
      <c r="H8638" s="34" t="n">
        <f aca="false">IF(F8638=1,G8638,"")</f>
        <v>164.466</v>
      </c>
    </row>
    <row r="8639" customFormat="false" ht="15" hidden="false" customHeight="false" outlineLevel="0" collapsed="false">
      <c r="A8639" s="31" t="n">
        <v>43095.875</v>
      </c>
      <c r="B8639" s="32" t="n">
        <v>163.755</v>
      </c>
      <c r="D8639" s="33" t="n">
        <f aca="false">WEEKDAY(A8639,2)</f>
        <v>2</v>
      </c>
      <c r="E8639" s="33" t="n">
        <f aca="false">HOUR(A8639)+MINUTE(A8639)/60</f>
        <v>21</v>
      </c>
      <c r="F8639" s="33" t="n">
        <f aca="false">IF(OR(D8639&gt;5,E8639&lt;8,E8639&gt;=18,COUNTIF($K$2:$K$10,INT(A8639))&gt;0),1,0)</f>
        <v>1</v>
      </c>
      <c r="G8639" s="34" t="n">
        <f aca="false">B8639/1</f>
        <v>163.755</v>
      </c>
      <c r="H8639" s="34" t="n">
        <f aca="false">IF(F8639=1,G8639,"")</f>
        <v>163.755</v>
      </c>
    </row>
    <row r="8640" customFormat="false" ht="15" hidden="false" customHeight="false" outlineLevel="0" collapsed="false">
      <c r="A8640" s="31" t="n">
        <v>43095.9166666667</v>
      </c>
      <c r="B8640" s="32" t="n">
        <v>122.489</v>
      </c>
      <c r="D8640" s="33" t="n">
        <f aca="false">WEEKDAY(A8640,2)</f>
        <v>2</v>
      </c>
      <c r="E8640" s="33" t="n">
        <f aca="false">HOUR(A8640)+MINUTE(A8640)/60</f>
        <v>22</v>
      </c>
      <c r="F8640" s="33" t="n">
        <f aca="false">IF(OR(D8640&gt;5,E8640&lt;8,E8640&gt;=18,COUNTIF($K$2:$K$10,INT(A8640))&gt;0),1,0)</f>
        <v>1</v>
      </c>
      <c r="G8640" s="34" t="n">
        <f aca="false">B8640/1</f>
        <v>122.489</v>
      </c>
      <c r="H8640" s="34" t="n">
        <f aca="false">IF(F8640=1,G8640,"")</f>
        <v>122.489</v>
      </c>
    </row>
    <row r="8641" customFormat="false" ht="15" hidden="false" customHeight="false" outlineLevel="0" collapsed="false">
      <c r="A8641" s="31" t="n">
        <v>43095.9583333333</v>
      </c>
      <c r="B8641" s="32" t="n">
        <v>68.261</v>
      </c>
      <c r="D8641" s="33" t="n">
        <f aca="false">WEEKDAY(A8641,2)</f>
        <v>2</v>
      </c>
      <c r="E8641" s="33" t="n">
        <f aca="false">HOUR(A8641)+MINUTE(A8641)/60</f>
        <v>23</v>
      </c>
      <c r="F8641" s="33" t="n">
        <f aca="false">IF(OR(D8641&gt;5,E8641&lt;8,E8641&gt;=18,COUNTIF($K$2:$K$10,INT(A8641))&gt;0),1,0)</f>
        <v>1</v>
      </c>
      <c r="G8641" s="34" t="n">
        <f aca="false">B8641/1</f>
        <v>68.261</v>
      </c>
      <c r="H8641" s="34" t="n">
        <f aca="false">IF(F8641=1,G8641,"")</f>
        <v>68.261</v>
      </c>
    </row>
    <row r="8642" customFormat="false" ht="15" hidden="false" customHeight="false" outlineLevel="0" collapsed="false">
      <c r="A8642" s="31" t="n">
        <v>43096</v>
      </c>
      <c r="B8642" s="32" t="n">
        <v>67.848</v>
      </c>
      <c r="D8642" s="33" t="n">
        <f aca="false">WEEKDAY(A8642,2)</f>
        <v>3</v>
      </c>
      <c r="E8642" s="33" t="n">
        <f aca="false">HOUR(A8642)+MINUTE(A8642)/60</f>
        <v>0</v>
      </c>
      <c r="F8642" s="33" t="n">
        <f aca="false">IF(OR(D8642&gt;5,E8642&lt;8,E8642&gt;=18,COUNTIF($K$2:$K$10,INT(A8642))&gt;0),1,0)</f>
        <v>1</v>
      </c>
      <c r="G8642" s="34" t="n">
        <f aca="false">B8642/1</f>
        <v>67.848</v>
      </c>
      <c r="H8642" s="34" t="n">
        <f aca="false">IF(F8642=1,G8642,"")</f>
        <v>67.848</v>
      </c>
    </row>
    <row r="8643" customFormat="false" ht="15" hidden="false" customHeight="false" outlineLevel="0" collapsed="false">
      <c r="A8643" s="31" t="n">
        <v>43096.0416666667</v>
      </c>
      <c r="B8643" s="32" t="n">
        <v>67.27</v>
      </c>
      <c r="D8643" s="33" t="n">
        <f aca="false">WEEKDAY(A8643,2)</f>
        <v>3</v>
      </c>
      <c r="E8643" s="33" t="n">
        <f aca="false">HOUR(A8643)+MINUTE(A8643)/60</f>
        <v>1</v>
      </c>
      <c r="F8643" s="33" t="n">
        <f aca="false">IF(OR(D8643&gt;5,E8643&lt;8,E8643&gt;=18,COUNTIF($K$2:$K$10,INT(A8643))&gt;0),1,0)</f>
        <v>1</v>
      </c>
      <c r="G8643" s="34" t="n">
        <f aca="false">B8643/1</f>
        <v>67.27</v>
      </c>
      <c r="H8643" s="34" t="n">
        <f aca="false">IF(F8643=1,G8643,"")</f>
        <v>67.27</v>
      </c>
    </row>
    <row r="8644" customFormat="false" ht="15" hidden="false" customHeight="false" outlineLevel="0" collapsed="false">
      <c r="A8644" s="31" t="n">
        <v>43096.0833333333</v>
      </c>
      <c r="B8644" s="32" t="n">
        <v>64.862</v>
      </c>
      <c r="D8644" s="33" t="n">
        <f aca="false">WEEKDAY(A8644,2)</f>
        <v>3</v>
      </c>
      <c r="E8644" s="33" t="n">
        <f aca="false">HOUR(A8644)+MINUTE(A8644)/60</f>
        <v>2</v>
      </c>
      <c r="F8644" s="33" t="n">
        <f aca="false">IF(OR(D8644&gt;5,E8644&lt;8,E8644&gt;=18,COUNTIF($K$2:$K$10,INT(A8644))&gt;0),1,0)</f>
        <v>1</v>
      </c>
      <c r="G8644" s="34" t="n">
        <f aca="false">B8644/1</f>
        <v>64.862</v>
      </c>
      <c r="H8644" s="34" t="n">
        <f aca="false">IF(F8644=1,G8644,"")</f>
        <v>64.862</v>
      </c>
    </row>
    <row r="8645" customFormat="false" ht="15" hidden="false" customHeight="false" outlineLevel="0" collapsed="false">
      <c r="A8645" s="31" t="n">
        <v>43096.125</v>
      </c>
      <c r="B8645" s="32" t="n">
        <v>64.939</v>
      </c>
      <c r="D8645" s="33" t="n">
        <f aca="false">WEEKDAY(A8645,2)</f>
        <v>3</v>
      </c>
      <c r="E8645" s="33" t="n">
        <f aca="false">HOUR(A8645)+MINUTE(A8645)/60</f>
        <v>3</v>
      </c>
      <c r="F8645" s="33" t="n">
        <f aca="false">IF(OR(D8645&gt;5,E8645&lt;8,E8645&gt;=18,COUNTIF($K$2:$K$10,INT(A8645))&gt;0),1,0)</f>
        <v>1</v>
      </c>
      <c r="G8645" s="34" t="n">
        <f aca="false">B8645/1</f>
        <v>64.939</v>
      </c>
      <c r="H8645" s="34" t="n">
        <f aca="false">IF(F8645=1,G8645,"")</f>
        <v>64.939</v>
      </c>
    </row>
    <row r="8646" customFormat="false" ht="15" hidden="false" customHeight="false" outlineLevel="0" collapsed="false">
      <c r="A8646" s="31" t="n">
        <v>43096.1666666667</v>
      </c>
      <c r="B8646" s="32" t="n">
        <v>65.878</v>
      </c>
      <c r="D8646" s="33" t="n">
        <f aca="false">WEEKDAY(A8646,2)</f>
        <v>3</v>
      </c>
      <c r="E8646" s="33" t="n">
        <f aca="false">HOUR(A8646)+MINUTE(A8646)/60</f>
        <v>4</v>
      </c>
      <c r="F8646" s="33" t="n">
        <f aca="false">IF(OR(D8646&gt;5,E8646&lt;8,E8646&gt;=18,COUNTIF($K$2:$K$10,INT(A8646))&gt;0),1,0)</f>
        <v>1</v>
      </c>
      <c r="G8646" s="34" t="n">
        <f aca="false">B8646/1</f>
        <v>65.878</v>
      </c>
      <c r="H8646" s="34" t="n">
        <f aca="false">IF(F8646=1,G8646,"")</f>
        <v>65.878</v>
      </c>
    </row>
    <row r="8647" customFormat="false" ht="15" hidden="false" customHeight="false" outlineLevel="0" collapsed="false">
      <c r="A8647" s="31" t="n">
        <v>43096.2083333333</v>
      </c>
      <c r="B8647" s="32" t="n">
        <v>66.138</v>
      </c>
      <c r="D8647" s="33" t="n">
        <f aca="false">WEEKDAY(A8647,2)</f>
        <v>3</v>
      </c>
      <c r="E8647" s="33" t="n">
        <f aca="false">HOUR(A8647)+MINUTE(A8647)/60</f>
        <v>5</v>
      </c>
      <c r="F8647" s="33" t="n">
        <f aca="false">IF(OR(D8647&gt;5,E8647&lt;8,E8647&gt;=18,COUNTIF($K$2:$K$10,INT(A8647))&gt;0),1,0)</f>
        <v>1</v>
      </c>
      <c r="G8647" s="34" t="n">
        <f aca="false">B8647/1</f>
        <v>66.138</v>
      </c>
      <c r="H8647" s="34" t="n">
        <f aca="false">IF(F8647=1,G8647,"")</f>
        <v>66.138</v>
      </c>
    </row>
    <row r="8648" customFormat="false" ht="15" hidden="false" customHeight="false" outlineLevel="0" collapsed="false">
      <c r="A8648" s="31" t="n">
        <v>43096.25</v>
      </c>
      <c r="B8648" s="32" t="n">
        <v>66.378</v>
      </c>
      <c r="D8648" s="33" t="n">
        <f aca="false">WEEKDAY(A8648,2)</f>
        <v>3</v>
      </c>
      <c r="E8648" s="33" t="n">
        <f aca="false">HOUR(A8648)+MINUTE(A8648)/60</f>
        <v>6</v>
      </c>
      <c r="F8648" s="33" t="n">
        <f aca="false">IF(OR(D8648&gt;5,E8648&lt;8,E8648&gt;=18,COUNTIF($K$2:$K$10,INT(A8648))&gt;0),1,0)</f>
        <v>1</v>
      </c>
      <c r="G8648" s="34" t="n">
        <f aca="false">B8648/1</f>
        <v>66.378</v>
      </c>
      <c r="H8648" s="34" t="n">
        <f aca="false">IF(F8648=1,G8648,"")</f>
        <v>66.378</v>
      </c>
    </row>
    <row r="8649" customFormat="false" ht="15" hidden="false" customHeight="false" outlineLevel="0" collapsed="false">
      <c r="A8649" s="31" t="n">
        <v>43096.2916666667</v>
      </c>
      <c r="B8649" s="32" t="n">
        <v>71.453</v>
      </c>
      <c r="D8649" s="33" t="n">
        <f aca="false">WEEKDAY(A8649,2)</f>
        <v>3</v>
      </c>
      <c r="E8649" s="33" t="n">
        <f aca="false">HOUR(A8649)+MINUTE(A8649)/60</f>
        <v>7</v>
      </c>
      <c r="F8649" s="33" t="n">
        <f aca="false">IF(OR(D8649&gt;5,E8649&lt;8,E8649&gt;=18,COUNTIF($K$2:$K$10,INT(A8649))&gt;0),1,0)</f>
        <v>1</v>
      </c>
      <c r="G8649" s="34" t="n">
        <f aca="false">B8649/1</f>
        <v>71.453</v>
      </c>
      <c r="H8649" s="34" t="n">
        <f aca="false">IF(F8649=1,G8649,"")</f>
        <v>71.453</v>
      </c>
    </row>
    <row r="8650" customFormat="false" ht="15" hidden="false" customHeight="false" outlineLevel="0" collapsed="false">
      <c r="A8650" s="31" t="n">
        <v>43096.3333333333</v>
      </c>
      <c r="B8650" s="32" t="n">
        <v>163.363</v>
      </c>
      <c r="D8650" s="33" t="n">
        <f aca="false">WEEKDAY(A8650,2)</f>
        <v>3</v>
      </c>
      <c r="E8650" s="33" t="n">
        <f aca="false">HOUR(A8650)+MINUTE(A8650)/60</f>
        <v>8</v>
      </c>
      <c r="F8650" s="33" t="n">
        <f aca="false">IF(OR(D8650&gt;5,E8650&lt;8,E8650&gt;=18,COUNTIF($K$2:$K$10,INT(A8650))&gt;0),1,0)</f>
        <v>0</v>
      </c>
      <c r="G8650" s="34" t="n">
        <f aca="false">B8650/1</f>
        <v>163.363</v>
      </c>
      <c r="H8650" s="34" t="str">
        <f aca="false">IF(F8650=1,G8650,"")</f>
        <v/>
      </c>
    </row>
    <row r="8651" customFormat="false" ht="15" hidden="false" customHeight="false" outlineLevel="0" collapsed="false">
      <c r="A8651" s="31" t="n">
        <v>43096.375</v>
      </c>
      <c r="B8651" s="32" t="n">
        <v>186.464</v>
      </c>
      <c r="D8651" s="33" t="n">
        <f aca="false">WEEKDAY(A8651,2)</f>
        <v>3</v>
      </c>
      <c r="E8651" s="33" t="n">
        <f aca="false">HOUR(A8651)+MINUTE(A8651)/60</f>
        <v>9</v>
      </c>
      <c r="F8651" s="33" t="n">
        <f aca="false">IF(OR(D8651&gt;5,E8651&lt;8,E8651&gt;=18,COUNTIF($K$2:$K$10,INT(A8651))&gt;0),1,0)</f>
        <v>0</v>
      </c>
      <c r="G8651" s="34" t="n">
        <f aca="false">B8651/1</f>
        <v>186.464</v>
      </c>
      <c r="H8651" s="34" t="str">
        <f aca="false">IF(F8651=1,G8651,"")</f>
        <v/>
      </c>
    </row>
    <row r="8652" customFormat="false" ht="15" hidden="false" customHeight="false" outlineLevel="0" collapsed="false">
      <c r="A8652" s="31" t="n">
        <v>43096.4166666667</v>
      </c>
      <c r="B8652" s="32" t="n">
        <v>193.422</v>
      </c>
      <c r="D8652" s="33" t="n">
        <f aca="false">WEEKDAY(A8652,2)</f>
        <v>3</v>
      </c>
      <c r="E8652" s="33" t="n">
        <f aca="false">HOUR(A8652)+MINUTE(A8652)/60</f>
        <v>10</v>
      </c>
      <c r="F8652" s="33" t="n">
        <f aca="false">IF(OR(D8652&gt;5,E8652&lt;8,E8652&gt;=18,COUNTIF($K$2:$K$10,INT(A8652))&gt;0),1,0)</f>
        <v>0</v>
      </c>
      <c r="G8652" s="34" t="n">
        <f aca="false">B8652/1</f>
        <v>193.422</v>
      </c>
      <c r="H8652" s="34" t="str">
        <f aca="false">IF(F8652=1,G8652,"")</f>
        <v/>
      </c>
    </row>
    <row r="8653" customFormat="false" ht="15" hidden="false" customHeight="false" outlineLevel="0" collapsed="false">
      <c r="A8653" s="31" t="n">
        <v>43096.4583333333</v>
      </c>
      <c r="B8653" s="32" t="n">
        <v>198.853</v>
      </c>
      <c r="D8653" s="33" t="n">
        <f aca="false">WEEKDAY(A8653,2)</f>
        <v>3</v>
      </c>
      <c r="E8653" s="33" t="n">
        <f aca="false">HOUR(A8653)+MINUTE(A8653)/60</f>
        <v>11</v>
      </c>
      <c r="F8653" s="33" t="n">
        <f aca="false">IF(OR(D8653&gt;5,E8653&lt;8,E8653&gt;=18,COUNTIF($K$2:$K$10,INT(A8653))&gt;0),1,0)</f>
        <v>0</v>
      </c>
      <c r="G8653" s="34" t="n">
        <f aca="false">B8653/1</f>
        <v>198.853</v>
      </c>
      <c r="H8653" s="34" t="str">
        <f aca="false">IF(F8653=1,G8653,"")</f>
        <v/>
      </c>
    </row>
    <row r="8654" customFormat="false" ht="15" hidden="false" customHeight="false" outlineLevel="0" collapsed="false">
      <c r="A8654" s="31" t="n">
        <v>43096.5</v>
      </c>
      <c r="B8654" s="32" t="n">
        <v>200.893</v>
      </c>
      <c r="D8654" s="33" t="n">
        <f aca="false">WEEKDAY(A8654,2)</f>
        <v>3</v>
      </c>
      <c r="E8654" s="33" t="n">
        <f aca="false">HOUR(A8654)+MINUTE(A8654)/60</f>
        <v>12</v>
      </c>
      <c r="F8654" s="33" t="n">
        <f aca="false">IF(OR(D8654&gt;5,E8654&lt;8,E8654&gt;=18,COUNTIF($K$2:$K$10,INT(A8654))&gt;0),1,0)</f>
        <v>0</v>
      </c>
      <c r="G8654" s="34" t="n">
        <f aca="false">B8654/1</f>
        <v>200.893</v>
      </c>
      <c r="H8654" s="34" t="str">
        <f aca="false">IF(F8654=1,G8654,"")</f>
        <v/>
      </c>
    </row>
    <row r="8655" customFormat="false" ht="15" hidden="false" customHeight="false" outlineLevel="0" collapsed="false">
      <c r="A8655" s="31" t="n">
        <v>43096.5416666667</v>
      </c>
      <c r="B8655" s="32" t="n">
        <v>199.508</v>
      </c>
      <c r="D8655" s="33" t="n">
        <f aca="false">WEEKDAY(A8655,2)</f>
        <v>3</v>
      </c>
      <c r="E8655" s="33" t="n">
        <f aca="false">HOUR(A8655)+MINUTE(A8655)/60</f>
        <v>13</v>
      </c>
      <c r="F8655" s="33" t="n">
        <f aca="false">IF(OR(D8655&gt;5,E8655&lt;8,E8655&gt;=18,COUNTIF($K$2:$K$10,INT(A8655))&gt;0),1,0)</f>
        <v>0</v>
      </c>
      <c r="G8655" s="34" t="n">
        <f aca="false">B8655/1</f>
        <v>199.508</v>
      </c>
      <c r="H8655" s="34" t="str">
        <f aca="false">IF(F8655=1,G8655,"")</f>
        <v/>
      </c>
    </row>
    <row r="8656" customFormat="false" ht="15" hidden="false" customHeight="false" outlineLevel="0" collapsed="false">
      <c r="A8656" s="31" t="n">
        <v>43096.5833333333</v>
      </c>
      <c r="B8656" s="32" t="n">
        <v>200.087</v>
      </c>
      <c r="D8656" s="33" t="n">
        <f aca="false">WEEKDAY(A8656,2)</f>
        <v>3</v>
      </c>
      <c r="E8656" s="33" t="n">
        <f aca="false">HOUR(A8656)+MINUTE(A8656)/60</f>
        <v>14</v>
      </c>
      <c r="F8656" s="33" t="n">
        <f aca="false">IF(OR(D8656&gt;5,E8656&lt;8,E8656&gt;=18,COUNTIF($K$2:$K$10,INT(A8656))&gt;0),1,0)</f>
        <v>0</v>
      </c>
      <c r="G8656" s="34" t="n">
        <f aca="false">B8656/1</f>
        <v>200.087</v>
      </c>
      <c r="H8656" s="34" t="str">
        <f aca="false">IF(F8656=1,G8656,"")</f>
        <v/>
      </c>
    </row>
    <row r="8657" customFormat="false" ht="15" hidden="false" customHeight="false" outlineLevel="0" collapsed="false">
      <c r="A8657" s="31" t="n">
        <v>43096.625</v>
      </c>
      <c r="B8657" s="32" t="n">
        <v>201.23</v>
      </c>
      <c r="D8657" s="33" t="n">
        <f aca="false">WEEKDAY(A8657,2)</f>
        <v>3</v>
      </c>
      <c r="E8657" s="33" t="n">
        <f aca="false">HOUR(A8657)+MINUTE(A8657)/60</f>
        <v>15</v>
      </c>
      <c r="F8657" s="33" t="n">
        <f aca="false">IF(OR(D8657&gt;5,E8657&lt;8,E8657&gt;=18,COUNTIF($K$2:$K$10,INT(A8657))&gt;0),1,0)</f>
        <v>0</v>
      </c>
      <c r="G8657" s="34" t="n">
        <f aca="false">B8657/1</f>
        <v>201.23</v>
      </c>
      <c r="H8657" s="34" t="str">
        <f aca="false">IF(F8657=1,G8657,"")</f>
        <v/>
      </c>
    </row>
    <row r="8658" customFormat="false" ht="15" hidden="false" customHeight="false" outlineLevel="0" collapsed="false">
      <c r="A8658" s="31" t="n">
        <v>43096.6666666667</v>
      </c>
      <c r="B8658" s="32" t="n">
        <v>199.599</v>
      </c>
      <c r="D8658" s="33" t="n">
        <f aca="false">WEEKDAY(A8658,2)</f>
        <v>3</v>
      </c>
      <c r="E8658" s="33" t="n">
        <f aca="false">HOUR(A8658)+MINUTE(A8658)/60</f>
        <v>16</v>
      </c>
      <c r="F8658" s="33" t="n">
        <f aca="false">IF(OR(D8658&gt;5,E8658&lt;8,E8658&gt;=18,COUNTIF($K$2:$K$10,INT(A8658))&gt;0),1,0)</f>
        <v>0</v>
      </c>
      <c r="G8658" s="34" t="n">
        <f aca="false">B8658/1</f>
        <v>199.599</v>
      </c>
      <c r="H8658" s="34" t="str">
        <f aca="false">IF(F8658=1,G8658,"")</f>
        <v/>
      </c>
    </row>
    <row r="8659" customFormat="false" ht="15" hidden="false" customHeight="false" outlineLevel="0" collapsed="false">
      <c r="A8659" s="31" t="n">
        <v>43096.7083333333</v>
      </c>
      <c r="B8659" s="32" t="n">
        <v>188.245</v>
      </c>
      <c r="D8659" s="33" t="n">
        <f aca="false">WEEKDAY(A8659,2)</f>
        <v>3</v>
      </c>
      <c r="E8659" s="33" t="n">
        <f aca="false">HOUR(A8659)+MINUTE(A8659)/60</f>
        <v>17</v>
      </c>
      <c r="F8659" s="33" t="n">
        <f aca="false">IF(OR(D8659&gt;5,E8659&lt;8,E8659&gt;=18,COUNTIF($K$2:$K$10,INT(A8659))&gt;0),1,0)</f>
        <v>0</v>
      </c>
      <c r="G8659" s="34" t="n">
        <f aca="false">B8659/1</f>
        <v>188.245</v>
      </c>
      <c r="H8659" s="34" t="str">
        <f aca="false">IF(F8659=1,G8659,"")</f>
        <v/>
      </c>
    </row>
    <row r="8660" customFormat="false" ht="15" hidden="false" customHeight="false" outlineLevel="0" collapsed="false">
      <c r="A8660" s="31" t="n">
        <v>43096.75</v>
      </c>
      <c r="B8660" s="32" t="n">
        <v>181.797</v>
      </c>
      <c r="D8660" s="33" t="n">
        <f aca="false">WEEKDAY(A8660,2)</f>
        <v>3</v>
      </c>
      <c r="E8660" s="33" t="n">
        <f aca="false">HOUR(A8660)+MINUTE(A8660)/60</f>
        <v>18</v>
      </c>
      <c r="F8660" s="33" t="n">
        <f aca="false">IF(OR(D8660&gt;5,E8660&lt;8,E8660&gt;=18,COUNTIF($K$2:$K$10,INT(A8660))&gt;0),1,0)</f>
        <v>1</v>
      </c>
      <c r="G8660" s="34" t="n">
        <f aca="false">B8660/1</f>
        <v>181.797</v>
      </c>
      <c r="H8660" s="34" t="n">
        <f aca="false">IF(F8660=1,G8660,"")</f>
        <v>181.797</v>
      </c>
    </row>
    <row r="8661" customFormat="false" ht="15" hidden="false" customHeight="false" outlineLevel="0" collapsed="false">
      <c r="A8661" s="31" t="n">
        <v>43096.7916666667</v>
      </c>
      <c r="B8661" s="32" t="n">
        <v>174.005</v>
      </c>
      <c r="D8661" s="33" t="n">
        <f aca="false">WEEKDAY(A8661,2)</f>
        <v>3</v>
      </c>
      <c r="E8661" s="33" t="n">
        <f aca="false">HOUR(A8661)+MINUTE(A8661)/60</f>
        <v>19</v>
      </c>
      <c r="F8661" s="33" t="n">
        <f aca="false">IF(OR(D8661&gt;5,E8661&lt;8,E8661&gt;=18,COUNTIF($K$2:$K$10,INT(A8661))&gt;0),1,0)</f>
        <v>1</v>
      </c>
      <c r="G8661" s="34" t="n">
        <f aca="false">B8661/1</f>
        <v>174.005</v>
      </c>
      <c r="H8661" s="34" t="n">
        <f aca="false">IF(F8661=1,G8661,"")</f>
        <v>174.005</v>
      </c>
    </row>
    <row r="8662" customFormat="false" ht="15" hidden="false" customHeight="false" outlineLevel="0" collapsed="false">
      <c r="A8662" s="31" t="n">
        <v>43096.8333333333</v>
      </c>
      <c r="B8662" s="32" t="n">
        <v>170.578</v>
      </c>
      <c r="D8662" s="33" t="n">
        <f aca="false">WEEKDAY(A8662,2)</f>
        <v>3</v>
      </c>
      <c r="E8662" s="33" t="n">
        <f aca="false">HOUR(A8662)+MINUTE(A8662)/60</f>
        <v>20</v>
      </c>
      <c r="F8662" s="33" t="n">
        <f aca="false">IF(OR(D8662&gt;5,E8662&lt;8,E8662&gt;=18,COUNTIF($K$2:$K$10,INT(A8662))&gt;0),1,0)</f>
        <v>1</v>
      </c>
      <c r="G8662" s="34" t="n">
        <f aca="false">B8662/1</f>
        <v>170.578</v>
      </c>
      <c r="H8662" s="34" t="n">
        <f aca="false">IF(F8662=1,G8662,"")</f>
        <v>170.578</v>
      </c>
    </row>
    <row r="8663" customFormat="false" ht="15" hidden="false" customHeight="false" outlineLevel="0" collapsed="false">
      <c r="A8663" s="31" t="n">
        <v>43096.875</v>
      </c>
      <c r="B8663" s="32" t="n">
        <v>170.323</v>
      </c>
      <c r="D8663" s="33" t="n">
        <f aca="false">WEEKDAY(A8663,2)</f>
        <v>3</v>
      </c>
      <c r="E8663" s="33" t="n">
        <f aca="false">HOUR(A8663)+MINUTE(A8663)/60</f>
        <v>21</v>
      </c>
      <c r="F8663" s="33" t="n">
        <f aca="false">IF(OR(D8663&gt;5,E8663&lt;8,E8663&gt;=18,COUNTIF($K$2:$K$10,INT(A8663))&gt;0),1,0)</f>
        <v>1</v>
      </c>
      <c r="G8663" s="34" t="n">
        <f aca="false">B8663/1</f>
        <v>170.323</v>
      </c>
      <c r="H8663" s="34" t="n">
        <f aca="false">IF(F8663=1,G8663,"")</f>
        <v>170.323</v>
      </c>
    </row>
    <row r="8664" customFormat="false" ht="15" hidden="false" customHeight="false" outlineLevel="0" collapsed="false">
      <c r="A8664" s="31" t="n">
        <v>43096.9166666667</v>
      </c>
      <c r="B8664" s="32" t="n">
        <v>127.353</v>
      </c>
      <c r="D8664" s="33" t="n">
        <f aca="false">WEEKDAY(A8664,2)</f>
        <v>3</v>
      </c>
      <c r="E8664" s="33" t="n">
        <f aca="false">HOUR(A8664)+MINUTE(A8664)/60</f>
        <v>22</v>
      </c>
      <c r="F8664" s="33" t="n">
        <f aca="false">IF(OR(D8664&gt;5,E8664&lt;8,E8664&gt;=18,COUNTIF($K$2:$K$10,INT(A8664))&gt;0),1,0)</f>
        <v>1</v>
      </c>
      <c r="G8664" s="34" t="n">
        <f aca="false">B8664/1</f>
        <v>127.353</v>
      </c>
      <c r="H8664" s="34" t="n">
        <f aca="false">IF(F8664=1,G8664,"")</f>
        <v>127.353</v>
      </c>
    </row>
    <row r="8665" customFormat="false" ht="15" hidden="false" customHeight="false" outlineLevel="0" collapsed="false">
      <c r="A8665" s="31" t="n">
        <v>43096.9583333333</v>
      </c>
      <c r="B8665" s="32" t="n">
        <v>73.096</v>
      </c>
      <c r="D8665" s="33" t="n">
        <f aca="false">WEEKDAY(A8665,2)</f>
        <v>3</v>
      </c>
      <c r="E8665" s="33" t="n">
        <f aca="false">HOUR(A8665)+MINUTE(A8665)/60</f>
        <v>23</v>
      </c>
      <c r="F8665" s="33" t="n">
        <f aca="false">IF(OR(D8665&gt;5,E8665&lt;8,E8665&gt;=18,COUNTIF($K$2:$K$10,INT(A8665))&gt;0),1,0)</f>
        <v>1</v>
      </c>
      <c r="G8665" s="34" t="n">
        <f aca="false">B8665/1</f>
        <v>73.096</v>
      </c>
      <c r="H8665" s="34" t="n">
        <f aca="false">IF(F8665=1,G8665,"")</f>
        <v>73.096</v>
      </c>
    </row>
    <row r="8666" customFormat="false" ht="15" hidden="false" customHeight="false" outlineLevel="0" collapsed="false">
      <c r="A8666" s="31" t="n">
        <v>43097</v>
      </c>
      <c r="B8666" s="32" t="n">
        <v>69.754</v>
      </c>
      <c r="D8666" s="33" t="n">
        <f aca="false">WEEKDAY(A8666,2)</f>
        <v>4</v>
      </c>
      <c r="E8666" s="33" t="n">
        <f aca="false">HOUR(A8666)+MINUTE(A8666)/60</f>
        <v>0</v>
      </c>
      <c r="F8666" s="33" t="n">
        <f aca="false">IF(OR(D8666&gt;5,E8666&lt;8,E8666&gt;=18,COUNTIF($K$2:$K$10,INT(A8666))&gt;0),1,0)</f>
        <v>1</v>
      </c>
      <c r="G8666" s="34" t="n">
        <f aca="false">B8666/1</f>
        <v>69.754</v>
      </c>
      <c r="H8666" s="34" t="n">
        <f aca="false">IF(F8666=1,G8666,"")</f>
        <v>69.754</v>
      </c>
    </row>
    <row r="8667" customFormat="false" ht="15" hidden="false" customHeight="false" outlineLevel="0" collapsed="false">
      <c r="A8667" s="31" t="n">
        <v>43097.0416666667</v>
      </c>
      <c r="B8667" s="32" t="n">
        <v>67.292</v>
      </c>
      <c r="D8667" s="33" t="n">
        <f aca="false">WEEKDAY(A8667,2)</f>
        <v>4</v>
      </c>
      <c r="E8667" s="33" t="n">
        <f aca="false">HOUR(A8667)+MINUTE(A8667)/60</f>
        <v>1</v>
      </c>
      <c r="F8667" s="33" t="n">
        <f aca="false">IF(OR(D8667&gt;5,E8667&lt;8,E8667&gt;=18,COUNTIF($K$2:$K$10,INT(A8667))&gt;0),1,0)</f>
        <v>1</v>
      </c>
      <c r="G8667" s="34" t="n">
        <f aca="false">B8667/1</f>
        <v>67.292</v>
      </c>
      <c r="H8667" s="34" t="n">
        <f aca="false">IF(F8667=1,G8667,"")</f>
        <v>67.292</v>
      </c>
    </row>
    <row r="8668" customFormat="false" ht="15" hidden="false" customHeight="false" outlineLevel="0" collapsed="false">
      <c r="A8668" s="31" t="n">
        <v>43097.0833333333</v>
      </c>
      <c r="B8668" s="32" t="n">
        <v>66.934</v>
      </c>
      <c r="D8668" s="33" t="n">
        <f aca="false">WEEKDAY(A8668,2)</f>
        <v>4</v>
      </c>
      <c r="E8668" s="33" t="n">
        <f aca="false">HOUR(A8668)+MINUTE(A8668)/60</f>
        <v>2</v>
      </c>
      <c r="F8668" s="33" t="n">
        <f aca="false">IF(OR(D8668&gt;5,E8668&lt;8,E8668&gt;=18,COUNTIF($K$2:$K$10,INT(A8668))&gt;0),1,0)</f>
        <v>1</v>
      </c>
      <c r="G8668" s="34" t="n">
        <f aca="false">B8668/1</f>
        <v>66.934</v>
      </c>
      <c r="H8668" s="34" t="n">
        <f aca="false">IF(F8668=1,G8668,"")</f>
        <v>66.934</v>
      </c>
    </row>
    <row r="8669" customFormat="false" ht="15" hidden="false" customHeight="false" outlineLevel="0" collapsed="false">
      <c r="A8669" s="31" t="n">
        <v>43097.125</v>
      </c>
      <c r="B8669" s="32" t="n">
        <v>63.848</v>
      </c>
      <c r="D8669" s="33" t="n">
        <f aca="false">WEEKDAY(A8669,2)</f>
        <v>4</v>
      </c>
      <c r="E8669" s="33" t="n">
        <f aca="false">HOUR(A8669)+MINUTE(A8669)/60</f>
        <v>3</v>
      </c>
      <c r="F8669" s="33" t="n">
        <f aca="false">IF(OR(D8669&gt;5,E8669&lt;8,E8669&gt;=18,COUNTIF($K$2:$K$10,INT(A8669))&gt;0),1,0)</f>
        <v>1</v>
      </c>
      <c r="G8669" s="34" t="n">
        <f aca="false">B8669/1</f>
        <v>63.848</v>
      </c>
      <c r="H8669" s="34" t="n">
        <f aca="false">IF(F8669=1,G8669,"")</f>
        <v>63.848</v>
      </c>
    </row>
    <row r="8670" customFormat="false" ht="15" hidden="false" customHeight="false" outlineLevel="0" collapsed="false">
      <c r="A8670" s="31" t="n">
        <v>43097.1666666667</v>
      </c>
      <c r="B8670" s="32" t="n">
        <v>64.548</v>
      </c>
      <c r="D8670" s="33" t="n">
        <f aca="false">WEEKDAY(A8670,2)</f>
        <v>4</v>
      </c>
      <c r="E8670" s="33" t="n">
        <f aca="false">HOUR(A8670)+MINUTE(A8670)/60</f>
        <v>4</v>
      </c>
      <c r="F8670" s="33" t="n">
        <f aca="false">IF(OR(D8670&gt;5,E8670&lt;8,E8670&gt;=18,COUNTIF($K$2:$K$10,INT(A8670))&gt;0),1,0)</f>
        <v>1</v>
      </c>
      <c r="G8670" s="34" t="n">
        <f aca="false">B8670/1</f>
        <v>64.548</v>
      </c>
      <c r="H8670" s="34" t="n">
        <f aca="false">IF(F8670=1,G8670,"")</f>
        <v>64.548</v>
      </c>
    </row>
    <row r="8671" customFormat="false" ht="15" hidden="false" customHeight="false" outlineLevel="0" collapsed="false">
      <c r="A8671" s="31" t="n">
        <v>43097.2083333333</v>
      </c>
      <c r="B8671" s="32" t="n">
        <v>67.016</v>
      </c>
      <c r="D8671" s="33" t="n">
        <f aca="false">WEEKDAY(A8671,2)</f>
        <v>4</v>
      </c>
      <c r="E8671" s="33" t="n">
        <f aca="false">HOUR(A8671)+MINUTE(A8671)/60</f>
        <v>5</v>
      </c>
      <c r="F8671" s="33" t="n">
        <f aca="false">IF(OR(D8671&gt;5,E8671&lt;8,E8671&gt;=18,COUNTIF($K$2:$K$10,INT(A8671))&gt;0),1,0)</f>
        <v>1</v>
      </c>
      <c r="G8671" s="34" t="n">
        <f aca="false">B8671/1</f>
        <v>67.016</v>
      </c>
      <c r="H8671" s="34" t="n">
        <f aca="false">IF(F8671=1,G8671,"")</f>
        <v>67.016</v>
      </c>
    </row>
    <row r="8672" customFormat="false" ht="15" hidden="false" customHeight="false" outlineLevel="0" collapsed="false">
      <c r="A8672" s="31" t="n">
        <v>43097.25</v>
      </c>
      <c r="B8672" s="32" t="n">
        <v>65.281</v>
      </c>
      <c r="D8672" s="33" t="n">
        <f aca="false">WEEKDAY(A8672,2)</f>
        <v>4</v>
      </c>
      <c r="E8672" s="33" t="n">
        <f aca="false">HOUR(A8672)+MINUTE(A8672)/60</f>
        <v>6</v>
      </c>
      <c r="F8672" s="33" t="n">
        <f aca="false">IF(OR(D8672&gt;5,E8672&lt;8,E8672&gt;=18,COUNTIF($K$2:$K$10,INT(A8672))&gt;0),1,0)</f>
        <v>1</v>
      </c>
      <c r="G8672" s="34" t="n">
        <f aca="false">B8672/1</f>
        <v>65.281</v>
      </c>
      <c r="H8672" s="34" t="n">
        <f aca="false">IF(F8672=1,G8672,"")</f>
        <v>65.281</v>
      </c>
    </row>
    <row r="8673" customFormat="false" ht="15" hidden="false" customHeight="false" outlineLevel="0" collapsed="false">
      <c r="A8673" s="31" t="n">
        <v>43097.2916666667</v>
      </c>
      <c r="B8673" s="32" t="n">
        <v>70.42</v>
      </c>
      <c r="D8673" s="33" t="n">
        <f aca="false">WEEKDAY(A8673,2)</f>
        <v>4</v>
      </c>
      <c r="E8673" s="33" t="n">
        <f aca="false">HOUR(A8673)+MINUTE(A8673)/60</f>
        <v>7</v>
      </c>
      <c r="F8673" s="33" t="n">
        <f aca="false">IF(OR(D8673&gt;5,E8673&lt;8,E8673&gt;=18,COUNTIF($K$2:$K$10,INT(A8673))&gt;0),1,0)</f>
        <v>1</v>
      </c>
      <c r="G8673" s="34" t="n">
        <f aca="false">B8673/1</f>
        <v>70.42</v>
      </c>
      <c r="H8673" s="34" t="n">
        <f aca="false">IF(F8673=1,G8673,"")</f>
        <v>70.42</v>
      </c>
    </row>
    <row r="8674" customFormat="false" ht="15" hidden="false" customHeight="false" outlineLevel="0" collapsed="false">
      <c r="A8674" s="31" t="n">
        <v>43097.3333333333</v>
      </c>
      <c r="B8674" s="32" t="n">
        <v>164.453</v>
      </c>
      <c r="D8674" s="33" t="n">
        <f aca="false">WEEKDAY(A8674,2)</f>
        <v>4</v>
      </c>
      <c r="E8674" s="33" t="n">
        <f aca="false">HOUR(A8674)+MINUTE(A8674)/60</f>
        <v>8</v>
      </c>
      <c r="F8674" s="33" t="n">
        <f aca="false">IF(OR(D8674&gt;5,E8674&lt;8,E8674&gt;=18,COUNTIF($K$2:$K$10,INT(A8674))&gt;0),1,0)</f>
        <v>0</v>
      </c>
      <c r="G8674" s="34" t="n">
        <f aca="false">B8674/1</f>
        <v>164.453</v>
      </c>
      <c r="H8674" s="34" t="str">
        <f aca="false">IF(F8674=1,G8674,"")</f>
        <v/>
      </c>
    </row>
    <row r="8675" customFormat="false" ht="15" hidden="false" customHeight="false" outlineLevel="0" collapsed="false">
      <c r="A8675" s="31" t="n">
        <v>43097.375</v>
      </c>
      <c r="B8675" s="32" t="n">
        <v>180.329</v>
      </c>
      <c r="D8675" s="33" t="n">
        <f aca="false">WEEKDAY(A8675,2)</f>
        <v>4</v>
      </c>
      <c r="E8675" s="33" t="n">
        <f aca="false">HOUR(A8675)+MINUTE(A8675)/60</f>
        <v>9</v>
      </c>
      <c r="F8675" s="33" t="n">
        <f aca="false">IF(OR(D8675&gt;5,E8675&lt;8,E8675&gt;=18,COUNTIF($K$2:$K$10,INT(A8675))&gt;0),1,0)</f>
        <v>0</v>
      </c>
      <c r="G8675" s="34" t="n">
        <f aca="false">B8675/1</f>
        <v>180.329</v>
      </c>
      <c r="H8675" s="34" t="str">
        <f aca="false">IF(F8675=1,G8675,"")</f>
        <v/>
      </c>
    </row>
    <row r="8676" customFormat="false" ht="15" hidden="false" customHeight="false" outlineLevel="0" collapsed="false">
      <c r="A8676" s="31" t="n">
        <v>43097.4166666667</v>
      </c>
      <c r="B8676" s="32" t="n">
        <v>192.659</v>
      </c>
      <c r="D8676" s="33" t="n">
        <f aca="false">WEEKDAY(A8676,2)</f>
        <v>4</v>
      </c>
      <c r="E8676" s="33" t="n">
        <f aca="false">HOUR(A8676)+MINUTE(A8676)/60</f>
        <v>10</v>
      </c>
      <c r="F8676" s="33" t="n">
        <f aca="false">IF(OR(D8676&gt;5,E8676&lt;8,E8676&gt;=18,COUNTIF($K$2:$K$10,INT(A8676))&gt;0),1,0)</f>
        <v>0</v>
      </c>
      <c r="G8676" s="34" t="n">
        <f aca="false">B8676/1</f>
        <v>192.659</v>
      </c>
      <c r="H8676" s="34" t="str">
        <f aca="false">IF(F8676=1,G8676,"")</f>
        <v/>
      </c>
    </row>
    <row r="8677" customFormat="false" ht="15" hidden="false" customHeight="false" outlineLevel="0" collapsed="false">
      <c r="A8677" s="31" t="n">
        <v>43097.4583333333</v>
      </c>
      <c r="B8677" s="32" t="n">
        <v>194.714</v>
      </c>
      <c r="D8677" s="33" t="n">
        <f aca="false">WEEKDAY(A8677,2)</f>
        <v>4</v>
      </c>
      <c r="E8677" s="33" t="n">
        <f aca="false">HOUR(A8677)+MINUTE(A8677)/60</f>
        <v>11</v>
      </c>
      <c r="F8677" s="33" t="n">
        <f aca="false">IF(OR(D8677&gt;5,E8677&lt;8,E8677&gt;=18,COUNTIF($K$2:$K$10,INT(A8677))&gt;0),1,0)</f>
        <v>0</v>
      </c>
      <c r="G8677" s="34" t="n">
        <f aca="false">B8677/1</f>
        <v>194.714</v>
      </c>
      <c r="H8677" s="34" t="str">
        <f aca="false">IF(F8677=1,G8677,"")</f>
        <v/>
      </c>
    </row>
    <row r="8678" customFormat="false" ht="15" hidden="false" customHeight="false" outlineLevel="0" collapsed="false">
      <c r="A8678" s="31" t="n">
        <v>43097.5</v>
      </c>
      <c r="B8678" s="32" t="n">
        <v>197.831</v>
      </c>
      <c r="D8678" s="33" t="n">
        <f aca="false">WEEKDAY(A8678,2)</f>
        <v>4</v>
      </c>
      <c r="E8678" s="33" t="n">
        <f aca="false">HOUR(A8678)+MINUTE(A8678)/60</f>
        <v>12</v>
      </c>
      <c r="F8678" s="33" t="n">
        <f aca="false">IF(OR(D8678&gt;5,E8678&lt;8,E8678&gt;=18,COUNTIF($K$2:$K$10,INT(A8678))&gt;0),1,0)</f>
        <v>0</v>
      </c>
      <c r="G8678" s="34" t="n">
        <f aca="false">B8678/1</f>
        <v>197.831</v>
      </c>
      <c r="H8678" s="34" t="str">
        <f aca="false">IF(F8678=1,G8678,"")</f>
        <v/>
      </c>
    </row>
    <row r="8679" customFormat="false" ht="15" hidden="false" customHeight="false" outlineLevel="0" collapsed="false">
      <c r="A8679" s="31" t="n">
        <v>43097.5416666667</v>
      </c>
      <c r="B8679" s="32" t="n">
        <v>196.611</v>
      </c>
      <c r="D8679" s="33" t="n">
        <f aca="false">WEEKDAY(A8679,2)</f>
        <v>4</v>
      </c>
      <c r="E8679" s="33" t="n">
        <f aca="false">HOUR(A8679)+MINUTE(A8679)/60</f>
        <v>13</v>
      </c>
      <c r="F8679" s="33" t="n">
        <f aca="false">IF(OR(D8679&gt;5,E8679&lt;8,E8679&gt;=18,COUNTIF($K$2:$K$10,INT(A8679))&gt;0),1,0)</f>
        <v>0</v>
      </c>
      <c r="G8679" s="34" t="n">
        <f aca="false">B8679/1</f>
        <v>196.611</v>
      </c>
      <c r="H8679" s="34" t="str">
        <f aca="false">IF(F8679=1,G8679,"")</f>
        <v/>
      </c>
    </row>
    <row r="8680" customFormat="false" ht="15" hidden="false" customHeight="false" outlineLevel="0" collapsed="false">
      <c r="A8680" s="31" t="n">
        <v>43097.5833333333</v>
      </c>
      <c r="B8680" s="32" t="n">
        <v>197.239</v>
      </c>
      <c r="D8680" s="33" t="n">
        <f aca="false">WEEKDAY(A8680,2)</f>
        <v>4</v>
      </c>
      <c r="E8680" s="33" t="n">
        <f aca="false">HOUR(A8680)+MINUTE(A8680)/60</f>
        <v>14</v>
      </c>
      <c r="F8680" s="33" t="n">
        <f aca="false">IF(OR(D8680&gt;5,E8680&lt;8,E8680&gt;=18,COUNTIF($K$2:$K$10,INT(A8680))&gt;0),1,0)</f>
        <v>0</v>
      </c>
      <c r="G8680" s="34" t="n">
        <f aca="false">B8680/1</f>
        <v>197.239</v>
      </c>
      <c r="H8680" s="34" t="str">
        <f aca="false">IF(F8680=1,G8680,"")</f>
        <v/>
      </c>
    </row>
    <row r="8681" customFormat="false" ht="15" hidden="false" customHeight="false" outlineLevel="0" collapsed="false">
      <c r="A8681" s="31" t="n">
        <v>43097.625</v>
      </c>
      <c r="B8681" s="32" t="n">
        <v>195.689</v>
      </c>
      <c r="D8681" s="33" t="n">
        <f aca="false">WEEKDAY(A8681,2)</f>
        <v>4</v>
      </c>
      <c r="E8681" s="33" t="n">
        <f aca="false">HOUR(A8681)+MINUTE(A8681)/60</f>
        <v>15</v>
      </c>
      <c r="F8681" s="33" t="n">
        <f aca="false">IF(OR(D8681&gt;5,E8681&lt;8,E8681&gt;=18,COUNTIF($K$2:$K$10,INT(A8681))&gt;0),1,0)</f>
        <v>0</v>
      </c>
      <c r="G8681" s="34" t="n">
        <f aca="false">B8681/1</f>
        <v>195.689</v>
      </c>
      <c r="H8681" s="34" t="str">
        <f aca="false">IF(F8681=1,G8681,"")</f>
        <v/>
      </c>
    </row>
    <row r="8682" customFormat="false" ht="15" hidden="false" customHeight="false" outlineLevel="0" collapsed="false">
      <c r="A8682" s="31" t="n">
        <v>43097.6666666667</v>
      </c>
      <c r="B8682" s="32" t="n">
        <v>190.149</v>
      </c>
      <c r="D8682" s="33" t="n">
        <f aca="false">WEEKDAY(A8682,2)</f>
        <v>4</v>
      </c>
      <c r="E8682" s="33" t="n">
        <f aca="false">HOUR(A8682)+MINUTE(A8682)/60</f>
        <v>16</v>
      </c>
      <c r="F8682" s="33" t="n">
        <f aca="false">IF(OR(D8682&gt;5,E8682&lt;8,E8682&gt;=18,COUNTIF($K$2:$K$10,INT(A8682))&gt;0),1,0)</f>
        <v>0</v>
      </c>
      <c r="G8682" s="34" t="n">
        <f aca="false">B8682/1</f>
        <v>190.149</v>
      </c>
      <c r="H8682" s="34" t="str">
        <f aca="false">IF(F8682=1,G8682,"")</f>
        <v/>
      </c>
    </row>
    <row r="8683" customFormat="false" ht="15" hidden="false" customHeight="false" outlineLevel="0" collapsed="false">
      <c r="A8683" s="31" t="n">
        <v>43097.7083333333</v>
      </c>
      <c r="B8683" s="32" t="n">
        <v>182.889</v>
      </c>
      <c r="D8683" s="33" t="n">
        <f aca="false">WEEKDAY(A8683,2)</f>
        <v>4</v>
      </c>
      <c r="E8683" s="33" t="n">
        <f aca="false">HOUR(A8683)+MINUTE(A8683)/60</f>
        <v>17</v>
      </c>
      <c r="F8683" s="33" t="n">
        <f aca="false">IF(OR(D8683&gt;5,E8683&lt;8,E8683&gt;=18,COUNTIF($K$2:$K$10,INT(A8683))&gt;0),1,0)</f>
        <v>0</v>
      </c>
      <c r="G8683" s="34" t="n">
        <f aca="false">B8683/1</f>
        <v>182.889</v>
      </c>
      <c r="H8683" s="34" t="str">
        <f aca="false">IF(F8683=1,G8683,"")</f>
        <v/>
      </c>
    </row>
    <row r="8684" customFormat="false" ht="15" hidden="false" customHeight="false" outlineLevel="0" collapsed="false">
      <c r="A8684" s="31" t="n">
        <v>43097.75</v>
      </c>
      <c r="B8684" s="32" t="n">
        <v>176.369</v>
      </c>
      <c r="D8684" s="33" t="n">
        <f aca="false">WEEKDAY(A8684,2)</f>
        <v>4</v>
      </c>
      <c r="E8684" s="33" t="n">
        <f aca="false">HOUR(A8684)+MINUTE(A8684)/60</f>
        <v>18</v>
      </c>
      <c r="F8684" s="33" t="n">
        <f aca="false">IF(OR(D8684&gt;5,E8684&lt;8,E8684&gt;=18,COUNTIF($K$2:$K$10,INT(A8684))&gt;0),1,0)</f>
        <v>1</v>
      </c>
      <c r="G8684" s="34" t="n">
        <f aca="false">B8684/1</f>
        <v>176.369</v>
      </c>
      <c r="H8684" s="34" t="n">
        <f aca="false">IF(F8684=1,G8684,"")</f>
        <v>176.369</v>
      </c>
    </row>
    <row r="8685" customFormat="false" ht="15" hidden="false" customHeight="false" outlineLevel="0" collapsed="false">
      <c r="A8685" s="31" t="n">
        <v>43097.7916666667</v>
      </c>
      <c r="B8685" s="32" t="n">
        <v>170.12</v>
      </c>
      <c r="D8685" s="33" t="n">
        <f aca="false">WEEKDAY(A8685,2)</f>
        <v>4</v>
      </c>
      <c r="E8685" s="33" t="n">
        <f aca="false">HOUR(A8685)+MINUTE(A8685)/60</f>
        <v>19</v>
      </c>
      <c r="F8685" s="33" t="n">
        <f aca="false">IF(OR(D8685&gt;5,E8685&lt;8,E8685&gt;=18,COUNTIF($K$2:$K$10,INT(A8685))&gt;0),1,0)</f>
        <v>1</v>
      </c>
      <c r="G8685" s="34" t="n">
        <f aca="false">B8685/1</f>
        <v>170.12</v>
      </c>
      <c r="H8685" s="34" t="n">
        <f aca="false">IF(F8685=1,G8685,"")</f>
        <v>170.12</v>
      </c>
    </row>
    <row r="8686" customFormat="false" ht="15" hidden="false" customHeight="false" outlineLevel="0" collapsed="false">
      <c r="A8686" s="31" t="n">
        <v>43097.8333333333</v>
      </c>
      <c r="B8686" s="32" t="n">
        <v>166.532</v>
      </c>
      <c r="D8686" s="33" t="n">
        <f aca="false">WEEKDAY(A8686,2)</f>
        <v>4</v>
      </c>
      <c r="E8686" s="33" t="n">
        <f aca="false">HOUR(A8686)+MINUTE(A8686)/60</f>
        <v>20</v>
      </c>
      <c r="F8686" s="33" t="n">
        <f aca="false">IF(OR(D8686&gt;5,E8686&lt;8,E8686&gt;=18,COUNTIF($K$2:$K$10,INT(A8686))&gt;0),1,0)</f>
        <v>1</v>
      </c>
      <c r="G8686" s="34" t="n">
        <f aca="false">B8686/1</f>
        <v>166.532</v>
      </c>
      <c r="H8686" s="34" t="n">
        <f aca="false">IF(F8686=1,G8686,"")</f>
        <v>166.532</v>
      </c>
    </row>
    <row r="8687" customFormat="false" ht="15" hidden="false" customHeight="false" outlineLevel="0" collapsed="false">
      <c r="A8687" s="31" t="n">
        <v>43097.875</v>
      </c>
      <c r="B8687" s="32" t="n">
        <v>164.452</v>
      </c>
      <c r="D8687" s="33" t="n">
        <f aca="false">WEEKDAY(A8687,2)</f>
        <v>4</v>
      </c>
      <c r="E8687" s="33" t="n">
        <f aca="false">HOUR(A8687)+MINUTE(A8687)/60</f>
        <v>21</v>
      </c>
      <c r="F8687" s="33" t="n">
        <f aca="false">IF(OR(D8687&gt;5,E8687&lt;8,E8687&gt;=18,COUNTIF($K$2:$K$10,INT(A8687))&gt;0),1,0)</f>
        <v>1</v>
      </c>
      <c r="G8687" s="34" t="n">
        <f aca="false">B8687/1</f>
        <v>164.452</v>
      </c>
      <c r="H8687" s="34" t="n">
        <f aca="false">IF(F8687=1,G8687,"")</f>
        <v>164.452</v>
      </c>
    </row>
    <row r="8688" customFormat="false" ht="15" hidden="false" customHeight="false" outlineLevel="0" collapsed="false">
      <c r="A8688" s="31" t="n">
        <v>43097.9166666667</v>
      </c>
      <c r="B8688" s="32" t="n">
        <v>123.811</v>
      </c>
      <c r="D8688" s="33" t="n">
        <f aca="false">WEEKDAY(A8688,2)</f>
        <v>4</v>
      </c>
      <c r="E8688" s="33" t="n">
        <f aca="false">HOUR(A8688)+MINUTE(A8688)/60</f>
        <v>22</v>
      </c>
      <c r="F8688" s="33" t="n">
        <f aca="false">IF(OR(D8688&gt;5,E8688&lt;8,E8688&gt;=18,COUNTIF($K$2:$K$10,INT(A8688))&gt;0),1,0)</f>
        <v>1</v>
      </c>
      <c r="G8688" s="34" t="n">
        <f aca="false">B8688/1</f>
        <v>123.811</v>
      </c>
      <c r="H8688" s="34" t="n">
        <f aca="false">IF(F8688=1,G8688,"")</f>
        <v>123.811</v>
      </c>
    </row>
    <row r="8689" customFormat="false" ht="15" hidden="false" customHeight="false" outlineLevel="0" collapsed="false">
      <c r="A8689" s="31" t="n">
        <v>43097.9583333333</v>
      </c>
      <c r="B8689" s="32" t="n">
        <v>68.279</v>
      </c>
      <c r="D8689" s="33" t="n">
        <f aca="false">WEEKDAY(A8689,2)</f>
        <v>4</v>
      </c>
      <c r="E8689" s="33" t="n">
        <f aca="false">HOUR(A8689)+MINUTE(A8689)/60</f>
        <v>23</v>
      </c>
      <c r="F8689" s="33" t="n">
        <f aca="false">IF(OR(D8689&gt;5,E8689&lt;8,E8689&gt;=18,COUNTIF($K$2:$K$10,INT(A8689))&gt;0),1,0)</f>
        <v>1</v>
      </c>
      <c r="G8689" s="34" t="n">
        <f aca="false">B8689/1</f>
        <v>68.279</v>
      </c>
      <c r="H8689" s="34" t="n">
        <f aca="false">IF(F8689=1,G8689,"")</f>
        <v>68.279</v>
      </c>
    </row>
    <row r="8690" customFormat="false" ht="15" hidden="false" customHeight="false" outlineLevel="0" collapsed="false">
      <c r="A8690" s="31" t="n">
        <v>43098</v>
      </c>
      <c r="B8690" s="32" t="n">
        <v>69.592</v>
      </c>
      <c r="D8690" s="33" t="n">
        <f aca="false">WEEKDAY(A8690,2)</f>
        <v>5</v>
      </c>
      <c r="E8690" s="33" t="n">
        <f aca="false">HOUR(A8690)+MINUTE(A8690)/60</f>
        <v>0</v>
      </c>
      <c r="F8690" s="33" t="n">
        <f aca="false">IF(OR(D8690&gt;5,E8690&lt;8,E8690&gt;=18,COUNTIF($K$2:$K$10,INT(A8690))&gt;0),1,0)</f>
        <v>1</v>
      </c>
      <c r="G8690" s="34" t="n">
        <f aca="false">B8690/1</f>
        <v>69.592</v>
      </c>
      <c r="H8690" s="34" t="n">
        <f aca="false">IF(F8690=1,G8690,"")</f>
        <v>69.592</v>
      </c>
    </row>
    <row r="8691" customFormat="false" ht="15" hidden="false" customHeight="false" outlineLevel="0" collapsed="false">
      <c r="A8691" s="31" t="n">
        <v>43098.0416666667</v>
      </c>
      <c r="B8691" s="32" t="n">
        <v>66.46</v>
      </c>
      <c r="D8691" s="33" t="n">
        <f aca="false">WEEKDAY(A8691,2)</f>
        <v>5</v>
      </c>
      <c r="E8691" s="33" t="n">
        <f aca="false">HOUR(A8691)+MINUTE(A8691)/60</f>
        <v>1</v>
      </c>
      <c r="F8691" s="33" t="n">
        <f aca="false">IF(OR(D8691&gt;5,E8691&lt;8,E8691&gt;=18,COUNTIF($K$2:$K$10,INT(A8691))&gt;0),1,0)</f>
        <v>1</v>
      </c>
      <c r="G8691" s="34" t="n">
        <f aca="false">B8691/1</f>
        <v>66.46</v>
      </c>
      <c r="H8691" s="34" t="n">
        <f aca="false">IF(F8691=1,G8691,"")</f>
        <v>66.46</v>
      </c>
    </row>
    <row r="8692" customFormat="false" ht="15" hidden="false" customHeight="false" outlineLevel="0" collapsed="false">
      <c r="A8692" s="31" t="n">
        <v>43098.0833333333</v>
      </c>
      <c r="B8692" s="32" t="n">
        <v>62.231</v>
      </c>
      <c r="D8692" s="33" t="n">
        <f aca="false">WEEKDAY(A8692,2)</f>
        <v>5</v>
      </c>
      <c r="E8692" s="33" t="n">
        <f aca="false">HOUR(A8692)+MINUTE(A8692)/60</f>
        <v>2</v>
      </c>
      <c r="F8692" s="33" t="n">
        <f aca="false">IF(OR(D8692&gt;5,E8692&lt;8,E8692&gt;=18,COUNTIF($K$2:$K$10,INT(A8692))&gt;0),1,0)</f>
        <v>1</v>
      </c>
      <c r="G8692" s="34" t="n">
        <f aca="false">B8692/1</f>
        <v>62.231</v>
      </c>
      <c r="H8692" s="34" t="n">
        <f aca="false">IF(F8692=1,G8692,"")</f>
        <v>62.231</v>
      </c>
    </row>
    <row r="8693" customFormat="false" ht="15" hidden="false" customHeight="false" outlineLevel="0" collapsed="false">
      <c r="A8693" s="31" t="n">
        <v>43098.125</v>
      </c>
      <c r="B8693" s="32" t="n">
        <v>62.416</v>
      </c>
      <c r="D8693" s="33" t="n">
        <f aca="false">WEEKDAY(A8693,2)</f>
        <v>5</v>
      </c>
      <c r="E8693" s="33" t="n">
        <f aca="false">HOUR(A8693)+MINUTE(A8693)/60</f>
        <v>3</v>
      </c>
      <c r="F8693" s="33" t="n">
        <f aca="false">IF(OR(D8693&gt;5,E8693&lt;8,E8693&gt;=18,COUNTIF($K$2:$K$10,INT(A8693))&gt;0),1,0)</f>
        <v>1</v>
      </c>
      <c r="G8693" s="34" t="n">
        <f aca="false">B8693/1</f>
        <v>62.416</v>
      </c>
      <c r="H8693" s="34" t="n">
        <f aca="false">IF(F8693=1,G8693,"")</f>
        <v>62.416</v>
      </c>
    </row>
    <row r="8694" customFormat="false" ht="15" hidden="false" customHeight="false" outlineLevel="0" collapsed="false">
      <c r="A8694" s="31" t="n">
        <v>43098.1666666667</v>
      </c>
      <c r="B8694" s="32" t="n">
        <v>63.385</v>
      </c>
      <c r="D8694" s="33" t="n">
        <f aca="false">WEEKDAY(A8694,2)</f>
        <v>5</v>
      </c>
      <c r="E8694" s="33" t="n">
        <f aca="false">HOUR(A8694)+MINUTE(A8694)/60</f>
        <v>4</v>
      </c>
      <c r="F8694" s="33" t="n">
        <f aca="false">IF(OR(D8694&gt;5,E8694&lt;8,E8694&gt;=18,COUNTIF($K$2:$K$10,INT(A8694))&gt;0),1,0)</f>
        <v>1</v>
      </c>
      <c r="G8694" s="34" t="n">
        <f aca="false">B8694/1</f>
        <v>63.385</v>
      </c>
      <c r="H8694" s="34" t="n">
        <f aca="false">IF(F8694=1,G8694,"")</f>
        <v>63.385</v>
      </c>
    </row>
    <row r="8695" customFormat="false" ht="15" hidden="false" customHeight="false" outlineLevel="0" collapsed="false">
      <c r="A8695" s="31" t="n">
        <v>43098.2083333333</v>
      </c>
      <c r="B8695" s="32" t="n">
        <v>64.762</v>
      </c>
      <c r="D8695" s="33" t="n">
        <f aca="false">WEEKDAY(A8695,2)</f>
        <v>5</v>
      </c>
      <c r="E8695" s="33" t="n">
        <f aca="false">HOUR(A8695)+MINUTE(A8695)/60</f>
        <v>5</v>
      </c>
      <c r="F8695" s="33" t="n">
        <f aca="false">IF(OR(D8695&gt;5,E8695&lt;8,E8695&gt;=18,COUNTIF($K$2:$K$10,INT(A8695))&gt;0),1,0)</f>
        <v>1</v>
      </c>
      <c r="G8695" s="34" t="n">
        <f aca="false">B8695/1</f>
        <v>64.762</v>
      </c>
      <c r="H8695" s="34" t="n">
        <f aca="false">IF(F8695=1,G8695,"")</f>
        <v>64.762</v>
      </c>
    </row>
    <row r="8696" customFormat="false" ht="15" hidden="false" customHeight="false" outlineLevel="0" collapsed="false">
      <c r="A8696" s="31" t="n">
        <v>43098.25</v>
      </c>
      <c r="B8696" s="32" t="n">
        <v>64.035</v>
      </c>
      <c r="D8696" s="33" t="n">
        <f aca="false">WEEKDAY(A8696,2)</f>
        <v>5</v>
      </c>
      <c r="E8696" s="33" t="n">
        <f aca="false">HOUR(A8696)+MINUTE(A8696)/60</f>
        <v>6</v>
      </c>
      <c r="F8696" s="33" t="n">
        <f aca="false">IF(OR(D8696&gt;5,E8696&lt;8,E8696&gt;=18,COUNTIF($K$2:$K$10,INT(A8696))&gt;0),1,0)</f>
        <v>1</v>
      </c>
      <c r="G8696" s="34" t="n">
        <f aca="false">B8696/1</f>
        <v>64.035</v>
      </c>
      <c r="H8696" s="34" t="n">
        <f aca="false">IF(F8696=1,G8696,"")</f>
        <v>64.035</v>
      </c>
    </row>
    <row r="8697" customFormat="false" ht="15" hidden="false" customHeight="false" outlineLevel="0" collapsed="false">
      <c r="A8697" s="31" t="n">
        <v>43098.2916666667</v>
      </c>
      <c r="B8697" s="32" t="n">
        <v>67.43</v>
      </c>
      <c r="D8697" s="33" t="n">
        <f aca="false">WEEKDAY(A8697,2)</f>
        <v>5</v>
      </c>
      <c r="E8697" s="33" t="n">
        <f aca="false">HOUR(A8697)+MINUTE(A8697)/60</f>
        <v>7</v>
      </c>
      <c r="F8697" s="33" t="n">
        <f aca="false">IF(OR(D8697&gt;5,E8697&lt;8,E8697&gt;=18,COUNTIF($K$2:$K$10,INT(A8697))&gt;0),1,0)</f>
        <v>1</v>
      </c>
      <c r="G8697" s="34" t="n">
        <f aca="false">B8697/1</f>
        <v>67.43</v>
      </c>
      <c r="H8697" s="34" t="n">
        <f aca="false">IF(F8697=1,G8697,"")</f>
        <v>67.43</v>
      </c>
    </row>
    <row r="8698" customFormat="false" ht="15" hidden="false" customHeight="false" outlineLevel="0" collapsed="false">
      <c r="A8698" s="31" t="n">
        <v>43098.3333333333</v>
      </c>
      <c r="B8698" s="32" t="n">
        <v>154.175</v>
      </c>
      <c r="D8698" s="33" t="n">
        <f aca="false">WEEKDAY(A8698,2)</f>
        <v>5</v>
      </c>
      <c r="E8698" s="33" t="n">
        <f aca="false">HOUR(A8698)+MINUTE(A8698)/60</f>
        <v>8</v>
      </c>
      <c r="F8698" s="33" t="n">
        <f aca="false">IF(OR(D8698&gt;5,E8698&lt;8,E8698&gt;=18,COUNTIF($K$2:$K$10,INT(A8698))&gt;0),1,0)</f>
        <v>0</v>
      </c>
      <c r="G8698" s="34" t="n">
        <f aca="false">B8698/1</f>
        <v>154.175</v>
      </c>
      <c r="H8698" s="34" t="str">
        <f aca="false">IF(F8698=1,G8698,"")</f>
        <v/>
      </c>
    </row>
    <row r="8699" customFormat="false" ht="15" hidden="false" customHeight="false" outlineLevel="0" collapsed="false">
      <c r="A8699" s="31" t="n">
        <v>43098.375</v>
      </c>
      <c r="B8699" s="32" t="n">
        <v>175.335</v>
      </c>
      <c r="D8699" s="33" t="n">
        <f aca="false">WEEKDAY(A8699,2)</f>
        <v>5</v>
      </c>
      <c r="E8699" s="33" t="n">
        <f aca="false">HOUR(A8699)+MINUTE(A8699)/60</f>
        <v>9</v>
      </c>
      <c r="F8699" s="33" t="n">
        <f aca="false">IF(OR(D8699&gt;5,E8699&lt;8,E8699&gt;=18,COUNTIF($K$2:$K$10,INT(A8699))&gt;0),1,0)</f>
        <v>0</v>
      </c>
      <c r="G8699" s="34" t="n">
        <f aca="false">B8699/1</f>
        <v>175.335</v>
      </c>
      <c r="H8699" s="34" t="str">
        <f aca="false">IF(F8699=1,G8699,"")</f>
        <v/>
      </c>
    </row>
    <row r="8700" customFormat="false" ht="15" hidden="false" customHeight="false" outlineLevel="0" collapsed="false">
      <c r="A8700" s="31" t="n">
        <v>43098.4166666667</v>
      </c>
      <c r="B8700" s="32" t="n">
        <v>182.293</v>
      </c>
      <c r="D8700" s="33" t="n">
        <f aca="false">WEEKDAY(A8700,2)</f>
        <v>5</v>
      </c>
      <c r="E8700" s="33" t="n">
        <f aca="false">HOUR(A8700)+MINUTE(A8700)/60</f>
        <v>10</v>
      </c>
      <c r="F8700" s="33" t="n">
        <f aca="false">IF(OR(D8700&gt;5,E8700&lt;8,E8700&gt;=18,COUNTIF($K$2:$K$10,INT(A8700))&gt;0),1,0)</f>
        <v>0</v>
      </c>
      <c r="G8700" s="34" t="n">
        <f aca="false">B8700/1</f>
        <v>182.293</v>
      </c>
      <c r="H8700" s="34" t="str">
        <f aca="false">IF(F8700=1,G8700,"")</f>
        <v/>
      </c>
    </row>
    <row r="8701" customFormat="false" ht="15" hidden="false" customHeight="false" outlineLevel="0" collapsed="false">
      <c r="A8701" s="31" t="n">
        <v>43098.4583333333</v>
      </c>
      <c r="B8701" s="32" t="n">
        <v>189.987</v>
      </c>
      <c r="D8701" s="33" t="n">
        <f aca="false">WEEKDAY(A8701,2)</f>
        <v>5</v>
      </c>
      <c r="E8701" s="33" t="n">
        <f aca="false">HOUR(A8701)+MINUTE(A8701)/60</f>
        <v>11</v>
      </c>
      <c r="F8701" s="33" t="n">
        <f aca="false">IF(OR(D8701&gt;5,E8701&lt;8,E8701&gt;=18,COUNTIF($K$2:$K$10,INT(A8701))&gt;0),1,0)</f>
        <v>0</v>
      </c>
      <c r="G8701" s="34" t="n">
        <f aca="false">B8701/1</f>
        <v>189.987</v>
      </c>
      <c r="H8701" s="34" t="str">
        <f aca="false">IF(F8701=1,G8701,"")</f>
        <v/>
      </c>
    </row>
    <row r="8702" customFormat="false" ht="15" hidden="false" customHeight="false" outlineLevel="0" collapsed="false">
      <c r="A8702" s="31" t="n">
        <v>43098.5</v>
      </c>
      <c r="B8702" s="32" t="n">
        <v>190.381</v>
      </c>
      <c r="D8702" s="33" t="n">
        <f aca="false">WEEKDAY(A8702,2)</f>
        <v>5</v>
      </c>
      <c r="E8702" s="33" t="n">
        <f aca="false">HOUR(A8702)+MINUTE(A8702)/60</f>
        <v>12</v>
      </c>
      <c r="F8702" s="33" t="n">
        <f aca="false">IF(OR(D8702&gt;5,E8702&lt;8,E8702&gt;=18,COUNTIF($K$2:$K$10,INT(A8702))&gt;0),1,0)</f>
        <v>0</v>
      </c>
      <c r="G8702" s="34" t="n">
        <f aca="false">B8702/1</f>
        <v>190.381</v>
      </c>
      <c r="H8702" s="34" t="str">
        <f aca="false">IF(F8702=1,G8702,"")</f>
        <v/>
      </c>
    </row>
    <row r="8703" customFormat="false" ht="15" hidden="false" customHeight="false" outlineLevel="0" collapsed="false">
      <c r="A8703" s="31" t="n">
        <v>43098.5416666667</v>
      </c>
      <c r="B8703" s="32" t="n">
        <v>190.83</v>
      </c>
      <c r="D8703" s="33" t="n">
        <f aca="false">WEEKDAY(A8703,2)</f>
        <v>5</v>
      </c>
      <c r="E8703" s="33" t="n">
        <f aca="false">HOUR(A8703)+MINUTE(A8703)/60</f>
        <v>13</v>
      </c>
      <c r="F8703" s="33" t="n">
        <f aca="false">IF(OR(D8703&gt;5,E8703&lt;8,E8703&gt;=18,COUNTIF($K$2:$K$10,INT(A8703))&gt;0),1,0)</f>
        <v>0</v>
      </c>
      <c r="G8703" s="34" t="n">
        <f aca="false">B8703/1</f>
        <v>190.83</v>
      </c>
      <c r="H8703" s="34" t="str">
        <f aca="false">IF(F8703=1,G8703,"")</f>
        <v/>
      </c>
    </row>
    <row r="8704" customFormat="false" ht="15" hidden="false" customHeight="false" outlineLevel="0" collapsed="false">
      <c r="A8704" s="31" t="n">
        <v>43098.5833333333</v>
      </c>
      <c r="B8704" s="32" t="n">
        <v>188.449</v>
      </c>
      <c r="D8704" s="33" t="n">
        <f aca="false">WEEKDAY(A8704,2)</f>
        <v>5</v>
      </c>
      <c r="E8704" s="33" t="n">
        <f aca="false">HOUR(A8704)+MINUTE(A8704)/60</f>
        <v>14</v>
      </c>
      <c r="F8704" s="33" t="n">
        <f aca="false">IF(OR(D8704&gt;5,E8704&lt;8,E8704&gt;=18,COUNTIF($K$2:$K$10,INT(A8704))&gt;0),1,0)</f>
        <v>0</v>
      </c>
      <c r="G8704" s="34" t="n">
        <f aca="false">B8704/1</f>
        <v>188.449</v>
      </c>
      <c r="H8704" s="34" t="str">
        <f aca="false">IF(F8704=1,G8704,"")</f>
        <v/>
      </c>
    </row>
    <row r="8705" customFormat="false" ht="15" hidden="false" customHeight="false" outlineLevel="0" collapsed="false">
      <c r="A8705" s="31" t="n">
        <v>43098.625</v>
      </c>
      <c r="B8705" s="32" t="n">
        <v>188.562</v>
      </c>
      <c r="D8705" s="33" t="n">
        <f aca="false">WEEKDAY(A8705,2)</f>
        <v>5</v>
      </c>
      <c r="E8705" s="33" t="n">
        <f aca="false">HOUR(A8705)+MINUTE(A8705)/60</f>
        <v>15</v>
      </c>
      <c r="F8705" s="33" t="n">
        <f aca="false">IF(OR(D8705&gt;5,E8705&lt;8,E8705&gt;=18,COUNTIF($K$2:$K$10,INT(A8705))&gt;0),1,0)</f>
        <v>0</v>
      </c>
      <c r="G8705" s="34" t="n">
        <f aca="false">B8705/1</f>
        <v>188.562</v>
      </c>
      <c r="H8705" s="34" t="str">
        <f aca="false">IF(F8705=1,G8705,"")</f>
        <v/>
      </c>
    </row>
    <row r="8706" customFormat="false" ht="15" hidden="false" customHeight="false" outlineLevel="0" collapsed="false">
      <c r="A8706" s="31" t="n">
        <v>43098.6666666667</v>
      </c>
      <c r="B8706" s="32" t="n">
        <v>182.826</v>
      </c>
      <c r="D8706" s="33" t="n">
        <f aca="false">WEEKDAY(A8706,2)</f>
        <v>5</v>
      </c>
      <c r="E8706" s="33" t="n">
        <f aca="false">HOUR(A8706)+MINUTE(A8706)/60</f>
        <v>16</v>
      </c>
      <c r="F8706" s="33" t="n">
        <f aca="false">IF(OR(D8706&gt;5,E8706&lt;8,E8706&gt;=18,COUNTIF($K$2:$K$10,INT(A8706))&gt;0),1,0)</f>
        <v>0</v>
      </c>
      <c r="G8706" s="34" t="n">
        <f aca="false">B8706/1</f>
        <v>182.826</v>
      </c>
      <c r="H8706" s="34" t="str">
        <f aca="false">IF(F8706=1,G8706,"")</f>
        <v/>
      </c>
    </row>
    <row r="8707" customFormat="false" ht="15" hidden="false" customHeight="false" outlineLevel="0" collapsed="false">
      <c r="A8707" s="31" t="n">
        <v>43098.7083333333</v>
      </c>
      <c r="B8707" s="32" t="n">
        <v>175.074</v>
      </c>
      <c r="D8707" s="33" t="n">
        <f aca="false">WEEKDAY(A8707,2)</f>
        <v>5</v>
      </c>
      <c r="E8707" s="33" t="n">
        <f aca="false">HOUR(A8707)+MINUTE(A8707)/60</f>
        <v>17</v>
      </c>
      <c r="F8707" s="33" t="n">
        <f aca="false">IF(OR(D8707&gt;5,E8707&lt;8,E8707&gt;=18,COUNTIF($K$2:$K$10,INT(A8707))&gt;0),1,0)</f>
        <v>0</v>
      </c>
      <c r="G8707" s="34" t="n">
        <f aca="false">B8707/1</f>
        <v>175.074</v>
      </c>
      <c r="H8707" s="34" t="str">
        <f aca="false">IF(F8707=1,G8707,"")</f>
        <v/>
      </c>
    </row>
    <row r="8708" customFormat="false" ht="15" hidden="false" customHeight="false" outlineLevel="0" collapsed="false">
      <c r="A8708" s="31" t="n">
        <v>43098.75</v>
      </c>
      <c r="B8708" s="32" t="n">
        <v>169.778</v>
      </c>
      <c r="D8708" s="33" t="n">
        <f aca="false">WEEKDAY(A8708,2)</f>
        <v>5</v>
      </c>
      <c r="E8708" s="33" t="n">
        <f aca="false">HOUR(A8708)+MINUTE(A8708)/60</f>
        <v>18</v>
      </c>
      <c r="F8708" s="33" t="n">
        <f aca="false">IF(OR(D8708&gt;5,E8708&lt;8,E8708&gt;=18,COUNTIF($K$2:$K$10,INT(A8708))&gt;0),1,0)</f>
        <v>1</v>
      </c>
      <c r="G8708" s="34" t="n">
        <f aca="false">B8708/1</f>
        <v>169.778</v>
      </c>
      <c r="H8708" s="34" t="n">
        <f aca="false">IF(F8708=1,G8708,"")</f>
        <v>169.778</v>
      </c>
    </row>
    <row r="8709" customFormat="false" ht="15" hidden="false" customHeight="false" outlineLevel="0" collapsed="false">
      <c r="A8709" s="31" t="n">
        <v>43098.7916666667</v>
      </c>
      <c r="B8709" s="32" t="n">
        <v>166.019</v>
      </c>
      <c r="D8709" s="33" t="n">
        <f aca="false">WEEKDAY(A8709,2)</f>
        <v>5</v>
      </c>
      <c r="E8709" s="33" t="n">
        <f aca="false">HOUR(A8709)+MINUTE(A8709)/60</f>
        <v>19</v>
      </c>
      <c r="F8709" s="33" t="n">
        <f aca="false">IF(OR(D8709&gt;5,E8709&lt;8,E8709&gt;=18,COUNTIF($K$2:$K$10,INT(A8709))&gt;0),1,0)</f>
        <v>1</v>
      </c>
      <c r="G8709" s="34" t="n">
        <f aca="false">B8709/1</f>
        <v>166.019</v>
      </c>
      <c r="H8709" s="34" t="n">
        <f aca="false">IF(F8709=1,G8709,"")</f>
        <v>166.019</v>
      </c>
    </row>
    <row r="8710" customFormat="false" ht="15" hidden="false" customHeight="false" outlineLevel="0" collapsed="false">
      <c r="A8710" s="31" t="n">
        <v>43098.8333333333</v>
      </c>
      <c r="B8710" s="32" t="n">
        <v>166.002</v>
      </c>
      <c r="D8710" s="33" t="n">
        <f aca="false">WEEKDAY(A8710,2)</f>
        <v>5</v>
      </c>
      <c r="E8710" s="33" t="n">
        <f aca="false">HOUR(A8710)+MINUTE(A8710)/60</f>
        <v>20</v>
      </c>
      <c r="F8710" s="33" t="n">
        <f aca="false">IF(OR(D8710&gt;5,E8710&lt;8,E8710&gt;=18,COUNTIF($K$2:$K$10,INT(A8710))&gt;0),1,0)</f>
        <v>1</v>
      </c>
      <c r="G8710" s="34" t="n">
        <f aca="false">B8710/1</f>
        <v>166.002</v>
      </c>
      <c r="H8710" s="34" t="n">
        <f aca="false">IF(F8710=1,G8710,"")</f>
        <v>166.002</v>
      </c>
    </row>
    <row r="8711" customFormat="false" ht="15" hidden="false" customHeight="false" outlineLevel="0" collapsed="false">
      <c r="A8711" s="31" t="n">
        <v>43098.875</v>
      </c>
      <c r="B8711" s="32" t="n">
        <v>165.721</v>
      </c>
      <c r="D8711" s="33" t="n">
        <f aca="false">WEEKDAY(A8711,2)</f>
        <v>5</v>
      </c>
      <c r="E8711" s="33" t="n">
        <f aca="false">HOUR(A8711)+MINUTE(A8711)/60</f>
        <v>21</v>
      </c>
      <c r="F8711" s="33" t="n">
        <f aca="false">IF(OR(D8711&gt;5,E8711&lt;8,E8711&gt;=18,COUNTIF($K$2:$K$10,INT(A8711))&gt;0),1,0)</f>
        <v>1</v>
      </c>
      <c r="G8711" s="34" t="n">
        <f aca="false">B8711/1</f>
        <v>165.721</v>
      </c>
      <c r="H8711" s="34" t="n">
        <f aca="false">IF(F8711=1,G8711,"")</f>
        <v>165.721</v>
      </c>
    </row>
    <row r="8712" customFormat="false" ht="15" hidden="false" customHeight="false" outlineLevel="0" collapsed="false">
      <c r="A8712" s="31" t="n">
        <v>43098.9166666667</v>
      </c>
      <c r="B8712" s="32" t="n">
        <v>124.12</v>
      </c>
      <c r="D8712" s="33" t="n">
        <f aca="false">WEEKDAY(A8712,2)</f>
        <v>5</v>
      </c>
      <c r="E8712" s="33" t="n">
        <f aca="false">HOUR(A8712)+MINUTE(A8712)/60</f>
        <v>22</v>
      </c>
      <c r="F8712" s="33" t="n">
        <f aca="false">IF(OR(D8712&gt;5,E8712&lt;8,E8712&gt;=18,COUNTIF($K$2:$K$10,INT(A8712))&gt;0),1,0)</f>
        <v>1</v>
      </c>
      <c r="G8712" s="34" t="n">
        <f aca="false">B8712/1</f>
        <v>124.12</v>
      </c>
      <c r="H8712" s="34" t="n">
        <f aca="false">IF(F8712=1,G8712,"")</f>
        <v>124.12</v>
      </c>
    </row>
    <row r="8713" customFormat="false" ht="15" hidden="false" customHeight="false" outlineLevel="0" collapsed="false">
      <c r="A8713" s="31" t="n">
        <v>43098.9583333333</v>
      </c>
      <c r="B8713" s="32" t="n">
        <v>69.963</v>
      </c>
      <c r="D8713" s="33" t="n">
        <f aca="false">WEEKDAY(A8713,2)</f>
        <v>5</v>
      </c>
      <c r="E8713" s="33" t="n">
        <f aca="false">HOUR(A8713)+MINUTE(A8713)/60</f>
        <v>23</v>
      </c>
      <c r="F8713" s="33" t="n">
        <f aca="false">IF(OR(D8713&gt;5,E8713&lt;8,E8713&gt;=18,COUNTIF($K$2:$K$10,INT(A8713))&gt;0),1,0)</f>
        <v>1</v>
      </c>
      <c r="G8713" s="34" t="n">
        <f aca="false">B8713/1</f>
        <v>69.963</v>
      </c>
      <c r="H8713" s="34" t="n">
        <f aca="false">IF(F8713=1,G8713,"")</f>
        <v>69.963</v>
      </c>
    </row>
    <row r="8714" customFormat="false" ht="15" hidden="false" customHeight="false" outlineLevel="0" collapsed="false">
      <c r="A8714" s="31" t="n">
        <v>43099</v>
      </c>
      <c r="B8714" s="32" t="n">
        <v>66.996</v>
      </c>
      <c r="D8714" s="33" t="n">
        <f aca="false">WEEKDAY(A8714,2)</f>
        <v>6</v>
      </c>
      <c r="E8714" s="33" t="n">
        <f aca="false">HOUR(A8714)+MINUTE(A8714)/60</f>
        <v>0</v>
      </c>
      <c r="F8714" s="33" t="n">
        <f aca="false">IF(OR(D8714&gt;5,E8714&lt;8,E8714&gt;=18,COUNTIF($K$2:$K$10,INT(A8714))&gt;0),1,0)</f>
        <v>1</v>
      </c>
      <c r="G8714" s="34" t="n">
        <f aca="false">B8714/1</f>
        <v>66.996</v>
      </c>
      <c r="H8714" s="34" t="n">
        <f aca="false">IF(F8714=1,G8714,"")</f>
        <v>66.996</v>
      </c>
    </row>
    <row r="8715" customFormat="false" ht="15" hidden="false" customHeight="false" outlineLevel="0" collapsed="false">
      <c r="A8715" s="31" t="n">
        <v>43099.0416666667</v>
      </c>
      <c r="B8715" s="32" t="n">
        <v>62.725</v>
      </c>
      <c r="D8715" s="33" t="n">
        <f aca="false">WEEKDAY(A8715,2)</f>
        <v>6</v>
      </c>
      <c r="E8715" s="33" t="n">
        <f aca="false">HOUR(A8715)+MINUTE(A8715)/60</f>
        <v>1</v>
      </c>
      <c r="F8715" s="33" t="n">
        <f aca="false">IF(OR(D8715&gt;5,E8715&lt;8,E8715&gt;=18,COUNTIF($K$2:$K$10,INT(A8715))&gt;0),1,0)</f>
        <v>1</v>
      </c>
      <c r="G8715" s="34" t="n">
        <f aca="false">B8715/1</f>
        <v>62.725</v>
      </c>
      <c r="H8715" s="34" t="n">
        <f aca="false">IF(F8715=1,G8715,"")</f>
        <v>62.725</v>
      </c>
    </row>
    <row r="8716" customFormat="false" ht="15" hidden="false" customHeight="false" outlineLevel="0" collapsed="false">
      <c r="A8716" s="31" t="n">
        <v>43099.0833333333</v>
      </c>
      <c r="B8716" s="32" t="n">
        <v>62.172</v>
      </c>
      <c r="D8716" s="33" t="n">
        <f aca="false">WEEKDAY(A8716,2)</f>
        <v>6</v>
      </c>
      <c r="E8716" s="33" t="n">
        <f aca="false">HOUR(A8716)+MINUTE(A8716)/60</f>
        <v>2</v>
      </c>
      <c r="F8716" s="33" t="n">
        <f aca="false">IF(OR(D8716&gt;5,E8716&lt;8,E8716&gt;=18,COUNTIF($K$2:$K$10,INT(A8716))&gt;0),1,0)</f>
        <v>1</v>
      </c>
      <c r="G8716" s="34" t="n">
        <f aca="false">B8716/1</f>
        <v>62.172</v>
      </c>
      <c r="H8716" s="34" t="n">
        <f aca="false">IF(F8716=1,G8716,"")</f>
        <v>62.172</v>
      </c>
    </row>
    <row r="8717" customFormat="false" ht="15" hidden="false" customHeight="false" outlineLevel="0" collapsed="false">
      <c r="A8717" s="31" t="n">
        <v>43099.125</v>
      </c>
      <c r="B8717" s="32" t="n">
        <v>62.847</v>
      </c>
      <c r="D8717" s="33" t="n">
        <f aca="false">WEEKDAY(A8717,2)</f>
        <v>6</v>
      </c>
      <c r="E8717" s="33" t="n">
        <f aca="false">HOUR(A8717)+MINUTE(A8717)/60</f>
        <v>3</v>
      </c>
      <c r="F8717" s="33" t="n">
        <f aca="false">IF(OR(D8717&gt;5,E8717&lt;8,E8717&gt;=18,COUNTIF($K$2:$K$10,INT(A8717))&gt;0),1,0)</f>
        <v>1</v>
      </c>
      <c r="G8717" s="34" t="n">
        <f aca="false">B8717/1</f>
        <v>62.847</v>
      </c>
      <c r="H8717" s="34" t="n">
        <f aca="false">IF(F8717=1,G8717,"")</f>
        <v>62.847</v>
      </c>
    </row>
    <row r="8718" customFormat="false" ht="15" hidden="false" customHeight="false" outlineLevel="0" collapsed="false">
      <c r="A8718" s="31" t="n">
        <v>43099.1666666667</v>
      </c>
      <c r="B8718" s="32" t="n">
        <v>63.963</v>
      </c>
      <c r="D8718" s="33" t="n">
        <f aca="false">WEEKDAY(A8718,2)</f>
        <v>6</v>
      </c>
      <c r="E8718" s="33" t="n">
        <f aca="false">HOUR(A8718)+MINUTE(A8718)/60</f>
        <v>4</v>
      </c>
      <c r="F8718" s="33" t="n">
        <f aca="false">IF(OR(D8718&gt;5,E8718&lt;8,E8718&gt;=18,COUNTIF($K$2:$K$10,INT(A8718))&gt;0),1,0)</f>
        <v>1</v>
      </c>
      <c r="G8718" s="34" t="n">
        <f aca="false">B8718/1</f>
        <v>63.963</v>
      </c>
      <c r="H8718" s="34" t="n">
        <f aca="false">IF(F8718=1,G8718,"")</f>
        <v>63.963</v>
      </c>
    </row>
    <row r="8719" customFormat="false" ht="15" hidden="false" customHeight="false" outlineLevel="0" collapsed="false">
      <c r="A8719" s="31" t="n">
        <v>43099.2083333333</v>
      </c>
      <c r="B8719" s="32" t="n">
        <v>63.886</v>
      </c>
      <c r="D8719" s="33" t="n">
        <f aca="false">WEEKDAY(A8719,2)</f>
        <v>6</v>
      </c>
      <c r="E8719" s="33" t="n">
        <f aca="false">HOUR(A8719)+MINUTE(A8719)/60</f>
        <v>5</v>
      </c>
      <c r="F8719" s="33" t="n">
        <f aca="false">IF(OR(D8719&gt;5,E8719&lt;8,E8719&gt;=18,COUNTIF($K$2:$K$10,INT(A8719))&gt;0),1,0)</f>
        <v>1</v>
      </c>
      <c r="G8719" s="34" t="n">
        <f aca="false">B8719/1</f>
        <v>63.886</v>
      </c>
      <c r="H8719" s="34" t="n">
        <f aca="false">IF(F8719=1,G8719,"")</f>
        <v>63.886</v>
      </c>
    </row>
    <row r="8720" customFormat="false" ht="15" hidden="false" customHeight="false" outlineLevel="0" collapsed="false">
      <c r="A8720" s="31" t="n">
        <v>43099.25</v>
      </c>
      <c r="B8720" s="32" t="n">
        <v>62.283</v>
      </c>
      <c r="D8720" s="33" t="n">
        <f aca="false">WEEKDAY(A8720,2)</f>
        <v>6</v>
      </c>
      <c r="E8720" s="33" t="n">
        <f aca="false">HOUR(A8720)+MINUTE(A8720)/60</f>
        <v>6</v>
      </c>
      <c r="F8720" s="33" t="n">
        <f aca="false">IF(OR(D8720&gt;5,E8720&lt;8,E8720&gt;=18,COUNTIF($K$2:$K$10,INT(A8720))&gt;0),1,0)</f>
        <v>1</v>
      </c>
      <c r="G8720" s="34" t="n">
        <f aca="false">B8720/1</f>
        <v>62.283</v>
      </c>
      <c r="H8720" s="34" t="n">
        <f aca="false">IF(F8720=1,G8720,"")</f>
        <v>62.283</v>
      </c>
    </row>
    <row r="8721" customFormat="false" ht="15" hidden="false" customHeight="false" outlineLevel="0" collapsed="false">
      <c r="A8721" s="31" t="n">
        <v>43099.2916666667</v>
      </c>
      <c r="B8721" s="32" t="n">
        <v>62.155</v>
      </c>
      <c r="D8721" s="33" t="n">
        <f aca="false">WEEKDAY(A8721,2)</f>
        <v>6</v>
      </c>
      <c r="E8721" s="33" t="n">
        <f aca="false">HOUR(A8721)+MINUTE(A8721)/60</f>
        <v>7</v>
      </c>
      <c r="F8721" s="33" t="n">
        <f aca="false">IF(OR(D8721&gt;5,E8721&lt;8,E8721&gt;=18,COUNTIF($K$2:$K$10,INT(A8721))&gt;0),1,0)</f>
        <v>1</v>
      </c>
      <c r="G8721" s="34" t="n">
        <f aca="false">B8721/1</f>
        <v>62.155</v>
      </c>
      <c r="H8721" s="34" t="n">
        <f aca="false">IF(F8721=1,G8721,"")</f>
        <v>62.155</v>
      </c>
    </row>
    <row r="8722" customFormat="false" ht="15" hidden="false" customHeight="false" outlineLevel="0" collapsed="false">
      <c r="A8722" s="31" t="n">
        <v>43099.3333333333</v>
      </c>
      <c r="B8722" s="32" t="n">
        <v>120.8</v>
      </c>
      <c r="D8722" s="33" t="n">
        <f aca="false">WEEKDAY(A8722,2)</f>
        <v>6</v>
      </c>
      <c r="E8722" s="33" t="n">
        <f aca="false">HOUR(A8722)+MINUTE(A8722)/60</f>
        <v>8</v>
      </c>
      <c r="F8722" s="33" t="n">
        <f aca="false">IF(OR(D8722&gt;5,E8722&lt;8,E8722&gt;=18,COUNTIF($K$2:$K$10,INT(A8722))&gt;0),1,0)</f>
        <v>1</v>
      </c>
      <c r="G8722" s="34" t="n">
        <f aca="false">B8722/1</f>
        <v>120.8</v>
      </c>
      <c r="H8722" s="34" t="n">
        <f aca="false">IF(F8722=1,G8722,"")</f>
        <v>120.8</v>
      </c>
    </row>
    <row r="8723" customFormat="false" ht="15" hidden="false" customHeight="false" outlineLevel="0" collapsed="false">
      <c r="A8723" s="31" t="n">
        <v>43099.375</v>
      </c>
      <c r="B8723" s="32" t="n">
        <v>157.359</v>
      </c>
      <c r="D8723" s="33" t="n">
        <f aca="false">WEEKDAY(A8723,2)</f>
        <v>6</v>
      </c>
      <c r="E8723" s="33" t="n">
        <f aca="false">HOUR(A8723)+MINUTE(A8723)/60</f>
        <v>9</v>
      </c>
      <c r="F8723" s="33" t="n">
        <f aca="false">IF(OR(D8723&gt;5,E8723&lt;8,E8723&gt;=18,COUNTIF($K$2:$K$10,INT(A8723))&gt;0),1,0)</f>
        <v>1</v>
      </c>
      <c r="G8723" s="34" t="n">
        <f aca="false">B8723/1</f>
        <v>157.359</v>
      </c>
      <c r="H8723" s="34" t="n">
        <f aca="false">IF(F8723=1,G8723,"")</f>
        <v>157.359</v>
      </c>
    </row>
    <row r="8724" customFormat="false" ht="15" hidden="false" customHeight="false" outlineLevel="0" collapsed="false">
      <c r="A8724" s="31" t="n">
        <v>43099.4166666667</v>
      </c>
      <c r="B8724" s="32" t="n">
        <v>157.84</v>
      </c>
      <c r="D8724" s="33" t="n">
        <f aca="false">WEEKDAY(A8724,2)</f>
        <v>6</v>
      </c>
      <c r="E8724" s="33" t="n">
        <f aca="false">HOUR(A8724)+MINUTE(A8724)/60</f>
        <v>10</v>
      </c>
      <c r="F8724" s="33" t="n">
        <f aca="false">IF(OR(D8724&gt;5,E8724&lt;8,E8724&gt;=18,COUNTIF($K$2:$K$10,INT(A8724))&gt;0),1,0)</f>
        <v>1</v>
      </c>
      <c r="G8724" s="34" t="n">
        <f aca="false">B8724/1</f>
        <v>157.84</v>
      </c>
      <c r="H8724" s="34" t="n">
        <f aca="false">IF(F8724=1,G8724,"")</f>
        <v>157.84</v>
      </c>
    </row>
    <row r="8725" customFormat="false" ht="15" hidden="false" customHeight="false" outlineLevel="0" collapsed="false">
      <c r="A8725" s="31" t="n">
        <v>43099.4583333333</v>
      </c>
      <c r="B8725" s="32" t="n">
        <v>161.265</v>
      </c>
      <c r="D8725" s="33" t="n">
        <f aca="false">WEEKDAY(A8725,2)</f>
        <v>6</v>
      </c>
      <c r="E8725" s="33" t="n">
        <f aca="false">HOUR(A8725)+MINUTE(A8725)/60</f>
        <v>11</v>
      </c>
      <c r="F8725" s="33" t="n">
        <f aca="false">IF(OR(D8725&gt;5,E8725&lt;8,E8725&gt;=18,COUNTIF($K$2:$K$10,INT(A8725))&gt;0),1,0)</f>
        <v>1</v>
      </c>
      <c r="G8725" s="34" t="n">
        <f aca="false">B8725/1</f>
        <v>161.265</v>
      </c>
      <c r="H8725" s="34" t="n">
        <f aca="false">IF(F8725=1,G8725,"")</f>
        <v>161.265</v>
      </c>
    </row>
    <row r="8726" customFormat="false" ht="15" hidden="false" customHeight="false" outlineLevel="0" collapsed="false">
      <c r="A8726" s="31" t="n">
        <v>43099.5</v>
      </c>
      <c r="B8726" s="32" t="n">
        <v>162.776</v>
      </c>
      <c r="D8726" s="33" t="n">
        <f aca="false">WEEKDAY(A8726,2)</f>
        <v>6</v>
      </c>
      <c r="E8726" s="33" t="n">
        <f aca="false">HOUR(A8726)+MINUTE(A8726)/60</f>
        <v>12</v>
      </c>
      <c r="F8726" s="33" t="n">
        <f aca="false">IF(OR(D8726&gt;5,E8726&lt;8,E8726&gt;=18,COUNTIF($K$2:$K$10,INT(A8726))&gt;0),1,0)</f>
        <v>1</v>
      </c>
      <c r="G8726" s="34" t="n">
        <f aca="false">B8726/1</f>
        <v>162.776</v>
      </c>
      <c r="H8726" s="34" t="n">
        <f aca="false">IF(F8726=1,G8726,"")</f>
        <v>162.776</v>
      </c>
    </row>
    <row r="8727" customFormat="false" ht="15" hidden="false" customHeight="false" outlineLevel="0" collapsed="false">
      <c r="A8727" s="31" t="n">
        <v>43099.5416666667</v>
      </c>
      <c r="B8727" s="32" t="n">
        <v>164.011</v>
      </c>
      <c r="D8727" s="33" t="n">
        <f aca="false">WEEKDAY(A8727,2)</f>
        <v>6</v>
      </c>
      <c r="E8727" s="33" t="n">
        <f aca="false">HOUR(A8727)+MINUTE(A8727)/60</f>
        <v>13</v>
      </c>
      <c r="F8727" s="33" t="n">
        <f aca="false">IF(OR(D8727&gt;5,E8727&lt;8,E8727&gt;=18,COUNTIF($K$2:$K$10,INT(A8727))&gt;0),1,0)</f>
        <v>1</v>
      </c>
      <c r="G8727" s="34" t="n">
        <f aca="false">B8727/1</f>
        <v>164.011</v>
      </c>
      <c r="H8727" s="34" t="n">
        <f aca="false">IF(F8727=1,G8727,"")</f>
        <v>164.011</v>
      </c>
    </row>
    <row r="8728" customFormat="false" ht="15" hidden="false" customHeight="false" outlineLevel="0" collapsed="false">
      <c r="A8728" s="31" t="n">
        <v>43099.5833333333</v>
      </c>
      <c r="B8728" s="32" t="n">
        <v>161.447</v>
      </c>
      <c r="D8728" s="33" t="n">
        <f aca="false">WEEKDAY(A8728,2)</f>
        <v>6</v>
      </c>
      <c r="E8728" s="33" t="n">
        <f aca="false">HOUR(A8728)+MINUTE(A8728)/60</f>
        <v>14</v>
      </c>
      <c r="F8728" s="33" t="n">
        <f aca="false">IF(OR(D8728&gt;5,E8728&lt;8,E8728&gt;=18,COUNTIF($K$2:$K$10,INT(A8728))&gt;0),1,0)</f>
        <v>1</v>
      </c>
      <c r="G8728" s="34" t="n">
        <f aca="false">B8728/1</f>
        <v>161.447</v>
      </c>
      <c r="H8728" s="34" t="n">
        <f aca="false">IF(F8728=1,G8728,"")</f>
        <v>161.447</v>
      </c>
    </row>
    <row r="8729" customFormat="false" ht="15" hidden="false" customHeight="false" outlineLevel="0" collapsed="false">
      <c r="A8729" s="31" t="n">
        <v>43099.625</v>
      </c>
      <c r="B8729" s="32" t="n">
        <v>161.577</v>
      </c>
      <c r="D8729" s="33" t="n">
        <f aca="false">WEEKDAY(A8729,2)</f>
        <v>6</v>
      </c>
      <c r="E8729" s="33" t="n">
        <f aca="false">HOUR(A8729)+MINUTE(A8729)/60</f>
        <v>15</v>
      </c>
      <c r="F8729" s="33" t="n">
        <f aca="false">IF(OR(D8729&gt;5,E8729&lt;8,E8729&gt;=18,COUNTIF($K$2:$K$10,INT(A8729))&gt;0),1,0)</f>
        <v>1</v>
      </c>
      <c r="G8729" s="34" t="n">
        <f aca="false">B8729/1</f>
        <v>161.577</v>
      </c>
      <c r="H8729" s="34" t="n">
        <f aca="false">IF(F8729=1,G8729,"")</f>
        <v>161.577</v>
      </c>
    </row>
    <row r="8730" customFormat="false" ht="15" hidden="false" customHeight="false" outlineLevel="0" collapsed="false">
      <c r="A8730" s="31" t="n">
        <v>43099.6666666667</v>
      </c>
      <c r="B8730" s="32" t="n">
        <v>161.026</v>
      </c>
      <c r="D8730" s="33" t="n">
        <f aca="false">WEEKDAY(A8730,2)</f>
        <v>6</v>
      </c>
      <c r="E8730" s="33" t="n">
        <f aca="false">HOUR(A8730)+MINUTE(A8730)/60</f>
        <v>16</v>
      </c>
      <c r="F8730" s="33" t="n">
        <f aca="false">IF(OR(D8730&gt;5,E8730&lt;8,E8730&gt;=18,COUNTIF($K$2:$K$10,INT(A8730))&gt;0),1,0)</f>
        <v>1</v>
      </c>
      <c r="G8730" s="34" t="n">
        <f aca="false">B8730/1</f>
        <v>161.026</v>
      </c>
      <c r="H8730" s="34" t="n">
        <f aca="false">IF(F8730=1,G8730,"")</f>
        <v>161.026</v>
      </c>
    </row>
    <row r="8731" customFormat="false" ht="15" hidden="false" customHeight="false" outlineLevel="0" collapsed="false">
      <c r="A8731" s="31" t="n">
        <v>43099.7083333333</v>
      </c>
      <c r="B8731" s="32" t="n">
        <v>158.344</v>
      </c>
      <c r="D8731" s="33" t="n">
        <f aca="false">WEEKDAY(A8731,2)</f>
        <v>6</v>
      </c>
      <c r="E8731" s="33" t="n">
        <f aca="false">HOUR(A8731)+MINUTE(A8731)/60</f>
        <v>17</v>
      </c>
      <c r="F8731" s="33" t="n">
        <f aca="false">IF(OR(D8731&gt;5,E8731&lt;8,E8731&gt;=18,COUNTIF($K$2:$K$10,INT(A8731))&gt;0),1,0)</f>
        <v>1</v>
      </c>
      <c r="G8731" s="34" t="n">
        <f aca="false">B8731/1</f>
        <v>158.344</v>
      </c>
      <c r="H8731" s="34" t="n">
        <f aca="false">IF(F8731=1,G8731,"")</f>
        <v>158.344</v>
      </c>
    </row>
    <row r="8732" customFormat="false" ht="15" hidden="false" customHeight="false" outlineLevel="0" collapsed="false">
      <c r="A8732" s="31" t="n">
        <v>43099.75</v>
      </c>
      <c r="B8732" s="32" t="n">
        <v>82.052</v>
      </c>
      <c r="D8732" s="33" t="n">
        <f aca="false">WEEKDAY(A8732,2)</f>
        <v>6</v>
      </c>
      <c r="E8732" s="33" t="n">
        <f aca="false">HOUR(A8732)+MINUTE(A8732)/60</f>
        <v>18</v>
      </c>
      <c r="F8732" s="33" t="n">
        <f aca="false">IF(OR(D8732&gt;5,E8732&lt;8,E8732&gt;=18,COUNTIF($K$2:$K$10,INT(A8732))&gt;0),1,0)</f>
        <v>1</v>
      </c>
      <c r="G8732" s="34" t="n">
        <f aca="false">B8732/1</f>
        <v>82.052</v>
      </c>
      <c r="H8732" s="34" t="n">
        <f aca="false">IF(F8732=1,G8732,"")</f>
        <v>82.052</v>
      </c>
    </row>
    <row r="8733" customFormat="false" ht="15" hidden="false" customHeight="false" outlineLevel="0" collapsed="false">
      <c r="A8733" s="31" t="n">
        <v>43099.7916666667</v>
      </c>
      <c r="B8733" s="32" t="n">
        <v>66.815</v>
      </c>
      <c r="D8733" s="33" t="n">
        <f aca="false">WEEKDAY(A8733,2)</f>
        <v>6</v>
      </c>
      <c r="E8733" s="33" t="n">
        <f aca="false">HOUR(A8733)+MINUTE(A8733)/60</f>
        <v>19</v>
      </c>
      <c r="F8733" s="33" t="n">
        <f aca="false">IF(OR(D8733&gt;5,E8733&lt;8,E8733&gt;=18,COUNTIF($K$2:$K$10,INT(A8733))&gt;0),1,0)</f>
        <v>1</v>
      </c>
      <c r="G8733" s="34" t="n">
        <f aca="false">B8733/1</f>
        <v>66.815</v>
      </c>
      <c r="H8733" s="34" t="n">
        <f aca="false">IF(F8733=1,G8733,"")</f>
        <v>66.815</v>
      </c>
    </row>
    <row r="8734" customFormat="false" ht="15" hidden="false" customHeight="false" outlineLevel="0" collapsed="false">
      <c r="A8734" s="31" t="n">
        <v>43099.8333333333</v>
      </c>
      <c r="B8734" s="32" t="n">
        <v>65.156</v>
      </c>
      <c r="D8734" s="33" t="n">
        <f aca="false">WEEKDAY(A8734,2)</f>
        <v>6</v>
      </c>
      <c r="E8734" s="33" t="n">
        <f aca="false">HOUR(A8734)+MINUTE(A8734)/60</f>
        <v>20</v>
      </c>
      <c r="F8734" s="33" t="n">
        <f aca="false">IF(OR(D8734&gt;5,E8734&lt;8,E8734&gt;=18,COUNTIF($K$2:$K$10,INT(A8734))&gt;0),1,0)</f>
        <v>1</v>
      </c>
      <c r="G8734" s="34" t="n">
        <f aca="false">B8734/1</f>
        <v>65.156</v>
      </c>
      <c r="H8734" s="34" t="n">
        <f aca="false">IF(F8734=1,G8734,"")</f>
        <v>65.156</v>
      </c>
    </row>
    <row r="8735" customFormat="false" ht="15" hidden="false" customHeight="false" outlineLevel="0" collapsed="false">
      <c r="A8735" s="31" t="n">
        <v>43099.875</v>
      </c>
      <c r="B8735" s="32" t="n">
        <v>62.658</v>
      </c>
      <c r="D8735" s="33" t="n">
        <f aca="false">WEEKDAY(A8735,2)</f>
        <v>6</v>
      </c>
      <c r="E8735" s="33" t="n">
        <f aca="false">HOUR(A8735)+MINUTE(A8735)/60</f>
        <v>21</v>
      </c>
      <c r="F8735" s="33" t="n">
        <f aca="false">IF(OR(D8735&gt;5,E8735&lt;8,E8735&gt;=18,COUNTIF($K$2:$K$10,INT(A8735))&gt;0),1,0)</f>
        <v>1</v>
      </c>
      <c r="G8735" s="34" t="n">
        <f aca="false">B8735/1</f>
        <v>62.658</v>
      </c>
      <c r="H8735" s="34" t="n">
        <f aca="false">IF(F8735=1,G8735,"")</f>
        <v>62.658</v>
      </c>
    </row>
    <row r="8736" customFormat="false" ht="15" hidden="false" customHeight="false" outlineLevel="0" collapsed="false">
      <c r="A8736" s="31" t="n">
        <v>43099.9166666667</v>
      </c>
      <c r="B8736" s="32" t="n">
        <v>63.152</v>
      </c>
      <c r="D8736" s="33" t="n">
        <f aca="false">WEEKDAY(A8736,2)</f>
        <v>6</v>
      </c>
      <c r="E8736" s="33" t="n">
        <f aca="false">HOUR(A8736)+MINUTE(A8736)/60</f>
        <v>22</v>
      </c>
      <c r="F8736" s="33" t="n">
        <f aca="false">IF(OR(D8736&gt;5,E8736&lt;8,E8736&gt;=18,COUNTIF($K$2:$K$10,INT(A8736))&gt;0),1,0)</f>
        <v>1</v>
      </c>
      <c r="G8736" s="34" t="n">
        <f aca="false">B8736/1</f>
        <v>63.152</v>
      </c>
      <c r="H8736" s="34" t="n">
        <f aca="false">IF(F8736=1,G8736,"")</f>
        <v>63.152</v>
      </c>
    </row>
    <row r="8737" customFormat="false" ht="15" hidden="false" customHeight="false" outlineLevel="0" collapsed="false">
      <c r="A8737" s="31" t="n">
        <v>43099.9583333333</v>
      </c>
      <c r="B8737" s="32" t="n">
        <v>65.247</v>
      </c>
      <c r="D8737" s="33" t="n">
        <f aca="false">WEEKDAY(A8737,2)</f>
        <v>6</v>
      </c>
      <c r="E8737" s="33" t="n">
        <f aca="false">HOUR(A8737)+MINUTE(A8737)/60</f>
        <v>23</v>
      </c>
      <c r="F8737" s="33" t="n">
        <f aca="false">IF(OR(D8737&gt;5,E8737&lt;8,E8737&gt;=18,COUNTIF($K$2:$K$10,INT(A8737))&gt;0),1,0)</f>
        <v>1</v>
      </c>
      <c r="G8737" s="34" t="n">
        <f aca="false">B8737/1</f>
        <v>65.247</v>
      </c>
      <c r="H8737" s="34" t="n">
        <f aca="false">IF(F8737=1,G8737,"")</f>
        <v>65.247</v>
      </c>
    </row>
    <row r="8738" customFormat="false" ht="15" hidden="false" customHeight="false" outlineLevel="0" collapsed="false">
      <c r="A8738" s="31" t="n">
        <v>43100</v>
      </c>
      <c r="B8738" s="32" t="n">
        <v>61.951</v>
      </c>
      <c r="D8738" s="33" t="n">
        <f aca="false">WEEKDAY(A8738,2)</f>
        <v>7</v>
      </c>
      <c r="E8738" s="33" t="n">
        <f aca="false">HOUR(A8738)+MINUTE(A8738)/60</f>
        <v>0</v>
      </c>
      <c r="F8738" s="33" t="n">
        <f aca="false">IF(OR(D8738&gt;5,E8738&lt;8,E8738&gt;=18,COUNTIF($K$2:$K$10,INT(A8738))&gt;0),1,0)</f>
        <v>1</v>
      </c>
      <c r="G8738" s="34" t="n">
        <f aca="false">B8738/1</f>
        <v>61.951</v>
      </c>
      <c r="H8738" s="34" t="n">
        <f aca="false">IF(F8738=1,G8738,"")</f>
        <v>61.951</v>
      </c>
    </row>
    <row r="8739" customFormat="false" ht="15" hidden="false" customHeight="false" outlineLevel="0" collapsed="false">
      <c r="A8739" s="31" t="n">
        <v>43100.0416666667</v>
      </c>
      <c r="B8739" s="32" t="n">
        <v>62.462</v>
      </c>
      <c r="D8739" s="33" t="n">
        <f aca="false">WEEKDAY(A8739,2)</f>
        <v>7</v>
      </c>
      <c r="E8739" s="33" t="n">
        <f aca="false">HOUR(A8739)+MINUTE(A8739)/60</f>
        <v>1</v>
      </c>
      <c r="F8739" s="33" t="n">
        <f aca="false">IF(OR(D8739&gt;5,E8739&lt;8,E8739&gt;=18,COUNTIF($K$2:$K$10,INT(A8739))&gt;0),1,0)</f>
        <v>1</v>
      </c>
      <c r="G8739" s="34" t="n">
        <f aca="false">B8739/1</f>
        <v>62.462</v>
      </c>
      <c r="H8739" s="34" t="n">
        <f aca="false">IF(F8739=1,G8739,"")</f>
        <v>62.462</v>
      </c>
    </row>
    <row r="8740" customFormat="false" ht="15" hidden="false" customHeight="false" outlineLevel="0" collapsed="false">
      <c r="A8740" s="31" t="n">
        <v>43100.0833333333</v>
      </c>
      <c r="B8740" s="32" t="n">
        <v>62.143</v>
      </c>
      <c r="D8740" s="33" t="n">
        <f aca="false">WEEKDAY(A8740,2)</f>
        <v>7</v>
      </c>
      <c r="E8740" s="33" t="n">
        <f aca="false">HOUR(A8740)+MINUTE(A8740)/60</f>
        <v>2</v>
      </c>
      <c r="F8740" s="33" t="n">
        <f aca="false">IF(OR(D8740&gt;5,E8740&lt;8,E8740&gt;=18,COUNTIF($K$2:$K$10,INT(A8740))&gt;0),1,0)</f>
        <v>1</v>
      </c>
      <c r="G8740" s="34" t="n">
        <f aca="false">B8740/1</f>
        <v>62.143</v>
      </c>
      <c r="H8740" s="34" t="n">
        <f aca="false">IF(F8740=1,G8740,"")</f>
        <v>62.143</v>
      </c>
    </row>
    <row r="8741" customFormat="false" ht="15" hidden="false" customHeight="false" outlineLevel="0" collapsed="false">
      <c r="A8741" s="31" t="n">
        <v>43100.125</v>
      </c>
      <c r="B8741" s="32" t="n">
        <v>64.775</v>
      </c>
      <c r="D8741" s="33" t="n">
        <f aca="false">WEEKDAY(A8741,2)</f>
        <v>7</v>
      </c>
      <c r="E8741" s="33" t="n">
        <f aca="false">HOUR(A8741)+MINUTE(A8741)/60</f>
        <v>3</v>
      </c>
      <c r="F8741" s="33" t="n">
        <f aca="false">IF(OR(D8741&gt;5,E8741&lt;8,E8741&gt;=18,COUNTIF($K$2:$K$10,INT(A8741))&gt;0),1,0)</f>
        <v>1</v>
      </c>
      <c r="G8741" s="34" t="n">
        <f aca="false">B8741/1</f>
        <v>64.775</v>
      </c>
      <c r="H8741" s="34" t="n">
        <f aca="false">IF(F8741=1,G8741,"")</f>
        <v>64.775</v>
      </c>
    </row>
    <row r="8742" customFormat="false" ht="15" hidden="false" customHeight="false" outlineLevel="0" collapsed="false">
      <c r="A8742" s="31" t="n">
        <v>43100.1666666667</v>
      </c>
      <c r="B8742" s="32" t="n">
        <v>62.435</v>
      </c>
      <c r="D8742" s="33" t="n">
        <f aca="false">WEEKDAY(A8742,2)</f>
        <v>7</v>
      </c>
      <c r="E8742" s="33" t="n">
        <f aca="false">HOUR(A8742)+MINUTE(A8742)/60</f>
        <v>4</v>
      </c>
      <c r="F8742" s="33" t="n">
        <f aca="false">IF(OR(D8742&gt;5,E8742&lt;8,E8742&gt;=18,COUNTIF($K$2:$K$10,INT(A8742))&gt;0),1,0)</f>
        <v>1</v>
      </c>
      <c r="G8742" s="34" t="n">
        <f aca="false">B8742/1</f>
        <v>62.435</v>
      </c>
      <c r="H8742" s="34" t="n">
        <f aca="false">IF(F8742=1,G8742,"")</f>
        <v>62.435</v>
      </c>
    </row>
    <row r="8743" customFormat="false" ht="15" hidden="false" customHeight="false" outlineLevel="0" collapsed="false">
      <c r="A8743" s="31" t="n">
        <v>43100.2083333333</v>
      </c>
      <c r="B8743" s="32" t="n">
        <v>63.093</v>
      </c>
      <c r="D8743" s="33" t="n">
        <f aca="false">WEEKDAY(A8743,2)</f>
        <v>7</v>
      </c>
      <c r="E8743" s="33" t="n">
        <f aca="false">HOUR(A8743)+MINUTE(A8743)/60</f>
        <v>5</v>
      </c>
      <c r="F8743" s="33" t="n">
        <f aca="false">IF(OR(D8743&gt;5,E8743&lt;8,E8743&gt;=18,COUNTIF($K$2:$K$10,INT(A8743))&gt;0),1,0)</f>
        <v>1</v>
      </c>
      <c r="G8743" s="34" t="n">
        <f aca="false">B8743/1</f>
        <v>63.093</v>
      </c>
      <c r="H8743" s="34" t="n">
        <f aca="false">IF(F8743=1,G8743,"")</f>
        <v>63.093</v>
      </c>
    </row>
    <row r="8744" customFormat="false" ht="15" hidden="false" customHeight="false" outlineLevel="0" collapsed="false">
      <c r="A8744" s="31" t="n">
        <v>43100.25</v>
      </c>
      <c r="B8744" s="32" t="n">
        <v>62.06</v>
      </c>
      <c r="D8744" s="33" t="n">
        <f aca="false">WEEKDAY(A8744,2)</f>
        <v>7</v>
      </c>
      <c r="E8744" s="33" t="n">
        <f aca="false">HOUR(A8744)+MINUTE(A8744)/60</f>
        <v>6</v>
      </c>
      <c r="F8744" s="33" t="n">
        <f aca="false">IF(OR(D8744&gt;5,E8744&lt;8,E8744&gt;=18,COUNTIF($K$2:$K$10,INT(A8744))&gt;0),1,0)</f>
        <v>1</v>
      </c>
      <c r="G8744" s="34" t="n">
        <f aca="false">B8744/1</f>
        <v>62.06</v>
      </c>
      <c r="H8744" s="34" t="n">
        <f aca="false">IF(F8744=1,G8744,"")</f>
        <v>62.06</v>
      </c>
    </row>
    <row r="8745" customFormat="false" ht="15" hidden="false" customHeight="false" outlineLevel="0" collapsed="false">
      <c r="A8745" s="31" t="n">
        <v>43100.2916666667</v>
      </c>
      <c r="B8745" s="32" t="n">
        <v>64.923</v>
      </c>
      <c r="D8745" s="33" t="n">
        <f aca="false">WEEKDAY(A8745,2)</f>
        <v>7</v>
      </c>
      <c r="E8745" s="33" t="n">
        <f aca="false">HOUR(A8745)+MINUTE(A8745)/60</f>
        <v>7</v>
      </c>
      <c r="F8745" s="33" t="n">
        <f aca="false">IF(OR(D8745&gt;5,E8745&lt;8,E8745&gt;=18,COUNTIF($K$2:$K$10,INT(A8745))&gt;0),1,0)</f>
        <v>1</v>
      </c>
      <c r="G8745" s="34" t="n">
        <f aca="false">B8745/1</f>
        <v>64.923</v>
      </c>
      <c r="H8745" s="34" t="n">
        <f aca="false">IF(F8745=1,G8745,"")</f>
        <v>64.923</v>
      </c>
    </row>
    <row r="8746" customFormat="false" ht="15" hidden="false" customHeight="false" outlineLevel="0" collapsed="false">
      <c r="A8746" s="31" t="n">
        <v>43100.3333333333</v>
      </c>
      <c r="B8746" s="32" t="n">
        <v>63.306</v>
      </c>
      <c r="D8746" s="33" t="n">
        <f aca="false">WEEKDAY(A8746,2)</f>
        <v>7</v>
      </c>
      <c r="E8746" s="33" t="n">
        <f aca="false">HOUR(A8746)+MINUTE(A8746)/60</f>
        <v>8</v>
      </c>
      <c r="F8746" s="33" t="n">
        <f aca="false">IF(OR(D8746&gt;5,E8746&lt;8,E8746&gt;=18,COUNTIF($K$2:$K$10,INT(A8746))&gt;0),1,0)</f>
        <v>1</v>
      </c>
      <c r="G8746" s="34" t="n">
        <f aca="false">B8746/1</f>
        <v>63.306</v>
      </c>
      <c r="H8746" s="34" t="n">
        <f aca="false">IF(F8746=1,G8746,"")</f>
        <v>63.306</v>
      </c>
    </row>
    <row r="8747" customFormat="false" ht="15" hidden="false" customHeight="false" outlineLevel="0" collapsed="false">
      <c r="A8747" s="31" t="n">
        <v>43100.375</v>
      </c>
      <c r="B8747" s="32" t="n">
        <v>61.539</v>
      </c>
      <c r="D8747" s="33" t="n">
        <f aca="false">WEEKDAY(A8747,2)</f>
        <v>7</v>
      </c>
      <c r="E8747" s="33" t="n">
        <f aca="false">HOUR(A8747)+MINUTE(A8747)/60</f>
        <v>9</v>
      </c>
      <c r="F8747" s="33" t="n">
        <f aca="false">IF(OR(D8747&gt;5,E8747&lt;8,E8747&gt;=18,COUNTIF($K$2:$K$10,INT(A8747))&gt;0),1,0)</f>
        <v>1</v>
      </c>
      <c r="G8747" s="34" t="n">
        <f aca="false">B8747/1</f>
        <v>61.539</v>
      </c>
      <c r="H8747" s="34" t="n">
        <f aca="false">IF(F8747=1,G8747,"")</f>
        <v>61.539</v>
      </c>
    </row>
    <row r="8748" customFormat="false" ht="15" hidden="false" customHeight="false" outlineLevel="0" collapsed="false">
      <c r="A8748" s="31" t="n">
        <v>43100.4166666667</v>
      </c>
      <c r="B8748" s="32" t="n">
        <v>59.879</v>
      </c>
      <c r="D8748" s="33" t="n">
        <f aca="false">WEEKDAY(A8748,2)</f>
        <v>7</v>
      </c>
      <c r="E8748" s="33" t="n">
        <f aca="false">HOUR(A8748)+MINUTE(A8748)/60</f>
        <v>10</v>
      </c>
      <c r="F8748" s="33" t="n">
        <f aca="false">IF(OR(D8748&gt;5,E8748&lt;8,E8748&gt;=18,COUNTIF($K$2:$K$10,INT(A8748))&gt;0),1,0)</f>
        <v>1</v>
      </c>
      <c r="G8748" s="34" t="n">
        <f aca="false">B8748/1</f>
        <v>59.879</v>
      </c>
      <c r="H8748" s="34" t="n">
        <f aca="false">IF(F8748=1,G8748,"")</f>
        <v>59.879</v>
      </c>
    </row>
    <row r="8749" customFormat="false" ht="15" hidden="false" customHeight="false" outlineLevel="0" collapsed="false">
      <c r="A8749" s="31" t="n">
        <v>43100.4583333333</v>
      </c>
      <c r="B8749" s="32" t="n">
        <v>59.081</v>
      </c>
      <c r="D8749" s="33" t="n">
        <f aca="false">WEEKDAY(A8749,2)</f>
        <v>7</v>
      </c>
      <c r="E8749" s="33" t="n">
        <f aca="false">HOUR(A8749)+MINUTE(A8749)/60</f>
        <v>11</v>
      </c>
      <c r="F8749" s="33" t="n">
        <f aca="false">IF(OR(D8749&gt;5,E8749&lt;8,E8749&gt;=18,COUNTIF($K$2:$K$10,INT(A8749))&gt;0),1,0)</f>
        <v>1</v>
      </c>
      <c r="G8749" s="34" t="n">
        <f aca="false">B8749/1</f>
        <v>59.081</v>
      </c>
      <c r="H8749" s="34" t="n">
        <f aca="false">IF(F8749=1,G8749,"")</f>
        <v>59.081</v>
      </c>
    </row>
    <row r="8750" customFormat="false" ht="15" hidden="false" customHeight="false" outlineLevel="0" collapsed="false">
      <c r="A8750" s="31" t="n">
        <v>43100.5</v>
      </c>
      <c r="B8750" s="32" t="n">
        <v>62.08</v>
      </c>
      <c r="D8750" s="33" t="n">
        <f aca="false">WEEKDAY(A8750,2)</f>
        <v>7</v>
      </c>
      <c r="E8750" s="33" t="n">
        <f aca="false">HOUR(A8750)+MINUTE(A8750)/60</f>
        <v>12</v>
      </c>
      <c r="F8750" s="33" t="n">
        <f aca="false">IF(OR(D8750&gt;5,E8750&lt;8,E8750&gt;=18,COUNTIF($K$2:$K$10,INT(A8750))&gt;0),1,0)</f>
        <v>1</v>
      </c>
      <c r="G8750" s="34" t="n">
        <f aca="false">B8750/1</f>
        <v>62.08</v>
      </c>
      <c r="H8750" s="34" t="n">
        <f aca="false">IF(F8750=1,G8750,"")</f>
        <v>62.08</v>
      </c>
    </row>
    <row r="8751" customFormat="false" ht="15" hidden="false" customHeight="false" outlineLevel="0" collapsed="false">
      <c r="A8751" s="31" t="n">
        <v>43100.5416666667</v>
      </c>
      <c r="B8751" s="32" t="n">
        <v>103.395</v>
      </c>
      <c r="D8751" s="33" t="n">
        <f aca="false">WEEKDAY(A8751,2)</f>
        <v>7</v>
      </c>
      <c r="E8751" s="33" t="n">
        <f aca="false">HOUR(A8751)+MINUTE(A8751)/60</f>
        <v>13</v>
      </c>
      <c r="F8751" s="33" t="n">
        <f aca="false">IF(OR(D8751&gt;5,E8751&lt;8,E8751&gt;=18,COUNTIF($K$2:$K$10,INT(A8751))&gt;0),1,0)</f>
        <v>1</v>
      </c>
      <c r="G8751" s="34" t="n">
        <f aca="false">B8751/1</f>
        <v>103.395</v>
      </c>
      <c r="H8751" s="34" t="n">
        <f aca="false">IF(F8751=1,G8751,"")</f>
        <v>103.395</v>
      </c>
    </row>
    <row r="8752" customFormat="false" ht="15" hidden="false" customHeight="false" outlineLevel="0" collapsed="false">
      <c r="A8752" s="31" t="n">
        <v>43100.5833333333</v>
      </c>
      <c r="B8752" s="32" t="n">
        <v>126.37</v>
      </c>
      <c r="D8752" s="33" t="n">
        <f aca="false">WEEKDAY(A8752,2)</f>
        <v>7</v>
      </c>
      <c r="E8752" s="33" t="n">
        <f aca="false">HOUR(A8752)+MINUTE(A8752)/60</f>
        <v>14</v>
      </c>
      <c r="F8752" s="33" t="n">
        <f aca="false">IF(OR(D8752&gt;5,E8752&lt;8,E8752&gt;=18,COUNTIF($K$2:$K$10,INT(A8752))&gt;0),1,0)</f>
        <v>1</v>
      </c>
      <c r="G8752" s="34" t="n">
        <f aca="false">B8752/1</f>
        <v>126.37</v>
      </c>
      <c r="H8752" s="34" t="n">
        <f aca="false">IF(F8752=1,G8752,"")</f>
        <v>126.37</v>
      </c>
    </row>
    <row r="8753" customFormat="false" ht="15" hidden="false" customHeight="false" outlineLevel="0" collapsed="false">
      <c r="A8753" s="31" t="n">
        <v>43100.625</v>
      </c>
      <c r="B8753" s="32" t="n">
        <v>125.282</v>
      </c>
      <c r="D8753" s="33" t="n">
        <f aca="false">WEEKDAY(A8753,2)</f>
        <v>7</v>
      </c>
      <c r="E8753" s="33" t="n">
        <f aca="false">HOUR(A8753)+MINUTE(A8753)/60</f>
        <v>15</v>
      </c>
      <c r="F8753" s="33" t="n">
        <f aca="false">IF(OR(D8753&gt;5,E8753&lt;8,E8753&gt;=18,COUNTIF($K$2:$K$10,INT(A8753))&gt;0),1,0)</f>
        <v>1</v>
      </c>
      <c r="G8753" s="34" t="n">
        <f aca="false">B8753/1</f>
        <v>125.282</v>
      </c>
      <c r="H8753" s="34" t="n">
        <f aca="false">IF(F8753=1,G8753,"")</f>
        <v>125.282</v>
      </c>
    </row>
    <row r="8754" customFormat="false" ht="15" hidden="false" customHeight="false" outlineLevel="0" collapsed="false">
      <c r="A8754" s="31" t="n">
        <v>43100.6666666667</v>
      </c>
      <c r="B8754" s="32" t="n">
        <v>126.802</v>
      </c>
      <c r="D8754" s="33" t="n">
        <f aca="false">WEEKDAY(A8754,2)</f>
        <v>7</v>
      </c>
      <c r="E8754" s="33" t="n">
        <f aca="false">HOUR(A8754)+MINUTE(A8754)/60</f>
        <v>16</v>
      </c>
      <c r="F8754" s="33" t="n">
        <f aca="false">IF(OR(D8754&gt;5,E8754&lt;8,E8754&gt;=18,COUNTIF($K$2:$K$10,INT(A8754))&gt;0),1,0)</f>
        <v>1</v>
      </c>
      <c r="G8754" s="34" t="n">
        <f aca="false">B8754/1</f>
        <v>126.802</v>
      </c>
      <c r="H8754" s="34" t="n">
        <f aca="false">IF(F8754=1,G8754,"")</f>
        <v>126.802</v>
      </c>
    </row>
    <row r="8755" customFormat="false" ht="15" hidden="false" customHeight="false" outlineLevel="0" collapsed="false">
      <c r="A8755" s="31" t="n">
        <v>43100.7083333333</v>
      </c>
      <c r="B8755" s="32" t="n">
        <v>127.538</v>
      </c>
      <c r="D8755" s="33" t="n">
        <f aca="false">WEEKDAY(A8755,2)</f>
        <v>7</v>
      </c>
      <c r="E8755" s="33" t="n">
        <f aca="false">HOUR(A8755)+MINUTE(A8755)/60</f>
        <v>17</v>
      </c>
      <c r="F8755" s="33" t="n">
        <f aca="false">IF(OR(D8755&gt;5,E8755&lt;8,E8755&gt;=18,COUNTIF($K$2:$K$10,INT(A8755))&gt;0),1,0)</f>
        <v>1</v>
      </c>
      <c r="G8755" s="34" t="n">
        <f aca="false">B8755/1</f>
        <v>127.538</v>
      </c>
      <c r="H8755" s="34" t="n">
        <f aca="false">IF(F8755=1,G8755,"")</f>
        <v>127.538</v>
      </c>
    </row>
    <row r="8756" customFormat="false" ht="15" hidden="false" customHeight="false" outlineLevel="0" collapsed="false">
      <c r="A8756" s="31" t="n">
        <v>43100.75</v>
      </c>
      <c r="B8756" s="32" t="n">
        <v>71.385</v>
      </c>
      <c r="D8756" s="33" t="n">
        <f aca="false">WEEKDAY(A8756,2)</f>
        <v>7</v>
      </c>
      <c r="E8756" s="33" t="n">
        <f aca="false">HOUR(A8756)+MINUTE(A8756)/60</f>
        <v>18</v>
      </c>
      <c r="F8756" s="33" t="n">
        <f aca="false">IF(OR(D8756&gt;5,E8756&lt;8,E8756&gt;=18,COUNTIF($K$2:$K$10,INT(A8756))&gt;0),1,0)</f>
        <v>1</v>
      </c>
      <c r="G8756" s="34" t="n">
        <f aca="false">B8756/1</f>
        <v>71.385</v>
      </c>
      <c r="H8756" s="34" t="n">
        <f aca="false">IF(F8756=1,G8756,"")</f>
        <v>71.385</v>
      </c>
    </row>
    <row r="8757" customFormat="false" ht="15" hidden="false" customHeight="false" outlineLevel="0" collapsed="false">
      <c r="A8757" s="31" t="n">
        <v>43100.7916666667</v>
      </c>
      <c r="B8757" s="32" t="n">
        <v>65.427</v>
      </c>
      <c r="D8757" s="33" t="n">
        <f aca="false">WEEKDAY(A8757,2)</f>
        <v>7</v>
      </c>
      <c r="E8757" s="33" t="n">
        <f aca="false">HOUR(A8757)+MINUTE(A8757)/60</f>
        <v>19</v>
      </c>
      <c r="F8757" s="33" t="n">
        <f aca="false">IF(OR(D8757&gt;5,E8757&lt;8,E8757&gt;=18,COUNTIF($K$2:$K$10,INT(A8757))&gt;0),1,0)</f>
        <v>1</v>
      </c>
      <c r="G8757" s="34" t="n">
        <f aca="false">B8757/1</f>
        <v>65.427</v>
      </c>
      <c r="H8757" s="34" t="n">
        <f aca="false">IF(F8757=1,G8757,"")</f>
        <v>65.427</v>
      </c>
    </row>
    <row r="8758" customFormat="false" ht="15" hidden="false" customHeight="false" outlineLevel="0" collapsed="false">
      <c r="A8758" s="31" t="n">
        <v>43100.8333333333</v>
      </c>
      <c r="B8758" s="32" t="n">
        <v>63.605</v>
      </c>
      <c r="D8758" s="33" t="n">
        <f aca="false">WEEKDAY(A8758,2)</f>
        <v>7</v>
      </c>
      <c r="E8758" s="33" t="n">
        <f aca="false">HOUR(A8758)+MINUTE(A8758)/60</f>
        <v>20</v>
      </c>
      <c r="F8758" s="33" t="n">
        <f aca="false">IF(OR(D8758&gt;5,E8758&lt;8,E8758&gt;=18,COUNTIF($K$2:$K$10,INT(A8758))&gt;0),1,0)</f>
        <v>1</v>
      </c>
      <c r="G8758" s="34" t="n">
        <f aca="false">B8758/1</f>
        <v>63.605</v>
      </c>
      <c r="H8758" s="34" t="n">
        <f aca="false">IF(F8758=1,G8758,"")</f>
        <v>63.605</v>
      </c>
    </row>
    <row r="8759" customFormat="false" ht="15" hidden="false" customHeight="false" outlineLevel="0" collapsed="false">
      <c r="A8759" s="31" t="n">
        <v>43100.875</v>
      </c>
      <c r="B8759" s="32" t="n">
        <v>62.337</v>
      </c>
      <c r="D8759" s="33" t="n">
        <f aca="false">WEEKDAY(A8759,2)</f>
        <v>7</v>
      </c>
      <c r="E8759" s="33" t="n">
        <f aca="false">HOUR(A8759)+MINUTE(A8759)/60</f>
        <v>21</v>
      </c>
      <c r="F8759" s="33" t="n">
        <f aca="false">IF(OR(D8759&gt;5,E8759&lt;8,E8759&gt;=18,COUNTIF($K$2:$K$10,INT(A8759))&gt;0),1,0)</f>
        <v>1</v>
      </c>
      <c r="G8759" s="34" t="n">
        <f aca="false">B8759/1</f>
        <v>62.337</v>
      </c>
      <c r="H8759" s="34" t="n">
        <f aca="false">IF(F8759=1,G8759,"")</f>
        <v>62.337</v>
      </c>
    </row>
    <row r="8760" customFormat="false" ht="15" hidden="false" customHeight="false" outlineLevel="0" collapsed="false">
      <c r="A8760" s="31" t="n">
        <v>43100.9166666667</v>
      </c>
      <c r="B8760" s="32" t="n">
        <v>64.508</v>
      </c>
      <c r="D8760" s="33" t="n">
        <f aca="false">WEEKDAY(A8760,2)</f>
        <v>7</v>
      </c>
      <c r="E8760" s="33" t="n">
        <f aca="false">HOUR(A8760)+MINUTE(A8760)/60</f>
        <v>22</v>
      </c>
      <c r="F8760" s="33" t="n">
        <f aca="false">IF(OR(D8760&gt;5,E8760&lt;8,E8760&gt;=18,COUNTIF($K$2:$K$10,INT(A8760))&gt;0),1,0)</f>
        <v>1</v>
      </c>
      <c r="G8760" s="34" t="n">
        <f aca="false">B8760/1</f>
        <v>64.508</v>
      </c>
      <c r="H8760" s="34" t="n">
        <f aca="false">IF(F8760=1,G8760,"")</f>
        <v>64.508</v>
      </c>
    </row>
    <row r="8761" customFormat="false" ht="15" hidden="false" customHeight="false" outlineLevel="0" collapsed="false">
      <c r="A8761" s="31" t="n">
        <v>43100.9583333333</v>
      </c>
      <c r="B8761" s="32" t="n">
        <v>62.899</v>
      </c>
      <c r="D8761" s="33" t="n">
        <f aca="false">WEEKDAY(A8761,2)</f>
        <v>7</v>
      </c>
      <c r="E8761" s="33" t="n">
        <f aca="false">HOUR(A8761)+MINUTE(A8761)/60</f>
        <v>23</v>
      </c>
      <c r="F8761" s="33" t="n">
        <f aca="false">IF(OR(D8761&gt;5,E8761&lt;8,E8761&gt;=18,COUNTIF($K$2:$K$10,INT(A8761))&gt;0),1,0)</f>
        <v>1</v>
      </c>
      <c r="G8761" s="34" t="n">
        <f aca="false">B8761/1</f>
        <v>62.899</v>
      </c>
      <c r="H8761" s="34" t="n">
        <f aca="false">IF(F8761=1,G8761,"")</f>
        <v>62.899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2026-09-13T22:07:27Z</dcterms:created>
  <dc:creator>openpyxl</dc:creator>
  <dc:description/>
  <dc:language>en-US</dc:language>
  <cp:lastModifiedBy/>
  <dcterms:modified xsi:type="dcterms:W3CDTF">2026-09-13T22:07:27Z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
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check" sheetId="1" state="visible" r:id="rId3"/>
    <sheet name="Verification" sheetId="2" state="visible" r:id="rId4"/>
    <sheet name="Building tota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<sst xmlns="http://schemas.openxmlformats.org/spreadsheetml/2006/main" count="59" uniqueCount="36">
  <si>
    <t xml:space="preserve">Checking the portfolio benchmark — Managed office portfolio, 8 buildings (BDG2 public dataset)</t>
  </si>
  <si>
    <t xml:space="preserve">Open the 'Verification' sheet. BLUE is what the report printed. BLACK is what Excel computes here from the floor areas and the annual totals. The difference column must be zero.</t>
  </si>
  <si>
    <t xml:space="preserve">What Excel recomputes here:</t>
  </si>
  <si>
    <t xml:space="preserve">Each building's intensity (kWh divided by m²), the median across the estate, each building's position against that median, and the gap in kWh and in money. That is the entire analysis — the report adds no other arithmetic.</t>
  </si>
  <si>
    <t xml:space="preserve">The one thing to verify separately:</t>
  </si>
  <si>
    <t xml:space="preserve">Each building's annual kWh is a sum of thousands of rows in its own file, so it is typed in here rather than recomputed. To check one: open that building's CSV, select the kWh column, and read the sum in Excel's status bar. It must equal the blue figure on the 'Building totals' sheet.</t>
  </si>
  <si>
    <t xml:space="preserve">Why the median and not an industry benchmark:</t>
  </si>
  <si>
    <t xml:space="preserve">A benchmark invites the answer 'our buildings are different'. The median of the client's own estate cannot be argued with the same way — they are all their buildings. Where a use type has three or more buildings, the median of that type is used instead of the estate median, so a laboratory is not called wasteful for using more than an office.</t>
  </si>
  <si>
    <t xml:space="preserve">Verification</t>
  </si>
  <si>
    <t xml:space="preserve">Blue = from the report.  Black = Excel's own calculation.  Every difference must be zero.</t>
  </si>
  <si>
    <t xml:space="preserve">Building</t>
  </si>
  <si>
    <t xml:space="preserve">Report kWh/m²</t>
  </si>
  <si>
    <t xml:space="preserve">Excel kWh/m²</t>
  </si>
  <si>
    <t xml:space="preserve">Difference</t>
  </si>
  <si>
    <t xml:space="preserve">vs median</t>
  </si>
  <si>
    <t xml:space="preserve">Report gap EUR</t>
  </si>
  <si>
    <t xml:space="preserve">Excel gap EUR</t>
  </si>
  <si>
    <t xml:space="preserve">Sherrie</t>
  </si>
  <si>
    <t xml:space="preserve">Migdalia</t>
  </si>
  <si>
    <t xml:space="preserve">Valda</t>
  </si>
  <si>
    <t xml:space="preserve">Concetta</t>
  </si>
  <si>
    <t xml:space="preserve">Cordelia</t>
  </si>
  <si>
    <t xml:space="preserve">Marlene</t>
  </si>
  <si>
    <t xml:space="preserve">Marilyn</t>
  </si>
  <si>
    <t xml:space="preserve">Judith</t>
  </si>
  <si>
    <t xml:space="preserve">Estate median intensity</t>
  </si>
  <si>
    <t xml:space="preserve">Total gap to median (EUR)</t>
  </si>
  <si>
    <t xml:space="preserve">Total estate energy (kWh)</t>
  </si>
  <si>
    <t xml:space="preserve">Largest difference anywhere</t>
  </si>
  <si>
    <t xml:space="preserve">VERDICT</t>
  </si>
  <si>
    <t xml:space="preserve">Use</t>
  </si>
  <si>
    <t xml:space="preserve">Floor area m²</t>
  </si>
  <si>
    <t xml:space="preserve">Annual kWh</t>
  </si>
  <si>
    <t xml:space="preserve">Reference intensity used</t>
  </si>
  <si>
    <t xml:space="preserve">Office</t>
  </si>
  <si>
    <t xml:space="preserve">Office median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</si>
</sst>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00"/>
    <numFmt numFmtId="167" formatCode="\+0.0%;\-0.0%;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A"/>
        <bgColor rgb="FFE4F2E9"/>
      </patternFill>
    </fill>
    <fill>
      <patternFill patternType="solid">
        <fgColor rgb="FFE4F2E9"/>
        <bgColor rgb="FFEEEE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0"/>
      </left>
      <right style="thin">
        <color rgb="FFD5D5D0"/>
      </right>
      <top style="thin">
        <color rgb="FFD5D5D0"/>
      </top>
      <bottom style="thin">
        <color rgb="FFD5D5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2E9"/>
      <rgbColor rgb="FF660066"/>
      <rgbColor rgb="FFFF8080"/>
      <rgbColor rgb="FF0066CC"/>
      <rgbColor rgb="FFD5D5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8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45.75" hidden="false" customHeight="tru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45.75" hidden="false" customHeight="true" outlineLevel="0" collapsed="false">
      <c r="A6" s="3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4</v>
      </c>
    </row>
    <row r="9" customFormat="false" ht="45.75" hidden="false" customHeight="true" outlineLevel="0" collapsed="false">
      <c r="A9" s="3" t="s">
        <v>5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6</v>
      </c>
    </row>
    <row r="12" customFormat="false" ht="45.75" hidden="false" customHeight="true" outlineLevel="0" collapsed="false">
      <c r="A12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7" min="6" style="0" width="15"/>
  </cols>
  <sheetData>
    <row r="1" customFormat="false" ht="17.35" hidden="false" customHeight="false" outlineLevel="0" collapsed="false">
      <c r="A1" s="6" t="s">
        <v>8</v>
      </c>
    </row>
    <row r="2" customFormat="false" ht="15" hidden="false" customHeight="false" outlineLevel="0" collapsed="false">
      <c r="A2" s="7" t="s">
        <v>9</v>
      </c>
    </row>
    <row r="4" customFormat="false" ht="15" hidden="false" customHeight="false" outlineLevel="0" collapsed="false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</row>
    <row r="5" customFormat="false" ht="15" hidden="false" customHeight="false" outlineLevel="0" collapsed="false">
      <c r="A5" s="9" t="s">
        <v>17</v>
      </c>
      <c r="B5" s="10" t="n">
        <v>40.9834223441443</v>
      </c>
      <c r="C5" s="11" t="n">
        <f aca="false">'Building totals'!D2/'Building totals'!C2</f>
        <v>40.9834223441443</v>
      </c>
      <c r="D5" s="12" t="n">
        <f aca="false">C5-B5</f>
        <v>0</v>
      </c>
      <c r="E5" s="13" t="n">
        <v>-0.167146893541677</v>
      </c>
      <c r="F5" s="10" t="n">
        <v>0</v>
      </c>
      <c r="G5" s="11" t="n">
        <f aca="false">MAX(C5-49.2084642854,0)*'Building totals'!C2*0.11</f>
        <v>0</v>
      </c>
    </row>
    <row r="6" customFormat="false" ht="15" hidden="false" customHeight="false" outlineLevel="0" collapsed="false">
      <c r="A6" s="9" t="s">
        <v>18</v>
      </c>
      <c r="B6" s="10" t="n">
        <v>41.9247513656753</v>
      </c>
      <c r="C6" s="11" t="n">
        <f aca="false">'Building totals'!D3/'Building totals'!C3</f>
        <v>41.9247513656753</v>
      </c>
      <c r="D6" s="12" t="n">
        <f aca="false">C6-B6</f>
        <v>0</v>
      </c>
      <c r="E6" s="13" t="n">
        <v>-0.14801748084407</v>
      </c>
      <c r="F6" s="10" t="n">
        <v>0</v>
      </c>
      <c r="G6" s="11" t="n">
        <f aca="false">MAX(C6-49.2084642854,0)*'Building totals'!C3*0.11</f>
        <v>0</v>
      </c>
    </row>
    <row r="7" customFormat="false" ht="15" hidden="false" customHeight="false" outlineLevel="0" collapsed="false">
      <c r="A7" s="9" t="s">
        <v>19</v>
      </c>
      <c r="B7" s="10" t="n">
        <v>47.7025151272976</v>
      </c>
      <c r="C7" s="11" t="n">
        <f aca="false">'Building totals'!D4/'Building totals'!C4</f>
        <v>47.7025151272976</v>
      </c>
      <c r="D7" s="12" t="n">
        <f aca="false">C7-B7</f>
        <v>0</v>
      </c>
      <c r="E7" s="13" t="n">
        <v>-0.0306034577582929</v>
      </c>
      <c r="F7" s="10" t="n">
        <v>0</v>
      </c>
      <c r="G7" s="11" t="n">
        <f aca="false">MAX(C7-49.2084642854,0)*'Building totals'!C4*0.11</f>
        <v>0</v>
      </c>
    </row>
    <row r="8" customFormat="false" ht="15" hidden="false" customHeight="false" outlineLevel="0" collapsed="false">
      <c r="A8" s="9" t="s">
        <v>20</v>
      </c>
      <c r="B8" s="10" t="n">
        <v>48.9881106707656</v>
      </c>
      <c r="C8" s="11" t="n">
        <f aca="false">'Building totals'!D5/'Building totals'!C5</f>
        <v>48.9881106707656</v>
      </c>
      <c r="D8" s="12" t="n">
        <f aca="false">C8-B8</f>
        <v>0</v>
      </c>
      <c r="E8" s="13" t="n">
        <v>-0.00447796162389724</v>
      </c>
      <c r="F8" s="10" t="n">
        <v>0</v>
      </c>
      <c r="G8" s="11" t="n">
        <f aca="false">MAX(C8-49.2084642854,0)*'Building totals'!C5*0.11</f>
        <v>0</v>
      </c>
    </row>
    <row r="9" customFormat="false" ht="15" hidden="false" customHeight="false" outlineLevel="0" collapsed="false">
      <c r="A9" s="9" t="s">
        <v>21</v>
      </c>
      <c r="B9" s="10" t="n">
        <v>49.4288179000475</v>
      </c>
      <c r="C9" s="11" t="n">
        <f aca="false">'Building totals'!D6/'Building totals'!C6</f>
        <v>49.4288179000475</v>
      </c>
      <c r="D9" s="12" t="n">
        <f aca="false">C9-B9</f>
        <v>0</v>
      </c>
      <c r="E9" s="13" t="n">
        <v>0.00447796162389724</v>
      </c>
      <c r="F9" s="10" t="n">
        <v>107.138351328197</v>
      </c>
      <c r="G9" s="11" t="n">
        <f aca="false">MAX(C9-49.2084642854,0)*'Building totals'!C6*0.11</f>
        <v>107.138351331379</v>
      </c>
    </row>
    <row r="10" customFormat="false" ht="15" hidden="false" customHeight="false" outlineLevel="0" collapsed="false">
      <c r="A10" s="9" t="s">
        <v>22</v>
      </c>
      <c r="B10" s="10" t="n">
        <v>53.3081078469529</v>
      </c>
      <c r="C10" s="11" t="n">
        <f aca="false">'Building totals'!D7/'Building totals'!C7</f>
        <v>53.3081078469529</v>
      </c>
      <c r="D10" s="12" t="n">
        <f aca="false">C10-B10</f>
        <v>0</v>
      </c>
      <c r="E10" s="13" t="n">
        <v>0.0833117558346999</v>
      </c>
      <c r="F10" s="10" t="n">
        <v>3360.24414771652</v>
      </c>
      <c r="G10" s="11" t="n">
        <f aca="false">MAX(C10-49.2084642854,0)*'Building totals'!C7*0.11</f>
        <v>3360.24414772189</v>
      </c>
    </row>
    <row r="11" customFormat="false" ht="15" hidden="false" customHeight="false" outlineLevel="0" collapsed="false">
      <c r="A11" s="9" t="s">
        <v>23</v>
      </c>
      <c r="B11" s="10" t="n">
        <v>53.7248274364311</v>
      </c>
      <c r="C11" s="11" t="n">
        <f aca="false">'Building totals'!D8/'Building totals'!C8</f>
        <v>53.7248274364311</v>
      </c>
      <c r="D11" s="12" t="n">
        <f aca="false">C11-B11</f>
        <v>0</v>
      </c>
      <c r="E11" s="13" t="n">
        <v>0.0917802092914315</v>
      </c>
      <c r="F11" s="10" t="n">
        <v>2745.06810500847</v>
      </c>
      <c r="G11" s="11" t="n">
        <f aca="false">MAX(C11-49.2084642854,0)*'Building totals'!C8*0.11</f>
        <v>2745.06810501245</v>
      </c>
    </row>
    <row r="12" customFormat="false" ht="15" hidden="false" customHeight="false" outlineLevel="0" collapsed="false">
      <c r="A12" s="9" t="s">
        <v>24</v>
      </c>
      <c r="B12" s="10" t="n">
        <v>54.2985686828231</v>
      </c>
      <c r="C12" s="11" t="n">
        <f aca="false">'Building totals'!D9/'Building totals'!C9</f>
        <v>54.2985686828231</v>
      </c>
      <c r="D12" s="12" t="n">
        <f aca="false">C12-B12</f>
        <v>0</v>
      </c>
      <c r="E12" s="13" t="n">
        <v>0.103439610874548</v>
      </c>
      <c r="F12" s="10" t="n">
        <v>10429.0232779877</v>
      </c>
      <c r="G12" s="11" t="n">
        <f aca="false">MAX(C12-49.2084642854,0)*'Building totals'!C9*0.11</f>
        <v>10429.0232780011</v>
      </c>
    </row>
    <row r="14" customFormat="false" ht="15" hidden="false" customHeight="false" outlineLevel="0" collapsed="false">
      <c r="A14" s="14" t="s">
        <v>25</v>
      </c>
      <c r="B14" s="15" t="n">
        <v>49.2084642854066</v>
      </c>
      <c r="C14" s="16" t="n">
        <f aca="false">MEDIAN(C5:C12)</f>
        <v>49.2084642854065</v>
      </c>
      <c r="D14" s="17" t="n">
        <f aca="false">C14-B14</f>
        <v>0</v>
      </c>
    </row>
    <row r="15" customFormat="false" ht="15" hidden="false" customHeight="false" outlineLevel="0" collapsed="false">
      <c r="A15" s="14" t="s">
        <v>26</v>
      </c>
      <c r="B15" s="15" t="n">
        <v>16641.4738820409</v>
      </c>
      <c r="C15" s="16" t="n">
        <f aca="false">SUM(G5:G12)</f>
        <v>16641.4738820668</v>
      </c>
      <c r="D15" s="17" t="n">
        <f aca="false">C15-B15</f>
        <v>2.59497028309852E-008</v>
      </c>
    </row>
    <row r="16" customFormat="false" ht="15" hidden="false" customHeight="false" outlineLevel="0" collapsed="false">
      <c r="A16" s="14" t="s">
        <v>27</v>
      </c>
      <c r="B16" s="15" t="n">
        <v>2944156.036</v>
      </c>
      <c r="C16" s="16" t="n">
        <f aca="false">SUM('Building totals'!D2:D9)</f>
        <v>2944156.036</v>
      </c>
      <c r="D16" s="17" t="n">
        <f aca="false">C16-B16</f>
        <v>0</v>
      </c>
    </row>
    <row r="18" customFormat="false" ht="15" hidden="false" customHeight="false" outlineLevel="0" collapsed="false">
      <c r="A18" s="18" t="s">
        <v>28</v>
      </c>
      <c r="C18" s="19" t="n">
        <f aca="false">MAX(MAX(D5:D15),-MIN(D5:D15))</f>
        <v>2.59497028309852E-008</v>
      </c>
    </row>
    <row r="19" customFormat="false" ht="25.5" hidden="false" customHeight="true" outlineLevel="0" collapsed="false">
      <c r="A19" s="20" t="s">
        <v>29</v>
      </c>
      <c r="B19" s="21" t="str">
        <f aca="false">IF(C18&lt;0.01,"EVERY FIGURE MATCHES - report is safe to send","MISMATCH - do NOT send this report")</f>
        <v>EVERY FIGURE MATCHES - report is safe to send</v>
      </c>
      <c r="C19" s="21"/>
      <c r="D19" s="21"/>
      <c r="E19" s="21"/>
      <c r="F19" s="21"/>
      <c r="G19" s="21"/>
    </row>
  </sheetData>
  <mergeCells count="1"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22" t="s">
        <v>10</v>
      </c>
      <c r="B1" s="22" t="s">
        <v>30</v>
      </c>
      <c r="C1" s="22" t="s">
        <v>31</v>
      </c>
      <c r="D1" s="22" t="s">
        <v>32</v>
      </c>
      <c r="E1" s="22" t="s">
        <v>33</v>
      </c>
    </row>
    <row r="2" customFormat="false" ht="15" hidden="false" customHeight="false" outlineLevel="0" collapsed="false">
      <c r="A2" s="14" t="s">
        <v>17</v>
      </c>
      <c r="B2" s="14" t="s">
        <v>34</v>
      </c>
      <c r="C2" s="23" t="n">
        <v>8639.4</v>
      </c>
      <c r="D2" s="15" t="n">
        <v>354072.179</v>
      </c>
      <c r="E2" s="7" t="s">
        <v>35</v>
      </c>
    </row>
    <row r="3" customFormat="false" ht="15" hidden="false" customHeight="false" outlineLevel="0" collapsed="false">
      <c r="A3" s="14" t="s">
        <v>18</v>
      </c>
      <c r="B3" s="14" t="s">
        <v>34</v>
      </c>
      <c r="C3" s="23" t="n">
        <v>6754.9</v>
      </c>
      <c r="D3" s="15" t="n">
        <v>283197.503</v>
      </c>
      <c r="E3" s="7" t="s">
        <v>35</v>
      </c>
    </row>
    <row r="4" customFormat="false" ht="15" hidden="false" customHeight="false" outlineLevel="0" collapsed="false">
      <c r="A4" s="14" t="s">
        <v>19</v>
      </c>
      <c r="B4" s="14" t="s">
        <v>34</v>
      </c>
      <c r="C4" s="23" t="n">
        <v>5255.4</v>
      </c>
      <c r="D4" s="15" t="n">
        <v>250695.798</v>
      </c>
      <c r="E4" s="7" t="s">
        <v>35</v>
      </c>
    </row>
    <row r="5" customFormat="false" ht="15" hidden="false" customHeight="false" outlineLevel="0" collapsed="false">
      <c r="A5" s="14" t="s">
        <v>20</v>
      </c>
      <c r="B5" s="14" t="s">
        <v>34</v>
      </c>
      <c r="C5" s="23" t="n">
        <v>2699.9</v>
      </c>
      <c r="D5" s="15" t="n">
        <v>132263</v>
      </c>
      <c r="E5" s="7" t="s">
        <v>35</v>
      </c>
    </row>
    <row r="6" customFormat="false" ht="15" hidden="false" customHeight="false" outlineLevel="0" collapsed="false">
      <c r="A6" s="14" t="s">
        <v>21</v>
      </c>
      <c r="B6" s="14" t="s">
        <v>34</v>
      </c>
      <c r="C6" s="23" t="n">
        <v>4420.1</v>
      </c>
      <c r="D6" s="15" t="n">
        <v>218480.318</v>
      </c>
      <c r="E6" s="7" t="s">
        <v>35</v>
      </c>
    </row>
    <row r="7" customFormat="false" ht="15" hidden="false" customHeight="false" outlineLevel="0" collapsed="false">
      <c r="A7" s="14" t="s">
        <v>22</v>
      </c>
      <c r="B7" s="14" t="s">
        <v>34</v>
      </c>
      <c r="C7" s="23" t="n">
        <v>7451.3</v>
      </c>
      <c r="D7" s="15" t="n">
        <v>397214.704</v>
      </c>
      <c r="E7" s="7" t="s">
        <v>35</v>
      </c>
    </row>
    <row r="8" customFormat="false" ht="15" hidden="false" customHeight="false" outlineLevel="0" collapsed="false">
      <c r="A8" s="14" t="s">
        <v>23</v>
      </c>
      <c r="B8" s="14" t="s">
        <v>34</v>
      </c>
      <c r="C8" s="23" t="n">
        <v>5525.5</v>
      </c>
      <c r="D8" s="15" t="n">
        <v>296856.534</v>
      </c>
      <c r="E8" s="7" t="s">
        <v>35</v>
      </c>
    </row>
    <row r="9" customFormat="false" ht="15" hidden="false" customHeight="false" outlineLevel="0" collapsed="false">
      <c r="A9" s="14" t="s">
        <v>24</v>
      </c>
      <c r="B9" s="14" t="s">
        <v>34</v>
      </c>
      <c r="C9" s="23" t="n">
        <v>18626.2</v>
      </c>
      <c r="D9" s="15" t="n">
        <v>1011376</v>
      </c>
      <c r="E9" s="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2026-09-22T16:58:46Z</dcterms:created>
  <dc:creator>openpyxl</dc:creator>
  <dc:description/>
  <dc:language>en-US</dc:language>
  <cp:lastModifiedBy/>
  <dcterms:modified xsi:type="dcterms:W3CDTF">2026-09-22T16:58:46Z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
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ADME" sheetId="1" state="visible" r:id="rId1"/>
    <sheet xmlns:r="http://schemas.openxmlformats.org/officeDocument/2006/relationships" name="02_Inputs" sheetId="2" state="visible" r:id="rId2"/>
    <sheet xmlns:r="http://schemas.openxmlformats.org/officeDocument/2006/relationships" name="03_Model" sheetId="3" state="visible" r:id="rId3"/>
    <sheet xmlns:r="http://schemas.openxmlformats.org/officeDocument/2006/relationships" name="04_Sensitivity" sheetId="4" state="visible" r:id="rId4"/>
    <sheet xmlns:r="http://schemas.openxmlformats.org/officeDocument/2006/relationships" name="05_SQL_Actuals" sheetId="5" state="visible" r:id="rId5"/>
    <sheet xmlns:r="http://schemas.openxmlformats.org/officeDocument/2006/relationships" name="06_Dashboard" sheetId="6" state="visible" r:id="rId6"/>
    <sheet xmlns:r="http://schemas.openxmlformats.org/officeDocument/2006/relationships" name="07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0.0"/>
    <numFmt numFmtId="167" formatCode="0.0000"/>
    <numFmt numFmtId="168" formatCode="#,##0.000"/>
  </numFmts>
  <fonts count="22">
    <font>
      <name val="Calibri"/>
      <family val="2"/>
      <color theme="1"/>
      <sz val="11"/>
      <scheme val="minor"/>
    </font>
    <font>
      <b val="1"/>
      <color rgb="000B3D33"/>
      <sz val="16"/>
    </font>
    <font>
      <sz val="10"/>
    </font>
    <font>
      <b val="1"/>
      <color rgb="000B7A5A"/>
      <sz val="11"/>
    </font>
    <font>
      <i val="1"/>
      <color rgb="006B7D78"/>
      <sz val="8"/>
    </font>
    <font>
      <b val="1"/>
      <color rgb="00FFFFFF"/>
      <sz val="11"/>
    </font>
    <font>
      <b val="1"/>
      <color rgb="000B3D33"/>
    </font>
    <font>
      <b val="1"/>
      <color rgb="000B7A5A"/>
      <sz val="10"/>
    </font>
    <font>
      <b val="1"/>
      <sz val="10"/>
    </font>
    <font>
      <color rgb="006B7D78"/>
      <sz val="9"/>
    </font>
    <font>
      <color rgb="006B7D78"/>
      <sz val="8"/>
    </font>
    <font>
      <i val="1"/>
      <color rgb="00C0562F"/>
      <sz val="8"/>
    </font>
    <font>
      <color rgb="00000000"/>
      <sz val="10"/>
    </font>
    <font>
      <b val="1"/>
      <color rgb="000B3D33"/>
      <sz val="10"/>
    </font>
    <font>
      <b val="1"/>
      <color rgb="000B7A5A"/>
    </font>
    <font>
      <b val="1"/>
      <color rgb="00FFFFFF"/>
    </font>
    <font>
      <b val="1"/>
      <color rgb="00FFFFFF"/>
      <sz val="9"/>
    </font>
    <font>
      <sz val="9"/>
    </font>
    <font>
      <b val="1"/>
      <color rgb="000B7A5A"/>
      <sz val="14"/>
    </font>
    <font>
      <b val="1"/>
      <sz val="11"/>
    </font>
    <font>
      <b val="1"/>
    </font>
    <font>
      <i val="1"/>
      <color rgb="00C0562F"/>
      <sz val="9"/>
    </font>
  </fonts>
  <fills count="7">
    <fill>
      <patternFill/>
    </fill>
    <fill>
      <patternFill patternType="gray125"/>
    </fill>
    <fill>
      <patternFill patternType="solid">
        <fgColor rgb="000B3D33"/>
      </patternFill>
    </fill>
    <fill>
      <patternFill patternType="solid">
        <fgColor rgb="00E4F0EC"/>
      </patternFill>
    </fill>
    <fill>
      <patternFill patternType="solid">
        <fgColor rgb="00FFF6D9"/>
      </patternFill>
    </fill>
    <fill>
      <patternFill patternType="solid">
        <fgColor rgb="00F7FBFA"/>
      </patternFill>
    </fill>
    <fill>
      <patternFill patternType="solid">
        <fgColor rgb="000B7A5A"/>
      </patternFill>
    </fill>
  </fills>
  <borders count="2">
    <border>
      <left/>
      <right/>
      <top/>
      <bottom/>
      <diagonal/>
    </border>
    <border>
      <left style="thin">
        <color rgb="00D5E2DE"/>
      </left>
      <right style="thin">
        <color rgb="00D5E2DE"/>
      </right>
      <top style="thin">
        <color rgb="00D5E2DE"/>
      </top>
      <bottom style="thin">
        <color rgb="00D5E2DE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2" fillId="0" borderId="0" pivotButton="0" quotePrefix="0" xfId="0"/>
    <xf numFmtId="4" fontId="8" fillId="4" borderId="1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  <xf numFmtId="164" fontId="8" fillId="4" borderId="1" pivotButton="0" quotePrefix="0" xfId="0"/>
    <xf numFmtId="0" fontId="11" fillId="0" borderId="0" pivotButton="0" quotePrefix="0" xfId="0"/>
    <xf numFmtId="4" fontId="12" fillId="5" borderId="1" pivotButton="0" quotePrefix="0" xfId="0"/>
    <xf numFmtId="165" fontId="12" fillId="5" borderId="1" pivotButton="0" quotePrefix="0" xfId="0"/>
    <xf numFmtId="164" fontId="12" fillId="5" borderId="1" pivotButton="0" quotePrefix="0" xfId="0"/>
    <xf numFmtId="0" fontId="8" fillId="0" borderId="0" pivotButton="0" quotePrefix="0" xfId="0"/>
    <xf numFmtId="165" fontId="13" fillId="5" borderId="1" pivotButton="0" quotePrefix="0" xfId="0"/>
    <xf numFmtId="4" fontId="13" fillId="5" borderId="1" pivotButton="0" quotePrefix="0" xfId="0"/>
    <xf numFmtId="166" fontId="13" fillId="5" borderId="1" pivotButton="0" quotePrefix="0" xfId="0"/>
    <xf numFmtId="166" fontId="12" fillId="5" borderId="1" pivotButton="0" quotePrefix="0" xfId="0"/>
    <xf numFmtId="2" fontId="13" fillId="5" borderId="1" pivotButton="0" quotePrefix="0" xfId="0"/>
    <xf numFmtId="0" fontId="4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9" fontId="15" fillId="6" borderId="0" pivotButton="0" quotePrefix="0" xfId="0"/>
    <xf numFmtId="166" fontId="15" fillId="6" borderId="0" pivotButton="0" quotePrefix="0" xfId="0"/>
    <xf numFmtId="2" fontId="0" fillId="5" borderId="1" pivotButton="0" quotePrefix="0" xfId="0"/>
    <xf numFmtId="2" fontId="15" fillId="6" borderId="0" pivotButton="0" quotePrefix="0" xfId="0"/>
    <xf numFmtId="165" fontId="0" fillId="5" borderId="1" pivotButton="0" quotePrefix="0" xfId="0"/>
    <xf numFmtId="167" fontId="14" fillId="0" borderId="1" pivotButton="0" quotePrefix="0" xfId="0"/>
    <xf numFmtId="0" fontId="16" fillId="6" borderId="0" pivotButton="0" quotePrefix="0" xfId="0"/>
    <xf numFmtId="0" fontId="17" fillId="0" borderId="1" pivotButton="0" quotePrefix="0" xfId="0"/>
    <xf numFmtId="4" fontId="17" fillId="0" borderId="1" pivotButton="0" quotePrefix="0" xfId="0"/>
    <xf numFmtId="168" fontId="17" fillId="0" borderId="1" pivotButton="0" quotePrefix="0" xfId="0"/>
    <xf numFmtId="0" fontId="13" fillId="0" borderId="0" pivotButton="0" quotePrefix="0" xfId="0"/>
    <xf numFmtId="3" fontId="18" fillId="3" borderId="1" pivotButton="0" quotePrefix="0" xfId="0"/>
    <xf numFmtId="165" fontId="18" fillId="3" borderId="1" pivotButton="0" quotePrefix="0" xfId="0"/>
    <xf numFmtId="0" fontId="19" fillId="0" borderId="1" pivotButton="0" quotePrefix="0" xfId="0"/>
    <xf numFmtId="4" fontId="18" fillId="3" borderId="1" pivotButton="0" quotePrefix="0" xfId="0"/>
    <xf numFmtId="166" fontId="18" fillId="3" borderId="1" pivotButton="0" quotePrefix="0" xfId="0"/>
    <xf numFmtId="2" fontId="18" fillId="3" borderId="1" pivotButton="0" quotePrefix="0" xfId="0"/>
    <xf numFmtId="0" fontId="17" fillId="0" borderId="0" pivotButton="0" quotePrefix="0" xfId="0"/>
    <xf numFmtId="3" fontId="17" fillId="0" borderId="0" pivotButton="0" quotePrefix="0" xfId="0"/>
    <xf numFmtId="168" fontId="0" fillId="0" borderId="1" pivotButton="0" quotePrefix="0" xfId="0"/>
    <xf numFmtId="0" fontId="20" fillId="0" borderId="1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Bill by scenario (EUR, observed period)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'06_Dashboard'!B21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'06_Dashboard'!$A$22:$A$26</f>
            </numRef>
          </cat>
          <val>
            <numRef>
              <f>'06_Dashboard'!$B$22:$B$26</f>
            </numRef>
          </val>
        </ser>
        <ser>
          <idx val="1"/>
          <order val="1"/>
          <tx>
            <strRef>
              <f>'06_Dashboard'!C21</f>
            </strRef>
          </tx>
          <spPr>
            <a:ln xmlns:a="http://schemas.openxmlformats.org/drawingml/2006/main">
              <a:prstDash val="solid"/>
            </a:ln>
          </spPr>
          <cat>
            <numRef>
              <f>'06_Dashboard'!$A$22:$A$26</f>
            </numRef>
          </cat>
          <val>
            <numRef>
              <f>'06_Dashboard'!$C$22:$C$26</f>
            </numRef>
          </val>
        </ser>
        <ser>
          <idx val="2"/>
          <order val="2"/>
          <tx>
            <strRef>
              <f>'06_Dashboard'!D21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'06_Dashboard'!$A$22:$A$26</f>
            </numRef>
          </cat>
          <val>
            <numRef>
              <f>'06_Dashboard'!$D$22:$D$26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2">
      <c r="A2" s="1" t="inlineStr">
        <is>
          <t>Dynamic tariff — customer &amp; supplier unit economics</t>
        </is>
      </c>
    </row>
    <row r="3">
      <c r="A3" s="2" t="inlineStr"/>
    </row>
    <row r="4" ht="30" customHeight="1">
      <c r="A4" s="2" t="inlineStr">
        <is>
          <t>PURPOSE: decide whether a customer segment is worth acquiring onto the dynamic tariff, and what the supplier earns from them per year.</t>
        </is>
      </c>
    </row>
    <row r="5">
      <c r="A5" s="2" t="inlineStr"/>
    </row>
    <row r="6">
      <c r="A6" s="3" t="inlineStr">
        <is>
          <t>HOW TO USE</t>
        </is>
      </c>
    </row>
    <row r="7">
      <c r="A7" s="2" t="inlineStr">
        <is>
          <t>1. Only ever type in the YELLOW cells on 02_Inputs. Everything else is formulas.</t>
        </is>
      </c>
    </row>
    <row r="8">
      <c r="A8" s="2" t="inlineStr">
        <is>
          <t>2. 03_Model computes volumes, the customer bill and the supplier P&amp;L.</t>
        </is>
      </c>
    </row>
    <row r="9">
      <c r="A9" s="2" t="inlineStr">
        <is>
          <t>3. 04_Sensitivity shows what the answer actually hinges on. Read this before quoting a number.</t>
        </is>
      </c>
    </row>
    <row r="10">
      <c r="A10" s="2" t="inlineStr">
        <is>
          <t>4. 05_SQL_Actuals holds the real pipeline output, so the model can be reconciled against data.</t>
        </is>
      </c>
    </row>
    <row r="11">
      <c r="A11" s="2" t="inlineStr">
        <is>
          <t>5. 07_Checks tries to break the model. If anything says CHECK, do not present the model.</t>
        </is>
      </c>
    </row>
    <row r="12">
      <c r="A12" s="2" t="inlineStr"/>
    </row>
    <row r="13">
      <c r="A13" s="3" t="inlineStr">
        <is>
          <t>THE ONE INSIGHT THIS MODEL EXISTS TO PROTECT YOU FROM</t>
        </is>
      </c>
    </row>
    <row r="14" ht="30" customHeight="1">
      <c r="A14" s="2" t="inlineStr">
        <is>
          <t>Only the commodity component of a German electricity bill follows the spot price. Grid fees, levies, taxes and VAT do not. So a customer who shifts 30% of consumption into the cheapest quarter-hours does NOT save 30%. The model shows the true share on 03_Model. Over-promised savings are the single biggest churn driver in this segment.</t>
        </is>
      </c>
    </row>
    <row r="15">
      <c r="A15" s="2" t="inlineStr"/>
    </row>
    <row r="16">
      <c r="A16" s="3" t="inlineStr">
        <is>
          <t>ASSUMPTIONS ARE NOT FACTS</t>
        </is>
      </c>
    </row>
    <row r="17" ht="30" customHeight="1">
      <c r="A17" s="2" t="inlineStr">
        <is>
          <t>Every input on 02_Inputs has a source note. Where the source says ASSUMPTION, the number is a judgement, and the sensitivity tab tells you how much it matters. Never present an output without naming the two inputs it is most sensitive to.</t>
        </is>
      </c>
    </row>
    <row r="18">
      <c r="A18" s="2" t="inlineStr"/>
    </row>
    <row r="19">
      <c r="A19" s="4" t="inlineStr">
        <is>
          <t>Built for: 1KOMMA5° — Product Management, Energy Products &amp; Tariffs</t>
        </is>
      </c>
    </row>
    <row r="20">
      <c r="A20" s="4" t="inlineStr">
        <is>
          <t>Data: synthetic, generated by 01_generate_data.py. Prices modelled on German day-ahead shape.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62" customWidth="1" min="4" max="4"/>
  </cols>
  <sheetData>
    <row r="1">
      <c r="A1" s="5" t="inlineStr">
        <is>
          <t>INPUTS — the only cells you may type in (yellow)</t>
        </is>
      </c>
      <c r="B1" s="6" t="n"/>
      <c r="C1" s="6" t="n"/>
      <c r="D1" s="6" t="n"/>
    </row>
    <row r="2">
      <c r="A2" s="7" t="inlineStr">
        <is>
          <t>Driver</t>
        </is>
      </c>
      <c r="B2" s="7" t="inlineStr">
        <is>
          <t>Value</t>
        </is>
      </c>
      <c r="C2" s="7" t="inlineStr">
        <is>
          <t>Unit</t>
        </is>
      </c>
      <c r="D2" s="7" t="inlineStr">
        <is>
          <t>Source / note</t>
        </is>
      </c>
    </row>
    <row r="3">
      <c r="A3" s="8" t="inlineStr">
        <is>
          <t>— CUSTOMER PHYSICAL —</t>
        </is>
      </c>
    </row>
    <row r="4">
      <c r="A4" s="9" t="inlineStr">
        <is>
          <t>Annual consumption</t>
        </is>
      </c>
      <c r="B4" s="10" t="n">
        <v>9500</v>
      </c>
      <c r="C4" s="11" t="inlineStr">
        <is>
          <t>kWh/yr</t>
        </is>
      </c>
      <c r="D4" s="12" t="inlineStr">
        <is>
          <t>PV+battery+heat-pump household: 2.5-3.5k base + 3.5-6k heat pump</t>
        </is>
      </c>
    </row>
    <row r="5">
      <c r="A5" s="9" t="inlineStr">
        <is>
          <t>PV capacity</t>
        </is>
      </c>
      <c r="B5" s="10" t="n">
        <v>10</v>
      </c>
      <c r="C5" s="11" t="inlineStr">
        <is>
          <t>kWp</t>
        </is>
      </c>
      <c r="D5" s="12" t="inlineStr">
        <is>
          <t>Typical German residential rooftop 8–12 kWp</t>
        </is>
      </c>
    </row>
    <row r="6">
      <c r="A6" s="9" t="inlineStr">
        <is>
          <t>Specific yield</t>
        </is>
      </c>
      <c r="B6" s="10" t="n">
        <v>980</v>
      </c>
      <c r="C6" s="11" t="inlineStr">
        <is>
          <t>kWh/kWp/yr</t>
        </is>
      </c>
      <c r="D6" s="12" t="inlineStr">
        <is>
          <t>German range 950–1,100 (assumption, location dependent)</t>
        </is>
      </c>
    </row>
    <row r="7">
      <c r="A7" s="9" t="inlineStr">
        <is>
          <t>Eigenverbrauchsquote, PV only</t>
        </is>
      </c>
      <c r="B7" s="13" t="n">
        <v>0.3</v>
      </c>
      <c r="C7" s="11" t="inlineStr">
        <is>
          <t>share</t>
        </is>
      </c>
      <c r="D7" s="12" t="inlineStr">
        <is>
          <t>Share of PV GENERATION used on site, no storage: 25–35%</t>
        </is>
      </c>
    </row>
    <row r="8">
      <c r="A8" s="9" t="inlineStr">
        <is>
          <t>Eigenverbrauchsquote uplift, battery</t>
        </is>
      </c>
      <c r="B8" s="13" t="n">
        <v>0.28</v>
      </c>
      <c r="C8" s="11" t="inlineStr">
        <is>
          <t>share</t>
        </is>
      </c>
      <c r="D8" s="12" t="inlineStr">
        <is>
          <t>Battery lifts on-site use of generation to ~55–65%</t>
        </is>
      </c>
    </row>
    <row r="9">
      <c r="A9" s="9" t="inlineStr">
        <is>
          <t>Autarkiegrad cap, PV only</t>
        </is>
      </c>
      <c r="B9" s="13" t="n">
        <v>0.3</v>
      </c>
      <c r="C9" s="11" t="inlineStr">
        <is>
          <t>share</t>
        </is>
      </c>
      <c r="D9" s="12" t="inlineStr">
        <is>
          <t>Share of LOAD that PV can physically cover, no storage: 25–35%</t>
        </is>
      </c>
    </row>
    <row r="10">
      <c r="A10" s="9" t="inlineStr">
        <is>
          <t>Autarkiegrad uplift, battery</t>
        </is>
      </c>
      <c r="B10" s="13" t="n">
        <v>0.3</v>
      </c>
      <c r="C10" s="11" t="inlineStr">
        <is>
          <t>share</t>
        </is>
      </c>
      <c r="D10" s="12" t="inlineStr">
        <is>
          <t>With storage self-sufficiency reaches ~55–70%. PV does not generate at night — this cap is the physics.</t>
        </is>
      </c>
    </row>
    <row r="11">
      <c r="A11" s="9" t="inlineStr">
        <is>
          <t>Battery usable capacity</t>
        </is>
      </c>
      <c r="B11" s="10" t="n">
        <v>10</v>
      </c>
      <c r="C11" s="11" t="inlineStr">
        <is>
          <t>kWh</t>
        </is>
      </c>
      <c r="D11" s="12" t="inlineStr">
        <is>
          <t>Usable, i.e. after depth-of-discharge</t>
        </is>
      </c>
    </row>
    <row r="12">
      <c r="A12" s="9" t="inlineStr">
        <is>
          <t>Controllable capacity for VPP</t>
        </is>
      </c>
      <c r="B12" s="13" t="n">
        <v>8</v>
      </c>
      <c r="C12" s="11" t="inlineStr">
        <is>
          <t>kW</t>
        </is>
      </c>
      <c r="D12" s="12" t="inlineStr">
        <is>
          <t>0.5C on a 10 kWh battery (5 kW) + 3 kW heat pump</t>
        </is>
      </c>
    </row>
    <row r="13">
      <c r="A13" s="8" t="inlineStr">
        <is>
          <t>— MARKET &amp; PRICE STACK —</t>
        </is>
      </c>
    </row>
    <row r="14">
      <c r="A14" s="9" t="inlineStr">
        <is>
          <t>Average day-ahead spot</t>
        </is>
      </c>
      <c r="B14" s="13" t="n">
        <v>8.81</v>
      </c>
      <c r="C14" s="11" t="inlineStr">
        <is>
          <t>ct/kWh</t>
        </is>
      </c>
      <c r="D14" s="12" t="inlineStr">
        <is>
          <t>Period mean from 05_SQL_Actuals (measured, not assumed)</t>
        </is>
      </c>
    </row>
    <row r="15">
      <c r="A15" s="9" t="inlineStr">
        <is>
          <t>Realised/average price ratio</t>
        </is>
      </c>
      <c r="B15" s="13" t="n">
        <v>0.987</v>
      </c>
      <c r="C15" s="11" t="inlineStr">
        <is>
          <t>x</t>
        </is>
      </c>
      <c r="D15" s="12" t="inlineStr">
        <is>
          <t>From the backtest: &lt;1 means shifting works (measured)</t>
        </is>
      </c>
    </row>
    <row r="16">
      <c r="A16" s="9" t="inlineStr">
        <is>
          <t>Supplier markup on spot</t>
        </is>
      </c>
      <c r="B16" s="13" t="n">
        <v>1.8</v>
      </c>
      <c r="C16" s="11" t="inlineStr">
        <is>
          <t>ct/kWh</t>
        </is>
      </c>
      <c r="D16" s="12" t="inlineStr">
        <is>
          <t>Commercial decision — the main lever you own</t>
        </is>
      </c>
    </row>
    <row r="17">
      <c r="A17" s="9" t="inlineStr">
        <is>
          <t>Base fee, dynamic tariff</t>
        </is>
      </c>
      <c r="B17" s="10" t="n">
        <v>12.99</v>
      </c>
      <c r="C17" s="11" t="inlineStr">
        <is>
          <t>EUR/month</t>
        </is>
      </c>
      <c r="D17" s="12" t="inlineStr">
        <is>
          <t>Competitive range: Ostrom 6, Tibber 5.99, aWATTar 4.58</t>
        </is>
      </c>
    </row>
    <row r="18">
      <c r="A18" s="9" t="inlineStr">
        <is>
          <t>HEMS software fee</t>
        </is>
      </c>
      <c r="B18" s="13" t="n">
        <v>9.9</v>
      </c>
      <c r="C18" s="11" t="inlineStr">
        <is>
          <t>EUR/month</t>
        </is>
      </c>
      <c r="D18" s="12" t="inlineStr">
        <is>
          <t>Heartbeat-style software subscription (ASSUMPTION)</t>
        </is>
      </c>
    </row>
    <row r="19">
      <c r="A19" s="9" t="inlineStr">
        <is>
          <t>Grid fee (Netzentgelt)</t>
        </is>
      </c>
      <c r="B19" s="13" t="n">
        <v>9.26</v>
      </c>
      <c r="C19" s="11" t="inlineStr">
        <is>
          <t>ct/kWh</t>
        </is>
      </c>
      <c r="D19" s="12" t="inlineStr">
        <is>
          <t>German household average 2026, −15% y/y on state subsidy</t>
        </is>
      </c>
    </row>
    <row r="20">
      <c r="A20" s="9" t="inlineStr">
        <is>
          <t>Levies + taxes</t>
        </is>
      </c>
      <c r="B20" s="10" t="n">
        <v>12.61</v>
      </c>
      <c r="C20" s="11" t="inlineStr">
        <is>
          <t>ct/kWh</t>
        </is>
      </c>
      <c r="D20" s="12" t="inlineStr">
        <is>
          <t>Stromsteuer 2.05 + KWKG 0.45 + §19 StromNEV 1.56 + offshore 0.94 + concession</t>
        </is>
      </c>
    </row>
    <row r="21">
      <c r="A21" s="9" t="inlineStr">
        <is>
          <t>VAT</t>
        </is>
      </c>
      <c r="B21" s="13" t="n">
        <v>0.19</v>
      </c>
      <c r="C21" s="11" t="inlineStr">
        <is>
          <t>share</t>
        </is>
      </c>
      <c r="D21" s="12" t="inlineStr">
        <is>
          <t>German statutory rate</t>
        </is>
      </c>
    </row>
    <row r="22">
      <c r="A22" s="9" t="inlineStr">
        <is>
          <t>Fixed tariff energy component</t>
        </is>
      </c>
      <c r="B22" s="10" t="n">
        <v>15.4</v>
      </c>
      <c r="C22" s="11" t="inlineStr">
        <is>
          <t>ct/kWh</t>
        </is>
      </c>
      <c r="D22" s="12" t="inlineStr">
        <is>
          <t>The counterfactual — procurement+sales+margin, ~41% of 37.2 ct</t>
        </is>
      </c>
    </row>
    <row r="23">
      <c r="A23" s="8" t="inlineStr">
        <is>
          <t>— SUPPLIER COMMERCIALS —</t>
        </is>
      </c>
    </row>
    <row r="24">
      <c r="A24" s="9" t="inlineStr">
        <is>
          <t>Customer acquisition cost</t>
        </is>
      </c>
      <c r="B24" s="10" t="n">
        <v>420</v>
      </c>
      <c r="C24" s="11" t="inlineStr">
        <is>
          <t>EUR</t>
        </is>
      </c>
      <c r="D24" s="12" t="inlineStr">
        <is>
          <t>Blended CAC (ASSUMPTION — the least reliable input here)</t>
        </is>
      </c>
    </row>
    <row r="25">
      <c r="A25" s="9" t="inlineStr">
        <is>
          <t>Service + billing cost</t>
        </is>
      </c>
      <c r="B25" s="10" t="n">
        <v>28</v>
      </c>
      <c r="C25" s="11" t="inlineStr">
        <is>
          <t>EUR/yr</t>
        </is>
      </c>
      <c r="D25" s="12" t="inlineStr">
        <is>
          <t>Support, invoicing, MaKo clearing per customer (ASSUMPTION)</t>
        </is>
      </c>
    </row>
    <row r="26">
      <c r="A26" s="9" t="inlineStr">
        <is>
          <t>Imbalance cost</t>
        </is>
      </c>
      <c r="B26" s="13" t="n">
        <v>0.35</v>
      </c>
      <c r="C26" s="11" t="inlineStr">
        <is>
          <t>ct/kWh</t>
        </is>
      </c>
      <c r="D26" s="12" t="inlineStr">
        <is>
          <t>Ausgleichsenergie from portfolio forecast error (ASSUMPTION)</t>
        </is>
      </c>
    </row>
    <row r="27">
      <c r="A27" s="9" t="inlineStr">
        <is>
          <t>Flexibility revenue</t>
        </is>
      </c>
      <c r="B27" s="10" t="n">
        <v>18</v>
      </c>
      <c r="C27" s="11" t="inlineStr">
        <is>
          <t>EUR/kW/yr</t>
        </is>
      </c>
      <c r="D27" s="12" t="inlineStr">
        <is>
          <t>MEASURED FLOOR: the backtest earned EUR ~57/battery/yr from spot arbitrage alone (EUR 282 / 20 batteries / 90d). Balancing-market participation could multiply it; 18/kW/yr keeps the case honest.</t>
        </is>
      </c>
    </row>
    <row r="28">
      <c r="A28" s="9" t="inlineStr">
        <is>
          <t>Annual churn</t>
        </is>
      </c>
      <c r="B28" s="13" t="n">
        <v>0.12</v>
      </c>
      <c r="C28" s="11" t="inlineStr">
        <is>
          <t>share</t>
        </is>
      </c>
      <c r="D28" s="12" t="inlineStr">
        <is>
          <t>12%/yr → 8.3 year expected life (ASSUMPTION)</t>
        </is>
      </c>
    </row>
    <row r="30">
      <c r="A30" s="14" t="inlineStr">
        <is>
          <t>Yellow = input. Any other colour = formula. If you find yourself typing a number outside this block, stop and add it here instead.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58" customWidth="1" min="4" max="4"/>
  </cols>
  <sheetData>
    <row r="1">
      <c r="A1" s="5" t="inlineStr">
        <is>
          <t>1 · VOLUMES</t>
        </is>
      </c>
      <c r="B1" s="6" t="n"/>
      <c r="C1" s="6" t="n"/>
      <c r="D1" s="6" t="n"/>
    </row>
    <row r="2">
      <c r="A2" s="9" t="inlineStr">
        <is>
          <t>PV generation</t>
        </is>
      </c>
      <c r="B2" s="15">
        <f>'02_Inputs'!$B$5*'02_Inputs'!$B$6</f>
        <v/>
      </c>
      <c r="C2" s="11" t="inlineStr">
        <is>
          <t>kWh/yr</t>
        </is>
      </c>
      <c r="D2" s="12" t="inlineStr">
        <is>
          <t>capacity × specific yield</t>
        </is>
      </c>
    </row>
    <row r="3">
      <c r="A3" s="9" t="inlineStr">
        <is>
          <t>Eigenverbrauchsquote</t>
        </is>
      </c>
      <c r="B3" s="16">
        <f>'02_Inputs'!$B$7+IF('02_Inputs'!$B$11&gt;0,'02_Inputs'!$B$8,0)</f>
        <v/>
      </c>
      <c r="C3" s="11" t="inlineStr">
        <is>
          <t>share</t>
        </is>
      </c>
      <c r="D3" s="12" t="inlineStr">
        <is>
          <t>share of PV GENERATION used on site</t>
        </is>
      </c>
    </row>
    <row r="4">
      <c r="A4" s="9" t="inlineStr">
        <is>
          <t>Autarkiegrad cap</t>
        </is>
      </c>
      <c r="B4" s="16">
        <f>'02_Inputs'!$B$9+IF('02_Inputs'!$B$11&gt;0,'02_Inputs'!$B$10,0)</f>
        <v/>
      </c>
      <c r="C4" s="11" t="inlineStr">
        <is>
          <t>share</t>
        </is>
      </c>
      <c r="D4" s="12" t="inlineStr">
        <is>
          <t>share of LOAD that PV can physically cover</t>
        </is>
      </c>
    </row>
    <row r="5">
      <c r="A5" s="9" t="inlineStr">
        <is>
          <t>Self-consumed PV</t>
        </is>
      </c>
      <c r="B5" s="15">
        <f>MIN('03_Model'!$B$2*'03_Model'!$B$3,'02_Inputs'!$B$4*'03_Model'!$B$4)</f>
        <v/>
      </c>
      <c r="C5" s="11" t="inlineStr">
        <is>
          <t>kWh/yr</t>
        </is>
      </c>
      <c r="D5" s="12" t="inlineStr">
        <is>
          <t>TWO binding constraints: how much generation you can use, AND how much load solar can physically cover. Capping only by consumption gives 100% self-sufficiency, which is impossible — PV does not generate at night.</t>
        </is>
      </c>
    </row>
    <row r="6">
      <c r="A6" s="9" t="inlineStr">
        <is>
          <t>Grid import</t>
        </is>
      </c>
      <c r="B6" s="15">
        <f>'02_Inputs'!$B$4-'03_Model'!$B$5</f>
        <v/>
      </c>
      <c r="C6" s="11" t="inlineStr">
        <is>
          <t>kWh/yr</t>
        </is>
      </c>
      <c r="D6" s="12" t="inlineStr">
        <is>
          <t>the volume that is actually billed</t>
        </is>
      </c>
    </row>
    <row r="7">
      <c r="A7" s="9" t="inlineStr">
        <is>
          <t>PV export</t>
        </is>
      </c>
      <c r="B7" s="15">
        <f>MAX('03_Model'!$B$2-'03_Model'!$B$5,0)</f>
        <v/>
      </c>
      <c r="C7" s="11" t="inlineStr">
        <is>
          <t>kWh/yr</t>
        </is>
      </c>
      <c r="D7" s="12" t="inlineStr">
        <is>
          <t>surplus — feed-in or Direktvermarktung</t>
        </is>
      </c>
    </row>
    <row r="9">
      <c r="A9" s="5" t="inlineStr">
        <is>
          <t>2 · PRICE STACK  (this is where the 40% insight lives)</t>
        </is>
      </c>
      <c r="B9" s="6" t="n"/>
      <c r="C9" s="6" t="n"/>
      <c r="D9" s="6" t="n"/>
    </row>
    <row r="10">
      <c r="A10" s="9" t="inlineStr">
        <is>
          <t>Customer effective spot</t>
        </is>
      </c>
      <c r="B10" s="17">
        <f>'02_Inputs'!$B$14*'02_Inputs'!$B$15</f>
        <v/>
      </c>
      <c r="C10" s="11" t="inlineStr">
        <is>
          <t>ct/kWh</t>
        </is>
      </c>
      <c r="D10" s="12" t="inlineStr">
        <is>
          <t>average spot × realised/average ratio — NOT the simple average</t>
        </is>
      </c>
    </row>
    <row r="11">
      <c r="A11" s="9" t="inlineStr">
        <is>
          <t>Dynamic energy component</t>
        </is>
      </c>
      <c r="B11" s="17">
        <f>'03_Model'!$B$10+'02_Inputs'!$B$16</f>
        <v/>
      </c>
      <c r="C11" s="11" t="inlineStr">
        <is>
          <t>ct/kWh</t>
        </is>
      </c>
      <c r="D11" s="12" t="inlineStr">
        <is>
          <t>spot + markup</t>
        </is>
      </c>
    </row>
    <row r="12">
      <c r="A12" s="9" t="inlineStr">
        <is>
          <t>Non-commodity component</t>
        </is>
      </c>
      <c r="B12" s="17">
        <f>'02_Inputs'!$B$19+'02_Inputs'!$B$20</f>
        <v/>
      </c>
      <c r="C12" s="11" t="inlineStr">
        <is>
          <t>ct/kWh</t>
        </is>
      </c>
      <c r="D12" s="12" t="inlineStr">
        <is>
          <t>grid + levies: does NOT follow the market</t>
        </is>
      </c>
    </row>
    <row r="13">
      <c r="A13" s="9" t="inlineStr">
        <is>
          <t>Dynamic price, gross</t>
        </is>
      </c>
      <c r="B13" s="17">
        <f>('03_Model'!$B$11+'03_Model'!$B$12)*(1+'02_Inputs'!$B$21)</f>
        <v/>
      </c>
      <c r="C13" s="11" t="inlineStr">
        <is>
          <t>ct/kWh</t>
        </is>
      </c>
      <c r="D13" s="12" t="inlineStr">
        <is>
          <t>incl. VAT</t>
        </is>
      </c>
    </row>
    <row r="14">
      <c r="A14" s="9" t="inlineStr">
        <is>
          <t>Fixed price, gross</t>
        </is>
      </c>
      <c r="B14" s="17">
        <f>('02_Inputs'!$B$22+'03_Model'!$B$12)*(1+'02_Inputs'!$B$21)</f>
        <v/>
      </c>
      <c r="C14" s="11" t="inlineStr">
        <is>
          <t>ct/kWh</t>
        </is>
      </c>
      <c r="D14" s="12" t="inlineStr">
        <is>
          <t>the counterfactual</t>
        </is>
      </c>
    </row>
    <row r="15">
      <c r="A15" s="18" t="inlineStr">
        <is>
          <t>Commodity share of net price</t>
        </is>
      </c>
      <c r="B15" s="19">
        <f>'03_Model'!$B$11/('03_Model'!$B$11+'03_Model'!$B$12)</f>
        <v/>
      </c>
      <c r="C15" s="11" t="inlineStr">
        <is>
          <t>share</t>
        </is>
      </c>
      <c r="D15" s="12" t="inlineStr">
        <is>
          <t>THE NUMBER. Only this share of the bill can move with the market.</t>
        </is>
      </c>
    </row>
    <row r="16">
      <c r="A16" s="9" t="inlineStr">
        <is>
          <t>Max theoretical saving from a 30% shift</t>
        </is>
      </c>
      <c r="B16" s="16">
        <f>0.3*'03_Model'!$B$15</f>
        <v/>
      </c>
      <c r="C16" s="11" t="inlineStr">
        <is>
          <t>share</t>
        </is>
      </c>
      <c r="D16" s="12" t="inlineStr">
        <is>
          <t>why '30% cheaper' is never true</t>
        </is>
      </c>
    </row>
    <row r="18">
      <c r="A18" s="5" t="inlineStr">
        <is>
          <t>3 · CUSTOMER BILL</t>
        </is>
      </c>
      <c r="B18" s="6" t="n"/>
      <c r="C18" s="6" t="n"/>
      <c r="D18" s="6" t="n"/>
    </row>
    <row r="19">
      <c r="A19" s="9" t="inlineStr">
        <is>
          <t>Annual bill — dynamic</t>
        </is>
      </c>
      <c r="B19" s="15">
        <f>'03_Model'!$B$6*'03_Model'!$B$13/100+'02_Inputs'!$B$17*12</f>
        <v/>
      </c>
      <c r="C19" s="11" t="inlineStr">
        <is>
          <t>EUR/yr</t>
        </is>
      </c>
      <c r="D19" s="12" t="inlineStr"/>
    </row>
    <row r="20">
      <c r="A20" s="9" t="inlineStr">
        <is>
          <t>Annual bill — fixed</t>
        </is>
      </c>
      <c r="B20" s="15">
        <f>'03_Model'!$B$6*'03_Model'!$B$14/100+'02_Inputs'!$B$17*12</f>
        <v/>
      </c>
      <c r="C20" s="11" t="inlineStr">
        <is>
          <t>EUR/yr</t>
        </is>
      </c>
      <c r="D20" s="12" t="inlineStr">
        <is>
          <t>same base fee, so the comparison is on energy only</t>
        </is>
      </c>
    </row>
    <row r="21">
      <c r="A21" s="18" t="inlineStr">
        <is>
          <t>Saving vs fixed</t>
        </is>
      </c>
      <c r="B21" s="20">
        <f>'03_Model'!$B$20-'03_Model'!$B$19</f>
        <v/>
      </c>
      <c r="C21" s="11" t="inlineStr">
        <is>
          <t>EUR/yr</t>
        </is>
      </c>
      <c r="D21" s="12" t="inlineStr"/>
    </row>
    <row r="22">
      <c r="A22" s="18" t="inlineStr">
        <is>
          <t>Saving vs fixed, %</t>
        </is>
      </c>
      <c r="B22" s="19">
        <f>'03_Model'!$B$21/'03_Model'!$B$20</f>
        <v/>
      </c>
      <c r="C22" s="11" t="inlineStr">
        <is>
          <t>share</t>
        </is>
      </c>
      <c r="D22" s="12" t="inlineStr">
        <is>
          <t>compare against the max theoretical above</t>
        </is>
      </c>
    </row>
    <row r="24">
      <c r="A24" s="5" t="inlineStr">
        <is>
          <t>4 · SUPPLIER P&amp;L PER CUSTOMER</t>
        </is>
      </c>
      <c r="B24" s="6" t="n"/>
      <c r="C24" s="6" t="n"/>
      <c r="D24" s="6" t="n"/>
    </row>
    <row r="25">
      <c r="A25" s="9" t="inlineStr">
        <is>
          <t>Energy margin</t>
        </is>
      </c>
      <c r="B25" s="15">
        <f>'03_Model'!$B$6*'02_Inputs'!$B$16/100</f>
        <v/>
      </c>
      <c r="C25" s="11" t="inlineStr">
        <is>
          <t>EUR/yr</t>
        </is>
      </c>
      <c r="D25" s="12" t="inlineStr">
        <is>
          <t>markup × billed volume</t>
        </is>
      </c>
    </row>
    <row r="26">
      <c r="A26" s="9" t="inlineStr">
        <is>
          <t>Base fee revenue</t>
        </is>
      </c>
      <c r="B26" s="15">
        <f>'02_Inputs'!$B$17*12</f>
        <v/>
      </c>
      <c r="C26" s="11" t="inlineStr">
        <is>
          <t>EUR/yr</t>
        </is>
      </c>
      <c r="D26" s="12" t="inlineStr"/>
    </row>
    <row r="27">
      <c r="A27" s="9" t="inlineStr">
        <is>
          <t>Software revenue</t>
        </is>
      </c>
      <c r="B27" s="15">
        <f>'02_Inputs'!$B$18*12</f>
        <v/>
      </c>
      <c r="C27" s="11" t="inlineStr">
        <is>
          <t>EUR/yr</t>
        </is>
      </c>
      <c r="D27" s="12" t="inlineStr">
        <is>
          <t>recurring, high margin</t>
        </is>
      </c>
    </row>
    <row r="28">
      <c r="A28" s="9" t="inlineStr">
        <is>
          <t>Flexibility revenue</t>
        </is>
      </c>
      <c r="B28" s="15">
        <f>'02_Inputs'!$B$27*'02_Inputs'!$B$12</f>
        <v/>
      </c>
      <c r="C28" s="11" t="inlineStr">
        <is>
          <t>EUR/yr</t>
        </is>
      </c>
      <c r="D28" s="12" t="inlineStr">
        <is>
          <t>the VPP leg — scales with controllable kW, not kWh</t>
        </is>
      </c>
    </row>
    <row r="29">
      <c r="A29" s="18" t="inlineStr">
        <is>
          <t>Total revenue</t>
        </is>
      </c>
      <c r="B29" s="20">
        <f>SUM('03_Model'!$B$25,'03_Model'!$B$26,'03_Model'!$B$27,'03_Model'!$B$28)</f>
        <v/>
      </c>
      <c r="C29" s="11" t="inlineStr">
        <is>
          <t>EUR/yr</t>
        </is>
      </c>
      <c r="D29" s="12" t="inlineStr"/>
    </row>
    <row r="30">
      <c r="A30" s="9" t="inlineStr">
        <is>
          <t>Imbalance cost</t>
        </is>
      </c>
      <c r="B30" s="15">
        <f>-'03_Model'!$B$6*'02_Inputs'!$B$26/100</f>
        <v/>
      </c>
      <c r="C30" s="11" t="inlineStr">
        <is>
          <t>EUR/yr</t>
        </is>
      </c>
      <c r="D30" s="12" t="inlineStr">
        <is>
          <t>forecast error, borne by the BKV</t>
        </is>
      </c>
    </row>
    <row r="31">
      <c r="A31" s="9" t="inlineStr">
        <is>
          <t>Service + billing cost</t>
        </is>
      </c>
      <c r="B31" s="15">
        <f>-'02_Inputs'!$B$25</f>
        <v/>
      </c>
      <c r="C31" s="11" t="inlineStr">
        <is>
          <t>EUR/yr</t>
        </is>
      </c>
      <c r="D31" s="12" t="inlineStr"/>
    </row>
    <row r="32">
      <c r="A32" s="18" t="inlineStr">
        <is>
          <t>Total cost</t>
        </is>
      </c>
      <c r="B32" s="20">
        <f>SUM('03_Model'!$B$30,'03_Model'!$B$31)</f>
        <v/>
      </c>
      <c r="C32" s="11" t="inlineStr">
        <is>
          <t>EUR/yr</t>
        </is>
      </c>
      <c r="D32" s="12" t="inlineStr"/>
    </row>
    <row r="33">
      <c r="A33" s="18" t="inlineStr">
        <is>
          <t>Gross margin</t>
        </is>
      </c>
      <c r="B33" s="20">
        <f>'03_Model'!$B$29+'03_Model'!$B$32</f>
        <v/>
      </c>
      <c r="C33" s="11" t="inlineStr">
        <is>
          <t>EUR/yr</t>
        </is>
      </c>
      <c r="D33" s="12" t="inlineStr">
        <is>
          <t>the number the business is steered by</t>
        </is>
      </c>
    </row>
    <row r="35">
      <c r="A35" s="5" t="inlineStr">
        <is>
          <t>5 · RETURN ON ACQUISITION</t>
        </is>
      </c>
      <c r="B35" s="6" t="n"/>
      <c r="C35" s="6" t="n"/>
      <c r="D35" s="6" t="n"/>
    </row>
    <row r="36">
      <c r="A36" s="18" t="inlineStr">
        <is>
          <t>CAC payback</t>
        </is>
      </c>
      <c r="B36" s="21">
        <f>'02_Inputs'!$B$24/('03_Model'!$B$33/12)</f>
        <v/>
      </c>
      <c r="C36" s="11" t="inlineStr">
        <is>
          <t>months</t>
        </is>
      </c>
      <c r="D36" s="12" t="inlineStr">
        <is>
          <t>&lt; 18 months is healthy</t>
        </is>
      </c>
    </row>
    <row r="37">
      <c r="A37" s="9" t="inlineStr">
        <is>
          <t>Expected customer life</t>
        </is>
      </c>
      <c r="B37" s="22">
        <f>1/'02_Inputs'!$B$28</f>
        <v/>
      </c>
      <c r="C37" s="11" t="inlineStr">
        <is>
          <t>years</t>
        </is>
      </c>
      <c r="D37" s="12" t="inlineStr">
        <is>
          <t>1 / annual churn</t>
        </is>
      </c>
    </row>
    <row r="38">
      <c r="A38" s="9" t="inlineStr">
        <is>
          <t>Lifetime value</t>
        </is>
      </c>
      <c r="B38" s="15">
        <f>'03_Model'!$B$33*'03_Model'!$B$37</f>
        <v/>
      </c>
      <c r="C38" s="11" t="inlineStr">
        <is>
          <t>EUR</t>
        </is>
      </c>
      <c r="D38" s="12" t="inlineStr">
        <is>
          <t>undiscounted — a real model would NPV this</t>
        </is>
      </c>
    </row>
    <row r="39">
      <c r="A39" s="18" t="inlineStr">
        <is>
          <t>LTV / CAC</t>
        </is>
      </c>
      <c r="B39" s="23">
        <f>'03_Model'!$B$38/'02_Inputs'!$B$24</f>
        <v/>
      </c>
      <c r="C39" s="11" t="inlineStr">
        <is>
          <t>x</t>
        </is>
      </c>
      <c r="D39" s="12" t="inlineStr">
        <is>
          <t>&gt; 3.0 is the usual bar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SENSITIVITY — Google Sheets has no Data Table, so we build a formula grid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4" t="inlineStr">
        <is>
          <t>Each cell recomputes the whole chain from first principles. That is why no number may be hardcoded upstream.</t>
        </is>
      </c>
    </row>
    <row r="4">
      <c r="A4" s="25" t="inlineStr">
        <is>
          <t>GRID 1 · Supplier LTV/CAC</t>
        </is>
      </c>
    </row>
    <row r="5">
      <c r="A5" s="26" t="inlineStr">
        <is>
          <t>rows = markup (ct/kWh)   cols = annual churn</t>
        </is>
      </c>
    </row>
    <row r="6">
      <c r="B6" s="27" t="n">
        <v>0.06</v>
      </c>
      <c r="C6" s="27" t="n">
        <v>0.09</v>
      </c>
      <c r="D6" s="27" t="n">
        <v>0.12</v>
      </c>
      <c r="E6" s="27" t="n">
        <v>0.15</v>
      </c>
      <c r="F6" s="27" t="n">
        <v>0.2</v>
      </c>
    </row>
    <row r="7">
      <c r="A7" s="28" t="n">
        <v>0.8</v>
      </c>
      <c r="B7" s="29">
        <f>(('03_Model'!$B$6*$A7/100+'02_Inputs'!$B$17*12+'02_Inputs'!$B$18*12+'02_Inputs'!$B$27*'02_Inputs'!$B$12-'03_Model'!$B$6*'02_Inputs'!$B$26/100-'02_Inputs'!$B$25)*(1/B$6))/'02_Inputs'!$B$24</f>
        <v/>
      </c>
      <c r="C7" s="29">
        <f>(('03_Model'!$B$6*$A7/100+'02_Inputs'!$B$17*12+'02_Inputs'!$B$18*12+'02_Inputs'!$B$27*'02_Inputs'!$B$12-'03_Model'!$B$6*'02_Inputs'!$B$26/100-'02_Inputs'!$B$25)*(1/C$6))/'02_Inputs'!$B$24</f>
        <v/>
      </c>
      <c r="D7" s="29">
        <f>(('03_Model'!$B$6*$A7/100+'02_Inputs'!$B$17*12+'02_Inputs'!$B$18*12+'02_Inputs'!$B$27*'02_Inputs'!$B$12-'03_Model'!$B$6*'02_Inputs'!$B$26/100-'02_Inputs'!$B$25)*(1/D$6))/'02_Inputs'!$B$24</f>
        <v/>
      </c>
      <c r="E7" s="29">
        <f>(('03_Model'!$B$6*$A7/100+'02_Inputs'!$B$17*12+'02_Inputs'!$B$18*12+'02_Inputs'!$B$27*'02_Inputs'!$B$12-'03_Model'!$B$6*'02_Inputs'!$B$26/100-'02_Inputs'!$B$25)*(1/E$6))/'02_Inputs'!$B$24</f>
        <v/>
      </c>
      <c r="F7" s="29">
        <f>(('03_Model'!$B$6*$A7/100+'02_Inputs'!$B$17*12+'02_Inputs'!$B$18*12+'02_Inputs'!$B$27*'02_Inputs'!$B$12-'03_Model'!$B$6*'02_Inputs'!$B$26/100-'02_Inputs'!$B$25)*(1/F$6))/'02_Inputs'!$B$24</f>
        <v/>
      </c>
    </row>
    <row r="8">
      <c r="A8" s="28" t="n">
        <v>1.2</v>
      </c>
      <c r="B8" s="29">
        <f>(('03_Model'!$B$6*$A8/100+'02_Inputs'!$B$17*12+'02_Inputs'!$B$18*12+'02_Inputs'!$B$27*'02_Inputs'!$B$12-'03_Model'!$B$6*'02_Inputs'!$B$26/100-'02_Inputs'!$B$25)*(1/B$6))/'02_Inputs'!$B$24</f>
        <v/>
      </c>
      <c r="C8" s="29">
        <f>(('03_Model'!$B$6*$A8/100+'02_Inputs'!$B$17*12+'02_Inputs'!$B$18*12+'02_Inputs'!$B$27*'02_Inputs'!$B$12-'03_Model'!$B$6*'02_Inputs'!$B$26/100-'02_Inputs'!$B$25)*(1/C$6))/'02_Inputs'!$B$24</f>
        <v/>
      </c>
      <c r="D8" s="29">
        <f>(('03_Model'!$B$6*$A8/100+'02_Inputs'!$B$17*12+'02_Inputs'!$B$18*12+'02_Inputs'!$B$27*'02_Inputs'!$B$12-'03_Model'!$B$6*'02_Inputs'!$B$26/100-'02_Inputs'!$B$25)*(1/D$6))/'02_Inputs'!$B$24</f>
        <v/>
      </c>
      <c r="E8" s="29">
        <f>(('03_Model'!$B$6*$A8/100+'02_Inputs'!$B$17*12+'02_Inputs'!$B$18*12+'02_Inputs'!$B$27*'02_Inputs'!$B$12-'03_Model'!$B$6*'02_Inputs'!$B$26/100-'02_Inputs'!$B$25)*(1/E$6))/'02_Inputs'!$B$24</f>
        <v/>
      </c>
      <c r="F8" s="29">
        <f>(('03_Model'!$B$6*$A8/100+'02_Inputs'!$B$17*12+'02_Inputs'!$B$18*12+'02_Inputs'!$B$27*'02_Inputs'!$B$12-'03_Model'!$B$6*'02_Inputs'!$B$26/100-'02_Inputs'!$B$25)*(1/F$6))/'02_Inputs'!$B$24</f>
        <v/>
      </c>
    </row>
    <row r="9">
      <c r="A9" s="28" t="n">
        <v>1.8</v>
      </c>
      <c r="B9" s="29">
        <f>(('03_Model'!$B$6*$A9/100+'02_Inputs'!$B$17*12+'02_Inputs'!$B$18*12+'02_Inputs'!$B$27*'02_Inputs'!$B$12-'03_Model'!$B$6*'02_Inputs'!$B$26/100-'02_Inputs'!$B$25)*(1/B$6))/'02_Inputs'!$B$24</f>
        <v/>
      </c>
      <c r="C9" s="29">
        <f>(('03_Model'!$B$6*$A9/100+'02_Inputs'!$B$17*12+'02_Inputs'!$B$18*12+'02_Inputs'!$B$27*'02_Inputs'!$B$12-'03_Model'!$B$6*'02_Inputs'!$B$26/100-'02_Inputs'!$B$25)*(1/C$6))/'02_Inputs'!$B$24</f>
        <v/>
      </c>
      <c r="D9" s="29">
        <f>(('03_Model'!$B$6*$A9/100+'02_Inputs'!$B$17*12+'02_Inputs'!$B$18*12+'02_Inputs'!$B$27*'02_Inputs'!$B$12-'03_Model'!$B$6*'02_Inputs'!$B$26/100-'02_Inputs'!$B$25)*(1/D$6))/'02_Inputs'!$B$24</f>
        <v/>
      </c>
      <c r="E9" s="29">
        <f>(('03_Model'!$B$6*$A9/100+'02_Inputs'!$B$17*12+'02_Inputs'!$B$18*12+'02_Inputs'!$B$27*'02_Inputs'!$B$12-'03_Model'!$B$6*'02_Inputs'!$B$26/100-'02_Inputs'!$B$25)*(1/E$6))/'02_Inputs'!$B$24</f>
        <v/>
      </c>
      <c r="F9" s="29">
        <f>(('03_Model'!$B$6*$A9/100+'02_Inputs'!$B$17*12+'02_Inputs'!$B$18*12+'02_Inputs'!$B$27*'02_Inputs'!$B$12-'03_Model'!$B$6*'02_Inputs'!$B$26/100-'02_Inputs'!$B$25)*(1/F$6))/'02_Inputs'!$B$24</f>
        <v/>
      </c>
    </row>
    <row r="10">
      <c r="A10" s="28" t="n">
        <v>2.4</v>
      </c>
      <c r="B10" s="29">
        <f>(('03_Model'!$B$6*$A10/100+'02_Inputs'!$B$17*12+'02_Inputs'!$B$18*12+'02_Inputs'!$B$27*'02_Inputs'!$B$12-'03_Model'!$B$6*'02_Inputs'!$B$26/100-'02_Inputs'!$B$25)*(1/B$6))/'02_Inputs'!$B$24</f>
        <v/>
      </c>
      <c r="C10" s="29">
        <f>(('03_Model'!$B$6*$A10/100+'02_Inputs'!$B$17*12+'02_Inputs'!$B$18*12+'02_Inputs'!$B$27*'02_Inputs'!$B$12-'03_Model'!$B$6*'02_Inputs'!$B$26/100-'02_Inputs'!$B$25)*(1/C$6))/'02_Inputs'!$B$24</f>
        <v/>
      </c>
      <c r="D10" s="29">
        <f>(('03_Model'!$B$6*$A10/100+'02_Inputs'!$B$17*12+'02_Inputs'!$B$18*12+'02_Inputs'!$B$27*'02_Inputs'!$B$12-'03_Model'!$B$6*'02_Inputs'!$B$26/100-'02_Inputs'!$B$25)*(1/D$6))/'02_Inputs'!$B$24</f>
        <v/>
      </c>
      <c r="E10" s="29">
        <f>(('03_Model'!$B$6*$A10/100+'02_Inputs'!$B$17*12+'02_Inputs'!$B$18*12+'02_Inputs'!$B$27*'02_Inputs'!$B$12-'03_Model'!$B$6*'02_Inputs'!$B$26/100-'02_Inputs'!$B$25)*(1/E$6))/'02_Inputs'!$B$24</f>
        <v/>
      </c>
      <c r="F10" s="29">
        <f>(('03_Model'!$B$6*$A10/100+'02_Inputs'!$B$17*12+'02_Inputs'!$B$18*12+'02_Inputs'!$B$27*'02_Inputs'!$B$12-'03_Model'!$B$6*'02_Inputs'!$B$26/100-'02_Inputs'!$B$25)*(1/F$6))/'02_Inputs'!$B$24</f>
        <v/>
      </c>
    </row>
    <row r="11">
      <c r="A11" s="28" t="n">
        <v>3</v>
      </c>
      <c r="B11" s="29">
        <f>(('03_Model'!$B$6*$A11/100+'02_Inputs'!$B$17*12+'02_Inputs'!$B$18*12+'02_Inputs'!$B$27*'02_Inputs'!$B$12-'03_Model'!$B$6*'02_Inputs'!$B$26/100-'02_Inputs'!$B$25)*(1/B$6))/'02_Inputs'!$B$24</f>
        <v/>
      </c>
      <c r="C11" s="29">
        <f>(('03_Model'!$B$6*$A11/100+'02_Inputs'!$B$17*12+'02_Inputs'!$B$18*12+'02_Inputs'!$B$27*'02_Inputs'!$B$12-'03_Model'!$B$6*'02_Inputs'!$B$26/100-'02_Inputs'!$B$25)*(1/C$6))/'02_Inputs'!$B$24</f>
        <v/>
      </c>
      <c r="D11" s="29">
        <f>(('03_Model'!$B$6*$A11/100+'02_Inputs'!$B$17*12+'02_Inputs'!$B$18*12+'02_Inputs'!$B$27*'02_Inputs'!$B$12-'03_Model'!$B$6*'02_Inputs'!$B$26/100-'02_Inputs'!$B$25)*(1/D$6))/'02_Inputs'!$B$24</f>
        <v/>
      </c>
      <c r="E11" s="29">
        <f>(('03_Model'!$B$6*$A11/100+'02_Inputs'!$B$17*12+'02_Inputs'!$B$18*12+'02_Inputs'!$B$27*'02_Inputs'!$B$12-'03_Model'!$B$6*'02_Inputs'!$B$26/100-'02_Inputs'!$B$25)*(1/E$6))/'02_Inputs'!$B$24</f>
        <v/>
      </c>
      <c r="F11" s="29">
        <f>(('03_Model'!$B$6*$A11/100+'02_Inputs'!$B$17*12+'02_Inputs'!$B$18*12+'02_Inputs'!$B$27*'02_Inputs'!$B$12-'03_Model'!$B$6*'02_Inputs'!$B$26/100-'02_Inputs'!$B$25)*(1/F$6))/'02_Inputs'!$B$24</f>
        <v/>
      </c>
    </row>
    <row r="12">
      <c r="A12" s="28" t="n">
        <v>3.6</v>
      </c>
      <c r="B12" s="29">
        <f>(('03_Model'!$B$6*$A12/100+'02_Inputs'!$B$17*12+'02_Inputs'!$B$18*12+'02_Inputs'!$B$27*'02_Inputs'!$B$12-'03_Model'!$B$6*'02_Inputs'!$B$26/100-'02_Inputs'!$B$25)*(1/B$6))/'02_Inputs'!$B$24</f>
        <v/>
      </c>
      <c r="C12" s="29">
        <f>(('03_Model'!$B$6*$A12/100+'02_Inputs'!$B$17*12+'02_Inputs'!$B$18*12+'02_Inputs'!$B$27*'02_Inputs'!$B$12-'03_Model'!$B$6*'02_Inputs'!$B$26/100-'02_Inputs'!$B$25)*(1/C$6))/'02_Inputs'!$B$24</f>
        <v/>
      </c>
      <c r="D12" s="29">
        <f>(('03_Model'!$B$6*$A12/100+'02_Inputs'!$B$17*12+'02_Inputs'!$B$18*12+'02_Inputs'!$B$27*'02_Inputs'!$B$12-'03_Model'!$B$6*'02_Inputs'!$B$26/100-'02_Inputs'!$B$25)*(1/D$6))/'02_Inputs'!$B$24</f>
        <v/>
      </c>
      <c r="E12" s="29">
        <f>(('03_Model'!$B$6*$A12/100+'02_Inputs'!$B$17*12+'02_Inputs'!$B$18*12+'02_Inputs'!$B$27*'02_Inputs'!$B$12-'03_Model'!$B$6*'02_Inputs'!$B$26/100-'02_Inputs'!$B$25)*(1/E$6))/'02_Inputs'!$B$24</f>
        <v/>
      </c>
      <c r="F12" s="29">
        <f>(('03_Model'!$B$6*$A12/100+'02_Inputs'!$B$17*12+'02_Inputs'!$B$18*12+'02_Inputs'!$B$27*'02_Inputs'!$B$12-'03_Model'!$B$6*'02_Inputs'!$B$26/100-'02_Inputs'!$B$25)*(1/F$6))/'02_Inputs'!$B$24</f>
        <v/>
      </c>
    </row>
    <row r="15">
      <c r="A15" s="25" t="inlineStr">
        <is>
          <t>GRID 2 · Customer saving vs fixed (%)</t>
        </is>
      </c>
    </row>
    <row r="16">
      <c r="A16" s="26" t="inlineStr">
        <is>
          <t>rows = average spot (ct/kWh)   cols = realised/average ratio</t>
        </is>
      </c>
    </row>
    <row r="17">
      <c r="B17" s="30" t="n">
        <v>0.9</v>
      </c>
      <c r="C17" s="30" t="n">
        <v>0.95</v>
      </c>
      <c r="D17" s="30" t="n">
        <v>1</v>
      </c>
      <c r="E17" s="30" t="n">
        <v>1.05</v>
      </c>
      <c r="F17" s="30" t="n">
        <v>1.1</v>
      </c>
    </row>
    <row r="18">
      <c r="A18" s="30" t="n">
        <v>4</v>
      </c>
      <c r="B18" s="31">
        <f>1-('03_Model'!$B$6*(($A18*B$17+'02_Inputs'!$B$16)+'03_Model'!$B$12)*(1+'02_Inputs'!$B$21)/100+'02_Inputs'!$B$17*12)/('03_Model'!$B$6*(('02_Inputs'!$B$22)+'03_Model'!$B$12)*(1+'02_Inputs'!$B$21)/100+'02_Inputs'!$B$17*12)</f>
        <v/>
      </c>
      <c r="C18" s="31">
        <f>1-('03_Model'!$B$6*(($A18*C$17+'02_Inputs'!$B$16)+'03_Model'!$B$12)*(1+'02_Inputs'!$B$21)/100+'02_Inputs'!$B$17*12)/('03_Model'!$B$6*(('02_Inputs'!$B$22)+'03_Model'!$B$12)*(1+'02_Inputs'!$B$21)/100+'02_Inputs'!$B$17*12)</f>
        <v/>
      </c>
      <c r="D18" s="31">
        <f>1-('03_Model'!$B$6*(($A18*D$17+'02_Inputs'!$B$16)+'03_Model'!$B$12)*(1+'02_Inputs'!$B$21)/100+'02_Inputs'!$B$17*12)/('03_Model'!$B$6*(('02_Inputs'!$B$22)+'03_Model'!$B$12)*(1+'02_Inputs'!$B$21)/100+'02_Inputs'!$B$17*12)</f>
        <v/>
      </c>
      <c r="E18" s="31">
        <f>1-('03_Model'!$B$6*(($A18*E$17+'02_Inputs'!$B$16)+'03_Model'!$B$12)*(1+'02_Inputs'!$B$21)/100+'02_Inputs'!$B$17*12)/('03_Model'!$B$6*(('02_Inputs'!$B$22)+'03_Model'!$B$12)*(1+'02_Inputs'!$B$21)/100+'02_Inputs'!$B$17*12)</f>
        <v/>
      </c>
      <c r="F18" s="31">
        <f>1-('03_Model'!$B$6*(($A18*F$17+'02_Inputs'!$B$16)+'03_Model'!$B$12)*(1+'02_Inputs'!$B$21)/100+'02_Inputs'!$B$17*12)/('03_Model'!$B$6*(('02_Inputs'!$B$22)+'03_Model'!$B$12)*(1+'02_Inputs'!$B$21)/100+'02_Inputs'!$B$17*12)</f>
        <v/>
      </c>
    </row>
    <row r="19">
      <c r="A19" s="30" t="n">
        <v>6</v>
      </c>
      <c r="B19" s="31">
        <f>1-('03_Model'!$B$6*(($A19*B$17+'02_Inputs'!$B$16)+'03_Model'!$B$12)*(1+'02_Inputs'!$B$21)/100+'02_Inputs'!$B$17*12)/('03_Model'!$B$6*(('02_Inputs'!$B$22)+'03_Model'!$B$12)*(1+'02_Inputs'!$B$21)/100+'02_Inputs'!$B$17*12)</f>
        <v/>
      </c>
      <c r="C19" s="31">
        <f>1-('03_Model'!$B$6*(($A19*C$17+'02_Inputs'!$B$16)+'03_Model'!$B$12)*(1+'02_Inputs'!$B$21)/100+'02_Inputs'!$B$17*12)/('03_Model'!$B$6*(('02_Inputs'!$B$22)+'03_Model'!$B$12)*(1+'02_Inputs'!$B$21)/100+'02_Inputs'!$B$17*12)</f>
        <v/>
      </c>
      <c r="D19" s="31">
        <f>1-('03_Model'!$B$6*(($A19*D$17+'02_Inputs'!$B$16)+'03_Model'!$B$12)*(1+'02_Inputs'!$B$21)/100+'02_Inputs'!$B$17*12)/('03_Model'!$B$6*(('02_Inputs'!$B$22)+'03_Model'!$B$12)*(1+'02_Inputs'!$B$21)/100+'02_Inputs'!$B$17*12)</f>
        <v/>
      </c>
      <c r="E19" s="31">
        <f>1-('03_Model'!$B$6*(($A19*E$17+'02_Inputs'!$B$16)+'03_Model'!$B$12)*(1+'02_Inputs'!$B$21)/100+'02_Inputs'!$B$17*12)/('03_Model'!$B$6*(('02_Inputs'!$B$22)+'03_Model'!$B$12)*(1+'02_Inputs'!$B$21)/100+'02_Inputs'!$B$17*12)</f>
        <v/>
      </c>
      <c r="F19" s="31">
        <f>1-('03_Model'!$B$6*(($A19*F$17+'02_Inputs'!$B$16)+'03_Model'!$B$12)*(1+'02_Inputs'!$B$21)/100+'02_Inputs'!$B$17*12)/('03_Model'!$B$6*(('02_Inputs'!$B$22)+'03_Model'!$B$12)*(1+'02_Inputs'!$B$21)/100+'02_Inputs'!$B$17*12)</f>
        <v/>
      </c>
    </row>
    <row r="20">
      <c r="A20" s="30" t="n">
        <v>8.81</v>
      </c>
      <c r="B20" s="31">
        <f>1-('03_Model'!$B$6*(($A20*B$17+'02_Inputs'!$B$16)+'03_Model'!$B$12)*(1+'02_Inputs'!$B$21)/100+'02_Inputs'!$B$17*12)/('03_Model'!$B$6*(('02_Inputs'!$B$22)+'03_Model'!$B$12)*(1+'02_Inputs'!$B$21)/100+'02_Inputs'!$B$17*12)</f>
        <v/>
      </c>
      <c r="C20" s="31">
        <f>1-('03_Model'!$B$6*(($A20*C$17+'02_Inputs'!$B$16)+'03_Model'!$B$12)*(1+'02_Inputs'!$B$21)/100+'02_Inputs'!$B$17*12)/('03_Model'!$B$6*(('02_Inputs'!$B$22)+'03_Model'!$B$12)*(1+'02_Inputs'!$B$21)/100+'02_Inputs'!$B$17*12)</f>
        <v/>
      </c>
      <c r="D20" s="31">
        <f>1-('03_Model'!$B$6*(($A20*D$17+'02_Inputs'!$B$16)+'03_Model'!$B$12)*(1+'02_Inputs'!$B$21)/100+'02_Inputs'!$B$17*12)/('03_Model'!$B$6*(('02_Inputs'!$B$22)+'03_Model'!$B$12)*(1+'02_Inputs'!$B$21)/100+'02_Inputs'!$B$17*12)</f>
        <v/>
      </c>
      <c r="E20" s="31">
        <f>1-('03_Model'!$B$6*(($A20*E$17+'02_Inputs'!$B$16)+'03_Model'!$B$12)*(1+'02_Inputs'!$B$21)/100+'02_Inputs'!$B$17*12)/('03_Model'!$B$6*(('02_Inputs'!$B$22)+'03_Model'!$B$12)*(1+'02_Inputs'!$B$21)/100+'02_Inputs'!$B$17*12)</f>
        <v/>
      </c>
      <c r="F20" s="31">
        <f>1-('03_Model'!$B$6*(($A20*F$17+'02_Inputs'!$B$16)+'03_Model'!$B$12)*(1+'02_Inputs'!$B$21)/100+'02_Inputs'!$B$17*12)/('03_Model'!$B$6*(('02_Inputs'!$B$22)+'03_Model'!$B$12)*(1+'02_Inputs'!$B$21)/100+'02_Inputs'!$B$17*12)</f>
        <v/>
      </c>
    </row>
    <row r="21">
      <c r="A21" s="30" t="n">
        <v>11</v>
      </c>
      <c r="B21" s="31">
        <f>1-('03_Model'!$B$6*(($A21*B$17+'02_Inputs'!$B$16)+'03_Model'!$B$12)*(1+'02_Inputs'!$B$21)/100+'02_Inputs'!$B$17*12)/('03_Model'!$B$6*(('02_Inputs'!$B$22)+'03_Model'!$B$12)*(1+'02_Inputs'!$B$21)/100+'02_Inputs'!$B$17*12)</f>
        <v/>
      </c>
      <c r="C21" s="31">
        <f>1-('03_Model'!$B$6*(($A21*C$17+'02_Inputs'!$B$16)+'03_Model'!$B$12)*(1+'02_Inputs'!$B$21)/100+'02_Inputs'!$B$17*12)/('03_Model'!$B$6*(('02_Inputs'!$B$22)+'03_Model'!$B$12)*(1+'02_Inputs'!$B$21)/100+'02_Inputs'!$B$17*12)</f>
        <v/>
      </c>
      <c r="D21" s="31">
        <f>1-('03_Model'!$B$6*(($A21*D$17+'02_Inputs'!$B$16)+'03_Model'!$B$12)*(1+'02_Inputs'!$B$21)/100+'02_Inputs'!$B$17*12)/('03_Model'!$B$6*(('02_Inputs'!$B$22)+'03_Model'!$B$12)*(1+'02_Inputs'!$B$21)/100+'02_Inputs'!$B$17*12)</f>
        <v/>
      </c>
      <c r="E21" s="31">
        <f>1-('03_Model'!$B$6*(($A21*E$17+'02_Inputs'!$B$16)+'03_Model'!$B$12)*(1+'02_Inputs'!$B$21)/100+'02_Inputs'!$B$17*12)/('03_Model'!$B$6*(('02_Inputs'!$B$22)+'03_Model'!$B$12)*(1+'02_Inputs'!$B$21)/100+'02_Inputs'!$B$17*12)</f>
        <v/>
      </c>
      <c r="F21" s="31">
        <f>1-('03_Model'!$B$6*(($A21*F$17+'02_Inputs'!$B$16)+'03_Model'!$B$12)*(1+'02_Inputs'!$B$21)/100+'02_Inputs'!$B$17*12)/('03_Model'!$B$6*(('02_Inputs'!$B$22)+'03_Model'!$B$12)*(1+'02_Inputs'!$B$21)/100+'02_Inputs'!$B$17*12)</f>
        <v/>
      </c>
    </row>
    <row r="22">
      <c r="A22" s="30" t="n">
        <v>13</v>
      </c>
      <c r="B22" s="31">
        <f>1-('03_Model'!$B$6*(($A22*B$17+'02_Inputs'!$B$16)+'03_Model'!$B$12)*(1+'02_Inputs'!$B$21)/100+'02_Inputs'!$B$17*12)/('03_Model'!$B$6*(('02_Inputs'!$B$22)+'03_Model'!$B$12)*(1+'02_Inputs'!$B$21)/100+'02_Inputs'!$B$17*12)</f>
        <v/>
      </c>
      <c r="C22" s="31">
        <f>1-('03_Model'!$B$6*(($A22*C$17+'02_Inputs'!$B$16)+'03_Model'!$B$12)*(1+'02_Inputs'!$B$21)/100+'02_Inputs'!$B$17*12)/('03_Model'!$B$6*(('02_Inputs'!$B$22)+'03_Model'!$B$12)*(1+'02_Inputs'!$B$21)/100+'02_Inputs'!$B$17*12)</f>
        <v/>
      </c>
      <c r="D22" s="31">
        <f>1-('03_Model'!$B$6*(($A22*D$17+'02_Inputs'!$B$16)+'03_Model'!$B$12)*(1+'02_Inputs'!$B$21)/100+'02_Inputs'!$B$17*12)/('03_Model'!$B$6*(('02_Inputs'!$B$22)+'03_Model'!$B$12)*(1+'02_Inputs'!$B$21)/100+'02_Inputs'!$B$17*12)</f>
        <v/>
      </c>
      <c r="E22" s="31">
        <f>1-('03_Model'!$B$6*(($A22*E$17+'02_Inputs'!$B$16)+'03_Model'!$B$12)*(1+'02_Inputs'!$B$21)/100+'02_Inputs'!$B$17*12)/('03_Model'!$B$6*(('02_Inputs'!$B$22)+'03_Model'!$B$12)*(1+'02_Inputs'!$B$21)/100+'02_Inputs'!$B$17*12)</f>
        <v/>
      </c>
      <c r="F22" s="31">
        <f>1-('03_Model'!$B$6*(($A22*F$17+'02_Inputs'!$B$16)+'03_Model'!$B$12)*(1+'02_Inputs'!$B$21)/100+'02_Inputs'!$B$17*12)/('03_Model'!$B$6*(('02_Inputs'!$B$22)+'03_Model'!$B$12)*(1+'02_Inputs'!$B$21)/100+'02_Inputs'!$B$17*12)</f>
        <v/>
      </c>
    </row>
    <row r="23">
      <c r="A23" s="30" t="n">
        <v>15</v>
      </c>
      <c r="B23" s="31">
        <f>1-('03_Model'!$B$6*(($A23*B$17+'02_Inputs'!$B$16)+'03_Model'!$B$12)*(1+'02_Inputs'!$B$21)/100+'02_Inputs'!$B$17*12)/('03_Model'!$B$6*(('02_Inputs'!$B$22)+'03_Model'!$B$12)*(1+'02_Inputs'!$B$21)/100+'02_Inputs'!$B$17*12)</f>
        <v/>
      </c>
      <c r="C23" s="31">
        <f>1-('03_Model'!$B$6*(($A23*C$17+'02_Inputs'!$B$16)+'03_Model'!$B$12)*(1+'02_Inputs'!$B$21)/100+'02_Inputs'!$B$17*12)/('03_Model'!$B$6*(('02_Inputs'!$B$22)+'03_Model'!$B$12)*(1+'02_Inputs'!$B$21)/100+'02_Inputs'!$B$17*12)</f>
        <v/>
      </c>
      <c r="D23" s="31">
        <f>1-('03_Model'!$B$6*(($A23*D$17+'02_Inputs'!$B$16)+'03_Model'!$B$12)*(1+'02_Inputs'!$B$21)/100+'02_Inputs'!$B$17*12)/('03_Model'!$B$6*(('02_Inputs'!$B$22)+'03_Model'!$B$12)*(1+'02_Inputs'!$B$21)/100+'02_Inputs'!$B$17*12)</f>
        <v/>
      </c>
      <c r="E23" s="31">
        <f>1-('03_Model'!$B$6*(($A23*E$17+'02_Inputs'!$B$16)+'03_Model'!$B$12)*(1+'02_Inputs'!$B$21)/100+'02_Inputs'!$B$17*12)/('03_Model'!$B$6*(('02_Inputs'!$B$22)+'03_Model'!$B$12)*(1+'02_Inputs'!$B$21)/100+'02_Inputs'!$B$17*12)</f>
        <v/>
      </c>
      <c r="F23" s="31">
        <f>1-('03_Model'!$B$6*(($A23*F$17+'02_Inputs'!$B$16)+'03_Model'!$B$12)*(1+'02_Inputs'!$B$21)/100+'02_Inputs'!$B$17*12)/('03_Model'!$B$6*(('02_Inputs'!$B$22)+'03_Model'!$B$12)*(1+'02_Inputs'!$B$21)/100+'02_Inputs'!$B$17*12)</f>
        <v/>
      </c>
    </row>
    <row r="24">
      <c r="A24" s="30" t="n">
        <v>18</v>
      </c>
      <c r="B24" s="31">
        <f>1-('03_Model'!$B$6*(($A24*B$17+'02_Inputs'!$B$16)+'03_Model'!$B$12)*(1+'02_Inputs'!$B$21)/100+'02_Inputs'!$B$17*12)/('03_Model'!$B$6*(('02_Inputs'!$B$22)+'03_Model'!$B$12)*(1+'02_Inputs'!$B$21)/100+'02_Inputs'!$B$17*12)</f>
        <v/>
      </c>
      <c r="C24" s="31">
        <f>1-('03_Model'!$B$6*(($A24*C$17+'02_Inputs'!$B$16)+'03_Model'!$B$12)*(1+'02_Inputs'!$B$21)/100+'02_Inputs'!$B$17*12)/('03_Model'!$B$6*(('02_Inputs'!$B$22)+'03_Model'!$B$12)*(1+'02_Inputs'!$B$21)/100+'02_Inputs'!$B$17*12)</f>
        <v/>
      </c>
      <c r="D24" s="31">
        <f>1-('03_Model'!$B$6*(($A24*D$17+'02_Inputs'!$B$16)+'03_Model'!$B$12)*(1+'02_Inputs'!$B$21)/100+'02_Inputs'!$B$17*12)/('03_Model'!$B$6*(('02_Inputs'!$B$22)+'03_Model'!$B$12)*(1+'02_Inputs'!$B$21)/100+'02_Inputs'!$B$17*12)</f>
        <v/>
      </c>
      <c r="E24" s="31">
        <f>1-('03_Model'!$B$6*(($A24*E$17+'02_Inputs'!$B$16)+'03_Model'!$B$12)*(1+'02_Inputs'!$B$21)/100+'02_Inputs'!$B$17*12)/('03_Model'!$B$6*(('02_Inputs'!$B$22)+'03_Model'!$B$12)*(1+'02_Inputs'!$B$21)/100+'02_Inputs'!$B$17*12)</f>
        <v/>
      </c>
      <c r="F24" s="31">
        <f>1-('03_Model'!$B$6*(($A24*F$17+'02_Inputs'!$B$16)+'03_Model'!$B$12)*(1+'02_Inputs'!$B$21)/100+'02_Inputs'!$B$17*12)/('03_Model'!$B$6*(('02_Inputs'!$B$22)+'03_Model'!$B$12)*(1+'02_Inputs'!$B$21)/100+'02_Inputs'!$B$17*12)</f>
        <v/>
      </c>
    </row>
    <row r="26">
      <c r="A26" s="14" t="inlineStr">
        <is>
          <t>Read grid 2 like this: the saving flips negative once the average spot plus your markup exceeds the fixed energy component. THAT is the break-even, and it is a level effect, not an optimisation effect.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5" t="inlineStr">
        <is>
          <t>MEASURED OUTPUT FROM THE SQL PIPELINE — the model must reconcile to this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24" t="inlineStr">
        <is>
          <t>Produced by 03_gold.sql + 04_tariff_backtest.py. Refresh by rerunning the pipeline, never by editing these cells.</t>
        </is>
      </c>
    </row>
    <row r="3">
      <c r="A3" s="8" t="inlineStr">
        <is>
          <t>MEASURED SCALARS — the model reconciles against these, not against annualised volumes</t>
        </is>
      </c>
    </row>
    <row r="4">
      <c r="A4" s="9" t="inlineStr">
        <is>
          <t>Measured average day-ahead spot</t>
        </is>
      </c>
      <c r="B4" s="32" t="n">
        <v>8.8089</v>
      </c>
      <c r="C4" s="26" t="inlineStr">
        <is>
          <t>ct/kWh, mean over all priced intervals</t>
        </is>
      </c>
    </row>
    <row r="5">
      <c r="A5" s="9" t="inlineStr">
        <is>
          <t>Measured commodity share of net price</t>
        </is>
      </c>
      <c r="B5" s="32" t="n">
        <v>0.3278</v>
      </c>
      <c r="C5" s="26" t="inlineStr">
        <is>
          <t>share — the '~40%' insight, measured</t>
        </is>
      </c>
    </row>
    <row r="6">
      <c r="A6" s="9" t="inlineStr">
        <is>
          <t>Measured realised/average ratio (no battery)</t>
        </is>
      </c>
      <c r="B6" s="32" t="n">
        <v>1.0682</v>
      </c>
      <c r="C6" s="26" t="inlineStr">
        <is>
          <t>x — &gt;1 means unoptimised load</t>
        </is>
      </c>
    </row>
    <row r="9">
      <c r="A9" s="8" t="inlineStr">
        <is>
          <t>A · Per-customer summary (gold_customer_summary)</t>
        </is>
      </c>
    </row>
    <row r="10">
      <c r="A10" s="33" t="inlineStr">
        <is>
          <t>malo_id</t>
        </is>
      </c>
      <c r="B10" s="33" t="inlineStr">
        <is>
          <t>segment</t>
        </is>
      </c>
      <c r="C10" s="33" t="inlineStr">
        <is>
          <t>tariff_type</t>
        </is>
      </c>
      <c r="D10" s="33" t="inlineStr">
        <is>
          <t>dso_name</t>
        </is>
      </c>
      <c r="E10" s="33" t="inlineStr">
        <is>
          <t>kwh_observed</t>
        </is>
      </c>
      <c r="F10" s="33" t="inlineStr">
        <is>
          <t>dyn_bill_observed</t>
        </is>
      </c>
      <c r="G10" s="33" t="inlineStr">
        <is>
          <t>fix_bill_observed</t>
        </is>
      </c>
      <c r="H10" s="33" t="inlineStr">
        <is>
          <t>realised_to_average_ratio</t>
        </is>
      </c>
      <c r="I10" s="33" t="inlineStr">
        <is>
          <t>controllable_kw</t>
        </is>
      </c>
      <c r="J10" s="33" t="inlineStr">
        <is>
          <t>gross_margin_eur_year</t>
        </is>
      </c>
      <c r="K10" s="33" t="inlineStr">
        <is>
          <t>cac_payback_months</t>
        </is>
      </c>
    </row>
    <row r="11">
      <c r="A11" s="34" t="inlineStr">
        <is>
          <t>53850487964</t>
        </is>
      </c>
      <c r="B11" s="34" t="inlineStr">
        <is>
          <t>PV_battery</t>
        </is>
      </c>
      <c r="C11" s="34" t="inlineStr">
        <is>
          <t>FIXED</t>
        </is>
      </c>
      <c r="D11" s="34" t="inlineStr">
        <is>
          <t>Rheinnetz</t>
        </is>
      </c>
      <c r="E11" s="35" t="n">
        <v>599.4</v>
      </c>
      <c r="F11" s="35" t="n">
        <v>236.58</v>
      </c>
      <c r="G11" s="35" t="n">
        <v>265.82</v>
      </c>
      <c r="H11" s="36" t="n">
        <v>1.0783</v>
      </c>
      <c r="I11" s="36" t="n">
        <v>6.3</v>
      </c>
      <c r="J11" s="35" t="n">
        <v>696.6799999999999</v>
      </c>
      <c r="K11" s="36" t="n">
        <v>7.2</v>
      </c>
    </row>
    <row r="12">
      <c r="A12" s="34" t="inlineStr">
        <is>
          <t>59028472520</t>
        </is>
      </c>
      <c r="B12" s="34" t="inlineStr">
        <is>
          <t>PV_battery</t>
        </is>
      </c>
      <c r="C12" s="34" t="inlineStr">
        <is>
          <t>DYNAMIC</t>
        </is>
      </c>
      <c r="D12" s="34" t="inlineStr">
        <is>
          <t>Netze BW</t>
        </is>
      </c>
      <c r="E12" s="35" t="n">
        <v>607.6</v>
      </c>
      <c r="F12" s="35" t="n">
        <v>239.78</v>
      </c>
      <c r="G12" s="35" t="n">
        <v>269.47</v>
      </c>
      <c r="H12" s="36" t="n">
        <v>1.0776</v>
      </c>
      <c r="I12" s="36" t="n">
        <v>7.5</v>
      </c>
      <c r="J12" s="35" t="n">
        <v>778.53</v>
      </c>
      <c r="K12" s="36" t="n">
        <v>6.5</v>
      </c>
    </row>
    <row r="13">
      <c r="A13" s="34" t="inlineStr">
        <is>
          <t>64853594978</t>
        </is>
      </c>
      <c r="B13" s="34" t="inlineStr">
        <is>
          <t>PV_battery</t>
        </is>
      </c>
      <c r="C13" s="34" t="inlineStr">
        <is>
          <t>FIXED</t>
        </is>
      </c>
      <c r="D13" s="34" t="inlineStr">
        <is>
          <t>Netz Leipzig</t>
        </is>
      </c>
      <c r="E13" s="35" t="n">
        <v>694.6</v>
      </c>
      <c r="F13" s="35" t="n">
        <v>274.15</v>
      </c>
      <c r="G13" s="35" t="n">
        <v>308.08</v>
      </c>
      <c r="H13" s="36" t="n">
        <v>1.0777</v>
      </c>
      <c r="I13" s="36" t="n">
        <v>7.5</v>
      </c>
      <c r="J13" s="35" t="n">
        <v>784.89</v>
      </c>
      <c r="K13" s="36" t="n">
        <v>6.4</v>
      </c>
    </row>
    <row r="14">
      <c r="A14" s="34" t="inlineStr">
        <is>
          <t>65400074314</t>
        </is>
      </c>
      <c r="B14" s="34" t="inlineStr">
        <is>
          <t>PV_battery</t>
        </is>
      </c>
      <c r="C14" s="34" t="inlineStr">
        <is>
          <t>DYNAMIC</t>
        </is>
      </c>
      <c r="D14" s="34" t="inlineStr">
        <is>
          <t>Netze BW</t>
        </is>
      </c>
      <c r="E14" s="35" t="n">
        <v>685.5</v>
      </c>
      <c r="F14" s="35" t="n">
        <v>270.46</v>
      </c>
      <c r="G14" s="35" t="n">
        <v>304.02</v>
      </c>
      <c r="H14" s="36" t="n">
        <v>1.0772</v>
      </c>
      <c r="I14" s="36" t="n">
        <v>2.5</v>
      </c>
      <c r="J14" s="35" t="n">
        <v>459.22</v>
      </c>
      <c r="K14" s="35" t="n">
        <v>11</v>
      </c>
    </row>
    <row r="15">
      <c r="A15" s="34" t="inlineStr">
        <is>
          <t>02378447181</t>
        </is>
      </c>
      <c r="B15" s="34" t="inlineStr">
        <is>
          <t>PV_battery_HP</t>
        </is>
      </c>
      <c r="C15" s="34" t="inlineStr">
        <is>
          <t>DYNAMIC</t>
        </is>
      </c>
      <c r="D15" s="34" t="inlineStr">
        <is>
          <t>Netz Leipzig</t>
        </is>
      </c>
      <c r="E15" s="35" t="n">
        <v>6920.3</v>
      </c>
      <c r="F15" s="35" t="n">
        <v>2719.8</v>
      </c>
      <c r="G15" s="35" t="n">
        <v>3069.26</v>
      </c>
      <c r="H15" s="36" t="n">
        <v>1.0622</v>
      </c>
      <c r="I15" s="36" t="n">
        <v>6.8</v>
      </c>
      <c r="J15" s="35" t="n">
        <v>1190.61</v>
      </c>
      <c r="K15" s="36" t="n">
        <v>4.2</v>
      </c>
    </row>
    <row r="16">
      <c r="A16" s="34" t="inlineStr">
        <is>
          <t>07412179067</t>
        </is>
      </c>
      <c r="B16" s="34" t="inlineStr">
        <is>
          <t>PV_battery_HP</t>
        </is>
      </c>
      <c r="C16" s="34" t="inlineStr">
        <is>
          <t>DYNAMIC</t>
        </is>
      </c>
      <c r="D16" s="34" t="inlineStr">
        <is>
          <t>Netze BW</t>
        </is>
      </c>
      <c r="E16" s="35" t="n">
        <v>6279.7</v>
      </c>
      <c r="F16" s="35" t="n">
        <v>2468.31</v>
      </c>
      <c r="G16" s="35" t="n">
        <v>2785.13</v>
      </c>
      <c r="H16" s="36" t="n">
        <v>1.0624</v>
      </c>
      <c r="I16" s="36" t="n">
        <v>9.300000000000001</v>
      </c>
      <c r="J16" s="35" t="n">
        <v>1306.35</v>
      </c>
      <c r="K16" s="36" t="n">
        <v>3.9</v>
      </c>
    </row>
    <row r="17">
      <c r="A17" s="34" t="inlineStr">
        <is>
          <t>13733263538</t>
        </is>
      </c>
      <c r="B17" s="34" t="inlineStr">
        <is>
          <t>PV_battery_HP</t>
        </is>
      </c>
      <c r="C17" s="34" t="inlineStr">
        <is>
          <t>DYNAMIC</t>
        </is>
      </c>
      <c r="D17" s="34" t="inlineStr">
        <is>
          <t>SWM Infrastruktur</t>
        </is>
      </c>
      <c r="E17" s="35" t="n">
        <v>6558.2</v>
      </c>
      <c r="F17" s="35" t="n">
        <v>2577.6</v>
      </c>
      <c r="G17" s="35" t="n">
        <v>2908.65</v>
      </c>
      <c r="H17" s="36" t="n">
        <v>1.0621</v>
      </c>
      <c r="I17" s="36" t="n">
        <v>8</v>
      </c>
      <c r="J17" s="35" t="n">
        <v>1245.43</v>
      </c>
      <c r="K17" s="36" t="n">
        <v>4</v>
      </c>
    </row>
    <row r="18">
      <c r="A18" s="34" t="inlineStr">
        <is>
          <t>15096034392</t>
        </is>
      </c>
      <c r="B18" s="34" t="inlineStr">
        <is>
          <t>PV_battery_HP</t>
        </is>
      </c>
      <c r="C18" s="34" t="inlineStr">
        <is>
          <t>DYNAMIC</t>
        </is>
      </c>
      <c r="D18" s="34" t="inlineStr">
        <is>
          <t>Stromnetz Berlin</t>
        </is>
      </c>
      <c r="E18" s="35" t="n">
        <v>6815.8</v>
      </c>
      <c r="F18" s="35" t="n">
        <v>2678.59</v>
      </c>
      <c r="G18" s="35" t="n">
        <v>3022.9</v>
      </c>
      <c r="H18" s="36" t="n">
        <v>1.0621</v>
      </c>
      <c r="I18" s="36" t="n">
        <v>6.8</v>
      </c>
      <c r="J18" s="35" t="n">
        <v>1182.98</v>
      </c>
      <c r="K18" s="36" t="n">
        <v>4.3</v>
      </c>
    </row>
    <row r="19">
      <c r="A19" s="34" t="inlineStr">
        <is>
          <t>19554292257</t>
        </is>
      </c>
      <c r="B19" s="34" t="inlineStr">
        <is>
          <t>PV_battery_HP</t>
        </is>
      </c>
      <c r="C19" s="34" t="inlineStr">
        <is>
          <t>DYNAMIC</t>
        </is>
      </c>
      <c r="D19" s="34" t="inlineStr">
        <is>
          <t>Stromnetz Berlin</t>
        </is>
      </c>
      <c r="E19" s="35" t="n">
        <v>5240.8</v>
      </c>
      <c r="F19" s="35" t="n">
        <v>2059.82</v>
      </c>
      <c r="G19" s="35" t="n">
        <v>2324.35</v>
      </c>
      <c r="H19" s="36" t="n">
        <v>1.0624</v>
      </c>
      <c r="I19" s="36" t="n">
        <v>8</v>
      </c>
      <c r="J19" s="35" t="n">
        <v>1149.26</v>
      </c>
      <c r="K19" s="36" t="n">
        <v>4.4</v>
      </c>
    </row>
    <row r="20">
      <c r="A20" s="34" t="inlineStr">
        <is>
          <t>45855425961</t>
        </is>
      </c>
      <c r="B20" s="34" t="inlineStr">
        <is>
          <t>PV_battery_HP</t>
        </is>
      </c>
      <c r="C20" s="34" t="inlineStr">
        <is>
          <t>DYNAMIC</t>
        </is>
      </c>
      <c r="D20" s="34" t="inlineStr">
        <is>
          <t>Netz Leipzig</t>
        </is>
      </c>
      <c r="E20" s="35" t="n">
        <v>4881.3</v>
      </c>
      <c r="F20" s="35" t="n">
        <v>1918.17</v>
      </c>
      <c r="G20" s="35" t="n">
        <v>2164.91</v>
      </c>
      <c r="H20" s="36" t="n">
        <v>1.0617</v>
      </c>
      <c r="I20" s="36" t="n">
        <v>5.5</v>
      </c>
      <c r="J20" s="35" t="n">
        <v>960.51</v>
      </c>
      <c r="K20" s="36" t="n">
        <v>5.2</v>
      </c>
    </row>
    <row r="21">
      <c r="A21" s="34" t="inlineStr">
        <is>
          <t>50096239004</t>
        </is>
      </c>
      <c r="B21" s="34" t="inlineStr">
        <is>
          <t>PV_battery_HP</t>
        </is>
      </c>
      <c r="C21" s="34" t="inlineStr">
        <is>
          <t>FIXED</t>
        </is>
      </c>
      <c r="D21" s="34" t="inlineStr">
        <is>
          <t>Netz Leipzig</t>
        </is>
      </c>
      <c r="E21" s="35" t="n">
        <v>4776.6</v>
      </c>
      <c r="F21" s="35" t="n">
        <v>1877.5</v>
      </c>
      <c r="G21" s="35" t="n">
        <v>2118.49</v>
      </c>
      <c r="H21" s="36" t="n">
        <v>1.0622</v>
      </c>
      <c r="I21" s="36" t="n">
        <v>6.8</v>
      </c>
      <c r="J21" s="35" t="n">
        <v>1034.12</v>
      </c>
      <c r="K21" s="36" t="n">
        <v>4.9</v>
      </c>
    </row>
    <row r="22">
      <c r="A22" s="34" t="inlineStr">
        <is>
          <t>66586652381</t>
        </is>
      </c>
      <c r="B22" s="34" t="inlineStr">
        <is>
          <t>PV_battery_HP</t>
        </is>
      </c>
      <c r="C22" s="34" t="inlineStr">
        <is>
          <t>FIXED</t>
        </is>
      </c>
      <c r="D22" s="34" t="inlineStr">
        <is>
          <t>Rheinnetz</t>
        </is>
      </c>
      <c r="E22" s="35" t="n">
        <v>5256.7</v>
      </c>
      <c r="F22" s="35" t="n">
        <v>2065.58</v>
      </c>
      <c r="G22" s="35" t="n">
        <v>2331.41</v>
      </c>
      <c r="H22" s="36" t="n">
        <v>1.0614</v>
      </c>
      <c r="I22" s="35" t="n">
        <v>10.5</v>
      </c>
      <c r="J22" s="35" t="n">
        <v>1312.92</v>
      </c>
      <c r="K22" s="36" t="n">
        <v>3.8</v>
      </c>
    </row>
    <row r="23">
      <c r="A23" s="34" t="inlineStr">
        <is>
          <t>91797430928</t>
        </is>
      </c>
      <c r="B23" s="34" t="inlineStr">
        <is>
          <t>PV_battery_HP</t>
        </is>
      </c>
      <c r="C23" s="34" t="inlineStr">
        <is>
          <t>DYNAMIC</t>
        </is>
      </c>
      <c r="D23" s="34" t="inlineStr">
        <is>
          <t>Netz Leipzig</t>
        </is>
      </c>
      <c r="E23" s="35" t="n">
        <v>4875.7</v>
      </c>
      <c r="F23" s="35" t="n">
        <v>1916.14</v>
      </c>
      <c r="G23" s="35" t="n">
        <v>2162.44</v>
      </c>
      <c r="H23" s="36" t="n">
        <v>1.0613</v>
      </c>
      <c r="I23" s="36" t="n">
        <v>9.300000000000001</v>
      </c>
      <c r="J23" s="35" t="n">
        <v>1203.86</v>
      </c>
      <c r="K23" s="36" t="n">
        <v>4.2</v>
      </c>
    </row>
    <row r="24">
      <c r="A24" s="34" t="inlineStr">
        <is>
          <t>02060690718</t>
        </is>
      </c>
      <c r="B24" s="34" t="inlineStr">
        <is>
          <t>PV_battery_HP_EV</t>
        </is>
      </c>
      <c r="C24" s="34" t="inlineStr">
        <is>
          <t>DYNAMIC</t>
        </is>
      </c>
      <c r="D24" s="34" t="inlineStr">
        <is>
          <t>Stromnetz Berlin</t>
        </is>
      </c>
      <c r="E24" s="35" t="n">
        <v>8454.299999999999</v>
      </c>
      <c r="F24" s="35" t="n">
        <v>3320.92</v>
      </c>
      <c r="G24" s="35" t="n">
        <v>3749.61</v>
      </c>
      <c r="H24" s="36" t="n">
        <v>1.0603</v>
      </c>
      <c r="I24" s="35" t="n">
        <v>20.3</v>
      </c>
      <c r="J24" s="35" t="n">
        <v>2180.1</v>
      </c>
      <c r="K24" s="36" t="n">
        <v>2.3</v>
      </c>
    </row>
    <row r="25">
      <c r="A25" s="34" t="inlineStr">
        <is>
          <t>17417694597</t>
        </is>
      </c>
      <c r="B25" s="34" t="inlineStr">
        <is>
          <t>PV_battery_HP_EV</t>
        </is>
      </c>
      <c r="C25" s="34" t="inlineStr">
        <is>
          <t>DYNAMIC</t>
        </is>
      </c>
      <c r="D25" s="34" t="inlineStr">
        <is>
          <t>Rheinnetz</t>
        </is>
      </c>
      <c r="E25" s="35" t="n">
        <v>7801.1</v>
      </c>
      <c r="F25" s="35" t="n">
        <v>3064.34</v>
      </c>
      <c r="G25" s="35" t="n">
        <v>3459.87</v>
      </c>
      <c r="H25" s="36" t="n">
        <v>1.0608</v>
      </c>
      <c r="I25" s="35" t="n">
        <v>21.5</v>
      </c>
      <c r="J25" s="35" t="n">
        <v>2213.66</v>
      </c>
      <c r="K25" s="36" t="n">
        <v>2.3</v>
      </c>
    </row>
    <row r="26">
      <c r="A26" s="34" t="inlineStr">
        <is>
          <t>19754516392</t>
        </is>
      </c>
      <c r="B26" s="34" t="inlineStr">
        <is>
          <t>PV_battery_HP_EV</t>
        </is>
      </c>
      <c r="C26" s="34" t="inlineStr">
        <is>
          <t>FIXED</t>
        </is>
      </c>
      <c r="D26" s="34" t="inlineStr">
        <is>
          <t>Stromnetz Berlin</t>
        </is>
      </c>
      <c r="E26" s="35" t="n">
        <v>7554.4</v>
      </c>
      <c r="F26" s="35" t="n">
        <v>2966.88</v>
      </c>
      <c r="G26" s="35" t="n">
        <v>3350.45</v>
      </c>
      <c r="H26" s="36" t="n">
        <v>1.0599</v>
      </c>
      <c r="I26" s="35" t="n">
        <v>17.8</v>
      </c>
      <c r="J26" s="35" t="n">
        <v>1951.9</v>
      </c>
      <c r="K26" s="36" t="n">
        <v>2.6</v>
      </c>
    </row>
    <row r="27">
      <c r="A27" s="34" t="inlineStr">
        <is>
          <t>49114475696</t>
        </is>
      </c>
      <c r="B27" s="34" t="inlineStr">
        <is>
          <t>PV_battery_HP_EV</t>
        </is>
      </c>
      <c r="C27" s="34" t="inlineStr">
        <is>
          <t>DYNAMIC</t>
        </is>
      </c>
      <c r="D27" s="34" t="inlineStr">
        <is>
          <t>Stromnetz Hamburg</t>
        </is>
      </c>
      <c r="E27" s="35" t="n">
        <v>8387.200000000001</v>
      </c>
      <c r="F27" s="35" t="n">
        <v>3294.38</v>
      </c>
      <c r="G27" s="35" t="n">
        <v>3719.84</v>
      </c>
      <c r="H27" s="36" t="n">
        <v>1.0606</v>
      </c>
      <c r="I27" s="35" t="n">
        <v>16.5</v>
      </c>
      <c r="J27" s="35" t="n">
        <v>1931.45</v>
      </c>
      <c r="K27" s="36" t="n">
        <v>2.6</v>
      </c>
    </row>
    <row r="28">
      <c r="A28" s="34" t="inlineStr">
        <is>
          <t>51451020772</t>
        </is>
      </c>
      <c r="B28" s="34" t="inlineStr">
        <is>
          <t>PV_battery_HP_EV</t>
        </is>
      </c>
      <c r="C28" s="34" t="inlineStr">
        <is>
          <t>DYNAMIC</t>
        </is>
      </c>
      <c r="D28" s="34" t="inlineStr">
        <is>
          <t>Netz Leipzig</t>
        </is>
      </c>
      <c r="E28" s="35" t="n">
        <v>7412.5</v>
      </c>
      <c r="F28" s="35" t="n">
        <v>2911.42</v>
      </c>
      <c r="G28" s="35" t="n">
        <v>3287.53</v>
      </c>
      <c r="H28" s="36" t="n">
        <v>1.0594</v>
      </c>
      <c r="I28" s="35" t="n">
        <v>16.5</v>
      </c>
      <c r="J28" s="35" t="n">
        <v>1860.29</v>
      </c>
      <c r="K28" s="36" t="n">
        <v>2.7</v>
      </c>
    </row>
    <row r="29">
      <c r="A29" s="34" t="inlineStr">
        <is>
          <t>61804172126</t>
        </is>
      </c>
      <c r="B29" s="34" t="inlineStr">
        <is>
          <t>PV_battery_HP_EV</t>
        </is>
      </c>
      <c r="C29" s="34" t="inlineStr">
        <is>
          <t>DYNAMIC</t>
        </is>
      </c>
      <c r="D29" s="34" t="inlineStr">
        <is>
          <t>Netze BW</t>
        </is>
      </c>
      <c r="E29" s="35" t="n">
        <v>8437</v>
      </c>
      <c r="F29" s="35" t="n">
        <v>3313.97</v>
      </c>
      <c r="G29" s="35" t="n">
        <v>3741.94</v>
      </c>
      <c r="H29" s="36" t="n">
        <v>1.0599</v>
      </c>
      <c r="I29" s="35" t="n">
        <v>21.5</v>
      </c>
      <c r="J29" s="35" t="n">
        <v>2260.08</v>
      </c>
      <c r="K29" s="36" t="n">
        <v>2.2</v>
      </c>
    </row>
    <row r="30">
      <c r="A30" s="34" t="inlineStr">
        <is>
          <t>69410910768</t>
        </is>
      </c>
      <c r="B30" s="34" t="inlineStr">
        <is>
          <t>PV_battery_HP_EV</t>
        </is>
      </c>
      <c r="C30" s="34" t="inlineStr">
        <is>
          <t>DYNAMIC</t>
        </is>
      </c>
      <c r="D30" s="34" t="inlineStr">
        <is>
          <t>Stromnetz Hamburg</t>
        </is>
      </c>
      <c r="E30" s="35" t="n">
        <v>8005.4</v>
      </c>
      <c r="F30" s="35" t="n">
        <v>3144.08</v>
      </c>
      <c r="G30" s="35" t="n">
        <v>3550.48</v>
      </c>
      <c r="H30" s="36" t="n">
        <v>1.0596</v>
      </c>
      <c r="I30" s="35" t="n">
        <v>19</v>
      </c>
      <c r="J30" s="35" t="n">
        <v>2066.07</v>
      </c>
      <c r="K30" s="36" t="n">
        <v>2.4</v>
      </c>
    </row>
    <row r="31">
      <c r="A31" s="34" t="inlineStr">
        <is>
          <t>48126289103</t>
        </is>
      </c>
      <c r="B31" s="34" t="inlineStr">
        <is>
          <t>PV_only</t>
        </is>
      </c>
      <c r="C31" s="34" t="inlineStr">
        <is>
          <t>DYNAMIC</t>
        </is>
      </c>
      <c r="D31" s="34" t="inlineStr">
        <is>
          <t>Stromnetz Berlin</t>
        </is>
      </c>
      <c r="E31" s="35" t="n">
        <v>763.9</v>
      </c>
      <c r="F31" s="35" t="n">
        <v>301.5</v>
      </c>
      <c r="G31" s="35" t="n">
        <v>338.79</v>
      </c>
      <c r="H31" s="36" t="n">
        <v>1.0776</v>
      </c>
      <c r="I31" s="36" t="n">
        <v>0</v>
      </c>
      <c r="J31" s="35" t="n">
        <v>302.44</v>
      </c>
      <c r="K31" s="35" t="n">
        <v>16.7</v>
      </c>
    </row>
    <row r="32">
      <c r="A32" s="34" t="inlineStr">
        <is>
          <t>52784051030</t>
        </is>
      </c>
      <c r="B32" s="34" t="inlineStr">
        <is>
          <t>PV_only</t>
        </is>
      </c>
      <c r="C32" s="34" t="inlineStr">
        <is>
          <t>FIXED</t>
        </is>
      </c>
      <c r="D32" s="34" t="inlineStr">
        <is>
          <t>SWM Infrastruktur</t>
        </is>
      </c>
      <c r="E32" s="35" t="n">
        <v>705.8</v>
      </c>
      <c r="F32" s="35" t="n">
        <v>278.53</v>
      </c>
      <c r="G32" s="35" t="n">
        <v>313.04</v>
      </c>
      <c r="H32" s="36" t="n">
        <v>1.0779</v>
      </c>
      <c r="I32" s="36" t="n">
        <v>0</v>
      </c>
      <c r="J32" s="35" t="n">
        <v>298.21</v>
      </c>
      <c r="K32" s="35" t="n">
        <v>16.9</v>
      </c>
    </row>
    <row r="33">
      <c r="A33" s="34" t="inlineStr">
        <is>
          <t>55457754991</t>
        </is>
      </c>
      <c r="B33" s="34" t="inlineStr">
        <is>
          <t>PV_only</t>
        </is>
      </c>
      <c r="C33" s="34" t="inlineStr">
        <is>
          <t>DYNAMIC</t>
        </is>
      </c>
      <c r="D33" s="34" t="inlineStr">
        <is>
          <t>Stromnetz Berlin</t>
        </is>
      </c>
      <c r="E33" s="35" t="n">
        <v>617.8</v>
      </c>
      <c r="F33" s="35" t="n">
        <v>243.76</v>
      </c>
      <c r="G33" s="35" t="n">
        <v>274.01</v>
      </c>
      <c r="H33" s="36" t="n">
        <v>1.0769</v>
      </c>
      <c r="I33" s="36" t="n">
        <v>0</v>
      </c>
      <c r="J33" s="35" t="n">
        <v>291.78</v>
      </c>
      <c r="K33" s="35" t="n">
        <v>17.3</v>
      </c>
    </row>
    <row r="34">
      <c r="A34" s="34" t="inlineStr">
        <is>
          <t>70348049725</t>
        </is>
      </c>
      <c r="B34" s="34" t="inlineStr">
        <is>
          <t>PV_only</t>
        </is>
      </c>
      <c r="C34" s="34" t="inlineStr">
        <is>
          <t>DYNAMIC</t>
        </is>
      </c>
      <c r="D34" s="34" t="inlineStr">
        <is>
          <t>Netz Leipzig</t>
        </is>
      </c>
      <c r="E34" s="35" t="n">
        <v>649.7</v>
      </c>
      <c r="F34" s="35" t="n">
        <v>256.41</v>
      </c>
      <c r="G34" s="35" t="n">
        <v>288.16</v>
      </c>
      <c r="H34" s="36" t="n">
        <v>1.0778</v>
      </c>
      <c r="I34" s="36" t="n">
        <v>0</v>
      </c>
      <c r="J34" s="35" t="n">
        <v>294.11</v>
      </c>
      <c r="K34" s="35" t="n">
        <v>17.1</v>
      </c>
    </row>
    <row r="35">
      <c r="A35" s="34" t="inlineStr">
        <is>
          <t>83482028030</t>
        </is>
      </c>
      <c r="B35" s="34" t="inlineStr">
        <is>
          <t>PV_only</t>
        </is>
      </c>
      <c r="C35" s="34" t="inlineStr">
        <is>
          <t>DYNAMIC</t>
        </is>
      </c>
      <c r="D35" s="34" t="inlineStr">
        <is>
          <t>SWM Infrastruktur</t>
        </is>
      </c>
      <c r="E35" s="35" t="n">
        <v>643.2</v>
      </c>
      <c r="F35" s="35" t="n">
        <v>253.9</v>
      </c>
      <c r="G35" s="35" t="n">
        <v>285.27</v>
      </c>
      <c r="H35" s="36" t="n">
        <v>1.078</v>
      </c>
      <c r="I35" s="36" t="n">
        <v>0</v>
      </c>
      <c r="J35" s="35" t="n">
        <v>293.63</v>
      </c>
      <c r="K35" s="35" t="n">
        <v>17.2</v>
      </c>
    </row>
    <row r="36">
      <c r="A36" s="34" t="inlineStr">
        <is>
          <t>94391268065</t>
        </is>
      </c>
      <c r="B36" s="34" t="inlineStr">
        <is>
          <t>PV_only</t>
        </is>
      </c>
      <c r="C36" s="34" t="inlineStr">
        <is>
          <t>FIXED</t>
        </is>
      </c>
      <c r="D36" s="34" t="inlineStr">
        <is>
          <t>Stromnetz Berlin</t>
        </is>
      </c>
      <c r="E36" s="35" t="n">
        <v>606.6</v>
      </c>
      <c r="F36" s="35" t="n">
        <v>239.38</v>
      </c>
      <c r="G36" s="35" t="n">
        <v>269.05</v>
      </c>
      <c r="H36" s="36" t="n">
        <v>1.0773</v>
      </c>
      <c r="I36" s="36" t="n">
        <v>0</v>
      </c>
      <c r="J36" s="35" t="n">
        <v>290.96</v>
      </c>
      <c r="K36" s="35" t="n">
        <v>17.3</v>
      </c>
    </row>
    <row r="37">
      <c r="A37" s="34" t="inlineStr">
        <is>
          <t>04014447556</t>
        </is>
      </c>
      <c r="B37" s="34" t="inlineStr">
        <is>
          <t>no_hardware</t>
        </is>
      </c>
      <c r="C37" s="34" t="inlineStr">
        <is>
          <t>FIXED</t>
        </is>
      </c>
      <c r="D37" s="34" t="inlineStr">
        <is>
          <t>Stromnetz Berlin</t>
        </is>
      </c>
      <c r="E37" s="35" t="n">
        <v>895.7</v>
      </c>
      <c r="F37" s="35" t="n">
        <v>353.4</v>
      </c>
      <c r="G37" s="35" t="n">
        <v>397.28</v>
      </c>
      <c r="H37" s="36" t="n">
        <v>1.077</v>
      </c>
      <c r="I37" s="36" t="n">
        <v>0</v>
      </c>
      <c r="J37" s="35" t="n">
        <v>312.07</v>
      </c>
      <c r="K37" s="35" t="n">
        <v>16.2</v>
      </c>
    </row>
    <row r="38">
      <c r="A38" s="34" t="inlineStr">
        <is>
          <t>58143754480</t>
        </is>
      </c>
      <c r="B38" s="34" t="inlineStr">
        <is>
          <t>no_hardware</t>
        </is>
      </c>
      <c r="C38" s="34" t="inlineStr">
        <is>
          <t>DYNAMIC</t>
        </is>
      </c>
      <c r="D38" s="34" t="inlineStr">
        <is>
          <t>Netz Leipzig</t>
        </is>
      </c>
      <c r="E38" s="35" t="n">
        <v>903.8</v>
      </c>
      <c r="F38" s="35" t="n">
        <v>356.62</v>
      </c>
      <c r="G38" s="35" t="n">
        <v>400.85</v>
      </c>
      <c r="H38" s="36" t="n">
        <v>1.0773</v>
      </c>
      <c r="I38" s="36" t="n">
        <v>0</v>
      </c>
      <c r="J38" s="35" t="n">
        <v>312.66</v>
      </c>
      <c r="K38" s="35" t="n">
        <v>16.1</v>
      </c>
    </row>
    <row r="41">
      <c r="A41" s="8" t="inlineStr">
        <is>
          <t>B · Backtest by segment: A fixed / B dynamic / C dynamic+battery</t>
        </is>
      </c>
    </row>
    <row r="42">
      <c r="A42" s="33" t="inlineStr">
        <is>
          <t>segment</t>
        </is>
      </c>
      <c r="B42" s="33" t="inlineStr">
        <is>
          <t>customers</t>
        </is>
      </c>
      <c r="C42" s="33" t="inlineStr">
        <is>
          <t>kwh</t>
        </is>
      </c>
      <c r="D42" s="33" t="inlineStr">
        <is>
          <t>A</t>
        </is>
      </c>
      <c r="E42" s="33" t="inlineStr">
        <is>
          <t>B</t>
        </is>
      </c>
      <c r="F42" s="33" t="inlineStr">
        <is>
          <t>C</t>
        </is>
      </c>
      <c r="G42" s="33" t="inlineStr">
        <is>
          <t>ratio_B</t>
        </is>
      </c>
      <c r="H42" s="33" t="inlineStr">
        <is>
          <t>ratio_C</t>
        </is>
      </c>
      <c r="I42" s="33" t="inlineStr">
        <is>
          <t>cycles</t>
        </is>
      </c>
      <c r="J42" s="33" t="inlineStr">
        <is>
          <t>shifted</t>
        </is>
      </c>
      <c r="K42" s="33" t="inlineStr">
        <is>
          <t>B_vs_A_pct</t>
        </is>
      </c>
      <c r="L42" s="33" t="inlineStr">
        <is>
          <t>C_vs_A_pct</t>
        </is>
      </c>
      <c r="M42" s="33" t="inlineStr">
        <is>
          <t>C_vs_B_eur</t>
        </is>
      </c>
    </row>
    <row r="43">
      <c r="A43" s="34" t="inlineStr">
        <is>
          <t>PV_battery_HP_EV</t>
        </is>
      </c>
      <c r="B43" s="34" t="n">
        <v>7</v>
      </c>
      <c r="C43" s="35" t="n">
        <v>56051.84</v>
      </c>
      <c r="D43" s="35" t="n">
        <v>25067.62</v>
      </c>
      <c r="E43" s="35" t="n">
        <v>22288.78</v>
      </c>
      <c r="F43" s="35" t="n">
        <v>22158.54</v>
      </c>
      <c r="G43" s="36" t="n">
        <v>1.06</v>
      </c>
      <c r="H43" s="36" t="n">
        <v>0.98</v>
      </c>
      <c r="I43" s="35" t="n">
        <v>108.54</v>
      </c>
      <c r="J43" s="35" t="n">
        <v>6754.14</v>
      </c>
      <c r="K43" s="35" t="n">
        <v>11.09</v>
      </c>
      <c r="L43" s="35" t="n">
        <v>11.6</v>
      </c>
      <c r="M43" s="35" t="n">
        <v>130.24</v>
      </c>
    </row>
    <row r="44">
      <c r="A44" s="34" t="inlineStr">
        <is>
          <t>PV_battery_HP</t>
        </is>
      </c>
      <c r="B44" s="34" t="n">
        <v>9</v>
      </c>
      <c r="C44" s="35" t="n">
        <v>51605.11</v>
      </c>
      <c r="D44" s="35" t="n">
        <v>23154.84</v>
      </c>
      <c r="E44" s="35" t="n">
        <v>20632.23</v>
      </c>
      <c r="F44" s="35" t="n">
        <v>20481.21</v>
      </c>
      <c r="G44" s="36" t="n">
        <v>1.06</v>
      </c>
      <c r="H44" s="36" t="n">
        <v>0.95</v>
      </c>
      <c r="I44" s="35" t="n">
        <v>104.41</v>
      </c>
      <c r="J44" s="35" t="n">
        <v>8091.26</v>
      </c>
      <c r="K44" s="35" t="n">
        <v>10.89</v>
      </c>
      <c r="L44" s="35" t="n">
        <v>11.55</v>
      </c>
      <c r="M44" s="35" t="n">
        <v>151.02</v>
      </c>
    </row>
    <row r="45">
      <c r="A45" s="34" t="inlineStr">
        <is>
          <t>no_hardware</t>
        </is>
      </c>
      <c r="B45" s="34" t="n">
        <v>2</v>
      </c>
      <c r="C45" s="35" t="n">
        <v>1799.56</v>
      </c>
      <c r="D45" s="35" t="n">
        <v>857.53</v>
      </c>
      <c r="E45" s="35" t="n">
        <v>787.96</v>
      </c>
      <c r="F45" s="35" t="n">
        <v>787.96</v>
      </c>
      <c r="G45" s="36" t="n">
        <v>1.08</v>
      </c>
      <c r="H45" s="36" t="n">
        <v>1.08</v>
      </c>
      <c r="I45" s="36" t="n">
        <v>0</v>
      </c>
      <c r="J45" s="36" t="n">
        <v>0</v>
      </c>
      <c r="K45" s="36" t="n">
        <v>8.109999999999999</v>
      </c>
      <c r="L45" s="36" t="n">
        <v>8.109999999999999</v>
      </c>
      <c r="M45" s="36" t="n">
        <v>0</v>
      </c>
    </row>
    <row r="46">
      <c r="A46" s="34" t="inlineStr">
        <is>
          <t>PV_only</t>
        </is>
      </c>
      <c r="B46" s="34" t="n">
        <v>6</v>
      </c>
      <c r="C46" s="35" t="n">
        <v>3987.09</v>
      </c>
      <c r="D46" s="35" t="n">
        <v>1946.53</v>
      </c>
      <c r="E46" s="35" t="n">
        <v>1807.29</v>
      </c>
      <c r="F46" s="35" t="n">
        <v>1807.29</v>
      </c>
      <c r="G46" s="36" t="n">
        <v>1.08</v>
      </c>
      <c r="H46" s="36" t="n">
        <v>1.08</v>
      </c>
      <c r="I46" s="36" t="n">
        <v>0</v>
      </c>
      <c r="J46" s="36" t="n">
        <v>0</v>
      </c>
      <c r="K46" s="36" t="n">
        <v>7.15</v>
      </c>
      <c r="L46" s="36" t="n">
        <v>7.15</v>
      </c>
      <c r="M46" s="36" t="n">
        <v>0</v>
      </c>
    </row>
    <row r="47">
      <c r="A47" s="34" t="inlineStr">
        <is>
          <t>PV_battery</t>
        </is>
      </c>
      <c r="B47" s="34" t="n">
        <v>4</v>
      </c>
      <c r="C47" s="35" t="n">
        <v>2587.07</v>
      </c>
      <c r="D47" s="35" t="n">
        <v>1266.2</v>
      </c>
      <c r="E47" s="35" t="n">
        <v>1176.84</v>
      </c>
      <c r="F47" s="35" t="n">
        <v>1176.12</v>
      </c>
      <c r="G47" s="36" t="n">
        <v>1.08</v>
      </c>
      <c r="H47" s="36" t="n">
        <v>0.9</v>
      </c>
      <c r="I47" s="35" t="n">
        <v>21.23</v>
      </c>
      <c r="J47" s="35" t="n">
        <v>715.62</v>
      </c>
      <c r="K47" s="36" t="n">
        <v>7.06</v>
      </c>
      <c r="L47" s="36" t="n">
        <v>7.11</v>
      </c>
      <c r="M47" s="36" t="n">
        <v>0.72</v>
      </c>
    </row>
    <row r="50">
      <c r="A50" s="8" t="inlineStr">
        <is>
          <t>C · Data quality scorecard — publish this next to every number</t>
        </is>
      </c>
    </row>
    <row r="51">
      <c r="A51" s="33" t="inlineStr">
        <is>
          <t>metric</t>
        </is>
      </c>
      <c r="B51" s="33" t="inlineStr">
        <is>
          <t>val</t>
        </is>
      </c>
      <c r="C51" s="33" t="inlineStr">
        <is>
          <t>unit</t>
        </is>
      </c>
    </row>
    <row r="52">
      <c r="A52" s="34" t="inlineStr">
        <is>
          <t>meter_rows_landed</t>
        </is>
      </c>
      <c r="B52" s="35" t="n">
        <v>257061</v>
      </c>
      <c r="C52" s="34" t="inlineStr">
        <is>
          <t>rows</t>
        </is>
      </c>
    </row>
    <row r="53">
      <c r="A53" s="34" t="inlineStr">
        <is>
          <t>meter_rows_rejected</t>
        </is>
      </c>
      <c r="B53" s="35" t="n">
        <v>18566</v>
      </c>
      <c r="C53" s="34" t="inlineStr">
        <is>
          <t>rows</t>
        </is>
      </c>
    </row>
    <row r="54">
      <c r="A54" s="34" t="inlineStr">
        <is>
          <t>meter_rows_deduplicated</t>
        </is>
      </c>
      <c r="B54" s="35" t="n">
        <v>2786</v>
      </c>
      <c r="C54" s="34" t="inlineStr">
        <is>
          <t>rows</t>
        </is>
      </c>
    </row>
    <row r="55">
      <c r="A55" s="34" t="inlineStr">
        <is>
          <t>meter_rows_usable</t>
        </is>
      </c>
      <c r="B55" s="35" t="n">
        <v>235709</v>
      </c>
      <c r="C55" s="34" t="inlineStr">
        <is>
          <t>rows</t>
        </is>
      </c>
    </row>
    <row r="56">
      <c r="A56" s="34" t="inlineStr">
        <is>
          <t>meter_usable_pct</t>
        </is>
      </c>
      <c r="B56" s="35" t="n">
        <v>91.69</v>
      </c>
      <c r="C56" s="34" t="inlineStr">
        <is>
          <t>%</t>
        </is>
      </c>
    </row>
    <row r="57">
      <c r="A57" s="34" t="inlineStr">
        <is>
          <t>orphan_malo_rows_dropped</t>
        </is>
      </c>
      <c r="B57" s="35" t="n">
        <v>17024</v>
      </c>
      <c r="C57" s="34" t="inlineStr">
        <is>
          <t>rows</t>
        </is>
      </c>
    </row>
    <row r="58">
      <c r="A58" s="34" t="inlineStr">
        <is>
          <t>customers_with_malformed_malo_id</t>
        </is>
      </c>
      <c r="B58" s="36" t="n">
        <v>4</v>
      </c>
      <c r="C58" s="34" t="inlineStr">
        <is>
          <t>customers</t>
        </is>
      </c>
    </row>
    <row r="59">
      <c r="A59" s="34" t="inlineStr">
        <is>
          <t>customers_reporting_kW_not_kWh</t>
        </is>
      </c>
      <c r="B59" s="36" t="n">
        <v>3</v>
      </c>
      <c r="C59" s="34" t="inlineStr">
        <is>
          <t>customers</t>
        </is>
      </c>
    </row>
    <row r="60">
      <c r="A60" s="34" t="inlineStr">
        <is>
          <t>substitute_value_share</t>
        </is>
      </c>
      <c r="B60" s="36" t="n">
        <v>2.09</v>
      </c>
      <c r="C60" s="34" t="inlineStr">
        <is>
          <t>%</t>
        </is>
      </c>
    </row>
    <row r="61">
      <c r="A61" s="34" t="inlineStr">
        <is>
          <t>export_leaked_into_import_kwh</t>
        </is>
      </c>
      <c r="B61" s="35" t="n">
        <v>448.1</v>
      </c>
      <c r="C61" s="34" t="inlineStr">
        <is>
          <t>kWh</t>
        </is>
      </c>
    </row>
    <row r="62">
      <c r="A62" s="34" t="inlineStr">
        <is>
          <t>mean_interval_completeness</t>
        </is>
      </c>
      <c r="B62" s="35" t="n">
        <v>98.53</v>
      </c>
      <c r="C62" s="34" t="inlineStr">
        <is>
          <t>%</t>
        </is>
      </c>
    </row>
    <row r="63">
      <c r="A63" s="34" t="inlineStr">
        <is>
          <t>price_mtus_missing_2025</t>
        </is>
      </c>
      <c r="B63" s="35" t="n">
        <v>119</v>
      </c>
      <c r="C63" s="34" t="inlineStr">
        <is>
          <t>MTU</t>
        </is>
      </c>
    </row>
    <row r="64">
      <c r="A64" s="34" t="inlineStr">
        <is>
          <t>price_days_incomplete</t>
        </is>
      </c>
      <c r="B64" s="35" t="n">
        <v>95</v>
      </c>
      <c r="C64" s="34" t="inlineStr">
        <is>
          <t>days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40" customWidth="1" min="4" max="4"/>
    <col width="14" customWidth="1" min="5" max="5"/>
    <col width="14" customWidth="1" min="6" max="6"/>
  </cols>
  <sheetData>
    <row r="1">
      <c r="A1" s="5" t="inlineStr">
        <is>
          <t>DASHBOARD — the six numbers you would actually present</t>
        </is>
      </c>
      <c r="B1" s="6" t="n"/>
      <c r="C1" s="6" t="n"/>
      <c r="D1" s="6" t="n"/>
      <c r="E1" s="6" t="n"/>
      <c r="F1" s="6" t="n"/>
    </row>
    <row r="3">
      <c r="A3" s="37" t="inlineStr">
        <is>
          <t>Grid import (billed volume)</t>
        </is>
      </c>
      <c r="B3" s="38">
        <f>'03_Model'!$B$6</f>
        <v/>
      </c>
      <c r="C3" s="11" t="inlineStr">
        <is>
          <t>kWh/yr</t>
        </is>
      </c>
      <c r="D3" s="25" t="inlineStr">
        <is>
          <t>TRAFFIC LIGHTS</t>
        </is>
      </c>
    </row>
    <row r="5">
      <c r="A5" s="37" t="inlineStr">
        <is>
          <t>Commodity share of net price</t>
        </is>
      </c>
      <c r="B5" s="39">
        <f>'03_Model'!$B$15</f>
        <v/>
      </c>
      <c r="C5" s="11" t="inlineStr">
        <is>
          <t>share</t>
        </is>
      </c>
      <c r="D5" s="9" t="inlineStr">
        <is>
          <t>LTV/CAC above 3.0</t>
        </is>
      </c>
      <c r="E5" s="40">
        <f>IF('03_Model'!$B$39&gt;=3,"GREEN","AMBER")</f>
        <v/>
      </c>
    </row>
    <row r="7">
      <c r="A7" s="37" t="inlineStr">
        <is>
          <t>Customer saving vs fixed</t>
        </is>
      </c>
      <c r="B7" s="41">
        <f>'03_Model'!$B$21</f>
        <v/>
      </c>
      <c r="C7" s="11" t="inlineStr">
        <is>
          <t>EUR/yr</t>
        </is>
      </c>
      <c r="D7" s="9" t="inlineStr">
        <is>
          <t>CAC payback under 18 mo</t>
        </is>
      </c>
      <c r="E7" s="40">
        <f>IF('03_Model'!$B$36&lt;=18,"GREEN","AMBER")</f>
        <v/>
      </c>
    </row>
    <row r="9">
      <c r="A9" s="37" t="inlineStr">
        <is>
          <t>Customer saving vs fixed, %</t>
        </is>
      </c>
      <c r="B9" s="39">
        <f>'03_Model'!$B$22</f>
        <v/>
      </c>
      <c r="C9" s="11" t="inlineStr">
        <is>
          <t>share</t>
        </is>
      </c>
      <c r="D9" s="9" t="inlineStr">
        <is>
          <t>Customer actually saves</t>
        </is>
      </c>
      <c r="E9" s="40">
        <f>IF('03_Model'!$B$21&gt;0,"GREEN","RED — do not sell this")</f>
        <v/>
      </c>
    </row>
    <row r="11">
      <c r="A11" s="37" t="inlineStr">
        <is>
          <t>Supplier gross margin</t>
        </is>
      </c>
      <c r="B11" s="41">
        <f>'03_Model'!$B$33</f>
        <v/>
      </c>
      <c r="C11" s="11" t="inlineStr">
        <is>
          <t>EUR/yr</t>
        </is>
      </c>
      <c r="D11" s="9" t="inlineStr">
        <is>
          <t>Saving claim defensible</t>
        </is>
      </c>
      <c r="E11" s="40">
        <f>IF('03_Model'!$B$22&lt;='03_Model'!$B$16*3,"GREEN","AMBER — check the maths")</f>
        <v/>
      </c>
    </row>
    <row r="13">
      <c r="A13" s="37" t="inlineStr">
        <is>
          <t>CAC payback</t>
        </is>
      </c>
      <c r="B13" s="42">
        <f>'03_Model'!$B$36</f>
        <v/>
      </c>
      <c r="C13" s="11" t="inlineStr">
        <is>
          <t>months</t>
        </is>
      </c>
    </row>
    <row r="15">
      <c r="A15" s="37" t="inlineStr">
        <is>
          <t>LTV / CAC</t>
        </is>
      </c>
      <c r="B15" s="43">
        <f>'03_Model'!$B$39</f>
        <v/>
      </c>
      <c r="C15" s="11" t="inlineStr">
        <is>
          <t>x</t>
        </is>
      </c>
    </row>
    <row r="20">
      <c r="A20" s="8" t="inlineStr">
        <is>
          <t>Bill by scenario and segment (measured, from the backtest)</t>
        </is>
      </c>
    </row>
    <row r="21">
      <c r="A21" s="33" t="inlineStr">
        <is>
          <t>segment</t>
        </is>
      </c>
      <c r="B21" s="33" t="inlineStr">
        <is>
          <t>A</t>
        </is>
      </c>
      <c r="C21" s="33" t="inlineStr">
        <is>
          <t>B</t>
        </is>
      </c>
      <c r="D21" s="33" t="inlineStr">
        <is>
          <t>C</t>
        </is>
      </c>
    </row>
    <row r="22">
      <c r="A22" s="44" t="inlineStr">
        <is>
          <t>PV_battery_HP_EV</t>
        </is>
      </c>
      <c r="B22" s="45" t="n">
        <v>25067.62</v>
      </c>
      <c r="C22" s="45" t="n">
        <v>22288.78</v>
      </c>
      <c r="D22" s="45" t="n">
        <v>22158.54</v>
      </c>
    </row>
    <row r="23">
      <c r="A23" s="44" t="inlineStr">
        <is>
          <t>PV_battery_HP</t>
        </is>
      </c>
      <c r="B23" s="45" t="n">
        <v>23154.84</v>
      </c>
      <c r="C23" s="45" t="n">
        <v>20632.23</v>
      </c>
      <c r="D23" s="45" t="n">
        <v>20481.21</v>
      </c>
    </row>
    <row r="24">
      <c r="A24" s="44" t="inlineStr">
        <is>
          <t>no_hardware</t>
        </is>
      </c>
      <c r="B24" s="45" t="n">
        <v>857.53</v>
      </c>
      <c r="C24" s="45" t="n">
        <v>787.96</v>
      </c>
      <c r="D24" s="45" t="n">
        <v>787.96</v>
      </c>
    </row>
    <row r="25">
      <c r="A25" s="44" t="inlineStr">
        <is>
          <t>PV_only</t>
        </is>
      </c>
      <c r="B25" s="45" t="n">
        <v>1946.53</v>
      </c>
      <c r="C25" s="45" t="n">
        <v>1807.29</v>
      </c>
      <c r="D25" s="45" t="n">
        <v>1807.29</v>
      </c>
    </row>
    <row r="26">
      <c r="A26" s="44" t="inlineStr">
        <is>
          <t>PV_battery</t>
        </is>
      </c>
      <c r="B26" s="45" t="n">
        <v>1266.2</v>
      </c>
      <c r="C26" s="45" t="n">
        <v>1176.84</v>
      </c>
      <c r="D26" s="45" t="n">
        <v>1176.12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56" customWidth="1" min="4" max="4"/>
  </cols>
  <sheetData>
    <row r="1">
      <c r="A1" s="5" t="inlineStr">
        <is>
          <t>CHECKS — try to break your own model before someone else does</t>
        </is>
      </c>
      <c r="B1" s="6" t="n"/>
      <c r="C1" s="6" t="n"/>
      <c r="D1" s="6" t="n"/>
    </row>
    <row r="2">
      <c r="A2" s="7" t="inlineStr">
        <is>
          <t>Check</t>
        </is>
      </c>
      <c r="B2" s="7" t="inlineStr">
        <is>
          <t>Result</t>
        </is>
      </c>
      <c r="C2" s="7" t="inlineStr">
        <is>
          <t>Verdict</t>
        </is>
      </c>
      <c r="D2" s="7" t="inlineStr">
        <is>
          <t>Why it matters</t>
        </is>
      </c>
    </row>
    <row r="3" ht="26" customHeight="1">
      <c r="A3" s="9" t="inlineStr">
        <is>
          <t>Volume identity: import + self-consumed = consumption</t>
        </is>
      </c>
      <c r="B3" s="46">
        <f>'03_Model'!$B$6+'03_Model'!$B$5-'02_Inputs'!$B$4</f>
        <v/>
      </c>
      <c r="C3" s="47">
        <f>IF(ABS('03_Model'!$B$6+'03_Model'!$B$5-'02_Inputs'!$B$4)&lt;0.01,"PASS","CHECK")</f>
        <v/>
      </c>
      <c r="D3" s="12" t="inlineStr">
        <is>
          <t>If this is not zero the volume logic double-counts or loses energy.</t>
        </is>
      </c>
    </row>
    <row r="4" ht="26" customHeight="1">
      <c r="A4" s="9" t="inlineStr">
        <is>
          <t>Self-sufficiency stays below 100% (PV cannot cover the night)</t>
        </is>
      </c>
      <c r="B4" s="46">
        <f>'03_Model'!$B$5/'02_Inputs'!$B$4</f>
        <v/>
      </c>
      <c r="C4" s="47">
        <f>IF('03_Model'!$B$5/'02_Inputs'!$B$4&lt;0.85,"PASS","CHECK — impossible autarky")</f>
        <v/>
      </c>
      <c r="D4" s="12" t="inlineStr">
        <is>
          <t>The first draft of this model reported ZERO grid import because self-consumption was capped only by total consumption. Solar does not generate at night; the Autarkiegrad cap is the physics.</t>
        </is>
      </c>
    </row>
    <row r="5" ht="26" customHeight="1">
      <c r="A5" s="9" t="inlineStr">
        <is>
          <t>Grid import is a positive, billable volume</t>
        </is>
      </c>
      <c r="B5" s="46">
        <f>'03_Model'!$B$6</f>
        <v/>
      </c>
      <c r="C5" s="47">
        <f>IF('03_Model'!$B$6&gt;0,"PASS","CHECK — nothing to bill")</f>
        <v/>
      </c>
      <c r="D5" s="12" t="inlineStr">
        <is>
          <t>A customer with zero grid import generates no energy margin at all.</t>
        </is>
      </c>
    </row>
    <row r="6" ht="26" customHeight="1">
      <c r="A6" s="9" t="inlineStr">
        <is>
          <t>Commodity share is in the 25–45% range for Germany</t>
        </is>
      </c>
      <c r="B6" s="46">
        <f>'03_Model'!$B$15</f>
        <v/>
      </c>
      <c r="C6" s="47">
        <f>IF(AND('03_Model'!$B$15&gt;0.25,'03_Model'!$B$15&lt;0.45),"PASS","CHECK")</f>
        <v/>
      </c>
      <c r="D6" s="12" t="inlineStr">
        <is>
          <t>Outside this band you have mis-entered the grid fee or levies.</t>
        </is>
      </c>
    </row>
    <row r="7" ht="26" customHeight="1">
      <c r="A7" s="9" t="inlineStr">
        <is>
          <t>Saving does not exceed the theoretical maximum</t>
        </is>
      </c>
      <c r="B7" s="46">
        <f>'03_Model'!$B$22</f>
        <v/>
      </c>
      <c r="C7" s="47">
        <f>IF('03_Model'!$B$22&lt;0.30,"PASS","CHECK")</f>
        <v/>
      </c>
      <c r="D7" s="12" t="inlineStr">
        <is>
          <t>A &gt;30% saving on a German bill is almost always a modelling error.</t>
        </is>
      </c>
    </row>
    <row r="8" ht="26" customHeight="1">
      <c r="A8" s="9" t="inlineStr">
        <is>
          <t>Gross margin is positive</t>
        </is>
      </c>
      <c r="B8" s="46">
        <f>'03_Model'!$B$33</f>
        <v/>
      </c>
      <c r="C8" s="47">
        <f>IF('03_Model'!$B$33&gt;0,"PASS","CHECK")</f>
        <v/>
      </c>
      <c r="D8" s="12" t="inlineStr">
        <is>
          <t>A negative-margin customer should not be acquired at all.</t>
        </is>
      </c>
    </row>
    <row r="9" ht="26" customHeight="1">
      <c r="A9" s="9" t="inlineStr">
        <is>
          <t>Flex revenue is not the whole business case</t>
        </is>
      </c>
      <c r="B9" s="46">
        <f>'02_Inputs'!$B$27*'02_Inputs'!$B$12/'03_Model'!$B$29</f>
        <v/>
      </c>
      <c r="C9" s="47">
        <f>IF('02_Inputs'!$B$27*'02_Inputs'!$B$12/'03_Model'!$B$29&lt;0.7,"PASS","CHECK — the case rests on the least certain input")</f>
        <v/>
      </c>
      <c r="D9" s="12" t="inlineStr">
        <is>
          <t>Flex revenue is the weakest assumption. If it dominates, say so out loud.</t>
        </is>
      </c>
    </row>
    <row r="10" ht="26" customHeight="1">
      <c r="A10" s="9" t="inlineStr">
        <is>
          <t>Input spot price matches the measured pipeline (±2%)</t>
        </is>
      </c>
      <c r="B10" s="46">
        <f>'05_SQL_Actuals'!$B$4</f>
        <v/>
      </c>
      <c r="C10" s="47">
        <f>IF(ABS('05_SQL_Actuals'!$B$4-'02_Inputs'!$B$14)/'05_SQL_Actuals'!$B$4&lt;0.02,"PASS","CHECK")</f>
        <v/>
      </c>
      <c r="D10" s="12" t="inlineStr">
        <is>
          <t>Reconcile the model to MEASURED SCALARS, not to annualised volumes. The observed window is Feb–Apr and seasonally biased, so volume cannot reconcile — but a price average can, exactly.</t>
        </is>
      </c>
    </row>
    <row r="11" ht="26" customHeight="1">
      <c r="A11" s="9" t="inlineStr">
        <is>
          <t>Commodity share matches the measured pipeline (±3pp)</t>
        </is>
      </c>
      <c r="B11" s="46">
        <f>'05_SQL_Actuals'!$B$5</f>
        <v/>
      </c>
      <c r="C11" s="47">
        <f>IF(ABS('05_SQL_Actuals'!$B$5-'03_Model'!$B$15)&lt;0.03,"PASS","CHECK")</f>
        <v/>
      </c>
      <c r="D11" s="12" t="inlineStr">
        <is>
          <t>If the model and the pipeline disagree on the price stack, one of them has the wrong grid fee or levy.</t>
        </is>
      </c>
    </row>
    <row r="14">
      <c r="A14" s="48" t="inlineStr">
        <is>
          <t>If any verdict reads CHECK, the model is not presentable. Fix it or state the caveat in the first sentence of your memo — never in a footnote.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2026-08-08T10:14:01Z</dcterms:created>
  <dcterms:modified xmlns:dcterms="http://purl.org/dc/terms/" xmlns:xsi="http://www.w3.org/2001/XMLSchema-instance" xsi:type="dcterms:W3CDTF">2026-08-08T10:14:01Z</dcterms:modified>
</cp:coreProperties>
</file>
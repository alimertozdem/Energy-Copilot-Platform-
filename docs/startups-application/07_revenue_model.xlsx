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. README" sheetId="1" state="visible" r:id="rId3"/>
    <sheet name="2. Assumptions" sheetId="2" state="visible" r:id="rId4"/>
    <sheet name="3. Customers" sheetId="3" state="visible" r:id="rId5"/>
    <sheet name="4. Revenue" sheetId="4" state="visible" r:id="rId6"/>
    <sheet name="5. Costs" sheetId="5" state="visible" r:id="rId7"/>
    <sheet name="6. P&amp;L Summary" sheetId="6" state="visible" r:id="rId8"/>
    <sheet name="7. Microsoft As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<sst xmlns="http://schemas.openxmlformats.org/spreadsheetml/2006/main" count="235" uniqueCount="200">
  <si>
    <t xml:space="preserve">EnergyLens — 3-Year Revenue Model</t>
  </si>
  <si>
    <t xml:space="preserve">Created</t>
  </si>
  <si>
    <t xml:space="preserve">2026-05-15</t>
  </si>
  <si>
    <t xml:space="preserve">Author</t>
  </si>
  <si>
    <t xml:space="preserve">Ali Mert Özdemir, Founder</t>
  </si>
  <si>
    <t xml:space="preserve">Purpose</t>
  </si>
  <si>
    <t xml:space="preserve">Microsoft for Startups Founders Hub application</t>
  </si>
  <si>
    <t xml:space="preserve">Currency</t>
  </si>
  <si>
    <t xml:space="preserve">EUR (€)</t>
  </si>
  <si>
    <t xml:space="preserve">Period</t>
  </si>
  <si>
    <t xml:space="preserve">Q3 2026 — Q2 2029 (3 years)</t>
  </si>
  <si>
    <t xml:space="preserve">MODEL STRUCTURE</t>
  </si>
  <si>
    <t xml:space="preserve">Sheet 2 — Assumptions</t>
  </si>
  <si>
    <t xml:space="preserve">All input parameters (prices, growth rates, costs). Blue cells = editable inputs.</t>
  </si>
  <si>
    <t xml:space="preserve">Sheet 3 — Customer Build</t>
  </si>
  <si>
    <t xml:space="preserve">Quarterly customer acquisition forecast across 3 years</t>
  </si>
  <si>
    <t xml:space="preserve">Sheet 4 — Revenue</t>
  </si>
  <si>
    <t xml:space="preserve">Per-quarter revenue calculation, derived from customer count × pricing</t>
  </si>
  <si>
    <t xml:space="preserve">Sheet 5 — Costs</t>
  </si>
  <si>
    <t xml:space="preserve">Infrastructure, marketing, salaries, total cost structure</t>
  </si>
  <si>
    <t xml:space="preserve">Sheet 6 — P&amp;L Summary</t>
  </si>
  <si>
    <t xml:space="preserve">3-year profit &amp; loss with cumulative cash flow</t>
  </si>
  <si>
    <t xml:space="preserve">Sheet 7 — Microsoft Ask</t>
  </si>
  <si>
    <t xml:space="preserve">Specific Microsoft for Startups credit utilization</t>
  </si>
  <si>
    <t xml:space="preserve">COLOR CONVENTIONS</t>
  </si>
  <si>
    <t xml:space="preserve">Blue text</t>
  </si>
  <si>
    <t xml:space="preserve">Hardcoded input — editable, recalculates dependent formulas</t>
  </si>
  <si>
    <t xml:space="preserve">Black text</t>
  </si>
  <si>
    <t xml:space="preserve">Formula — derived from inputs, do not edit directly</t>
  </si>
  <si>
    <t xml:space="preserve">Green text</t>
  </si>
  <si>
    <t xml:space="preserve">Cross-sheet reference</t>
  </si>
  <si>
    <t xml:space="preserve">Yellow fill</t>
  </si>
  <si>
    <t xml:space="preserve">Key assumption requiring scenario review</t>
  </si>
  <si>
    <t xml:space="preserve">KEY HEADLINE NUMBERS (computed in P&amp;L)</t>
  </si>
  <si>
    <t xml:space="preserve">Year 3 ARR</t>
  </si>
  <si>
    <t xml:space="preserve">Year 3 Customers</t>
  </si>
  <si>
    <t xml:space="preserve">Cumulative 3-Yr Revenue</t>
  </si>
  <si>
    <t xml:space="preserve">Cumulative 3-Yr Net</t>
  </si>
  <si>
    <t xml:space="preserve">Assumptions — All Inputs</t>
  </si>
  <si>
    <t xml:space="preserve">PRICING (per building per month, EUR)</t>
  </si>
  <si>
    <t xml:space="preserve">Insight tier</t>
  </si>
  <si>
    <t xml:space="preserve">SME offices &lt;5,000 m²</t>
  </si>
  <si>
    <t xml:space="preserve">Monitor tier</t>
  </si>
  <si>
    <t xml:space="preserve">Mid-market property mgmt</t>
  </si>
  <si>
    <t xml:space="preserve">Copilot tier</t>
  </si>
  <si>
    <t xml:space="preserve">Enterprise, healthcare, hotels</t>
  </si>
  <si>
    <t xml:space="preserve">Enterprise Custom (avg)</t>
  </si>
  <si>
    <t xml:space="preserve">REITs, large portfolios — average per building</t>
  </si>
  <si>
    <t xml:space="preserve">CUSTOMER MIX BY TIER (Year 1 / 2 / 3)</t>
  </si>
  <si>
    <t xml:space="preserve">Tier</t>
  </si>
  <si>
    <t xml:space="preserve">Year 1</t>
  </si>
  <si>
    <t xml:space="preserve">Year 2</t>
  </si>
  <si>
    <t xml:space="preserve">Year 3</t>
  </si>
  <si>
    <t xml:space="preserve">Insight %</t>
  </si>
  <si>
    <t xml:space="preserve">Monitor %</t>
  </si>
  <si>
    <t xml:space="preserve">Copilot %</t>
  </si>
  <si>
    <t xml:space="preserve">Enterprise %</t>
  </si>
  <si>
    <t xml:space="preserve">Total (should = 100%)</t>
  </si>
  <si>
    <t xml:space="preserve">AVG BUILDINGS PER CUSTOMER</t>
  </si>
  <si>
    <t xml:space="preserve">Insight customers</t>
  </si>
  <si>
    <t xml:space="preserve">Monitor customers</t>
  </si>
  <si>
    <t xml:space="preserve">Copilot customers</t>
  </si>
  <si>
    <t xml:space="preserve">Enterprise customers</t>
  </si>
  <si>
    <t xml:space="preserve">QUARTERLY NEW CUSTOMER ACQUISITION</t>
  </si>
  <si>
    <t xml:space="preserve">Quarter</t>
  </si>
  <si>
    <t xml:space="preserve">New customers</t>
  </si>
  <si>
    <t xml:space="preserve">Cumulative</t>
  </si>
  <si>
    <t xml:space="preserve">Churn % qtr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</si>
  <si>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</si>
  <si>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</si>
  <si>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</si>
  <si>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</si>
  <si>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</si>
  <si>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</si>
  <si>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</si>
  <si>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</si>
  <si>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</si>
  <si>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</si>
  <si>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</si>
  <si>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</si>
  <si>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COST ASSUMPTIONS (monthly EUR)</t>
  </si>
  <si>
    <t xml:space="preserve">Microsoft Fabric capacity (post-Startups credit)</t>
  </si>
  <si>
    <t xml:space="preserve">Startups Tier 2 covers Year 1</t>
  </si>
  <si>
    <t xml:space="preserve">Microsoft Fabric capacity (Year 2+)</t>
  </si>
  <si>
    <t xml:space="preserve">F8 SKU after credit expires</t>
  </si>
  <si>
    <t xml:space="preserve">Azure infrastructure (web app, DB)</t>
  </si>
  <si>
    <t xml:space="preserve">Container Apps + PostgreSQL + Static Web App</t>
  </si>
  <si>
    <t xml:space="preserve">Tools (LinkedIn Premium, ElevenLabs, etc.)</t>
  </si>
  <si>
    <t xml:space="preserve">Sales tools + dev tools</t>
  </si>
  <si>
    <t xml:space="preserve">Marketing spend</t>
  </si>
  <si>
    <t xml:space="preserve">LinkedIn ads, conferences, content</t>
  </si>
  <si>
    <t xml:space="preserve">Domain + administrative</t>
  </si>
  <si>
    <t xml:space="preserve">Domain renewal + UG mini-GmbH overhead</t>
  </si>
  <si>
    <t xml:space="preserve">TEAM SALARY (annual EUR, gross)</t>
  </si>
  <si>
    <t xml:space="preserve">Founder (Year 1-2)</t>
  </si>
  <si>
    <t xml:space="preserve">Bootstrap — no salary until €10k MRR</t>
  </si>
  <si>
    <t xml:space="preserve">Founder (Year 3)</t>
  </si>
  <si>
    <t xml:space="preserve">Post-traction founder salary</t>
  </si>
  <si>
    <t xml:space="preserve">Junior Developer (from Q2 2027)</t>
  </si>
  <si>
    <t xml:space="preserve">Hire post €5k MRR</t>
  </si>
  <si>
    <t xml:space="preserve">Sales / BD (from Q3 2027)</t>
  </si>
  <si>
    <t xml:space="preserve">Hire post €10k MRR</t>
  </si>
  <si>
    <t xml:space="preserve">Customer Success (from Q4 2027)</t>
  </si>
  <si>
    <t xml:space="preserve">Hire post 15+ customers</t>
  </si>
  <si>
    <t xml:space="preserve">Senior Engineer (from Q2 2028)</t>
  </si>
  <si>
    <t xml:space="preserve">Year 3 scaling</t>
  </si>
  <si>
    <t xml:space="preserve">Customer Build — Quarterly Forecast</t>
  </si>
  <si>
    <t xml:space="preserve">Metric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</si>
  <si>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</si>
  <si>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</si>
  <si>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</si>
  <si>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</si>
  <si>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</si>
  <si>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</si>
  <si>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Q1'28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</si>
  <si>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</si>
  <si>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</si>
  <si>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</si>
  <si>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</si>
  <si>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</si>
  <si>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Total customers (cumulative)</t>
  </si>
  <si>
    <t xml:space="preserve">Total buildings under mgmt</t>
  </si>
  <si>
    <t xml:space="preserve">Revenue — Quarterly (EUR)</t>
  </si>
  <si>
    <t xml:space="preserve">Tier revenue</t>
  </si>
  <si>
    <t xml:space="preserve">Insight (€99 × bldgs × 3mo)</t>
  </si>
  <si>
    <t xml:space="preserve">Monitor (€299 × bldgs × 3mo)</t>
  </si>
  <si>
    <t xml:space="preserve">Copilot (€699 × bldgs × 3mo)</t>
  </si>
  <si>
    <t xml:space="preserve">Enterprise (€1500 × bldgs × 3mo)</t>
  </si>
  <si>
    <t xml:space="preserve">Total quarterly revenue</t>
  </si>
  <si>
    <t xml:space="preserve">Avg MRR (€)</t>
  </si>
  <si>
    <t xml:space="preserve">ARR run rate (end of qtr)</t>
  </si>
  <si>
    <t xml:space="preserve">Costs — Quarterly (EUR)</t>
  </si>
  <si>
    <t xml:space="preserve">Cost category</t>
  </si>
  <si>
    <t xml:space="preserve">Microsoft Fabric capacity</t>
  </si>
  <si>
    <t xml:space="preserve">Azure infrastructure</t>
  </si>
  <si>
    <t xml:space="preserve">Tools</t>
  </si>
  <si>
    <t xml:space="preserve">Marketing</t>
  </si>
  <si>
    <t xml:space="preserve">Admin / domain</t>
  </si>
  <si>
    <t xml:space="preserve">Salaries (quarterly)</t>
  </si>
  <si>
    <t xml:space="preserve">Total quarterly cost</t>
  </si>
  <si>
    <t xml:space="preserve">P&amp;L Summary — 3-Year View</t>
  </si>
  <si>
    <t xml:space="preserve">Year 1 (Q3'26-Q2'27)</t>
  </si>
  <si>
    <t xml:space="preserve">Year 2 (Q3'27-Q2'28)</t>
  </si>
  <si>
    <t xml:space="preserve">Year 3 (Q3'28-Q2'29)</t>
  </si>
  <si>
    <t xml:space="preserve">Year 3 EOY</t>
  </si>
  <si>
    <t xml:space="preserve">3-Yr Total</t>
  </si>
  <si>
    <t xml:space="preserve">New customers added</t>
  </si>
  <si>
    <t xml:space="preserve">Cumulative customers at year-end</t>
  </si>
  <si>
    <t xml:space="preserve">Buildings under mgmt at year-end</t>
  </si>
  <si>
    <t xml:space="preserve">REVENUE</t>
  </si>
  <si>
    <t xml:space="preserve">Annual revenue</t>
  </si>
  <si>
    <t xml:space="preserve">ARR at year-end</t>
  </si>
  <si>
    <t xml:space="preserve">COSTS</t>
  </si>
  <si>
    <t xml:space="preserve">Annual costs</t>
  </si>
  <si>
    <t xml:space="preserve">NET INCOME</t>
  </si>
  <si>
    <t xml:space="preserve">Cumulative cash position</t>
  </si>
  <si>
    <t xml:space="preserve">KEY METRICS</t>
  </si>
  <si>
    <t xml:space="preserve">Year 3 ARR (forward-looking)</t>
  </si>
  <si>
    <t xml:space="preserve">Gross margin %</t>
  </si>
  <si>
    <t xml:space="preserve">Avg revenue per customer (annual)</t>
  </si>
  <si>
    <t xml:space="preserve">Microsoft for Startups — Credit Utilization Plan</t>
  </si>
  <si>
    <t xml:space="preserve">Resource</t>
  </si>
  <si>
    <t xml:space="preserve">Monthly cost (€)</t>
  </si>
  <si>
    <t xml:space="preserve">12-month total (€)</t>
  </si>
  <si>
    <t xml:space="preserve">Strategic value</t>
  </si>
  <si>
    <t xml:space="preserve">Usage timing</t>
  </si>
  <si>
    <t xml:space="preserve">Microsoft Fabric F8 capacity</t>
  </si>
  <si>
    <t xml:space="preserve">Production pipeline (unblocks F4 trial throttle)</t>
  </si>
  <si>
    <t xml:space="preserve">Months 1-12</t>
  </si>
  <si>
    <t xml:space="preserve">Power BI Premium per Capacity</t>
  </si>
  <si>
    <t xml:space="preserve">Embedded analytics for SaaS customers</t>
  </si>
  <si>
    <t xml:space="preserve">Azure Container Apps (web app backend)</t>
  </si>
  <si>
    <t xml:space="preserve">FastAPI deployment</t>
  </si>
  <si>
    <t xml:space="preserve">Azure Static Web Apps (frontend)</t>
  </si>
  <si>
    <t xml:space="preserve">Next.js hosting</t>
  </si>
  <si>
    <t xml:space="preserve">Azure PostgreSQL Flexible (DB)</t>
  </si>
  <si>
    <t xml:space="preserve">User/subscription DB</t>
  </si>
  <si>
    <t xml:space="preserve">Azure OpenAI credits</t>
  </si>
  <si>
    <t xml:space="preserve">AI recommendation engine (Phase 2, months 6-12)</t>
  </si>
  <si>
    <t xml:space="preserve">Months 6-12 (avg)</t>
  </si>
  <si>
    <t xml:space="preserve">Application Insights monitoring</t>
  </si>
  <si>
    <t xml:space="preserve">Telemetry</t>
  </si>
  <si>
    <t xml:space="preserve">Microsoft Entra ID + Azure AD B2C</t>
  </si>
  <si>
    <t xml:space="preserve">Customer authentication</t>
  </si>
  <si>
    <t xml:space="preserve">TOTAL</t>
  </si>
  <si>
    <t xml:space="preserve">EUR to USD (avg 2026)</t>
  </si>
  <si>
    <t xml:space="preserve">12-month value in USD</t>
  </si>
  <si>
    <t xml:space="preserve">TIER MAPPING</t>
  </si>
  <si>
    <t xml:space="preserve">Microsoft Startups Tier 1 (~$1k)</t>
  </si>
  <si>
    <t xml:space="preserve">Insufficient — covers basic Azure only</t>
  </si>
  <si>
    <t xml:space="preserve">Microsoft Startups Tier 2 (~$25k)</t>
  </si>
  <si>
    <t xml:space="preserve">Covers Year 1 essentials — Fabric + Power BI + Azure</t>
  </si>
  <si>
    <t xml:space="preserve">Microsoft Startups Tier 3 (~$150k)</t>
  </si>
  <si>
    <t xml:space="preserve">Covers Years 1-3 fully, includes Azure OpenAI scaling</t>
  </si>
  <si>
    <t xml:space="preserve">WHY THIS MATTERS</t>
  </si>
  <si>
    <t xml:space="preserve">• Without Microsoft Startups support, current Fabric F4 trial cannot sustain production workloads.</t>
  </si>
  <si>
    <t xml:space="preserve">• Trial ends 2026-06-12; without Tier 2 acceptance, project hits hard infrastructure ceiling.</t>
  </si>
  <si>
    <t xml:space="preserve">• Microsoft Startups credits replace ~€40-60k Year 1 infrastructure expense — direct runway extension.</t>
  </si>
  <si>
    <t xml:space="preserve">• Tier 2 acceptance demonstrates Microsoft endorsement, accelerating enterprise sales cycle.</t>
  </si>
  <si>
    <t xml:space="preserve">• Path to Tier 3: 3-6 months post-acceptance with traction proof (customers, MRR).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</si>
</sst>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€#,##0;&quot;(€&quot;#,##0\);\-"/>
    <numFmt numFmtId="166" formatCode="#,##0;\(#,##0\);\-"/>
    <numFmt numFmtId="167" formatCode="0.0%;\-0.0%;\-"/>
    <numFmt numFmtId="168" formatCode="0.00"/>
    <numFmt numFmtId="169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b val="true"/>
      <sz val="10"/>
      <color rgb="FF2C2C2A"/>
      <name val="Calibri"/>
      <family val="0"/>
      <charset val="1"/>
    </font>
    <font>
      <b val="true"/>
      <sz val="11"/>
      <color rgb="FF0F6E56"/>
      <name val="Calibri"/>
      <family val="0"/>
      <charset val="1"/>
    </font>
    <font>
      <sz val="10"/>
      <color rgb="FF2C2C2A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2C2C2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8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5DCAA5"/>
        <bgColor rgb="FF99CCFF"/>
      </patternFill>
    </fill>
    <fill>
      <patternFill patternType="solid">
        <fgColor rgb="FFFFFFCC"/>
        <bgColor rgb="FFFFFFFF"/>
      </patternFill>
    </fill>
    <fill>
      <patternFill patternType="solid">
        <fgColor rgb="FF1D9E75"/>
        <bgColor rgb="FF008080"/>
      </patternFill>
    </fill>
    <fill>
      <patternFill patternType="solid">
        <fgColor rgb="FFC0DD97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D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DCAA5"/>
      <rgbColor rgb="FF99CC00"/>
      <rgbColor rgb="FFFFCC00"/>
      <rgbColor rgb="FFFF9900"/>
      <rgbColor rgb="FFFF6600"/>
      <rgbColor rgb="FF666699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6" customFormat="false" ht="15" hidden="false" customHeight="false" outlineLevel="0" collapsed="false">
      <c r="A6" s="2" t="s">
        <v>7</v>
      </c>
      <c r="B6" s="0" t="s">
        <v>8</v>
      </c>
    </row>
    <row r="7" customFormat="false" ht="15" hidden="false" customHeight="false" outlineLevel="0" collapsed="false">
      <c r="A7" s="2" t="s">
        <v>9</v>
      </c>
      <c r="B7" s="0" t="s">
        <v>10</v>
      </c>
    </row>
    <row r="9" customFormat="false" ht="15" hidden="false" customHeight="false" outlineLevel="0" collapsed="false">
      <c r="A9" s="3" t="s">
        <v>11</v>
      </c>
      <c r="B9" s="3"/>
      <c r="C9" s="3"/>
      <c r="D9" s="3"/>
      <c r="E9" s="3"/>
      <c r="F9" s="3"/>
    </row>
    <row r="10" customFormat="false" ht="15" hidden="false" customHeight="false" outlineLevel="0" collapsed="false">
      <c r="A10" s="2" t="s">
        <v>12</v>
      </c>
      <c r="B10" s="4" t="s">
        <v>13</v>
      </c>
      <c r="C10" s="4"/>
      <c r="D10" s="4"/>
      <c r="E10" s="4"/>
      <c r="F10" s="4"/>
    </row>
    <row r="11" customFormat="false" ht="15" hidden="false" customHeight="false" outlineLevel="0" collapsed="false">
      <c r="A11" s="2" t="s">
        <v>14</v>
      </c>
      <c r="B11" s="4" t="s">
        <v>15</v>
      </c>
      <c r="C11" s="4"/>
      <c r="D11" s="4"/>
      <c r="E11" s="4"/>
      <c r="F11" s="4"/>
    </row>
    <row r="12" customFormat="false" ht="15" hidden="false" customHeight="false" outlineLevel="0" collapsed="false">
      <c r="A12" s="2" t="s">
        <v>16</v>
      </c>
      <c r="B12" s="4" t="s">
        <v>17</v>
      </c>
      <c r="C12" s="4"/>
      <c r="D12" s="4"/>
      <c r="E12" s="4"/>
      <c r="F12" s="4"/>
    </row>
    <row r="13" customFormat="false" ht="15" hidden="false" customHeight="false" outlineLevel="0" collapsed="false">
      <c r="A13" s="2" t="s">
        <v>18</v>
      </c>
      <c r="B13" s="4" t="s">
        <v>19</v>
      </c>
      <c r="C13" s="4"/>
      <c r="D13" s="4"/>
      <c r="E13" s="4"/>
      <c r="F13" s="4"/>
    </row>
    <row r="14" customFormat="false" ht="15" hidden="false" customHeight="false" outlineLevel="0" collapsed="false">
      <c r="A14" s="2" t="s">
        <v>20</v>
      </c>
      <c r="B14" s="4" t="s">
        <v>21</v>
      </c>
      <c r="C14" s="4"/>
      <c r="D14" s="4"/>
      <c r="E14" s="4"/>
      <c r="F14" s="4"/>
    </row>
    <row r="15" customFormat="false" ht="15" hidden="false" customHeight="false" outlineLevel="0" collapsed="false">
      <c r="A15" s="2" t="s">
        <v>22</v>
      </c>
      <c r="B15" s="4" t="s">
        <v>23</v>
      </c>
      <c r="C15" s="4"/>
      <c r="D15" s="4"/>
      <c r="E15" s="4"/>
      <c r="F15" s="4"/>
    </row>
    <row r="17" customFormat="false" ht="15" hidden="false" customHeight="false" outlineLevel="0" collapsed="false">
      <c r="A17" s="3" t="s">
        <v>24</v>
      </c>
      <c r="B17" s="3"/>
      <c r="C17" s="3"/>
      <c r="D17" s="3"/>
      <c r="E17" s="3"/>
      <c r="F17" s="3"/>
    </row>
    <row r="18" customFormat="false" ht="15" hidden="false" customHeight="false" outlineLevel="0" collapsed="false">
      <c r="A18" s="2" t="s">
        <v>25</v>
      </c>
      <c r="B18" s="4" t="s">
        <v>26</v>
      </c>
      <c r="C18" s="4"/>
      <c r="D18" s="4"/>
      <c r="E18" s="4"/>
      <c r="F18" s="4"/>
    </row>
    <row r="19" customFormat="false" ht="15" hidden="false" customHeight="false" outlineLevel="0" collapsed="false">
      <c r="A19" s="2" t="s">
        <v>27</v>
      </c>
      <c r="B19" s="4" t="s">
        <v>28</v>
      </c>
      <c r="C19" s="4"/>
      <c r="D19" s="4"/>
      <c r="E19" s="4"/>
      <c r="F19" s="4"/>
    </row>
    <row r="20" customFormat="false" ht="15" hidden="false" customHeight="false" outlineLevel="0" collapsed="false">
      <c r="A20" s="2" t="s">
        <v>29</v>
      </c>
      <c r="B20" s="4" t="s">
        <v>30</v>
      </c>
      <c r="C20" s="4"/>
      <c r="D20" s="4"/>
      <c r="E20" s="4"/>
      <c r="F20" s="4"/>
    </row>
    <row r="21" customFormat="false" ht="15" hidden="false" customHeight="false" outlineLevel="0" collapsed="false">
      <c r="A21" s="2" t="s">
        <v>31</v>
      </c>
      <c r="B21" s="4" t="s">
        <v>32</v>
      </c>
      <c r="C21" s="4"/>
      <c r="D21" s="4"/>
      <c r="E21" s="4"/>
      <c r="F21" s="4"/>
    </row>
    <row r="23" customFormat="false" ht="15" hidden="false" customHeight="false" outlineLevel="0" collapsed="false">
      <c r="A23" s="3" t="s">
        <v>33</v>
      </c>
      <c r="B23" s="3"/>
      <c r="C23" s="3"/>
      <c r="D23" s="3"/>
      <c r="E23" s="3"/>
      <c r="F23" s="3"/>
    </row>
    <row r="24" customFormat="false" ht="15" hidden="false" customHeight="false" outlineLevel="0" collapsed="false">
      <c r="A24" s="2" t="s">
        <v>34</v>
      </c>
      <c r="B24" s="5" t="n">
        <f aca="false">'6. P&amp;L Summary'!D11</f>
        <v>6258924</v>
      </c>
    </row>
    <row r="25" customFormat="false" ht="15" hidden="false" customHeight="false" outlineLevel="0" collapsed="false">
      <c r="A25" s="2" t="s">
        <v>35</v>
      </c>
      <c r="B25" s="6" t="n">
        <f aca="false">'6. P&amp;L Summary'!D6</f>
        <v>141</v>
      </c>
    </row>
    <row r="26" customFormat="false" ht="15" hidden="false" customHeight="false" outlineLevel="0" collapsed="false">
      <c r="A26" s="2" t="s">
        <v>36</v>
      </c>
      <c r="B26" s="5" t="n">
        <f aca="false">'6. P&amp;L Summary'!F10</f>
        <v>5980047</v>
      </c>
    </row>
    <row r="27" customFormat="false" ht="15" hidden="false" customHeight="false" outlineLevel="0" collapsed="false">
      <c r="A27" s="2" t="s">
        <v>37</v>
      </c>
      <c r="B27" s="5" t="n">
        <f aca="false">'6. P&amp;L Summary'!F15</f>
        <v>5491597</v>
      </c>
    </row>
  </sheetData>
  <mergeCells count="14">
    <mergeCell ref="A1:F1"/>
    <mergeCell ref="A9:F9"/>
    <mergeCell ref="B10:F10"/>
    <mergeCell ref="B11:F11"/>
    <mergeCell ref="B12:F12"/>
    <mergeCell ref="B13:F13"/>
    <mergeCell ref="B14:F14"/>
    <mergeCell ref="B15:F15"/>
    <mergeCell ref="A17:F17"/>
    <mergeCell ref="B18:F18"/>
    <mergeCell ref="B19:F19"/>
    <mergeCell ref="B20:F20"/>
    <mergeCell ref="B21:F21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5"/>
    <col collapsed="false" customWidth="true" hidden="false" outlineLevel="0" max="5" min="5" style="0" width="45"/>
  </cols>
  <sheetData>
    <row r="1" customFormat="false" ht="31.5" hidden="false" customHeight="true" outlineLevel="0" collapsed="false">
      <c r="A1" s="1" t="s">
        <v>38</v>
      </c>
      <c r="B1" s="1"/>
      <c r="C1" s="1"/>
      <c r="D1" s="1"/>
      <c r="E1" s="1"/>
    </row>
    <row r="3" customFormat="false" ht="15" hidden="false" customHeight="false" outlineLevel="0" collapsed="false">
      <c r="A3" s="3" t="s">
        <v>39</v>
      </c>
      <c r="B3" s="3"/>
      <c r="C3" s="3"/>
      <c r="D3" s="3"/>
      <c r="E3" s="3"/>
    </row>
    <row r="4" customFormat="false" ht="15" hidden="false" customHeight="false" outlineLevel="0" collapsed="false">
      <c r="A4" s="7" t="s">
        <v>40</v>
      </c>
      <c r="B4" s="8" t="n">
        <v>99</v>
      </c>
      <c r="C4" s="9" t="s">
        <v>41</v>
      </c>
    </row>
    <row r="5" customFormat="false" ht="15" hidden="false" customHeight="false" outlineLevel="0" collapsed="false">
      <c r="A5" s="7" t="s">
        <v>42</v>
      </c>
      <c r="B5" s="8" t="n">
        <v>299</v>
      </c>
      <c r="C5" s="9" t="s">
        <v>43</v>
      </c>
    </row>
    <row r="6" customFormat="false" ht="15" hidden="false" customHeight="false" outlineLevel="0" collapsed="false">
      <c r="A6" s="7" t="s">
        <v>44</v>
      </c>
      <c r="B6" s="8" t="n">
        <v>699</v>
      </c>
      <c r="C6" s="9" t="s">
        <v>45</v>
      </c>
    </row>
    <row r="7" customFormat="false" ht="15" hidden="false" customHeight="false" outlineLevel="0" collapsed="false">
      <c r="A7" s="7" t="s">
        <v>46</v>
      </c>
      <c r="B7" s="8" t="n">
        <v>1500</v>
      </c>
      <c r="C7" s="9" t="s">
        <v>47</v>
      </c>
    </row>
    <row r="9" customFormat="false" ht="15" hidden="false" customHeight="false" outlineLevel="0" collapsed="false">
      <c r="A9" s="3" t="s">
        <v>48</v>
      </c>
      <c r="B9" s="3"/>
      <c r="C9" s="3"/>
      <c r="D9" s="3"/>
      <c r="E9" s="3"/>
    </row>
    <row r="10" customFormat="false" ht="15" hidden="false" customHeight="false" outlineLevel="0" collapsed="false">
      <c r="A10" s="10" t="s">
        <v>49</v>
      </c>
      <c r="B10" s="10" t="s">
        <v>50</v>
      </c>
      <c r="C10" s="10" t="s">
        <v>51</v>
      </c>
      <c r="D10" s="10" t="s">
        <v>52</v>
      </c>
    </row>
    <row r="11" customFormat="false" ht="15" hidden="false" customHeight="false" outlineLevel="0" collapsed="false">
      <c r="A11" s="7" t="s">
        <v>53</v>
      </c>
      <c r="B11" s="11" t="n">
        <v>0.5</v>
      </c>
      <c r="C11" s="11" t="n">
        <v>0.4</v>
      </c>
      <c r="D11" s="11" t="n">
        <v>0.3</v>
      </c>
    </row>
    <row r="12" customFormat="false" ht="15" hidden="false" customHeight="false" outlineLevel="0" collapsed="false">
      <c r="A12" s="7" t="s">
        <v>54</v>
      </c>
      <c r="B12" s="11" t="n">
        <v>0.4</v>
      </c>
      <c r="C12" s="11" t="n">
        <v>0.45</v>
      </c>
      <c r="D12" s="11" t="n">
        <v>0.45</v>
      </c>
    </row>
    <row r="13" customFormat="false" ht="15" hidden="false" customHeight="false" outlineLevel="0" collapsed="false">
      <c r="A13" s="7" t="s">
        <v>55</v>
      </c>
      <c r="B13" s="11" t="n">
        <v>0.1</v>
      </c>
      <c r="C13" s="11" t="n">
        <v>0.13</v>
      </c>
      <c r="D13" s="11" t="n">
        <v>0.2</v>
      </c>
    </row>
    <row r="14" customFormat="false" ht="15" hidden="false" customHeight="false" outlineLevel="0" collapsed="false">
      <c r="A14" s="7" t="s">
        <v>56</v>
      </c>
      <c r="B14" s="11" t="n">
        <v>0</v>
      </c>
      <c r="C14" s="11" t="n">
        <v>0.02</v>
      </c>
      <c r="D14" s="11" t="n">
        <v>0.05</v>
      </c>
    </row>
    <row r="15" customFormat="false" ht="15" hidden="false" customHeight="false" outlineLevel="0" collapsed="false">
      <c r="A15" s="2" t="s">
        <v>57</v>
      </c>
      <c r="B15" s="12" t="n">
        <f aca="false">SUM(B11:B14)</f>
        <v>1</v>
      </c>
      <c r="C15" s="12" t="n">
        <f aca="false">SUM(C11:C14)</f>
        <v>1</v>
      </c>
      <c r="D15" s="12" t="n">
        <f aca="false">SUM(D11:D14)</f>
        <v>1</v>
      </c>
    </row>
    <row r="17" customFormat="false" ht="15" hidden="false" customHeight="false" outlineLevel="0" collapsed="false">
      <c r="A17" s="3" t="s">
        <v>58</v>
      </c>
      <c r="B17" s="3"/>
      <c r="C17" s="3"/>
      <c r="D17" s="3"/>
      <c r="E17" s="3"/>
    </row>
    <row r="18" customFormat="false" ht="15" hidden="false" customHeight="false" outlineLevel="0" collapsed="false">
      <c r="A18" s="7" t="s">
        <v>59</v>
      </c>
      <c r="B18" s="13" t="n">
        <v>2</v>
      </c>
    </row>
    <row r="19" customFormat="false" ht="15" hidden="false" customHeight="false" outlineLevel="0" collapsed="false">
      <c r="A19" s="7" t="s">
        <v>60</v>
      </c>
      <c r="B19" s="13" t="n">
        <v>5</v>
      </c>
    </row>
    <row r="20" customFormat="false" ht="15" hidden="false" customHeight="false" outlineLevel="0" collapsed="false">
      <c r="A20" s="7" t="s">
        <v>61</v>
      </c>
      <c r="B20" s="13" t="n">
        <v>8</v>
      </c>
    </row>
    <row r="21" customFormat="false" ht="15" hidden="false" customHeight="false" outlineLevel="0" collapsed="false">
      <c r="A21" s="7" t="s">
        <v>62</v>
      </c>
      <c r="B21" s="13" t="n">
        <v>25</v>
      </c>
    </row>
    <row r="23" customFormat="false" ht="15" hidden="false" customHeight="false" outlineLevel="0" collapsed="false">
      <c r="A23" s="3" t="s">
        <v>63</v>
      </c>
      <c r="B23" s="3"/>
      <c r="C23" s="3"/>
      <c r="D23" s="3"/>
      <c r="E23" s="3"/>
    </row>
    <row r="24" customFormat="false" ht="15" hidden="false" customHeight="false" outlineLevel="0" collapsed="false">
      <c r="A24" s="10" t="s">
        <v>64</v>
      </c>
      <c r="B24" s="10" t="s">
        <v>65</v>
      </c>
      <c r="C24" s="10" t="s">
        <v>66</v>
      </c>
      <c r="D24" s="10" t="s">
        <v>67</v>
      </c>
    </row>
    <row r="25" customFormat="false" ht="15" hidden="false" customHeight="false" outlineLevel="0" collapsed="false">
      <c r="A25" s="7" t="s">
        <v>68</v>
      </c>
      <c r="B25" s="13" t="n">
        <v>1</v>
      </c>
      <c r="C25" s="14" t="n">
        <f aca="false">B25</f>
        <v>1</v>
      </c>
      <c r="D25" s="11" t="n">
        <v>0</v>
      </c>
    </row>
    <row r="26" customFormat="false" ht="15" hidden="false" customHeight="false" outlineLevel="0" collapsed="false">
      <c r="A26" s="7" t="s">
        <v>69</v>
      </c>
      <c r="B26" s="13" t="n">
        <v>3</v>
      </c>
      <c r="C26" s="14" t="n">
        <f aca="false">C25+B26-ROUND(C25*D26,0)</f>
        <v>4</v>
      </c>
      <c r="D26" s="11" t="n">
        <v>0</v>
      </c>
    </row>
    <row r="27" customFormat="false" ht="15" hidden="false" customHeight="false" outlineLevel="0" collapsed="false">
      <c r="A27" s="7" t="s">
        <v>70</v>
      </c>
      <c r="B27" s="13" t="n">
        <v>4</v>
      </c>
      <c r="C27" s="14" t="n">
        <f aca="false">C26+B27-ROUND(C26*D27,0)</f>
        <v>8</v>
      </c>
      <c r="D27" s="11" t="n">
        <v>0.025</v>
      </c>
    </row>
    <row r="28" customFormat="false" ht="15" hidden="false" customHeight="false" outlineLevel="0" collapsed="false">
      <c r="A28" s="7" t="s">
        <v>71</v>
      </c>
      <c r="B28" s="13" t="n">
        <v>6</v>
      </c>
      <c r="C28" s="14" t="n">
        <f aca="false">C27+B28-ROUND(C27*D28,0)</f>
        <v>14</v>
      </c>
      <c r="D28" s="11" t="n">
        <v>0.025</v>
      </c>
    </row>
    <row r="29" customFormat="false" ht="15" hidden="false" customHeight="false" outlineLevel="0" collapsed="false">
      <c r="A29" s="7" t="s">
        <v>72</v>
      </c>
      <c r="B29" s="13" t="n">
        <v>8</v>
      </c>
      <c r="C29" s="14" t="n">
        <f aca="false">C28+B29-ROUND(C28*D29,0)</f>
        <v>22</v>
      </c>
      <c r="D29" s="11" t="n">
        <v>0.025</v>
      </c>
    </row>
    <row r="30" customFormat="false" ht="15" hidden="false" customHeight="false" outlineLevel="0" collapsed="false">
      <c r="A30" s="7" t="s">
        <v>73</v>
      </c>
      <c r="B30" s="13" t="n">
        <v>10</v>
      </c>
      <c r="C30" s="14" t="n">
        <f aca="false">C29+B30-ROUND(C29*D30,0)</f>
        <v>31</v>
      </c>
      <c r="D30" s="11" t="n">
        <v>0.025</v>
      </c>
    </row>
    <row r="31" customFormat="false" ht="15" hidden="false" customHeight="false" outlineLevel="0" collapsed="false">
      <c r="A31" s="7" t="s">
        <v>74</v>
      </c>
      <c r="B31" s="13" t="n">
        <v>14</v>
      </c>
      <c r="C31" s="14" t="n">
        <f aca="false">C30+B31-ROUND(C30*D31,0)</f>
        <v>44</v>
      </c>
      <c r="D31" s="11" t="n">
        <v>0.03</v>
      </c>
    </row>
    <row r="32" customFormat="false" ht="15" hidden="false" customHeight="false" outlineLevel="0" collapsed="false">
      <c r="A32" s="7" t="s">
        <v>75</v>
      </c>
      <c r="B32" s="13" t="n">
        <v>16</v>
      </c>
      <c r="C32" s="14" t="n">
        <f aca="false">C31+B32-ROUND(C31*D32,0)</f>
        <v>59</v>
      </c>
      <c r="D32" s="11" t="n">
        <v>0.03</v>
      </c>
    </row>
    <row r="33" customFormat="false" ht="15" hidden="false" customHeight="false" outlineLevel="0" collapsed="false">
      <c r="A33" s="7" t="s">
        <v>76</v>
      </c>
      <c r="B33" s="13" t="n">
        <v>18</v>
      </c>
      <c r="C33" s="14" t="n">
        <f aca="false">C32+B33-ROUND(C32*D33,0)</f>
        <v>75</v>
      </c>
      <c r="D33" s="11" t="n">
        <v>0.03</v>
      </c>
    </row>
    <row r="34" customFormat="false" ht="15" hidden="false" customHeight="false" outlineLevel="0" collapsed="false">
      <c r="A34" s="7" t="s">
        <v>77</v>
      </c>
      <c r="B34" s="13" t="n">
        <v>22</v>
      </c>
      <c r="C34" s="14" t="n">
        <f aca="false">C33+B34-ROUND(C33*D34,0)</f>
        <v>95</v>
      </c>
      <c r="D34" s="11" t="n">
        <v>0.03</v>
      </c>
    </row>
    <row r="35" customFormat="false" ht="15" hidden="false" customHeight="false" outlineLevel="0" collapsed="false">
      <c r="A35" s="7" t="s">
        <v>78</v>
      </c>
      <c r="B35" s="13" t="n">
        <v>25</v>
      </c>
      <c r="C35" s="14" t="n">
        <f aca="false">C34+B35-ROUND(C34*D35,0)</f>
        <v>117</v>
      </c>
      <c r="D35" s="11" t="n">
        <v>0.03</v>
      </c>
    </row>
    <row r="36" customFormat="false" ht="15" hidden="false" customHeight="false" outlineLevel="0" collapsed="false">
      <c r="A36" s="7" t="s">
        <v>79</v>
      </c>
      <c r="B36" s="13" t="n">
        <v>28</v>
      </c>
      <c r="C36" s="14" t="n">
        <f aca="false">C35+B36-ROUND(C35*D36,0)</f>
        <v>141</v>
      </c>
      <c r="D36" s="11" t="n">
        <v>0.03</v>
      </c>
    </row>
    <row r="39" customFormat="false" ht="15" hidden="false" customHeight="false" outlineLevel="0" collapsed="false">
      <c r="A39" s="3" t="s">
        <v>80</v>
      </c>
      <c r="B39" s="3"/>
      <c r="C39" s="3"/>
      <c r="D39" s="3"/>
      <c r="E39" s="3"/>
    </row>
    <row r="40" customFormat="false" ht="15" hidden="false" customHeight="false" outlineLevel="0" collapsed="false">
      <c r="A40" s="7" t="s">
        <v>81</v>
      </c>
      <c r="B40" s="8" t="n">
        <v>0</v>
      </c>
      <c r="C40" s="9" t="s">
        <v>82</v>
      </c>
    </row>
    <row r="41" customFormat="false" ht="15" hidden="false" customHeight="false" outlineLevel="0" collapsed="false">
      <c r="A41" s="7" t="s">
        <v>83</v>
      </c>
      <c r="B41" s="8" t="n">
        <v>400</v>
      </c>
      <c r="C41" s="9" t="s">
        <v>84</v>
      </c>
    </row>
    <row r="42" customFormat="false" ht="15" hidden="false" customHeight="false" outlineLevel="0" collapsed="false">
      <c r="A42" s="7" t="s">
        <v>85</v>
      </c>
      <c r="B42" s="8" t="n">
        <v>100</v>
      </c>
      <c r="C42" s="9" t="s">
        <v>86</v>
      </c>
    </row>
    <row r="43" customFormat="false" ht="15" hidden="false" customHeight="false" outlineLevel="0" collapsed="false">
      <c r="A43" s="7" t="s">
        <v>87</v>
      </c>
      <c r="B43" s="8" t="n">
        <v>150</v>
      </c>
      <c r="C43" s="9" t="s">
        <v>88</v>
      </c>
    </row>
    <row r="44" customFormat="false" ht="15" hidden="false" customHeight="false" outlineLevel="0" collapsed="false">
      <c r="A44" s="7" t="s">
        <v>89</v>
      </c>
      <c r="B44" s="8" t="n">
        <v>300</v>
      </c>
      <c r="C44" s="9" t="s">
        <v>90</v>
      </c>
    </row>
    <row r="45" customFormat="false" ht="15" hidden="false" customHeight="false" outlineLevel="0" collapsed="false">
      <c r="A45" s="7" t="s">
        <v>91</v>
      </c>
      <c r="B45" s="8" t="n">
        <v>50</v>
      </c>
      <c r="C45" s="9" t="s">
        <v>92</v>
      </c>
    </row>
    <row r="48" customFormat="false" ht="15" hidden="false" customHeight="false" outlineLevel="0" collapsed="false">
      <c r="A48" s="3" t="s">
        <v>93</v>
      </c>
      <c r="B48" s="3"/>
      <c r="C48" s="3"/>
      <c r="D48" s="3"/>
      <c r="E48" s="3"/>
    </row>
    <row r="49" customFormat="false" ht="15" hidden="false" customHeight="false" outlineLevel="0" collapsed="false">
      <c r="A49" s="7" t="s">
        <v>94</v>
      </c>
      <c r="B49" s="8" t="n">
        <v>0</v>
      </c>
      <c r="C49" s="9" t="s">
        <v>95</v>
      </c>
    </row>
    <row r="50" customFormat="false" ht="15" hidden="false" customHeight="false" outlineLevel="0" collapsed="false">
      <c r="A50" s="7" t="s">
        <v>96</v>
      </c>
      <c r="B50" s="8" t="n">
        <v>60000</v>
      </c>
      <c r="C50" s="9" t="s">
        <v>97</v>
      </c>
    </row>
    <row r="51" customFormat="false" ht="15" hidden="false" customHeight="false" outlineLevel="0" collapsed="false">
      <c r="A51" s="7" t="s">
        <v>98</v>
      </c>
      <c r="B51" s="8" t="n">
        <v>45000</v>
      </c>
      <c r="C51" s="9" t="s">
        <v>99</v>
      </c>
    </row>
    <row r="52" customFormat="false" ht="15" hidden="false" customHeight="false" outlineLevel="0" collapsed="false">
      <c r="A52" s="7" t="s">
        <v>100</v>
      </c>
      <c r="B52" s="8" t="n">
        <v>55000</v>
      </c>
      <c r="C52" s="9" t="s">
        <v>101</v>
      </c>
    </row>
    <row r="53" customFormat="false" ht="15" hidden="false" customHeight="false" outlineLevel="0" collapsed="false">
      <c r="A53" s="7" t="s">
        <v>102</v>
      </c>
      <c r="B53" s="8" t="n">
        <v>45000</v>
      </c>
      <c r="C53" s="9" t="s">
        <v>103</v>
      </c>
    </row>
    <row r="54" customFormat="false" ht="15" hidden="false" customHeight="false" outlineLevel="0" collapsed="false">
      <c r="A54" s="7" t="s">
        <v>104</v>
      </c>
      <c r="B54" s="8" t="n">
        <v>75000</v>
      </c>
      <c r="C54" s="9" t="s">
        <v>105</v>
      </c>
    </row>
  </sheetData>
  <mergeCells count="7">
    <mergeCell ref="A1:E1"/>
    <mergeCell ref="A3:E3"/>
    <mergeCell ref="A9:E9"/>
    <mergeCell ref="A17:E17"/>
    <mergeCell ref="A23:E23"/>
    <mergeCell ref="A39:E39"/>
    <mergeCell ref="A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4" min="2" style="0" width="10"/>
  </cols>
  <sheetData>
    <row r="1" customFormat="false" ht="31.5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15" t="s">
        <v>107</v>
      </c>
      <c r="B3" s="10" t="s">
        <v>108</v>
      </c>
      <c r="C3" s="10" t="s">
        <v>109</v>
      </c>
      <c r="D3" s="10" t="s">
        <v>110</v>
      </c>
      <c r="E3" s="10" t="s">
        <v>111</v>
      </c>
      <c r="F3" s="10" t="s">
        <v>112</v>
      </c>
      <c r="G3" s="10" t="s">
        <v>113</v>
      </c>
      <c r="H3" s="10" t="s">
        <v>114</v>
      </c>
      <c r="I3" s="10" t="s">
        <v>115</v>
      </c>
      <c r="J3" s="10" t="s">
        <v>116</v>
      </c>
      <c r="K3" s="10" t="s">
        <v>117</v>
      </c>
      <c r="L3" s="10" t="s">
        <v>118</v>
      </c>
      <c r="M3" s="10" t="s">
        <v>119</v>
      </c>
    </row>
    <row r="4" customFormat="false" ht="15" hidden="false" customHeight="false" outlineLevel="0" collapsed="false">
      <c r="A4" s="2" t="s">
        <v>120</v>
      </c>
      <c r="B4" s="16" t="n">
        <f aca="false">'2. Assumptions'!C25</f>
        <v>1</v>
      </c>
      <c r="C4" s="16" t="n">
        <f aca="false">'2. Assumptions'!C26</f>
        <v>4</v>
      </c>
      <c r="D4" s="16" t="n">
        <f aca="false">'2. Assumptions'!C27</f>
        <v>8</v>
      </c>
      <c r="E4" s="16" t="n">
        <f aca="false">'2. Assumptions'!C28</f>
        <v>14</v>
      </c>
      <c r="F4" s="16" t="n">
        <f aca="false">'2. Assumptions'!C29</f>
        <v>22</v>
      </c>
      <c r="G4" s="16" t="n">
        <f aca="false">'2. Assumptions'!C30</f>
        <v>31</v>
      </c>
      <c r="H4" s="16" t="n">
        <f aca="false">'2. Assumptions'!C31</f>
        <v>44</v>
      </c>
      <c r="I4" s="16" t="n">
        <f aca="false">'2. Assumptions'!C32</f>
        <v>59</v>
      </c>
      <c r="J4" s="16" t="n">
        <f aca="false">'2. Assumptions'!C33</f>
        <v>75</v>
      </c>
      <c r="K4" s="16" t="n">
        <f aca="false">'2. Assumptions'!C34</f>
        <v>95</v>
      </c>
      <c r="L4" s="16" t="n">
        <f aca="false">'2. Assumptions'!C35</f>
        <v>117</v>
      </c>
      <c r="M4" s="16" t="n">
        <f aca="false">'2. Assumptions'!C36</f>
        <v>141</v>
      </c>
    </row>
    <row r="5" customFormat="false" ht="15" hidden="false" customHeight="false" outlineLevel="0" collapsed="false">
      <c r="A5" s="7" t="s">
        <v>59</v>
      </c>
      <c r="B5" s="14" t="n">
        <f aca="false">ROUND(B4*'2. Assumptions'!B11,0)</f>
        <v>1</v>
      </c>
      <c r="C5" s="14" t="n">
        <f aca="false">ROUND(C4*'2. Assumptions'!B11,0)</f>
        <v>2</v>
      </c>
      <c r="D5" s="14" t="n">
        <f aca="false">ROUND(D4*'2. Assumptions'!B11,0)</f>
        <v>4</v>
      </c>
      <c r="E5" s="14" t="n">
        <f aca="false">ROUND(E4*'2. Assumptions'!B11,0)</f>
        <v>7</v>
      </c>
      <c r="F5" s="14" t="n">
        <f aca="false">ROUND(F4*'2. Assumptions'!C11,0)</f>
        <v>9</v>
      </c>
      <c r="G5" s="14" t="n">
        <f aca="false">ROUND(G4*'2. Assumptions'!C11,0)</f>
        <v>12</v>
      </c>
      <c r="H5" s="14" t="n">
        <f aca="false">ROUND(H4*'2. Assumptions'!C11,0)</f>
        <v>18</v>
      </c>
      <c r="I5" s="14" t="n">
        <f aca="false">ROUND(I4*'2. Assumptions'!C11,0)</f>
        <v>24</v>
      </c>
      <c r="J5" s="14" t="n">
        <f aca="false">ROUND(J4*'2. Assumptions'!D11,0)</f>
        <v>23</v>
      </c>
      <c r="K5" s="14" t="n">
        <f aca="false">ROUND(K4*'2. Assumptions'!D11,0)</f>
        <v>29</v>
      </c>
      <c r="L5" s="14" t="n">
        <f aca="false">ROUND(L4*'2. Assumptions'!D11,0)</f>
        <v>35</v>
      </c>
      <c r="M5" s="14" t="n">
        <f aca="false">ROUND(M4*'2. Assumptions'!D11,0)</f>
        <v>42</v>
      </c>
    </row>
    <row r="6" customFormat="false" ht="15" hidden="false" customHeight="false" outlineLevel="0" collapsed="false">
      <c r="A6" s="7" t="s">
        <v>60</v>
      </c>
      <c r="B6" s="14" t="n">
        <f aca="false">ROUND(B4*'2. Assumptions'!B12,0)</f>
        <v>0</v>
      </c>
      <c r="C6" s="14" t="n">
        <f aca="false">ROUND(C4*'2. Assumptions'!B12,0)</f>
        <v>2</v>
      </c>
      <c r="D6" s="14" t="n">
        <f aca="false">ROUND(D4*'2. Assumptions'!B12,0)</f>
        <v>3</v>
      </c>
      <c r="E6" s="14" t="n">
        <f aca="false">ROUND(E4*'2. Assumptions'!B12,0)</f>
        <v>6</v>
      </c>
      <c r="F6" s="14" t="n">
        <f aca="false">ROUND(F4*'2. Assumptions'!C12,0)</f>
        <v>10</v>
      </c>
      <c r="G6" s="14" t="n">
        <f aca="false">ROUND(G4*'2. Assumptions'!C12,0)</f>
        <v>14</v>
      </c>
      <c r="H6" s="14" t="n">
        <f aca="false">ROUND(H4*'2. Assumptions'!C12,0)</f>
        <v>20</v>
      </c>
      <c r="I6" s="14" t="n">
        <f aca="false">ROUND(I4*'2. Assumptions'!C12,0)</f>
        <v>27</v>
      </c>
      <c r="J6" s="14" t="n">
        <f aca="false">ROUND(J4*'2. Assumptions'!D12,0)</f>
        <v>34</v>
      </c>
      <c r="K6" s="14" t="n">
        <f aca="false">ROUND(K4*'2. Assumptions'!D12,0)</f>
        <v>43</v>
      </c>
      <c r="L6" s="14" t="n">
        <f aca="false">ROUND(L4*'2. Assumptions'!D12,0)</f>
        <v>53</v>
      </c>
      <c r="M6" s="14" t="n">
        <f aca="false">ROUND(M4*'2. Assumptions'!D12,0)</f>
        <v>63</v>
      </c>
    </row>
    <row r="7" customFormat="false" ht="15" hidden="false" customHeight="false" outlineLevel="0" collapsed="false">
      <c r="A7" s="7" t="s">
        <v>61</v>
      </c>
      <c r="B7" s="14" t="n">
        <f aca="false">ROUND(B4*'2. Assumptions'!B13,0)</f>
        <v>0</v>
      </c>
      <c r="C7" s="14" t="n">
        <f aca="false">ROUND(C4*'2. Assumptions'!B13,0)</f>
        <v>0</v>
      </c>
      <c r="D7" s="14" t="n">
        <f aca="false">ROUND(D4*'2. Assumptions'!B13,0)</f>
        <v>1</v>
      </c>
      <c r="E7" s="14" t="n">
        <f aca="false">ROUND(E4*'2. Assumptions'!B13,0)</f>
        <v>1</v>
      </c>
      <c r="F7" s="14" t="n">
        <f aca="false">ROUND(F4*'2. Assumptions'!C13,0)</f>
        <v>3</v>
      </c>
      <c r="G7" s="14" t="n">
        <f aca="false">ROUND(G4*'2. Assumptions'!C13,0)</f>
        <v>4</v>
      </c>
      <c r="H7" s="14" t="n">
        <f aca="false">ROUND(H4*'2. Assumptions'!C13,0)</f>
        <v>6</v>
      </c>
      <c r="I7" s="14" t="n">
        <f aca="false">ROUND(I4*'2. Assumptions'!C13,0)</f>
        <v>8</v>
      </c>
      <c r="J7" s="14" t="n">
        <f aca="false">ROUND(J4*'2. Assumptions'!D13,0)</f>
        <v>15</v>
      </c>
      <c r="K7" s="14" t="n">
        <f aca="false">ROUND(K4*'2. Assumptions'!D13,0)</f>
        <v>19</v>
      </c>
      <c r="L7" s="14" t="n">
        <f aca="false">ROUND(L4*'2. Assumptions'!D13,0)</f>
        <v>23</v>
      </c>
      <c r="M7" s="14" t="n">
        <f aca="false">ROUND(M4*'2. Assumptions'!D13,0)</f>
        <v>28</v>
      </c>
    </row>
    <row r="8" customFormat="false" ht="15" hidden="false" customHeight="false" outlineLevel="0" collapsed="false">
      <c r="A8" s="7" t="s">
        <v>62</v>
      </c>
      <c r="B8" s="14" t="n">
        <f aca="false">ROUND(B4*'2. Assumptions'!B14,0)</f>
        <v>0</v>
      </c>
      <c r="C8" s="14" t="n">
        <f aca="false">ROUND(C4*'2. Assumptions'!B14,0)</f>
        <v>0</v>
      </c>
      <c r="D8" s="14" t="n">
        <f aca="false">ROUND(D4*'2. Assumptions'!B14,0)</f>
        <v>0</v>
      </c>
      <c r="E8" s="14" t="n">
        <f aca="false">ROUND(E4*'2. Assumptions'!B14,0)</f>
        <v>0</v>
      </c>
      <c r="F8" s="14" t="n">
        <f aca="false">ROUND(F4*'2. Assumptions'!C14,0)</f>
        <v>0</v>
      </c>
      <c r="G8" s="14" t="n">
        <f aca="false">ROUND(G4*'2. Assumptions'!C14,0)</f>
        <v>1</v>
      </c>
      <c r="H8" s="14" t="n">
        <f aca="false">ROUND(H4*'2. Assumptions'!C14,0)</f>
        <v>1</v>
      </c>
      <c r="I8" s="14" t="n">
        <f aca="false">ROUND(I4*'2. Assumptions'!C14,0)</f>
        <v>1</v>
      </c>
      <c r="J8" s="14" t="n">
        <f aca="false">ROUND(J4*'2. Assumptions'!D14,0)</f>
        <v>4</v>
      </c>
      <c r="K8" s="14" t="n">
        <f aca="false">ROUND(K4*'2. Assumptions'!D14,0)</f>
        <v>5</v>
      </c>
      <c r="L8" s="14" t="n">
        <f aca="false">ROUND(L4*'2. Assumptions'!D14,0)</f>
        <v>6</v>
      </c>
      <c r="M8" s="14" t="n">
        <f aca="false">ROUND(M4*'2. Assumptions'!D14,0)</f>
        <v>7</v>
      </c>
    </row>
    <row r="9" customFormat="false" ht="15" hidden="false" customHeight="false" outlineLevel="0" collapsed="false">
      <c r="A9" s="2" t="s">
        <v>121</v>
      </c>
      <c r="B9" s="17" t="n">
        <f aca="false">B5*'2. Assumptions'!B18+B6*'2. Assumptions'!B19+B7*'2. Assumptions'!B20+B8*'2. Assumptions'!B21</f>
        <v>2</v>
      </c>
      <c r="C9" s="17" t="n">
        <f aca="false">C5*'2. Assumptions'!B18+C6*'2. Assumptions'!B19+C7*'2. Assumptions'!B20+C8*'2. Assumptions'!B21</f>
        <v>14</v>
      </c>
      <c r="D9" s="17" t="n">
        <f aca="false">D5*'2. Assumptions'!B18+D6*'2. Assumptions'!B19+D7*'2. Assumptions'!B20+D8*'2. Assumptions'!B21</f>
        <v>31</v>
      </c>
      <c r="E9" s="17" t="n">
        <f aca="false">E5*'2. Assumptions'!B18+E6*'2. Assumptions'!B19+E7*'2. Assumptions'!B20+E8*'2. Assumptions'!B21</f>
        <v>52</v>
      </c>
      <c r="F9" s="17" t="n">
        <f aca="false">F5*'2. Assumptions'!B18+F6*'2. Assumptions'!B19+F7*'2. Assumptions'!B20+F8*'2. Assumptions'!B21</f>
        <v>92</v>
      </c>
      <c r="G9" s="17" t="n">
        <f aca="false">G5*'2. Assumptions'!B18+G6*'2. Assumptions'!B19+G7*'2. Assumptions'!B20+G8*'2. Assumptions'!B21</f>
        <v>151</v>
      </c>
      <c r="H9" s="17" t="n">
        <f aca="false">H5*'2. Assumptions'!B18+H6*'2. Assumptions'!B19+H7*'2. Assumptions'!B20+H8*'2. Assumptions'!B21</f>
        <v>209</v>
      </c>
      <c r="I9" s="17" t="n">
        <f aca="false">I5*'2. Assumptions'!B18+I6*'2. Assumptions'!B19+I7*'2. Assumptions'!B20+I8*'2. Assumptions'!B21</f>
        <v>272</v>
      </c>
      <c r="J9" s="17" t="n">
        <f aca="false">J5*'2. Assumptions'!B18+J6*'2. Assumptions'!B19+J7*'2. Assumptions'!B20+J8*'2. Assumptions'!B21</f>
        <v>436</v>
      </c>
      <c r="K9" s="17" t="n">
        <f aca="false">K5*'2. Assumptions'!B18+K6*'2. Assumptions'!B19+K7*'2. Assumptions'!B20+K8*'2. Assumptions'!B21</f>
        <v>550</v>
      </c>
      <c r="L9" s="17" t="n">
        <f aca="false">L5*'2. Assumptions'!B18+L6*'2. Assumptions'!B19+L7*'2. Assumptions'!B20+L8*'2. Assumptions'!B21</f>
        <v>669</v>
      </c>
      <c r="M9" s="17" t="n">
        <f aca="false">M5*'2. Assumptions'!B18+M6*'2. Assumptions'!B19+M7*'2. Assumptions'!B20+M8*'2. Assumptions'!B21</f>
        <v>798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14" min="2" style="0" width="12"/>
  </cols>
  <sheetData>
    <row r="1" customFormat="false" ht="31.5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15" t="s">
        <v>123</v>
      </c>
      <c r="B3" s="10" t="s">
        <v>108</v>
      </c>
      <c r="C3" s="10" t="s">
        <v>109</v>
      </c>
      <c r="D3" s="10" t="s">
        <v>110</v>
      </c>
      <c r="E3" s="10" t="s">
        <v>111</v>
      </c>
      <c r="F3" s="10" t="s">
        <v>112</v>
      </c>
      <c r="G3" s="10" t="s">
        <v>113</v>
      </c>
      <c r="H3" s="10" t="s">
        <v>114</v>
      </c>
      <c r="I3" s="10" t="s">
        <v>115</v>
      </c>
      <c r="J3" s="10" t="s">
        <v>116</v>
      </c>
      <c r="K3" s="10" t="s">
        <v>117</v>
      </c>
      <c r="L3" s="10" t="s">
        <v>118</v>
      </c>
      <c r="M3" s="10" t="s">
        <v>119</v>
      </c>
    </row>
    <row r="4" customFormat="false" ht="15" hidden="false" customHeight="false" outlineLevel="0" collapsed="false">
      <c r="A4" s="7" t="s">
        <v>124</v>
      </c>
      <c r="B4" s="18" t="n">
        <f aca="false">'3. Customers'!B5*'2. Assumptions'!B18*'2. Assumptions'!B4*3</f>
        <v>594</v>
      </c>
      <c r="C4" s="18" t="n">
        <f aca="false">'3. Customers'!C5*'2. Assumptions'!B18*'2. Assumptions'!B4*3</f>
        <v>1188</v>
      </c>
      <c r="D4" s="18" t="n">
        <f aca="false">'3. Customers'!D5*'2. Assumptions'!B18*'2. Assumptions'!B4*3</f>
        <v>2376</v>
      </c>
      <c r="E4" s="18" t="n">
        <f aca="false">'3. Customers'!E5*'2. Assumptions'!B18*'2. Assumptions'!B4*3</f>
        <v>4158</v>
      </c>
      <c r="F4" s="18" t="n">
        <f aca="false">'3. Customers'!F5*'2. Assumptions'!B18*'2. Assumptions'!B4*3</f>
        <v>5346</v>
      </c>
      <c r="G4" s="18" t="n">
        <f aca="false">'3. Customers'!G5*'2. Assumptions'!B18*'2. Assumptions'!B4*3</f>
        <v>7128</v>
      </c>
      <c r="H4" s="18" t="n">
        <f aca="false">'3. Customers'!H5*'2. Assumptions'!B18*'2. Assumptions'!B4*3</f>
        <v>10692</v>
      </c>
      <c r="I4" s="18" t="n">
        <f aca="false">'3. Customers'!I5*'2. Assumptions'!B18*'2. Assumptions'!B4*3</f>
        <v>14256</v>
      </c>
      <c r="J4" s="18" t="n">
        <f aca="false">'3. Customers'!J5*'2. Assumptions'!B18*'2. Assumptions'!B4*3</f>
        <v>13662</v>
      </c>
      <c r="K4" s="18" t="n">
        <f aca="false">'3. Customers'!K5*'2. Assumptions'!B18*'2. Assumptions'!B4*3</f>
        <v>17226</v>
      </c>
      <c r="L4" s="18" t="n">
        <f aca="false">'3. Customers'!L5*'2. Assumptions'!B18*'2. Assumptions'!B4*3</f>
        <v>20790</v>
      </c>
      <c r="M4" s="18" t="n">
        <f aca="false">'3. Customers'!M5*'2. Assumptions'!B18*'2. Assumptions'!B4*3</f>
        <v>24948</v>
      </c>
    </row>
    <row r="5" customFormat="false" ht="15" hidden="false" customHeight="false" outlineLevel="0" collapsed="false">
      <c r="A5" s="7" t="s">
        <v>125</v>
      </c>
      <c r="B5" s="18" t="n">
        <f aca="false">'3. Customers'!B6*'2. Assumptions'!B19*'2. Assumptions'!B5*3</f>
        <v>0</v>
      </c>
      <c r="C5" s="18" t="n">
        <f aca="false">'3. Customers'!C6*'2. Assumptions'!B19*'2. Assumptions'!B5*3</f>
        <v>8970</v>
      </c>
      <c r="D5" s="18" t="n">
        <f aca="false">'3. Customers'!D6*'2. Assumptions'!B19*'2. Assumptions'!B5*3</f>
        <v>13455</v>
      </c>
      <c r="E5" s="18" t="n">
        <f aca="false">'3. Customers'!E6*'2. Assumptions'!B19*'2. Assumptions'!B5*3</f>
        <v>26910</v>
      </c>
      <c r="F5" s="18" t="n">
        <f aca="false">'3. Customers'!F6*'2. Assumptions'!B19*'2. Assumptions'!B5*3</f>
        <v>44850</v>
      </c>
      <c r="G5" s="18" t="n">
        <f aca="false">'3. Customers'!G6*'2. Assumptions'!B19*'2. Assumptions'!B5*3</f>
        <v>62790</v>
      </c>
      <c r="H5" s="18" t="n">
        <f aca="false">'3. Customers'!H6*'2. Assumptions'!B19*'2. Assumptions'!B5*3</f>
        <v>89700</v>
      </c>
      <c r="I5" s="18" t="n">
        <f aca="false">'3. Customers'!I6*'2. Assumptions'!B19*'2. Assumptions'!B5*3</f>
        <v>121095</v>
      </c>
      <c r="J5" s="18" t="n">
        <f aca="false">'3. Customers'!J6*'2. Assumptions'!B19*'2. Assumptions'!B5*3</f>
        <v>152490</v>
      </c>
      <c r="K5" s="18" t="n">
        <f aca="false">'3. Customers'!K6*'2. Assumptions'!B19*'2. Assumptions'!B5*3</f>
        <v>192855</v>
      </c>
      <c r="L5" s="18" t="n">
        <f aca="false">'3. Customers'!L6*'2. Assumptions'!B19*'2. Assumptions'!B5*3</f>
        <v>237705</v>
      </c>
      <c r="M5" s="18" t="n">
        <f aca="false">'3. Customers'!M6*'2. Assumptions'!B19*'2. Assumptions'!B5*3</f>
        <v>282555</v>
      </c>
    </row>
    <row r="6" customFormat="false" ht="15" hidden="false" customHeight="false" outlineLevel="0" collapsed="false">
      <c r="A6" s="7" t="s">
        <v>126</v>
      </c>
      <c r="B6" s="18" t="n">
        <f aca="false">'3. Customers'!B7*'2. Assumptions'!B20*'2. Assumptions'!B6*3</f>
        <v>0</v>
      </c>
      <c r="C6" s="18" t="n">
        <f aca="false">'3. Customers'!C7*'2. Assumptions'!B20*'2. Assumptions'!B6*3</f>
        <v>0</v>
      </c>
      <c r="D6" s="18" t="n">
        <f aca="false">'3. Customers'!D7*'2. Assumptions'!B20*'2. Assumptions'!B6*3</f>
        <v>16776</v>
      </c>
      <c r="E6" s="18" t="n">
        <f aca="false">'3. Customers'!E7*'2. Assumptions'!B20*'2. Assumptions'!B6*3</f>
        <v>16776</v>
      </c>
      <c r="F6" s="18" t="n">
        <f aca="false">'3. Customers'!F7*'2. Assumptions'!B20*'2. Assumptions'!B6*3</f>
        <v>50328</v>
      </c>
      <c r="G6" s="18" t="n">
        <f aca="false">'3. Customers'!G7*'2. Assumptions'!B20*'2. Assumptions'!B6*3</f>
        <v>67104</v>
      </c>
      <c r="H6" s="18" t="n">
        <f aca="false">'3. Customers'!H7*'2. Assumptions'!B20*'2. Assumptions'!B6*3</f>
        <v>100656</v>
      </c>
      <c r="I6" s="18" t="n">
        <f aca="false">'3. Customers'!I7*'2. Assumptions'!B20*'2. Assumptions'!B6*3</f>
        <v>134208</v>
      </c>
      <c r="J6" s="18" t="n">
        <f aca="false">'3. Customers'!J7*'2. Assumptions'!B20*'2. Assumptions'!B6*3</f>
        <v>251640</v>
      </c>
      <c r="K6" s="18" t="n">
        <f aca="false">'3. Customers'!K7*'2. Assumptions'!B20*'2. Assumptions'!B6*3</f>
        <v>318744</v>
      </c>
      <c r="L6" s="18" t="n">
        <f aca="false">'3. Customers'!L7*'2. Assumptions'!B20*'2. Assumptions'!B6*3</f>
        <v>385848</v>
      </c>
      <c r="M6" s="18" t="n">
        <f aca="false">'3. Customers'!M7*'2. Assumptions'!B20*'2. Assumptions'!B6*3</f>
        <v>469728</v>
      </c>
    </row>
    <row r="7" customFormat="false" ht="15" hidden="false" customHeight="false" outlineLevel="0" collapsed="false">
      <c r="A7" s="7" t="s">
        <v>127</v>
      </c>
      <c r="B7" s="18" t="n">
        <f aca="false">'3. Customers'!B8*'2. Assumptions'!B21*'2. Assumptions'!B7*3</f>
        <v>0</v>
      </c>
      <c r="C7" s="18" t="n">
        <f aca="false">'3. Customers'!C8*'2. Assumptions'!B21*'2. Assumptions'!B7*3</f>
        <v>0</v>
      </c>
      <c r="D7" s="18" t="n">
        <f aca="false">'3. Customers'!D8*'2. Assumptions'!B21*'2. Assumptions'!B7*3</f>
        <v>0</v>
      </c>
      <c r="E7" s="18" t="n">
        <f aca="false">'3. Customers'!E8*'2. Assumptions'!B21*'2. Assumptions'!B7*3</f>
        <v>0</v>
      </c>
      <c r="F7" s="18" t="n">
        <f aca="false">'3. Customers'!F8*'2. Assumptions'!B21*'2. Assumptions'!B7*3</f>
        <v>0</v>
      </c>
      <c r="G7" s="18" t="n">
        <f aca="false">'3. Customers'!G8*'2. Assumptions'!B21*'2. Assumptions'!B7*3</f>
        <v>112500</v>
      </c>
      <c r="H7" s="18" t="n">
        <f aca="false">'3. Customers'!H8*'2. Assumptions'!B21*'2. Assumptions'!B7*3</f>
        <v>112500</v>
      </c>
      <c r="I7" s="18" t="n">
        <f aca="false">'3. Customers'!I8*'2. Assumptions'!B21*'2. Assumptions'!B7*3</f>
        <v>112500</v>
      </c>
      <c r="J7" s="18" t="n">
        <f aca="false">'3. Customers'!J8*'2. Assumptions'!B21*'2. Assumptions'!B7*3</f>
        <v>450000</v>
      </c>
      <c r="K7" s="18" t="n">
        <f aca="false">'3. Customers'!K8*'2. Assumptions'!B21*'2. Assumptions'!B7*3</f>
        <v>562500</v>
      </c>
      <c r="L7" s="18" t="n">
        <f aca="false">'3. Customers'!L8*'2. Assumptions'!B21*'2. Assumptions'!B7*3</f>
        <v>675000</v>
      </c>
      <c r="M7" s="18" t="n">
        <f aca="false">'3. Customers'!M8*'2. Assumptions'!B21*'2. Assumptions'!B7*3</f>
        <v>787500</v>
      </c>
    </row>
    <row r="9" customFormat="false" ht="15" hidden="false" customHeight="false" outlineLevel="0" collapsed="false">
      <c r="A9" s="19" t="s">
        <v>128</v>
      </c>
      <c r="B9" s="20" t="n">
        <f aca="false">SUM(B4:B7)</f>
        <v>594</v>
      </c>
      <c r="C9" s="20" t="n">
        <f aca="false">SUM(C4:C7)</f>
        <v>10158</v>
      </c>
      <c r="D9" s="20" t="n">
        <f aca="false">SUM(D4:D7)</f>
        <v>32607</v>
      </c>
      <c r="E9" s="20" t="n">
        <f aca="false">SUM(E4:E7)</f>
        <v>47844</v>
      </c>
      <c r="F9" s="20" t="n">
        <f aca="false">SUM(F4:F7)</f>
        <v>100524</v>
      </c>
      <c r="G9" s="20" t="n">
        <f aca="false">SUM(G4:G7)</f>
        <v>249522</v>
      </c>
      <c r="H9" s="20" t="n">
        <f aca="false">SUM(H4:H7)</f>
        <v>313548</v>
      </c>
      <c r="I9" s="20" t="n">
        <f aca="false">SUM(I4:I7)</f>
        <v>382059</v>
      </c>
      <c r="J9" s="20" t="n">
        <f aca="false">SUM(J4:J7)</f>
        <v>867792</v>
      </c>
      <c r="K9" s="20" t="n">
        <f aca="false">SUM(K4:K7)</f>
        <v>1091325</v>
      </c>
      <c r="L9" s="20" t="n">
        <f aca="false">SUM(L4:L7)</f>
        <v>1319343</v>
      </c>
      <c r="M9" s="20" t="n">
        <f aca="false">SUM(M4:M7)</f>
        <v>1564731</v>
      </c>
    </row>
    <row r="10" customFormat="false" ht="15" hidden="false" customHeight="false" outlineLevel="0" collapsed="false">
      <c r="A10" s="2" t="s">
        <v>129</v>
      </c>
      <c r="B10" s="18" t="n">
        <f aca="false">B9/3</f>
        <v>198</v>
      </c>
      <c r="C10" s="18" t="n">
        <f aca="false">C9/3</f>
        <v>3386</v>
      </c>
      <c r="D10" s="18" t="n">
        <f aca="false">D9/3</f>
        <v>10869</v>
      </c>
      <c r="E10" s="18" t="n">
        <f aca="false">E9/3</f>
        <v>15948</v>
      </c>
      <c r="F10" s="18" t="n">
        <f aca="false">F9/3</f>
        <v>33508</v>
      </c>
      <c r="G10" s="18" t="n">
        <f aca="false">G9/3</f>
        <v>83174</v>
      </c>
      <c r="H10" s="18" t="n">
        <f aca="false">H9/3</f>
        <v>104516</v>
      </c>
      <c r="I10" s="18" t="n">
        <f aca="false">I9/3</f>
        <v>127353</v>
      </c>
      <c r="J10" s="18" t="n">
        <f aca="false">J9/3</f>
        <v>289264</v>
      </c>
      <c r="K10" s="18" t="n">
        <f aca="false">K9/3</f>
        <v>363775</v>
      </c>
      <c r="L10" s="18" t="n">
        <f aca="false">L9/3</f>
        <v>439781</v>
      </c>
      <c r="M10" s="18" t="n">
        <f aca="false">M9/3</f>
        <v>521577</v>
      </c>
    </row>
    <row r="11" customFormat="false" ht="15" hidden="false" customHeight="false" outlineLevel="0" collapsed="false">
      <c r="A11" s="2" t="s">
        <v>130</v>
      </c>
      <c r="B11" s="18" t="n">
        <f aca="false">B10*12</f>
        <v>2376</v>
      </c>
      <c r="C11" s="18" t="n">
        <f aca="false">C10*12</f>
        <v>40632</v>
      </c>
      <c r="D11" s="18" t="n">
        <f aca="false">D10*12</f>
        <v>130428</v>
      </c>
      <c r="E11" s="18" t="n">
        <f aca="false">E10*12</f>
        <v>191376</v>
      </c>
      <c r="F11" s="18" t="n">
        <f aca="false">F10*12</f>
        <v>402096</v>
      </c>
      <c r="G11" s="18" t="n">
        <f aca="false">G10*12</f>
        <v>998088</v>
      </c>
      <c r="H11" s="18" t="n">
        <f aca="false">H10*12</f>
        <v>1254192</v>
      </c>
      <c r="I11" s="18" t="n">
        <f aca="false">I10*12</f>
        <v>1528236</v>
      </c>
      <c r="J11" s="18" t="n">
        <f aca="false">J10*12</f>
        <v>3471168</v>
      </c>
      <c r="K11" s="18" t="n">
        <f aca="false">K10*12</f>
        <v>4365300</v>
      </c>
      <c r="L11" s="18" t="n">
        <f aca="false">L10*12</f>
        <v>5277372</v>
      </c>
      <c r="M11" s="18" t="n">
        <f aca="false">M10*12</f>
        <v>6258924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4" min="2" style="0" width="12"/>
  </cols>
  <sheetData>
    <row r="1" customFormat="false" ht="31.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15" t="s">
        <v>132</v>
      </c>
      <c r="B3" s="10" t="s">
        <v>108</v>
      </c>
      <c r="C3" s="10" t="s">
        <v>109</v>
      </c>
      <c r="D3" s="10" t="s">
        <v>110</v>
      </c>
      <c r="E3" s="10" t="s">
        <v>111</v>
      </c>
      <c r="F3" s="10" t="s">
        <v>112</v>
      </c>
      <c r="G3" s="10" t="s">
        <v>113</v>
      </c>
      <c r="H3" s="10" t="s">
        <v>114</v>
      </c>
      <c r="I3" s="10" t="s">
        <v>115</v>
      </c>
      <c r="J3" s="10" t="s">
        <v>116</v>
      </c>
      <c r="K3" s="10" t="s">
        <v>117</v>
      </c>
      <c r="L3" s="10" t="s">
        <v>118</v>
      </c>
      <c r="M3" s="10" t="s">
        <v>119</v>
      </c>
    </row>
    <row r="4" customFormat="false" ht="15" hidden="false" customHeight="false" outlineLevel="0" collapsed="false">
      <c r="A4" s="7" t="s">
        <v>133</v>
      </c>
      <c r="B4" s="18" t="n">
        <f aca="false">'2. Assumptions'!B40*3</f>
        <v>0</v>
      </c>
      <c r="C4" s="18" t="n">
        <f aca="false">'2. Assumptions'!B40*3</f>
        <v>0</v>
      </c>
      <c r="D4" s="18" t="n">
        <f aca="false">'2. Assumptions'!B40*3</f>
        <v>0</v>
      </c>
      <c r="E4" s="18" t="n">
        <f aca="false">'2. Assumptions'!B40*3</f>
        <v>0</v>
      </c>
      <c r="F4" s="18" t="n">
        <f aca="false">'2. Assumptions'!B41*3</f>
        <v>1200</v>
      </c>
      <c r="G4" s="18" t="n">
        <f aca="false">'2. Assumptions'!B41*3</f>
        <v>1200</v>
      </c>
      <c r="H4" s="18" t="n">
        <f aca="false">'2. Assumptions'!B41*3</f>
        <v>1200</v>
      </c>
      <c r="I4" s="18" t="n">
        <f aca="false">'2. Assumptions'!B41*3</f>
        <v>1200</v>
      </c>
      <c r="J4" s="18" t="n">
        <f aca="false">'2. Assumptions'!B41*3</f>
        <v>1200</v>
      </c>
      <c r="K4" s="18" t="n">
        <f aca="false">'2. Assumptions'!B41*3</f>
        <v>1200</v>
      </c>
      <c r="L4" s="18" t="n">
        <f aca="false">'2. Assumptions'!B41*3</f>
        <v>1200</v>
      </c>
      <c r="M4" s="18" t="n">
        <f aca="false">'2. Assumptions'!B41*3</f>
        <v>1200</v>
      </c>
    </row>
    <row r="5" customFormat="false" ht="15" hidden="false" customHeight="false" outlineLevel="0" collapsed="false">
      <c r="A5" s="7" t="s">
        <v>134</v>
      </c>
      <c r="B5" s="18" t="n">
        <f aca="false">'2. Assumptions'!B42*3</f>
        <v>300</v>
      </c>
      <c r="C5" s="18" t="n">
        <f aca="false">'2. Assumptions'!B42*3</f>
        <v>300</v>
      </c>
      <c r="D5" s="18" t="n">
        <f aca="false">'2. Assumptions'!B42*3</f>
        <v>300</v>
      </c>
      <c r="E5" s="18" t="n">
        <f aca="false">'2. Assumptions'!B42*3</f>
        <v>300</v>
      </c>
      <c r="F5" s="18" t="n">
        <f aca="false">'2. Assumptions'!B42*3</f>
        <v>300</v>
      </c>
      <c r="G5" s="18" t="n">
        <f aca="false">'2. Assumptions'!B42*3</f>
        <v>300</v>
      </c>
      <c r="H5" s="18" t="n">
        <f aca="false">'2. Assumptions'!B42*3</f>
        <v>300</v>
      </c>
      <c r="I5" s="18" t="n">
        <f aca="false">'2. Assumptions'!B42*3</f>
        <v>300</v>
      </c>
      <c r="J5" s="18" t="n">
        <f aca="false">'2. Assumptions'!B42*3</f>
        <v>300</v>
      </c>
      <c r="K5" s="18" t="n">
        <f aca="false">'2. Assumptions'!B42*3</f>
        <v>300</v>
      </c>
      <c r="L5" s="18" t="n">
        <f aca="false">'2. Assumptions'!B42*3</f>
        <v>300</v>
      </c>
      <c r="M5" s="18" t="n">
        <f aca="false">'2. Assumptions'!B42*3</f>
        <v>300</v>
      </c>
    </row>
    <row r="6" customFormat="false" ht="15" hidden="false" customHeight="false" outlineLevel="0" collapsed="false">
      <c r="A6" s="7" t="s">
        <v>135</v>
      </c>
      <c r="B6" s="18" t="n">
        <f aca="false">'2. Assumptions'!B43*3</f>
        <v>450</v>
      </c>
      <c r="C6" s="18" t="n">
        <f aca="false">'2. Assumptions'!B43*3</f>
        <v>450</v>
      </c>
      <c r="D6" s="18" t="n">
        <f aca="false">'2. Assumptions'!B43*3</f>
        <v>450</v>
      </c>
      <c r="E6" s="18" t="n">
        <f aca="false">'2. Assumptions'!B43*3</f>
        <v>450</v>
      </c>
      <c r="F6" s="18" t="n">
        <f aca="false">'2. Assumptions'!B43*3</f>
        <v>450</v>
      </c>
      <c r="G6" s="18" t="n">
        <f aca="false">'2. Assumptions'!B43*3</f>
        <v>450</v>
      </c>
      <c r="H6" s="18" t="n">
        <f aca="false">'2. Assumptions'!B43*3</f>
        <v>450</v>
      </c>
      <c r="I6" s="18" t="n">
        <f aca="false">'2. Assumptions'!B43*3</f>
        <v>450</v>
      </c>
      <c r="J6" s="18" t="n">
        <f aca="false">'2. Assumptions'!B43*3</f>
        <v>450</v>
      </c>
      <c r="K6" s="18" t="n">
        <f aca="false">'2. Assumptions'!B43*3</f>
        <v>450</v>
      </c>
      <c r="L6" s="18" t="n">
        <f aca="false">'2. Assumptions'!B43*3</f>
        <v>450</v>
      </c>
      <c r="M6" s="18" t="n">
        <f aca="false">'2. Assumptions'!B43*3</f>
        <v>450</v>
      </c>
    </row>
    <row r="7" customFormat="false" ht="15" hidden="false" customHeight="false" outlineLevel="0" collapsed="false">
      <c r="A7" s="7" t="s">
        <v>136</v>
      </c>
      <c r="B7" s="18" t="n">
        <f aca="false">'2. Assumptions'!B44*3*1</f>
        <v>900</v>
      </c>
      <c r="C7" s="18" t="n">
        <f aca="false">'2. Assumptions'!B44*3*1</f>
        <v>900</v>
      </c>
      <c r="D7" s="18" t="n">
        <f aca="false">'2. Assumptions'!B44*3*1.5</f>
        <v>1350</v>
      </c>
      <c r="E7" s="18" t="n">
        <f aca="false">'2. Assumptions'!B44*3*1.5</f>
        <v>1350</v>
      </c>
      <c r="F7" s="18" t="n">
        <f aca="false">'2. Assumptions'!B44*3*2</f>
        <v>1800</v>
      </c>
      <c r="G7" s="18" t="n">
        <f aca="false">'2. Assumptions'!B44*3*2</f>
        <v>1800</v>
      </c>
      <c r="H7" s="18" t="n">
        <f aca="false">'2. Assumptions'!B44*3*2.5</f>
        <v>2250</v>
      </c>
      <c r="I7" s="18" t="n">
        <f aca="false">'2. Assumptions'!B44*3*2.5</f>
        <v>2250</v>
      </c>
      <c r="J7" s="18" t="n">
        <f aca="false">'2. Assumptions'!B44*3*3</f>
        <v>2700</v>
      </c>
      <c r="K7" s="18" t="n">
        <f aca="false">'2. Assumptions'!B44*3*3</f>
        <v>2700</v>
      </c>
      <c r="L7" s="18" t="n">
        <f aca="false">'2. Assumptions'!B44*3*3.5</f>
        <v>3150</v>
      </c>
      <c r="M7" s="18" t="n">
        <f aca="false">'2. Assumptions'!B44*3*3.5</f>
        <v>3150</v>
      </c>
    </row>
    <row r="8" customFormat="false" ht="15" hidden="false" customHeight="false" outlineLevel="0" collapsed="false">
      <c r="A8" s="7" t="s">
        <v>137</v>
      </c>
      <c r="B8" s="18" t="n">
        <f aca="false">'2. Assumptions'!B45*3</f>
        <v>150</v>
      </c>
      <c r="C8" s="18" t="n">
        <f aca="false">'2. Assumptions'!B45*3</f>
        <v>150</v>
      </c>
      <c r="D8" s="18" t="n">
        <f aca="false">'2. Assumptions'!B45*3</f>
        <v>150</v>
      </c>
      <c r="E8" s="18" t="n">
        <f aca="false">'2. Assumptions'!B45*3</f>
        <v>150</v>
      </c>
      <c r="F8" s="18" t="n">
        <f aca="false">'2. Assumptions'!B45*3</f>
        <v>150</v>
      </c>
      <c r="G8" s="18" t="n">
        <f aca="false">'2. Assumptions'!B45*3</f>
        <v>150</v>
      </c>
      <c r="H8" s="18" t="n">
        <f aca="false">'2. Assumptions'!B45*3</f>
        <v>150</v>
      </c>
      <c r="I8" s="18" t="n">
        <f aca="false">'2. Assumptions'!B45*3</f>
        <v>150</v>
      </c>
      <c r="J8" s="18" t="n">
        <f aca="false">'2. Assumptions'!B45*3</f>
        <v>150</v>
      </c>
      <c r="K8" s="18" t="n">
        <f aca="false">'2. Assumptions'!B45*3</f>
        <v>150</v>
      </c>
      <c r="L8" s="18" t="n">
        <f aca="false">'2. Assumptions'!B45*3</f>
        <v>150</v>
      </c>
      <c r="M8" s="18" t="n">
        <f aca="false">'2. Assumptions'!B45*3</f>
        <v>150</v>
      </c>
    </row>
    <row r="9" customFormat="false" ht="15" hidden="false" customHeight="false" outlineLevel="0" collapsed="false">
      <c r="A9" s="7" t="s">
        <v>138</v>
      </c>
      <c r="B9" s="8" t="n">
        <v>0</v>
      </c>
      <c r="C9" s="8" t="n">
        <v>0</v>
      </c>
      <c r="D9" s="8" t="n">
        <v>0</v>
      </c>
      <c r="E9" s="8" t="n">
        <v>11250</v>
      </c>
      <c r="F9" s="8" t="n">
        <v>25000</v>
      </c>
      <c r="G9" s="8" t="n">
        <v>36250</v>
      </c>
      <c r="H9" s="8" t="n">
        <v>36250</v>
      </c>
      <c r="I9" s="8" t="n">
        <v>55000</v>
      </c>
      <c r="J9" s="8" t="n">
        <v>70000</v>
      </c>
      <c r="K9" s="8" t="n">
        <v>70000</v>
      </c>
      <c r="L9" s="8" t="n">
        <v>70000</v>
      </c>
      <c r="M9" s="8" t="n">
        <v>70000</v>
      </c>
    </row>
    <row r="10" customFormat="false" ht="15" hidden="false" customHeight="false" outlineLevel="0" collapsed="false">
      <c r="A10" s="19" t="s">
        <v>139</v>
      </c>
      <c r="B10" s="20" t="n">
        <f aca="false">SUM(B4:B9)</f>
        <v>1800</v>
      </c>
      <c r="C10" s="20" t="n">
        <f aca="false">SUM(C4:C9)</f>
        <v>1800</v>
      </c>
      <c r="D10" s="20" t="n">
        <f aca="false">SUM(D4:D9)</f>
        <v>2250</v>
      </c>
      <c r="E10" s="20" t="n">
        <f aca="false">SUM(E4:E9)</f>
        <v>13500</v>
      </c>
      <c r="F10" s="20" t="n">
        <f aca="false">SUM(F4:F9)</f>
        <v>28900</v>
      </c>
      <c r="G10" s="20" t="n">
        <f aca="false">SUM(G4:G9)</f>
        <v>40150</v>
      </c>
      <c r="H10" s="20" t="n">
        <f aca="false">SUM(H4:H9)</f>
        <v>40600</v>
      </c>
      <c r="I10" s="20" t="n">
        <f aca="false">SUM(I4:I9)</f>
        <v>59350</v>
      </c>
      <c r="J10" s="20" t="n">
        <f aca="false">SUM(J4:J9)</f>
        <v>74800</v>
      </c>
      <c r="K10" s="20" t="n">
        <f aca="false">SUM(K4:K9)</f>
        <v>74800</v>
      </c>
      <c r="L10" s="20" t="n">
        <f aca="false">SUM(L4:L9)</f>
        <v>75250</v>
      </c>
      <c r="M10" s="20" t="n">
        <f aca="false">SUM(M4:M9)</f>
        <v>75250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22"/>
  </cols>
  <sheetData>
    <row r="1" customFormat="false" ht="31.5" hidden="false" customHeight="true" outlineLevel="0" collapsed="false">
      <c r="A1" s="1" t="s">
        <v>140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0" t="s">
        <v>107</v>
      </c>
      <c r="B3" s="10" t="s">
        <v>141</v>
      </c>
      <c r="C3" s="10" t="s">
        <v>142</v>
      </c>
      <c r="D3" s="10" t="s">
        <v>143</v>
      </c>
      <c r="E3" s="10" t="s">
        <v>144</v>
      </c>
      <c r="F3" s="10" t="s">
        <v>145</v>
      </c>
    </row>
    <row r="5" customFormat="false" ht="15" hidden="false" customHeight="false" outlineLevel="0" collapsed="false">
      <c r="A5" s="7" t="s">
        <v>146</v>
      </c>
      <c r="B5" s="14" t="n">
        <f aca="false">SUM('2. Assumptions'!B25:B28)</f>
        <v>14</v>
      </c>
      <c r="C5" s="14" t="n">
        <f aca="false">SUM('2. Assumptions'!B29:B32)</f>
        <v>48</v>
      </c>
      <c r="D5" s="14" t="n">
        <f aca="false">SUM('2. Assumptions'!B33:B36)</f>
        <v>93</v>
      </c>
      <c r="F5" s="21" t="n">
        <f aca="false">SUM(B5:D5)</f>
        <v>155</v>
      </c>
    </row>
    <row r="6" customFormat="false" ht="15" hidden="false" customHeight="false" outlineLevel="0" collapsed="false">
      <c r="A6" s="7" t="s">
        <v>147</v>
      </c>
      <c r="B6" s="14" t="n">
        <f aca="false">'2. Assumptions'!C28</f>
        <v>14</v>
      </c>
      <c r="C6" s="14" t="n">
        <f aca="false">'2. Assumptions'!C32</f>
        <v>59</v>
      </c>
      <c r="D6" s="14" t="n">
        <f aca="false">'2. Assumptions'!C36</f>
        <v>141</v>
      </c>
    </row>
    <row r="7" customFormat="false" ht="15" hidden="false" customHeight="false" outlineLevel="0" collapsed="false">
      <c r="A7" s="7" t="s">
        <v>148</v>
      </c>
      <c r="B7" s="14" t="n">
        <f aca="false">'3. Customers'!E9</f>
        <v>52</v>
      </c>
      <c r="C7" s="14" t="n">
        <f aca="false">'3. Customers'!I9</f>
        <v>272</v>
      </c>
      <c r="D7" s="14" t="n">
        <f aca="false">'3. Customers'!M9</f>
        <v>798</v>
      </c>
    </row>
    <row r="9" customFormat="false" ht="15" hidden="false" customHeight="false" outlineLevel="0" collapsed="false">
      <c r="A9" s="3" t="s">
        <v>149</v>
      </c>
      <c r="B9" s="3"/>
      <c r="C9" s="3"/>
      <c r="D9" s="3"/>
      <c r="E9" s="3"/>
      <c r="F9" s="3"/>
    </row>
    <row r="10" customFormat="false" ht="15" hidden="false" customHeight="false" outlineLevel="0" collapsed="false">
      <c r="A10" s="2" t="s">
        <v>150</v>
      </c>
      <c r="B10" s="18" t="n">
        <f aca="false">SUM('4. Revenue'!B9:E9)</f>
        <v>91203</v>
      </c>
      <c r="C10" s="18" t="n">
        <f aca="false">SUM('4. Revenue'!F9:I9)</f>
        <v>1045653</v>
      </c>
      <c r="D10" s="18" t="n">
        <f aca="false">SUM('4. Revenue'!J9:M9)</f>
        <v>4843191</v>
      </c>
      <c r="F10" s="22" t="n">
        <f aca="false">SUM(B10:D10)</f>
        <v>5980047</v>
      </c>
    </row>
    <row r="11" customFormat="false" ht="15" hidden="false" customHeight="false" outlineLevel="0" collapsed="false">
      <c r="A11" s="2" t="s">
        <v>151</v>
      </c>
      <c r="B11" s="18" t="n">
        <f aca="false">'4. Revenue'!E11</f>
        <v>191376</v>
      </c>
      <c r="C11" s="18" t="n">
        <f aca="false">'4. Revenue'!I11</f>
        <v>1528236</v>
      </c>
      <c r="D11" s="18" t="n">
        <f aca="false">'4. Revenue'!M11</f>
        <v>6258924</v>
      </c>
    </row>
    <row r="13" customFormat="false" ht="15" hidden="false" customHeight="false" outlineLevel="0" collapsed="false">
      <c r="A13" s="3" t="s">
        <v>152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2" t="s">
        <v>153</v>
      </c>
      <c r="B14" s="18" t="n">
        <f aca="false">SUM('5. Costs'!B10:E10)</f>
        <v>19350</v>
      </c>
      <c r="C14" s="18" t="n">
        <f aca="false">SUM('5. Costs'!F10:I10)</f>
        <v>169000</v>
      </c>
      <c r="D14" s="18" t="n">
        <f aca="false">SUM('5. Costs'!J10:M10)</f>
        <v>300100</v>
      </c>
      <c r="F14" s="22" t="n">
        <f aca="false">SUM(B14:D14)</f>
        <v>488450</v>
      </c>
    </row>
    <row r="15" customFormat="false" ht="15" hidden="false" customHeight="false" outlineLevel="0" collapsed="false">
      <c r="A15" s="19" t="s">
        <v>154</v>
      </c>
      <c r="B15" s="20" t="n">
        <f aca="false">B10-B14</f>
        <v>71853</v>
      </c>
      <c r="C15" s="20" t="n">
        <f aca="false">C10-C14</f>
        <v>876653</v>
      </c>
      <c r="D15" s="20" t="n">
        <f aca="false">D10-D14</f>
        <v>4543091</v>
      </c>
      <c r="F15" s="20" t="n">
        <f aca="false">SUM(B15:D15)</f>
        <v>5491597</v>
      </c>
    </row>
    <row r="17" customFormat="false" ht="15" hidden="false" customHeight="false" outlineLevel="0" collapsed="false">
      <c r="A17" s="2" t="s">
        <v>155</v>
      </c>
      <c r="B17" s="18" t="n">
        <f aca="false">B15</f>
        <v>71853</v>
      </c>
      <c r="C17" s="18" t="n">
        <f aca="false">B17+C15</f>
        <v>948506</v>
      </c>
      <c r="D17" s="18" t="n">
        <f aca="false">C17+D15</f>
        <v>5491597</v>
      </c>
    </row>
    <row r="19" customFormat="false" ht="15" hidden="false" customHeight="false" outlineLevel="0" collapsed="false">
      <c r="A19" s="3" t="s">
        <v>156</v>
      </c>
      <c r="B19" s="3"/>
      <c r="C19" s="3"/>
      <c r="D19" s="3"/>
      <c r="E19" s="3"/>
      <c r="F19" s="3"/>
    </row>
    <row r="20" customFormat="false" ht="15" hidden="false" customHeight="false" outlineLevel="0" collapsed="false">
      <c r="A20" s="2" t="s">
        <v>157</v>
      </c>
      <c r="E20" s="23" t="n">
        <f aca="false">D11</f>
        <v>6258924</v>
      </c>
      <c r="F20" s="22" t="n">
        <f aca="false">B10+C10+D10</f>
        <v>5980047</v>
      </c>
    </row>
    <row r="22" customFormat="false" ht="15" hidden="false" customHeight="false" outlineLevel="0" collapsed="false">
      <c r="A22" s="7" t="s">
        <v>158</v>
      </c>
      <c r="B22" s="24" t="n">
        <f aca="false">(B10-B14)/B10</f>
        <v>0.787835926449788</v>
      </c>
      <c r="C22" s="24" t="n">
        <f aca="false">(C10-C14)/C10</f>
        <v>0.838378506062719</v>
      </c>
      <c r="D22" s="24" t="n">
        <f aca="false">(D10-D14)/D10</f>
        <v>0.938036720005468</v>
      </c>
    </row>
    <row r="23" customFormat="false" ht="15" hidden="false" customHeight="false" outlineLevel="0" collapsed="false">
      <c r="A23" s="7" t="s">
        <v>159</v>
      </c>
      <c r="B23" s="18" t="n">
        <f aca="false">IFERROR(B10/B6,0)</f>
        <v>6514.5</v>
      </c>
      <c r="C23" s="18" t="n">
        <f aca="false">IFERROR(C10/C6,0)</f>
        <v>17722.9322033898</v>
      </c>
      <c r="D23" s="18" t="n">
        <f aca="false">IFERROR(D10/D6,0)</f>
        <v>34348.8723404255</v>
      </c>
    </row>
  </sheetData>
  <mergeCells count="4">
    <mergeCell ref="A1:F1"/>
    <mergeCell ref="A9:F9"/>
    <mergeCell ref="A13:F13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45"/>
    <col collapsed="false" customWidth="true" hidden="false" outlineLevel="0" max="5" min="5" style="0" width="22"/>
  </cols>
  <sheetData>
    <row r="1" customFormat="false" ht="31.5" hidden="false" customHeight="true" outlineLevel="0" collapsed="false">
      <c r="A1" s="1" t="s">
        <v>160</v>
      </c>
      <c r="B1" s="1"/>
      <c r="C1" s="1"/>
      <c r="D1" s="1"/>
      <c r="E1" s="1"/>
    </row>
    <row r="3" customFormat="false" ht="15" hidden="false" customHeight="false" outlineLevel="0" collapsed="false">
      <c r="A3" s="10" t="s">
        <v>161</v>
      </c>
      <c r="B3" s="10" t="s">
        <v>162</v>
      </c>
      <c r="C3" s="10" t="s">
        <v>163</v>
      </c>
      <c r="D3" s="10" t="s">
        <v>164</v>
      </c>
      <c r="E3" s="10" t="s">
        <v>165</v>
      </c>
    </row>
    <row r="4" customFormat="false" ht="15" hidden="false" customHeight="false" outlineLevel="0" collapsed="false">
      <c r="A4" s="7" t="s">
        <v>166</v>
      </c>
      <c r="B4" s="8" t="n">
        <v>1800</v>
      </c>
      <c r="C4" s="18" t="n">
        <f aca="false">B4*12</f>
        <v>21600</v>
      </c>
      <c r="D4" s="7" t="s">
        <v>167</v>
      </c>
      <c r="E4" s="9" t="s">
        <v>168</v>
      </c>
    </row>
    <row r="5" customFormat="false" ht="15" hidden="false" customHeight="false" outlineLevel="0" collapsed="false">
      <c r="A5" s="7" t="s">
        <v>169</v>
      </c>
      <c r="B5" s="8" t="n">
        <v>400</v>
      </c>
      <c r="C5" s="18" t="n">
        <f aca="false">B5*12</f>
        <v>4800</v>
      </c>
      <c r="D5" s="7" t="s">
        <v>170</v>
      </c>
      <c r="E5" s="9" t="s">
        <v>168</v>
      </c>
    </row>
    <row r="6" customFormat="false" ht="15" hidden="false" customHeight="false" outlineLevel="0" collapsed="false">
      <c r="A6" s="7" t="s">
        <v>171</v>
      </c>
      <c r="B6" s="8" t="n">
        <v>80</v>
      </c>
      <c r="C6" s="18" t="n">
        <f aca="false">B6*12</f>
        <v>960</v>
      </c>
      <c r="D6" s="7" t="s">
        <v>172</v>
      </c>
      <c r="E6" s="9" t="s">
        <v>168</v>
      </c>
    </row>
    <row r="7" customFormat="false" ht="15" hidden="false" customHeight="false" outlineLevel="0" collapsed="false">
      <c r="A7" s="7" t="s">
        <v>173</v>
      </c>
      <c r="B7" s="8" t="n">
        <v>20</v>
      </c>
      <c r="C7" s="18" t="n">
        <f aca="false">B7*12</f>
        <v>240</v>
      </c>
      <c r="D7" s="7" t="s">
        <v>174</v>
      </c>
      <c r="E7" s="9" t="s">
        <v>168</v>
      </c>
    </row>
    <row r="8" customFormat="false" ht="15" hidden="false" customHeight="false" outlineLevel="0" collapsed="false">
      <c r="A8" s="7" t="s">
        <v>175</v>
      </c>
      <c r="B8" s="8" t="n">
        <v>30</v>
      </c>
      <c r="C8" s="18" t="n">
        <f aca="false">B8*12</f>
        <v>360</v>
      </c>
      <c r="D8" s="7" t="s">
        <v>176</v>
      </c>
      <c r="E8" s="9" t="s">
        <v>168</v>
      </c>
    </row>
    <row r="9" customFormat="false" ht="15" hidden="false" customHeight="false" outlineLevel="0" collapsed="false">
      <c r="A9" s="7" t="s">
        <v>177</v>
      </c>
      <c r="B9" s="8" t="n">
        <v>600</v>
      </c>
      <c r="C9" s="18" t="n">
        <f aca="false">B9*12</f>
        <v>7200</v>
      </c>
      <c r="D9" s="7" t="s">
        <v>178</v>
      </c>
      <c r="E9" s="9" t="s">
        <v>179</v>
      </c>
    </row>
    <row r="10" customFormat="false" ht="15" hidden="false" customHeight="false" outlineLevel="0" collapsed="false">
      <c r="A10" s="7" t="s">
        <v>180</v>
      </c>
      <c r="B10" s="8" t="n">
        <v>30</v>
      </c>
      <c r="C10" s="18" t="n">
        <f aca="false">B10*12</f>
        <v>360</v>
      </c>
      <c r="D10" s="7" t="s">
        <v>181</v>
      </c>
      <c r="E10" s="9" t="s">
        <v>168</v>
      </c>
    </row>
    <row r="11" customFormat="false" ht="15" hidden="false" customHeight="false" outlineLevel="0" collapsed="false">
      <c r="A11" s="7" t="s">
        <v>182</v>
      </c>
      <c r="B11" s="8" t="n">
        <v>20</v>
      </c>
      <c r="C11" s="18" t="n">
        <f aca="false">B11*12</f>
        <v>240</v>
      </c>
      <c r="D11" s="7" t="s">
        <v>183</v>
      </c>
      <c r="E11" s="9" t="s">
        <v>168</v>
      </c>
    </row>
    <row r="12" customFormat="false" ht="15" hidden="false" customHeight="false" outlineLevel="0" collapsed="false">
      <c r="A12" s="19" t="s">
        <v>184</v>
      </c>
      <c r="B12" s="20" t="n">
        <f aca="false">SUM(B4:B11)</f>
        <v>2980</v>
      </c>
      <c r="C12" s="20" t="n">
        <f aca="false">SUM(C4:C11)</f>
        <v>35760</v>
      </c>
    </row>
    <row r="14" customFormat="false" ht="15" hidden="false" customHeight="false" outlineLevel="0" collapsed="false">
      <c r="A14" s="7" t="s">
        <v>185</v>
      </c>
      <c r="B14" s="25" t="n">
        <v>1.08</v>
      </c>
    </row>
    <row r="15" customFormat="false" ht="15" hidden="false" customHeight="false" outlineLevel="0" collapsed="false">
      <c r="A15" s="2" t="s">
        <v>186</v>
      </c>
      <c r="C15" s="26" t="n">
        <f aca="false">C12*B14</f>
        <v>38620.8</v>
      </c>
    </row>
    <row r="17" customFormat="false" ht="15" hidden="false" customHeight="false" outlineLevel="0" collapsed="false">
      <c r="A17" s="3" t="s">
        <v>187</v>
      </c>
      <c r="B17" s="3"/>
      <c r="C17" s="3"/>
      <c r="D17" s="3"/>
      <c r="E17" s="3"/>
    </row>
    <row r="18" customFormat="false" ht="15" hidden="false" customHeight="false" outlineLevel="0" collapsed="false">
      <c r="A18" s="2" t="s">
        <v>188</v>
      </c>
      <c r="B18" s="4" t="s">
        <v>189</v>
      </c>
      <c r="C18" s="4"/>
      <c r="D18" s="4"/>
    </row>
    <row r="19" customFormat="false" ht="15" hidden="false" customHeight="false" outlineLevel="0" collapsed="false">
      <c r="A19" s="2" t="s">
        <v>190</v>
      </c>
      <c r="B19" s="4" t="s">
        <v>191</v>
      </c>
      <c r="C19" s="4"/>
      <c r="D19" s="4"/>
    </row>
    <row r="20" customFormat="false" ht="15" hidden="false" customHeight="false" outlineLevel="0" collapsed="false">
      <c r="A20" s="2" t="s">
        <v>192</v>
      </c>
      <c r="B20" s="4" t="s">
        <v>193</v>
      </c>
      <c r="C20" s="4"/>
      <c r="D20" s="4"/>
    </row>
    <row r="22" customFormat="false" ht="15" hidden="false" customHeight="false" outlineLevel="0" collapsed="false">
      <c r="A22" s="3" t="s">
        <v>194</v>
      </c>
      <c r="B22" s="3"/>
      <c r="C22" s="3"/>
      <c r="D22" s="3"/>
      <c r="E22" s="3"/>
    </row>
    <row r="23" customFormat="false" ht="15" hidden="false" customHeight="false" outlineLevel="0" collapsed="false">
      <c r="A23" s="4" t="s">
        <v>195</v>
      </c>
      <c r="B23" s="4"/>
      <c r="C23" s="4"/>
      <c r="D23" s="4"/>
      <c r="E23" s="4"/>
    </row>
    <row r="24" customFormat="false" ht="15" hidden="false" customHeight="false" outlineLevel="0" collapsed="false">
      <c r="A24" s="4" t="s">
        <v>196</v>
      </c>
      <c r="B24" s="4"/>
      <c r="C24" s="4"/>
      <c r="D24" s="4"/>
      <c r="E24" s="4"/>
    </row>
    <row r="25" customFormat="false" ht="15" hidden="false" customHeight="false" outlineLevel="0" collapsed="false">
      <c r="A25" s="4" t="s">
        <v>197</v>
      </c>
      <c r="B25" s="4"/>
      <c r="C25" s="4"/>
      <c r="D25" s="4"/>
      <c r="E25" s="4"/>
    </row>
    <row r="26" customFormat="false" ht="15" hidden="false" customHeight="false" outlineLevel="0" collapsed="false">
      <c r="A26" s="4" t="s">
        <v>198</v>
      </c>
      <c r="B26" s="4"/>
      <c r="C26" s="4"/>
      <c r="D26" s="4"/>
      <c r="E26" s="4"/>
    </row>
    <row r="27" customFormat="false" ht="15" hidden="false" customHeight="false" outlineLevel="0" collapsed="false">
      <c r="A27" s="4" t="s">
        <v>199</v>
      </c>
      <c r="B27" s="4"/>
      <c r="C27" s="4"/>
      <c r="D27" s="4"/>
      <c r="E27" s="4"/>
    </row>
  </sheetData>
  <mergeCells count="11">
    <mergeCell ref="A1:E1"/>
    <mergeCell ref="A17:E17"/>
    <mergeCell ref="B18:D18"/>
    <mergeCell ref="B19:D19"/>
    <mergeCell ref="B20:D20"/>
    <mergeCell ref="A22:E22"/>
    <mergeCell ref="A23:E23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2026-05-15T14:22:27Z</dcterms:created>
  <dc:creator>openpyxl</dc:creator>
  <dc:description/>
  <dc:language>en-US</dc:language>
  <cp:lastModifiedBy/>
  <dcterms:modified xsi:type="dcterms:W3CDTF">2026-05-15T14:22:27Z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